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esma\times-ireland-model\SuppXLS\"/>
    </mc:Choice>
  </mc:AlternateContent>
  <xr:revisionPtr revIDLastSave="0" documentId="13_ncr:1_{F87FDBEF-FABF-4698-9580-5EEC6465C730}" xr6:coauthVersionLast="47" xr6:coauthVersionMax="47" xr10:uidLastSave="{00000000-0000-0000-0000-000000000000}"/>
  <bookViews>
    <workbookView xWindow="-25200" yWindow="-21720" windowWidth="77040" windowHeight="21120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3" l="1"/>
  <c r="J8" i="20"/>
  <c r="J9" i="20"/>
  <c r="J10" i="20"/>
  <c r="J11" i="20"/>
  <c r="J12" i="20"/>
  <c r="J7" i="20"/>
  <c r="E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<sst xmlns="http://schemas.openxmlformats.org/spreadsheetml/2006/main" count="92" uniqueCount="90">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</sst>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109375" defaultRowHeight="15" x14ac:dyDescent="0.25"/>
  <cols>
    <col min="1" max="4" width="21.7109375" customWidth="1"/>
    <col min="5" max="6" width="14.28515625" customWidth="1"/>
    <col min="7" max="7" width="12.28515625" customWidth="1"/>
    <col min="8" max="10" width="8.28515625" customWidth="1"/>
    <col min="11" max="11" width="9.7109375" customWidth="1"/>
    <col min="12" max="12" width="8.28515625" customWidth="1"/>
    <col min="13" max="13" width="10" customWidth="1"/>
    <col min="14" max="14" width="11.42578125" customWidth="1"/>
    <col min="15" max="15" width="13.42578125" customWidth="1"/>
  </cols>
  <sheetData>
    <row r="1" spans="1:26" x14ac:dyDescent="0.25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5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5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5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25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25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25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25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25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25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25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25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25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25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25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25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25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25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25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25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25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5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8515625" defaultRowHeight="15" x14ac:dyDescent="0.25"/>
  <cols>
    <col min="1" max="1" width="12.28515625" customWidth="1"/>
    <col min="2" max="2" width="11.7109375" customWidth="1"/>
    <col min="3" max="3" width="3.28515625" bestFit="1" customWidth="1"/>
    <col min="4" max="4" width="8.5703125" bestFit="1" customWidth="1"/>
    <col min="5" max="5" width="6.42578125" bestFit="1" customWidth="1"/>
    <col min="6" max="6" width="4.7109375" bestFit="1" customWidth="1"/>
    <col min="7" max="8" width="5.71093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.28515625" bestFit="1" customWidth="1"/>
    <col min="14" max="14" width="6.7109375" bestFit="1" customWidth="1"/>
    <col min="15" max="15" width="6.5703125" bestFit="1" customWidth="1"/>
    <col min="16" max="16" width="7.28515625" bestFit="1" customWidth="1"/>
    <col min="17" max="17" width="5.7109375" bestFit="1" customWidth="1"/>
    <col min="18" max="18" width="6.28515625" bestFit="1" customWidth="1"/>
    <col min="19" max="19" width="5.7109375" bestFit="1" customWidth="1"/>
    <col min="20" max="20" width="5.5703125" bestFit="1" customWidth="1"/>
    <col min="21" max="21" width="5.7109375" bestFit="1" customWidth="1"/>
    <col min="22" max="22" width="6.7109375" bestFit="1" customWidth="1"/>
    <col min="23" max="23" width="4.7109375" bestFit="1" customWidth="1"/>
    <col min="24" max="24" width="7.5703125" customWidth="1"/>
    <col min="25" max="25" width="6.7109375" bestFit="1" customWidth="1"/>
    <col min="26" max="26" width="6.28515625" bestFit="1" customWidth="1"/>
    <col min="27" max="28" width="6" bestFit="1" customWidth="1"/>
    <col min="29" max="29" width="5.7109375" bestFit="1" customWidth="1"/>
    <col min="30" max="30" width="6.7109375" bestFit="1" customWidth="1"/>
  </cols>
  <sheetData>
    <row r="3" spans="1:30" x14ac:dyDescent="0.2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25">
      <c r="A4">
        <v>1</v>
      </c>
    </row>
    <row r="5" spans="1:30" x14ac:dyDescent="0.2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2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2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.75" thickBot="1" x14ac:dyDescent="0.3">
      <c r="A10" s="3" t="s">
        <v>32</v>
      </c>
      <c r="B10" s="3" t="s">
        <v>33</v>
      </c>
    </row>
    <row r="11" spans="1:30" x14ac:dyDescent="0.25">
      <c r="A11" s="4" t="s">
        <v>34</v>
      </c>
      <c r="B11" s="4" t="s">
        <v>26</v>
      </c>
    </row>
    <row r="12" spans="1:30" x14ac:dyDescent="0.25">
      <c r="A12" s="5" t="s">
        <v>35</v>
      </c>
      <c r="B12" s="5" t="s">
        <v>25</v>
      </c>
    </row>
    <row r="13" spans="1:30" x14ac:dyDescent="0.25">
      <c r="A13" s="5" t="s">
        <v>36</v>
      </c>
      <c r="B13" s="5" t="s">
        <v>24</v>
      </c>
    </row>
    <row r="14" spans="1:30" x14ac:dyDescent="0.25">
      <c r="A14" s="5" t="s">
        <v>37</v>
      </c>
      <c r="B14" s="5" t="s">
        <v>23</v>
      </c>
    </row>
    <row r="15" spans="1:30" x14ac:dyDescent="0.25">
      <c r="A15" s="5" t="s">
        <v>38</v>
      </c>
      <c r="B15" s="5" t="s">
        <v>22</v>
      </c>
    </row>
    <row r="16" spans="1:30" x14ac:dyDescent="0.25">
      <c r="A16" s="5" t="s">
        <v>39</v>
      </c>
      <c r="B16" s="5" t="s">
        <v>21</v>
      </c>
    </row>
    <row r="17" spans="1:2" x14ac:dyDescent="0.25">
      <c r="A17" s="5" t="s">
        <v>40</v>
      </c>
      <c r="B17" s="5" t="s">
        <v>20</v>
      </c>
    </row>
    <row r="18" spans="1:2" x14ac:dyDescent="0.25">
      <c r="A18" s="5" t="s">
        <v>41</v>
      </c>
      <c r="B18" s="5" t="s">
        <v>19</v>
      </c>
    </row>
    <row r="19" spans="1:2" x14ac:dyDescent="0.25">
      <c r="A19" s="5" t="s">
        <v>42</v>
      </c>
      <c r="B19" s="5" t="s">
        <v>18</v>
      </c>
    </row>
    <row r="20" spans="1:2" x14ac:dyDescent="0.25">
      <c r="A20" s="5" t="s">
        <v>43</v>
      </c>
      <c r="B20" s="5" t="s">
        <v>17</v>
      </c>
    </row>
    <row r="21" spans="1:2" x14ac:dyDescent="0.25">
      <c r="A21" s="5" t="s">
        <v>44</v>
      </c>
      <c r="B21" s="5" t="s">
        <v>16</v>
      </c>
    </row>
    <row r="22" spans="1:2" x14ac:dyDescent="0.25">
      <c r="A22" s="5" t="s">
        <v>45</v>
      </c>
      <c r="B22" s="5" t="s">
        <v>15</v>
      </c>
    </row>
    <row r="23" spans="1:2" x14ac:dyDescent="0.25">
      <c r="A23" s="5" t="s">
        <v>46</v>
      </c>
      <c r="B23" s="5" t="s">
        <v>14</v>
      </c>
    </row>
    <row r="24" spans="1:2" x14ac:dyDescent="0.25">
      <c r="A24" s="5" t="s">
        <v>47</v>
      </c>
      <c r="B24" s="5" t="s">
        <v>13</v>
      </c>
    </row>
    <row r="25" spans="1:2" x14ac:dyDescent="0.25">
      <c r="A25" s="5" t="s">
        <v>48</v>
      </c>
      <c r="B25" s="5" t="s">
        <v>12</v>
      </c>
    </row>
    <row r="26" spans="1:2" x14ac:dyDescent="0.25">
      <c r="A26" s="5" t="s">
        <v>49</v>
      </c>
      <c r="B26" s="5" t="s">
        <v>11</v>
      </c>
    </row>
    <row r="27" spans="1:2" x14ac:dyDescent="0.25">
      <c r="A27" s="5" t="s">
        <v>50</v>
      </c>
      <c r="B27" s="5" t="s">
        <v>10</v>
      </c>
    </row>
    <row r="28" spans="1:2" x14ac:dyDescent="0.25">
      <c r="A28" s="5" t="s">
        <v>51</v>
      </c>
      <c r="B28" s="5" t="s">
        <v>9</v>
      </c>
    </row>
    <row r="29" spans="1:2" x14ac:dyDescent="0.25">
      <c r="A29" s="5" t="s">
        <v>52</v>
      </c>
      <c r="B29" s="5" t="s">
        <v>8</v>
      </c>
    </row>
    <row r="30" spans="1:2" x14ac:dyDescent="0.25">
      <c r="A30" s="5" t="s">
        <v>53</v>
      </c>
      <c r="B30" s="5" t="s">
        <v>7</v>
      </c>
    </row>
    <row r="31" spans="1:2" x14ac:dyDescent="0.25">
      <c r="A31" s="5" t="s">
        <v>54</v>
      </c>
      <c r="B31" s="5" t="s">
        <v>6</v>
      </c>
    </row>
    <row r="32" spans="1:2" x14ac:dyDescent="0.25">
      <c r="A32" s="5" t="s">
        <v>55</v>
      </c>
      <c r="B32" s="5" t="s">
        <v>5</v>
      </c>
    </row>
    <row r="33" spans="1:2" x14ac:dyDescent="0.25">
      <c r="A33" s="5" t="s">
        <v>56</v>
      </c>
      <c r="B33" s="5" t="s">
        <v>4</v>
      </c>
    </row>
    <row r="34" spans="1:2" x14ac:dyDescent="0.25">
      <c r="A34" s="5" t="s">
        <v>57</v>
      </c>
      <c r="B34" s="5" t="s">
        <v>3</v>
      </c>
    </row>
    <row r="35" spans="1:2" x14ac:dyDescent="0.25">
      <c r="A35" s="5" t="s">
        <v>58</v>
      </c>
      <c r="B35" s="5" t="s">
        <v>2</v>
      </c>
    </row>
    <row r="36" spans="1:2" x14ac:dyDescent="0.25">
      <c r="A36" s="5" t="s">
        <v>59</v>
      </c>
      <c r="B36" s="5" t="s">
        <v>1</v>
      </c>
    </row>
    <row r="37" spans="1:2" x14ac:dyDescent="0.2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8515625" defaultRowHeight="15" x14ac:dyDescent="0.25"/>
  <cols>
    <col min="2" max="2" width="14.5703125" bestFit="1" customWidth="1"/>
    <col min="3" max="3" width="30.28515625" bestFit="1" customWidth="1"/>
    <col min="4" max="4" width="28" bestFit="1" customWidth="1"/>
    <col min="9" max="9" width="18.7109375" bestFit="1" customWidth="1"/>
    <col min="13" max="13" width="10.5703125" bestFit="1" customWidth="1"/>
    <col min="14" max="14" width="12" bestFit="1" customWidth="1"/>
  </cols>
  <sheetData>
    <row r="2" spans="2:10" x14ac:dyDescent="0.25">
      <c r="B2" t="s">
        <v>87</v>
      </c>
    </row>
    <row r="3" spans="2:10" x14ac:dyDescent="0.25">
      <c r="B3">
        <v>4</v>
      </c>
    </row>
    <row r="6" spans="2:10" x14ac:dyDescent="0.25">
      <c r="H6" t="s">
        <v>64</v>
      </c>
      <c r="I6" t="s">
        <v>81</v>
      </c>
      <c r="J6" t="s">
        <v>88</v>
      </c>
    </row>
    <row r="7" spans="2:10" x14ac:dyDescent="0.25">
      <c r="H7">
        <v>1</v>
      </c>
      <c r="I7" s="27">
        <v>1.2</v>
      </c>
      <c r="J7" s="27">
        <f>1+(I7-1)*0.75</f>
        <v>1.1499999999999999</v>
      </c>
    </row>
    <row r="8" spans="2:10" x14ac:dyDescent="0.25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25">
      <c r="H9">
        <v>3</v>
      </c>
      <c r="I9" s="27">
        <v>1.4</v>
      </c>
      <c r="J9" s="27">
        <f t="shared" si="0"/>
        <v>1.2999999999999998</v>
      </c>
    </row>
    <row r="10" spans="2:10" x14ac:dyDescent="0.25">
      <c r="H10">
        <v>4</v>
      </c>
      <c r="I10" s="27">
        <v>1.5</v>
      </c>
      <c r="J10" s="27">
        <f t="shared" si="0"/>
        <v>1.375</v>
      </c>
    </row>
    <row r="11" spans="2:10" x14ac:dyDescent="0.25">
      <c r="H11">
        <v>5</v>
      </c>
      <c r="I11" s="27">
        <v>1.6</v>
      </c>
      <c r="J11" s="27">
        <f t="shared" si="0"/>
        <v>1.4500000000000002</v>
      </c>
    </row>
    <row r="12" spans="2:10" x14ac:dyDescent="0.25">
      <c r="H12">
        <v>6</v>
      </c>
      <c r="I12" s="27">
        <v>2</v>
      </c>
      <c r="J12" s="27">
        <f t="shared" si="0"/>
        <v>1.75</v>
      </c>
    </row>
    <row r="23" spans="10:10" x14ac:dyDescent="0.25">
      <c r="J23" s="10"/>
    </row>
    <row r="24" spans="10:10" x14ac:dyDescent="0.25">
      <c r="J24" s="10"/>
    </row>
    <row r="25" spans="10:10" x14ac:dyDescent="0.25">
      <c r="J25" s="10"/>
    </row>
    <row r="26" spans="10:10" x14ac:dyDescent="0.25">
      <c r="J26" s="10"/>
    </row>
    <row r="27" spans="10:10" x14ac:dyDescent="0.25">
      <c r="J27" s="10"/>
    </row>
    <row r="28" spans="10:10" x14ac:dyDescent="0.25">
      <c r="J28" s="10"/>
    </row>
    <row r="29" spans="10:10" x14ac:dyDescent="0.25">
      <c r="J29" s="10"/>
    </row>
    <row r="30" spans="10:10" x14ac:dyDescent="0.25">
      <c r="J30" s="10"/>
    </row>
    <row r="31" spans="10:10" x14ac:dyDescent="0.25">
      <c r="J31" s="10"/>
    </row>
    <row r="32" spans="10:10" x14ac:dyDescent="0.25">
      <c r="J32" s="10"/>
    </row>
    <row r="34" spans="10:10" x14ac:dyDescent="0.25">
      <c r="J34" s="10"/>
    </row>
    <row r="35" spans="10:10" x14ac:dyDescent="0.25">
      <c r="J35" s="10"/>
    </row>
    <row r="36" spans="10:10" x14ac:dyDescent="0.25">
      <c r="J36" s="10"/>
    </row>
    <row r="37" spans="10:10" x14ac:dyDescent="0.25">
      <c r="J37" s="10"/>
    </row>
    <row r="38" spans="10:10" x14ac:dyDescent="0.25">
      <c r="J38" s="10"/>
    </row>
    <row r="39" spans="10:10" x14ac:dyDescent="0.25">
      <c r="J39" s="10"/>
    </row>
    <row r="40" spans="10:10" x14ac:dyDescent="0.25">
      <c r="J40" s="10"/>
    </row>
    <row r="41" spans="10:10" x14ac:dyDescent="0.25">
      <c r="J41" s="10"/>
    </row>
    <row r="42" spans="10:10" x14ac:dyDescent="0.25">
      <c r="J42" s="10"/>
    </row>
    <row r="43" spans="10:10" x14ac:dyDescent="0.25">
      <c r="J43" s="10"/>
    </row>
    <row r="44" spans="10:10" x14ac:dyDescent="0.25">
      <c r="J44" s="10"/>
    </row>
    <row r="45" spans="10:10" x14ac:dyDescent="0.25">
      <c r="J45" s="10"/>
    </row>
    <row r="46" spans="10:10" x14ac:dyDescent="0.25">
      <c r="J46" s="10"/>
    </row>
    <row r="47" spans="10:10" x14ac:dyDescent="0.25">
      <c r="J47" s="10"/>
    </row>
    <row r="48" spans="10:10" x14ac:dyDescent="0.25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F42" sqref="F42"/>
    </sheetView>
  </sheetViews>
  <sheetFormatPr defaultRowHeight="15" x14ac:dyDescent="0.25"/>
  <cols>
    <col min="2" max="2" width="10.28515625" bestFit="1" customWidth="1"/>
    <col min="4" max="4" width="13.7109375" bestFit="1" customWidth="1"/>
    <col min="5" max="5" width="10" customWidth="1"/>
    <col min="6" max="6" width="10.28515625" bestFit="1" customWidth="1"/>
  </cols>
  <sheetData>
    <row r="2" spans="2:39" x14ac:dyDescent="0.25">
      <c r="B2" s="8" t="s">
        <v>82</v>
      </c>
    </row>
    <row r="3" spans="2:39" ht="15.75" thickBot="1" x14ac:dyDescent="0.3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25">
      <c r="C4" s="7"/>
      <c r="D4" t="s">
        <v>84</v>
      </c>
      <c r="E4" t="str">
        <f>"*"&amp;VLOOKUP(config!$B$3,config!$H$6:$I$12,2,FALSE)</f>
        <v>*1.5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25">
      <c r="D5" t="s">
        <v>84</v>
      </c>
      <c r="E5" t="str">
        <f>"*"&amp;VLOOKUP(config!$B$3,config!$H$6:$J$12,3,FALSE)</f>
        <v>*1.375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25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2026-10-19T09:56:48Z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