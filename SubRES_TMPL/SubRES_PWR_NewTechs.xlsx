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it\esma\times-ireland-model\SubRES_TMPL\"/>
    </mc:Choice>
  </mc:AlternateContent>
  <xr:revisionPtr revIDLastSave="0" documentId="13_ncr:1_{FED0389F-BCD9-4EB5-BB4C-56C07961CAB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ver" sheetId="24" r:id="rId1"/>
    <sheet name="ELC_EGP" sheetId="16" r:id="rId2"/>
    <sheet name="IMPEXP" sheetId="22" r:id="rId3"/>
    <sheet name="ELC_WIN" sheetId="19" r:id="rId4"/>
    <sheet name="WIN_ON_COST" sheetId="21" r:id="rId5"/>
    <sheet name="ELC_CCS" sheetId="18" r:id="rId6"/>
    <sheet name="Win_ON_Cost_Data" sheetId="20" r:id="rId7"/>
    <sheet name="ETRI_Cost" sheetId="23" r:id="rId8"/>
  </sheets>
  <definedNames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hidden="1">#REF!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5" i="19" l="1"/>
  <c r="T6" i="19"/>
  <c r="T7" i="19"/>
  <c r="T8" i="19"/>
  <c r="T4" i="19"/>
  <c r="T9" i="19"/>
  <c r="Q9" i="19"/>
  <c r="L9" i="19"/>
  <c r="M6" i="16"/>
  <c r="Q9" i="16"/>
  <c r="Q8" i="16"/>
  <c r="M8" i="16"/>
  <c r="M9" i="16" s="1"/>
  <c r="A5" i="22"/>
  <c r="B5" i="22"/>
  <c r="C5" i="22"/>
  <c r="A6" i="22"/>
  <c r="B6" i="22"/>
  <c r="C6" i="22"/>
  <c r="A7" i="22"/>
  <c r="B7" i="22"/>
  <c r="C7" i="22"/>
  <c r="A8" i="22"/>
  <c r="B8" i="22"/>
  <c r="C8" i="22"/>
  <c r="AK3" i="21" l="1"/>
  <c r="AJ3" i="21"/>
  <c r="AI3" i="21"/>
  <c r="AH3" i="21"/>
  <c r="AG3" i="21"/>
  <c r="O33" i="16"/>
  <c r="P33" i="16"/>
  <c r="Q33" i="16"/>
  <c r="Q32" i="16"/>
  <c r="P32" i="16"/>
  <c r="O32" i="16"/>
  <c r="Q31" i="16"/>
  <c r="P31" i="16"/>
  <c r="O31" i="16"/>
  <c r="O29" i="16"/>
  <c r="P29" i="16"/>
  <c r="Q29" i="16"/>
  <c r="Q28" i="16"/>
  <c r="P28" i="16"/>
  <c r="O28" i="16"/>
  <c r="Q37" i="16"/>
  <c r="P37" i="16"/>
  <c r="O37" i="16"/>
  <c r="N37" i="16"/>
  <c r="M37" i="16"/>
  <c r="M19" i="16"/>
  <c r="N19" i="16"/>
  <c r="O19" i="16"/>
  <c r="P19" i="16"/>
  <c r="Q19" i="16"/>
  <c r="Q18" i="16"/>
  <c r="P18" i="16"/>
  <c r="O18" i="16"/>
  <c r="N18" i="16"/>
  <c r="M18" i="16"/>
  <c r="M12" i="16"/>
  <c r="N12" i="16"/>
  <c r="O12" i="16"/>
  <c r="P12" i="16"/>
  <c r="Q12" i="16"/>
  <c r="M13" i="16"/>
  <c r="N13" i="16"/>
  <c r="O13" i="16"/>
  <c r="P13" i="16"/>
  <c r="Q13" i="16"/>
  <c r="M14" i="16"/>
  <c r="N14" i="16"/>
  <c r="O14" i="16"/>
  <c r="P14" i="16"/>
  <c r="Q14" i="16"/>
  <c r="M15" i="16"/>
  <c r="N15" i="16"/>
  <c r="O15" i="16"/>
  <c r="P15" i="16"/>
  <c r="Q15" i="16"/>
  <c r="M16" i="16"/>
  <c r="N16" i="16"/>
  <c r="O16" i="16"/>
  <c r="P16" i="16"/>
  <c r="Q16" i="16"/>
  <c r="M11" i="16"/>
  <c r="N11" i="16"/>
  <c r="O11" i="16"/>
  <c r="P11" i="16"/>
  <c r="Q11" i="16"/>
  <c r="AK19" i="18" l="1"/>
  <c r="AJ19" i="18"/>
  <c r="AI19" i="18"/>
  <c r="AH19" i="18"/>
  <c r="AG19" i="18"/>
  <c r="AF19" i="18"/>
  <c r="AE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K19" i="18"/>
  <c r="J19" i="18"/>
  <c r="I19" i="18"/>
  <c r="H19" i="18"/>
  <c r="G19" i="18"/>
  <c r="F19" i="18"/>
  <c r="AK18" i="18"/>
  <c r="AJ18" i="18"/>
  <c r="AI18" i="18"/>
  <c r="AH18" i="18"/>
  <c r="AG18" i="18"/>
  <c r="AF18" i="18"/>
  <c r="AE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K18" i="18"/>
  <c r="J18" i="18"/>
  <c r="I18" i="18"/>
  <c r="H18" i="18"/>
  <c r="G18" i="18"/>
  <c r="F18" i="18"/>
  <c r="AK14" i="18"/>
  <c r="AJ14" i="18"/>
  <c r="AI14" i="18"/>
  <c r="AH14" i="18"/>
  <c r="AG14" i="18"/>
  <c r="AF14" i="18"/>
  <c r="AE14" i="18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K14" i="18"/>
  <c r="J14" i="18"/>
  <c r="I14" i="18"/>
  <c r="H14" i="18"/>
  <c r="G14" i="18"/>
  <c r="F14" i="18"/>
  <c r="AK13" i="18"/>
  <c r="AJ13" i="18"/>
  <c r="AI13" i="18"/>
  <c r="AH13" i="18"/>
  <c r="AG13" i="18"/>
  <c r="AF13" i="18"/>
  <c r="AE13" i="18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K13" i="18"/>
  <c r="J13" i="18"/>
  <c r="I13" i="18"/>
  <c r="H13" i="18"/>
  <c r="G13" i="18"/>
  <c r="F13" i="18"/>
  <c r="AK17" i="18"/>
  <c r="AJ17" i="18"/>
  <c r="AI17" i="18"/>
  <c r="AH17" i="18"/>
  <c r="AG17" i="18"/>
  <c r="AF17" i="18"/>
  <c r="AE17" i="18"/>
  <c r="U17" i="18"/>
  <c r="T17" i="18"/>
  <c r="S17" i="18"/>
  <c r="R17" i="18"/>
  <c r="Q17" i="18"/>
  <c r="K17" i="18"/>
  <c r="J17" i="18"/>
  <c r="I17" i="18"/>
  <c r="H17" i="18"/>
  <c r="G17" i="18"/>
  <c r="F17" i="18"/>
  <c r="AK16" i="18"/>
  <c r="AJ16" i="18"/>
  <c r="AI16" i="18"/>
  <c r="AH16" i="18"/>
  <c r="AG16" i="18"/>
  <c r="AF16" i="18"/>
  <c r="AE16" i="18"/>
  <c r="U16" i="18"/>
  <c r="T16" i="18"/>
  <c r="S16" i="18"/>
  <c r="R16" i="18"/>
  <c r="Q16" i="18"/>
  <c r="K16" i="18"/>
  <c r="J16" i="18"/>
  <c r="I16" i="18"/>
  <c r="H16" i="18"/>
  <c r="G16" i="18"/>
  <c r="F16" i="18"/>
  <c r="AK15" i="18"/>
  <c r="AJ15" i="18"/>
  <c r="AI15" i="18"/>
  <c r="AH15" i="18"/>
  <c r="AG15" i="18"/>
  <c r="AF15" i="18"/>
  <c r="AE15" i="18"/>
  <c r="U15" i="18"/>
  <c r="T15" i="18"/>
  <c r="S15" i="18"/>
  <c r="R15" i="18"/>
  <c r="Q15" i="18"/>
  <c r="K15" i="18"/>
  <c r="J15" i="18"/>
  <c r="I15" i="18"/>
  <c r="H15" i="18"/>
  <c r="G15" i="18"/>
  <c r="F15" i="18"/>
  <c r="AK12" i="18"/>
  <c r="AJ12" i="18"/>
  <c r="AI12" i="18"/>
  <c r="AH12" i="18"/>
  <c r="AG12" i="18"/>
  <c r="AF12" i="18"/>
  <c r="AE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K12" i="18"/>
  <c r="J12" i="18"/>
  <c r="I12" i="18"/>
  <c r="H12" i="18"/>
  <c r="G12" i="18"/>
  <c r="F12" i="18"/>
  <c r="AK10" i="18"/>
  <c r="AJ10" i="18"/>
  <c r="AI10" i="18"/>
  <c r="AH10" i="18"/>
  <c r="AG10" i="18"/>
  <c r="AF10" i="18"/>
  <c r="AE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K10" i="18"/>
  <c r="J10" i="18"/>
  <c r="I10" i="18"/>
  <c r="H10" i="18"/>
  <c r="G10" i="18"/>
  <c r="F10" i="18"/>
  <c r="AK20" i="18"/>
  <c r="AJ20" i="18"/>
  <c r="AI20" i="18"/>
  <c r="AH20" i="18"/>
  <c r="AG20" i="18"/>
  <c r="AF20" i="18"/>
  <c r="AE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K20" i="18"/>
  <c r="J20" i="18"/>
  <c r="I20" i="18"/>
  <c r="H20" i="18"/>
  <c r="G20" i="18"/>
  <c r="F20" i="18"/>
  <c r="AK11" i="18"/>
  <c r="AJ11" i="18"/>
  <c r="AI11" i="18"/>
  <c r="AH11" i="18"/>
  <c r="AG11" i="18"/>
  <c r="AF11" i="18"/>
  <c r="AE11" i="18"/>
  <c r="Z11" i="18"/>
  <c r="Y11" i="18"/>
  <c r="X11" i="18"/>
  <c r="W11" i="18"/>
  <c r="V11" i="18"/>
  <c r="U11" i="18"/>
  <c r="T11" i="18"/>
  <c r="S11" i="18"/>
  <c r="R11" i="18"/>
  <c r="Q11" i="18"/>
  <c r="P11" i="18"/>
  <c r="O11" i="18"/>
  <c r="N11" i="18"/>
  <c r="K11" i="18"/>
  <c r="J11" i="18"/>
  <c r="I11" i="18"/>
  <c r="H11" i="18"/>
  <c r="G11" i="18"/>
  <c r="F11" i="18"/>
  <c r="AK9" i="18"/>
  <c r="AJ9" i="18"/>
  <c r="AI9" i="18"/>
  <c r="AH9" i="18"/>
  <c r="AG9" i="18"/>
  <c r="AF9" i="18"/>
  <c r="AE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K9" i="18"/>
  <c r="J9" i="18"/>
  <c r="I9" i="18"/>
  <c r="H9" i="18"/>
  <c r="G9" i="18"/>
  <c r="F9" i="18"/>
  <c r="Z17" i="18" l="1"/>
  <c r="Y17" i="18"/>
  <c r="X17" i="18"/>
  <c r="W17" i="18"/>
  <c r="V17" i="18"/>
  <c r="P17" i="18"/>
  <c r="O17" i="18"/>
  <c r="N17" i="18"/>
  <c r="M17" i="18"/>
  <c r="L17" i="18"/>
  <c r="Z16" i="18"/>
  <c r="Y16" i="18"/>
  <c r="X16" i="18"/>
  <c r="W16" i="18"/>
  <c r="V16" i="18"/>
  <c r="P16" i="18"/>
  <c r="O16" i="18"/>
  <c r="N16" i="18"/>
  <c r="M16" i="18"/>
  <c r="L16" i="18"/>
  <c r="Z15" i="18"/>
  <c r="Y15" i="18"/>
  <c r="X15" i="18"/>
  <c r="W15" i="18"/>
  <c r="V15" i="18"/>
  <c r="P15" i="18"/>
  <c r="O15" i="18"/>
  <c r="N15" i="18"/>
  <c r="M15" i="18"/>
  <c r="L15" i="18"/>
  <c r="AM34" i="16" l="1"/>
  <c r="AM35" i="16"/>
  <c r="AM36" i="16"/>
  <c r="AM37" i="16"/>
  <c r="AM38" i="16"/>
  <c r="D7" i="16" l="1"/>
  <c r="D8" i="16"/>
  <c r="D9" i="16"/>
  <c r="D10" i="16"/>
  <c r="D11" i="16"/>
  <c r="D12" i="16"/>
  <c r="D13" i="16"/>
  <c r="AN13" i="16" s="1"/>
  <c r="D14" i="16"/>
  <c r="D15" i="16"/>
  <c r="D16" i="16"/>
  <c r="D17" i="16"/>
  <c r="D18" i="16"/>
  <c r="D19" i="16"/>
  <c r="D20" i="16"/>
  <c r="D21" i="16"/>
  <c r="D22" i="16"/>
  <c r="D23" i="16"/>
  <c r="D24" i="16"/>
  <c r="AN24" i="16" s="1"/>
  <c r="D25" i="16"/>
  <c r="AN25" i="16" s="1"/>
  <c r="D26" i="16"/>
  <c r="AN26" i="16" s="1"/>
  <c r="D27" i="16"/>
  <c r="AN27" i="16" s="1"/>
  <c r="D28" i="16"/>
  <c r="AN28" i="16" s="1"/>
  <c r="D29" i="16"/>
  <c r="AN29" i="16" s="1"/>
  <c r="D30" i="16"/>
  <c r="AN30" i="16" s="1"/>
  <c r="D31" i="16"/>
  <c r="AN31" i="16" s="1"/>
  <c r="D32" i="16"/>
  <c r="AN32" i="16" s="1"/>
  <c r="D33" i="16"/>
  <c r="AN33" i="16" s="1"/>
  <c r="D34" i="16"/>
  <c r="D35" i="16"/>
  <c r="D36" i="16"/>
  <c r="D37" i="16"/>
  <c r="D38" i="16"/>
  <c r="AN23" i="16"/>
  <c r="D6" i="16"/>
  <c r="AD20" i="18"/>
  <c r="AC20" i="18"/>
  <c r="AB20" i="18"/>
  <c r="AA20" i="18"/>
  <c r="E20" i="18"/>
  <c r="C20" i="18"/>
  <c r="AD19" i="18"/>
  <c r="AC19" i="18"/>
  <c r="AB19" i="18"/>
  <c r="AA19" i="18"/>
  <c r="E19" i="18"/>
  <c r="C19" i="18"/>
  <c r="AD18" i="18"/>
  <c r="AC18" i="18"/>
  <c r="AB18" i="18"/>
  <c r="AA18" i="18"/>
  <c r="E18" i="18"/>
  <c r="C18" i="18"/>
  <c r="AD17" i="18"/>
  <c r="AC17" i="18"/>
  <c r="AB17" i="18"/>
  <c r="AA17" i="18"/>
  <c r="E17" i="18"/>
  <c r="C17" i="18"/>
  <c r="AD16" i="18"/>
  <c r="AC16" i="18"/>
  <c r="AB16" i="18"/>
  <c r="AA16" i="18"/>
  <c r="E16" i="18"/>
  <c r="C16" i="18"/>
  <c r="AD15" i="18"/>
  <c r="AC15" i="18"/>
  <c r="AB15" i="18"/>
  <c r="AA15" i="18"/>
  <c r="E15" i="18"/>
  <c r="C15" i="18"/>
  <c r="AD14" i="18"/>
  <c r="AC14" i="18"/>
  <c r="AB14" i="18"/>
  <c r="AA14" i="18"/>
  <c r="E14" i="18"/>
  <c r="C14" i="18"/>
  <c r="AD13" i="18"/>
  <c r="AC13" i="18"/>
  <c r="AB13" i="18"/>
  <c r="AA13" i="18"/>
  <c r="E13" i="18"/>
  <c r="C13" i="18"/>
  <c r="AD12" i="18"/>
  <c r="AC12" i="18"/>
  <c r="AB12" i="18"/>
  <c r="AA12" i="18"/>
  <c r="E12" i="18"/>
  <c r="C12" i="18"/>
  <c r="AD11" i="18"/>
  <c r="AC11" i="18"/>
  <c r="AB11" i="18"/>
  <c r="AA11" i="18"/>
  <c r="E11" i="18"/>
  <c r="C11" i="18"/>
  <c r="AD10" i="18"/>
  <c r="AC10" i="18"/>
  <c r="AB10" i="18"/>
  <c r="AA10" i="18"/>
  <c r="E10" i="18"/>
  <c r="C10" i="18"/>
  <c r="AD9" i="18"/>
  <c r="AC9" i="18"/>
  <c r="AB9" i="18"/>
  <c r="AA9" i="18"/>
  <c r="E9" i="18"/>
  <c r="C9" i="18"/>
  <c r="AM33" i="16"/>
  <c r="AM32" i="16"/>
  <c r="AM31" i="16"/>
  <c r="AM30" i="16"/>
  <c r="AM29" i="16"/>
  <c r="AM28" i="16"/>
  <c r="AM27" i="16"/>
  <c r="AM26" i="16"/>
  <c r="AM25" i="16"/>
  <c r="AM24" i="16"/>
  <c r="AM23" i="16"/>
  <c r="AE5" i="21" l="1" a="1"/>
  <c r="AE5" i="21" s="1"/>
  <c r="AE6" i="21" a="1"/>
  <c r="AE6" i="21" s="1"/>
  <c r="AE7" i="21" a="1"/>
  <c r="AE7" i="21" s="1"/>
  <c r="AE8" i="21" a="1"/>
  <c r="AE8" i="21" s="1"/>
  <c r="AE4" i="21" a="1"/>
  <c r="AE4" i="21" s="1"/>
  <c r="AG4" i="21" s="1"/>
  <c r="AB5" i="21" a="1"/>
  <c r="AB5" i="21" s="1"/>
  <c r="AB6" i="21" a="1"/>
  <c r="AB6" i="21" s="1"/>
  <c r="AB7" i="21" a="1"/>
  <c r="AB7" i="21" s="1"/>
  <c r="AB8" i="21" a="1"/>
  <c r="AB8" i="21" s="1"/>
  <c r="AB4" i="21" a="1"/>
  <c r="AB4" i="21" s="1"/>
  <c r="AG5" i="21" l="1"/>
  <c r="AG6" i="21" s="1"/>
  <c r="AG7" i="21" s="1"/>
  <c r="AG8" i="21" s="1"/>
  <c r="AK4" i="21"/>
  <c r="AK5" i="21" s="1"/>
  <c r="AK6" i="21" s="1"/>
  <c r="AK7" i="21" s="1"/>
  <c r="AK8" i="21" s="1"/>
  <c r="AJ4" i="21"/>
  <c r="AJ5" i="21" s="1"/>
  <c r="AJ6" i="21" s="1"/>
  <c r="AJ7" i="21" s="1"/>
  <c r="AJ8" i="21" s="1"/>
  <c r="AI4" i="21"/>
  <c r="AI5" i="21" s="1"/>
  <c r="AI6" i="21" s="1"/>
  <c r="AI7" i="21" s="1"/>
  <c r="AI8" i="21" s="1"/>
  <c r="AH4" i="21"/>
  <c r="AH5" i="21" s="1"/>
  <c r="AH6" i="21" s="1"/>
  <c r="AH7" i="21" s="1"/>
  <c r="AH8" i="21" s="1"/>
  <c r="AL46" i="16"/>
  <c r="AK46" i="16"/>
  <c r="AL45" i="16"/>
  <c r="AK45" i="16"/>
  <c r="AA24" i="18" l="1"/>
  <c r="AN22" i="16" l="1"/>
  <c r="AN21" i="16"/>
  <c r="AN20" i="16"/>
  <c r="AN19" i="16"/>
  <c r="AN18" i="16"/>
  <c r="AN17" i="16"/>
  <c r="AN16" i="16"/>
  <c r="AN15" i="16"/>
  <c r="AN14" i="16"/>
  <c r="AN12" i="16"/>
  <c r="AN11" i="16"/>
  <c r="AN10" i="16"/>
  <c r="AN9" i="16"/>
  <c r="AN8" i="16"/>
  <c r="AN7" i="16"/>
  <c r="AN6" i="16"/>
  <c r="AQ20" i="18" l="1"/>
  <c r="AQ19" i="18"/>
  <c r="AQ18" i="18"/>
  <c r="AQ17" i="18"/>
  <c r="AQ16" i="18"/>
  <c r="AQ15" i="18"/>
  <c r="AQ14" i="18"/>
  <c r="AQ13" i="18"/>
  <c r="AQ12" i="18"/>
  <c r="AQ11" i="18"/>
  <c r="AQ10" i="18"/>
  <c r="AQ9" i="18"/>
  <c r="AP20" i="18"/>
  <c r="AP19" i="18"/>
  <c r="AP18" i="18"/>
  <c r="AP17" i="18"/>
  <c r="AP16" i="18"/>
  <c r="AP15" i="18"/>
  <c r="AP14" i="18"/>
  <c r="AP13" i="18"/>
  <c r="AP12" i="18"/>
  <c r="AP11" i="18"/>
  <c r="AP10" i="18"/>
  <c r="AP9" i="18"/>
  <c r="AM22" i="16" l="1"/>
  <c r="AM21" i="16"/>
  <c r="AM20" i="16"/>
  <c r="AM19" i="16"/>
  <c r="AM18" i="16"/>
  <c r="AM17" i="16"/>
  <c r="AM16" i="16"/>
  <c r="AM15" i="16"/>
  <c r="AM14" i="16"/>
  <c r="AM13" i="16"/>
  <c r="AM12" i="16"/>
  <c r="AM11" i="16"/>
  <c r="AM10" i="16"/>
  <c r="AM9" i="16"/>
  <c r="AM8" i="16"/>
  <c r="AM7" i="16"/>
  <c r="AA8" i="21"/>
  <c r="AA7" i="21"/>
  <c r="AA6" i="21"/>
  <c r="AA5" i="21"/>
  <c r="AA4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AQ4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S4" authorId="0" shapeId="0" xr:uid="{00000000-0006-0000-0000-000002000000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AL5" authorId="0" shapeId="0" xr:uid="{00000000-0006-0000-0000-000008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AO43" authorId="0" shapeId="0" xr:uid="{06F3231B-94BB-49C8-9F4C-DC586231478A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Q43" authorId="0" shapeId="0" xr:uid="{8665A56B-AD80-484E-9EA0-FEA0F2B8C415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AJ44" authorId="0" shapeId="0" xr:uid="{EF74BA77-B7FB-4D73-B9D4-84185DF49218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Alessandro Chiodi</author>
  </authors>
  <commentList>
    <comment ref="AT7" authorId="0" shapeId="0" xr:uid="{12FD16F9-F81A-4344-8BC5-DD5F5FC107B1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V7" authorId="0" shapeId="0" xr:uid="{D6FC1886-C210-430A-A8C7-2F347583C0E5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AX7" authorId="1" shapeId="0" xr:uid="{BF2496D6-E57D-4619-BDB3-2D9C2AA886BF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Possible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BB7" authorId="0" shapeId="0" xr:uid="{B42B104A-1270-4F66-97B1-D6601017704B}">
      <text>
        <r>
          <rPr>
            <sz val="8"/>
            <color indexed="81"/>
            <rFont val="Tahoma"/>
            <family val="2"/>
          </rPr>
          <t>Possible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BC7" authorId="0" shapeId="0" xr:uid="{2EBD69CC-B620-4CFE-B992-394306276CDC}">
      <text>
        <r>
          <rPr>
            <sz val="8"/>
            <color indexed="81"/>
            <rFont val="Tahoma"/>
            <family val="2"/>
          </rPr>
          <t>Possible CTSLvl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BD7" authorId="0" shapeId="0" xr:uid="{E3C49B11-C5BD-441A-B2A0-AB0734EEDF15}">
      <text>
        <r>
          <rPr>
            <sz val="8"/>
            <color indexed="81"/>
            <rFont val="Tahoma"/>
            <family val="2"/>
          </rPr>
          <t>Possible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BE7" authorId="0" shapeId="0" xr:uid="{D33962D3-322E-4D2B-8744-67C61A533BEC}">
      <text>
        <r>
          <rPr>
            <sz val="8"/>
            <color indexed="81"/>
            <rFont val="Tahoma"/>
            <family val="2"/>
          </rPr>
          <t xml:space="preserve">Possible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L8" authorId="2" shapeId="0" xr:uid="{E61415E8-B824-4F58-9AD2-1CAF6AD3417B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Plant + Pipeline + Storage</t>
        </r>
      </text>
    </comment>
    <comment ref="V8" authorId="2" shapeId="0" xr:uid="{2B51B894-C0F5-4C85-97AA-A9E3773FF990}">
      <text>
        <r>
          <rPr>
            <b/>
            <sz val="9"/>
            <color indexed="81"/>
            <rFont val="Tahoma"/>
            <family val="2"/>
          </rPr>
          <t>Alessandro Chiodi:</t>
        </r>
        <r>
          <rPr>
            <sz val="9"/>
            <color indexed="81"/>
            <rFont val="Tahoma"/>
            <family val="2"/>
          </rPr>
          <t xml:space="preserve">
Plant + Pipeline + Storage</t>
        </r>
      </text>
    </comment>
    <comment ref="AO8" authorId="0" shapeId="0" xr:uid="{222ACFC5-B47D-4259-BC83-D962E273C7AB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<sst xmlns="http://schemas.openxmlformats.org/spreadsheetml/2006/main" count="27220" uniqueCount="2989">
  <si>
    <t>Unit</t>
  </si>
  <si>
    <t>Max. capacity factor</t>
  </si>
  <si>
    <t>GW</t>
  </si>
  <si>
    <t>Commercial solar PV system 0.1-2 MW</t>
  </si>
  <si>
    <t>Commercial solar PV &gt;2 MW without tracking</t>
  </si>
  <si>
    <t>Commercial solar PV &gt;2 MW with tracking</t>
  </si>
  <si>
    <t>Hydropower dam and reservoir, &gt;100 MW</t>
  </si>
  <si>
    <t>Hydropower dam and reservoir, 10-100 MW</t>
  </si>
  <si>
    <t>Hydropower dam and reservoir, &lt;10 MW</t>
  </si>
  <si>
    <t>Hydropower run-of-a-river</t>
  </si>
  <si>
    <t>Flash power plant extracting fluid from hydrothermal system at 2.5 km depth</t>
  </si>
  <si>
    <t>Organic Rankine Cycle hydrothermal system.</t>
  </si>
  <si>
    <t>Organic Rankine Cycle Enhanced Geothermal System at 5.5 km depth</t>
  </si>
  <si>
    <t>Wave energy</t>
  </si>
  <si>
    <t>Tidal energy</t>
  </si>
  <si>
    <t>Open-Cycle Gas Turbine conventional</t>
  </si>
  <si>
    <t>Open Cycle Gas Turbine advanced</t>
  </si>
  <si>
    <t>TechName</t>
  </si>
  <si>
    <t>*TechDesc</t>
  </si>
  <si>
    <t>Comm-IN</t>
  </si>
  <si>
    <t>Comm-OUT</t>
  </si>
  <si>
    <t>INVCOST</t>
  </si>
  <si>
    <t>INVCOST~2020</t>
  </si>
  <si>
    <t>INVCOST~2030</t>
  </si>
  <si>
    <t>FIXOM</t>
  </si>
  <si>
    <t>FIXOM~2020</t>
  </si>
  <si>
    <t>FIXOM~2030</t>
  </si>
  <si>
    <t>VAROM</t>
  </si>
  <si>
    <t>VAROM~2020</t>
  </si>
  <si>
    <t>VAROM~2030</t>
  </si>
  <si>
    <t>LIFE</t>
  </si>
  <si>
    <t>Start</t>
  </si>
  <si>
    <t>Cap2Act</t>
  </si>
  <si>
    <t>*Technology Name</t>
  </si>
  <si>
    <t>Technology Description</t>
  </si>
  <si>
    <t>Input Commodity</t>
  </si>
  <si>
    <t>Output Commodity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</si>
  <si>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</si>
  <si>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</si>
  <si>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</si>
  <si>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</si>
  <si>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</si>
  <si>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</si>
  <si>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</si>
  <si>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</si>
  <si>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</si>
  <si>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</si>
  <si>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Activity Unit</t>
  </si>
  <si>
    <t>Capacity Unit</t>
  </si>
  <si>
    <t>Primary CommGrp</t>
  </si>
  <si>
    <t>Vintage Tracking</t>
  </si>
  <si>
    <t>Csets</t>
  </si>
  <si>
    <t>CommName</t>
  </si>
  <si>
    <t>CommDesc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</si>
  <si>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</si>
  <si>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</si>
  <si>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</si>
  <si>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</si>
  <si>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</si>
  <si>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</si>
  <si>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</si>
  <si>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Balance Equ Type Override</t>
  </si>
  <si>
    <t>Timeslice Tracking Level</t>
  </si>
  <si>
    <t>Peak Monitoring</t>
  </si>
  <si>
    <t>Electricity Indicator</t>
  </si>
  <si>
    <t>~FI_Comm</t>
  </si>
  <si>
    <t>INVCOST~2040</t>
  </si>
  <si>
    <t>INVCOST~2050</t>
  </si>
  <si>
    <t>FIXOM~2040</t>
  </si>
  <si>
    <t>FIXOM~2050</t>
  </si>
  <si>
    <t>VAROM~2040</t>
  </si>
  <si>
    <t>VAROM~2050</t>
  </si>
  <si>
    <t>LIFE~2020</t>
  </si>
  <si>
    <t>LIFE~2030</t>
  </si>
  <si>
    <t>Technical life</t>
  </si>
  <si>
    <t>EFF</t>
  </si>
  <si>
    <t>EFF~2020</t>
  </si>
  <si>
    <t>EFF~2030</t>
  </si>
  <si>
    <t>EFF~2040</t>
  </si>
  <si>
    <t>EFF~2050</t>
  </si>
  <si>
    <t>Efficiency</t>
  </si>
  <si>
    <t>Solar thermal electricity power plants without thermal storage (power/heat=0.38)</t>
  </si>
  <si>
    <t>ELCC</t>
  </si>
  <si>
    <t>ELE</t>
  </si>
  <si>
    <t>PJ</t>
  </si>
  <si>
    <t>TimeSlice Level</t>
  </si>
  <si>
    <t>Electricity Generators Database</t>
  </si>
  <si>
    <t>Offshore wind</t>
  </si>
  <si>
    <t>CAPEX REF (€2013/kW)</t>
  </si>
  <si>
    <t>FOM (€2013/kW)</t>
  </si>
  <si>
    <t>VOM (€2013/GJ)</t>
  </si>
  <si>
    <t>DAYNITE</t>
  </si>
  <si>
    <t>\I: Process Set Membership</t>
  </si>
  <si>
    <t>Timeslice Operational Level</t>
  </si>
  <si>
    <t>Operational Commodity Group</t>
  </si>
  <si>
    <t>Electricity Generators Database - CCS options</t>
  </si>
  <si>
    <t>Techno-economic data: ETRI 2014 (https://setis.ec.europa.eu/publications/jrc-setis-reports/etri-2014 )</t>
  </si>
  <si>
    <t xml:space="preserve">Sources: </t>
  </si>
  <si>
    <t>ENV</t>
  </si>
  <si>
    <t>kt</t>
  </si>
  <si>
    <t>Process options: Irish TIMES v1.0 (using Fionn's analysis)</t>
  </si>
  <si>
    <t xml:space="preserve">Pulverised coal supercritical CCS post-combustion_Moneypoint Kinsale </t>
  </si>
  <si>
    <t xml:space="preserve">Pulverised coal supercritical CCS post-combustion_Moneypoint Spanish Point </t>
  </si>
  <si>
    <t>CCGT advanced CCS post combustion_Cork Kinsale</t>
  </si>
  <si>
    <t>CCGT advanced CCS post combustion_Cork Spanish Point</t>
  </si>
  <si>
    <t>CCGT advanced CCS post combustion_Dublin East Irish Sea</t>
  </si>
  <si>
    <t>CCGT advanced CCS post combustion_Dublin Central Irish Sea</t>
  </si>
  <si>
    <t>IGCC peat CCS pre combustion_Offaly Kinsale</t>
  </si>
  <si>
    <t>IGCC peat CCS pre combustion_Offaly East Irish Sea</t>
  </si>
  <si>
    <t>IGCC peat CCS pre combustion_Offaly Central Irish Sea</t>
  </si>
  <si>
    <t>Pulverised coal supercritical CCS post-combustion_Kilroot Portpatrick</t>
  </si>
  <si>
    <t xml:space="preserve">Pipeline </t>
  </si>
  <si>
    <t>Storage</t>
  </si>
  <si>
    <t>*VAROM</t>
  </si>
  <si>
    <t>*INVCOST</t>
  </si>
  <si>
    <t>Overall CAPEX (€2013/kW)</t>
  </si>
  <si>
    <t>Overall VOM (€2013/GJ)</t>
  </si>
  <si>
    <t>Combined Cycle Gas Turbine advanced</t>
  </si>
  <si>
    <t>2000-2012 CPI</t>
  </si>
  <si>
    <t>-&gt;</t>
  </si>
  <si>
    <t>(source Eurostat)</t>
  </si>
  <si>
    <t xml:space="preserve">IGCC coal CCS pre-combustion_Moneypoint Spanish Point </t>
  </si>
  <si>
    <t xml:space="preserve">IGCC coal CCS pre-combustion_Moneypoint Kinsale </t>
  </si>
  <si>
    <t>New Power Plant - Hydrogen Combined Cycle Gas Turbine</t>
  </si>
  <si>
    <t>New Power Plant - Hydrogen Open Cycle Gas Turbine</t>
  </si>
  <si>
    <t xml:space="preserve">Source: ETRI 2014 (https://setis.ec.europa.eu/publications/jrc-setis-reports/etri-2014 ) </t>
  </si>
  <si>
    <t>Source: UK TIMES (for H2)</t>
  </si>
  <si>
    <t>CAPEX REF (€2012/kW)</t>
  </si>
  <si>
    <t>AFA</t>
    <phoneticPr fontId="15" type="noConversion"/>
  </si>
  <si>
    <t>AFA~2020</t>
    <phoneticPr fontId="15" type="noConversion"/>
  </si>
  <si>
    <t>AFA~2030</t>
    <phoneticPr fontId="15" type="noConversion"/>
  </si>
  <si>
    <t>AFA~2040</t>
    <phoneticPr fontId="15" type="noConversion"/>
  </si>
  <si>
    <t>AFA~2050</t>
    <phoneticPr fontId="15" type="noConversion"/>
  </si>
  <si>
    <t>ELCC</t>
    <phoneticPr fontId="15" type="noConversion"/>
  </si>
  <si>
    <t>New Power Plant - Biomass grate furnace steam turbine</t>
  </si>
  <si>
    <t>Biomass grate furnace steam turbine</t>
  </si>
  <si>
    <t>New Power Plant - Fluidised bed boiler (circulating or bubbling) plus steam turbine</t>
  </si>
  <si>
    <t>Fluidised bed boiler (circulating or bubbling) plus steam turbine</t>
  </si>
  <si>
    <t>New Power Plant - Biomass IGCC</t>
  </si>
  <si>
    <t>Biomass IGCC</t>
  </si>
  <si>
    <t>New Power Plant - Anaerobic digestion</t>
  </si>
  <si>
    <t>Anaerobic digestion</t>
  </si>
  <si>
    <t>New Power Plant - Municipal solid waste incinerator</t>
  </si>
  <si>
    <t>Municipal solid waste incinerator</t>
  </si>
  <si>
    <t>AFA</t>
  </si>
  <si>
    <t>AFA~2020</t>
  </si>
  <si>
    <t>AFA~2030</t>
  </si>
  <si>
    <t>AFA~2040</t>
  </si>
  <si>
    <t>AFA~2050</t>
  </si>
  <si>
    <t>New Power Plant - Onshore Wind - Connection Cost Level  01</t>
  </si>
  <si>
    <t>New Power Plant - Onshore Wind - Connection Cost Level  02</t>
  </si>
  <si>
    <t>New Power Plant - Onshore Wind - Connection Cost Level  03</t>
  </si>
  <si>
    <t>New Power Plant - Onshore Wind - Connection Cost Level  04</t>
  </si>
  <si>
    <t>New Power Plant - Onshore Wind - Connection Cost Level  05</t>
  </si>
  <si>
    <t>fid</t>
  </si>
  <si>
    <t>Merged_ID</t>
  </si>
  <si>
    <t>Parcel</t>
  </si>
  <si>
    <t>COUNTY - 1</t>
  </si>
  <si>
    <t>COUNTY - 2</t>
  </si>
  <si>
    <t>Station ID</t>
  </si>
  <si>
    <t>name</t>
  </si>
  <si>
    <t>operator</t>
  </si>
  <si>
    <t>voltage</t>
  </si>
  <si>
    <t>voltage_pr</t>
  </si>
  <si>
    <t>voltage_te</t>
  </si>
  <si>
    <t>Distance</t>
  </si>
  <si>
    <t>Round Up Distance</t>
  </si>
  <si>
    <t>Area_km_2_</t>
  </si>
  <si>
    <t>Class</t>
  </si>
  <si>
    <r>
      <t>Area With Packing Density Applied(km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</si>
  <si>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Rationalised Output Per Parcel (MW)</t>
  </si>
  <si>
    <t>Cost (€)</t>
  </si>
  <si>
    <t>PS</t>
  </si>
  <si>
    <t>Cost Per MW</t>
  </si>
  <si>
    <t>Watt per Euro</t>
  </si>
  <si>
    <t>CL1-001</t>
  </si>
  <si>
    <t>KERRY</t>
  </si>
  <si>
    <t>SS-636</t>
  </si>
  <si>
    <t>Garranebane 38kV Substation</t>
  </si>
  <si>
    <t>ESB Networks</t>
  </si>
  <si>
    <t>CL1-002</t>
  </si>
  <si>
    <t>CL1-003</t>
  </si>
  <si>
    <t>GALWAY</t>
  </si>
  <si>
    <t>SS-106</t>
  </si>
  <si>
    <t>Clifden 38kV Substation</t>
  </si>
  <si>
    <t>low</t>
  </si>
  <si>
    <t>CL1-004</t>
  </si>
  <si>
    <t>DONEGAL</t>
  </si>
  <si>
    <t>SS-250</t>
  </si>
  <si>
    <t>Kilcar 38kV Substation</t>
  </si>
  <si>
    <t>CL1-005</t>
  </si>
  <si>
    <t>SS-138</t>
  </si>
  <si>
    <t>Creeslough 38kV Substation</t>
  </si>
  <si>
    <t>CL1-006</t>
  </si>
  <si>
    <t>SS-119</t>
  </si>
  <si>
    <t>Drumlough Hill (1) 38kV Substation</t>
  </si>
  <si>
    <t>CL1-007</t>
  </si>
  <si>
    <t>CLARE</t>
  </si>
  <si>
    <t>SS-708</t>
  </si>
  <si>
    <t>EirGrid</t>
  </si>
  <si>
    <t>medium</t>
  </si>
  <si>
    <t>CL1-008</t>
  </si>
  <si>
    <t>DUBLIN</t>
  </si>
  <si>
    <t>SS-014</t>
  </si>
  <si>
    <t>Ballyboden 38kV Substation</t>
  </si>
  <si>
    <t>CL1-009</t>
  </si>
  <si>
    <t>CL1-010</t>
  </si>
  <si>
    <t>WICKLOW</t>
  </si>
  <si>
    <t>SS-010</t>
  </si>
  <si>
    <t>Fassaroe 110kV Substation</t>
  </si>
  <si>
    <t>CL1-011</t>
  </si>
  <si>
    <t>CL1-012</t>
  </si>
  <si>
    <t>SS-597</t>
  </si>
  <si>
    <t>Kilmartin 38kV Substation</t>
  </si>
  <si>
    <t>CL1-013</t>
  </si>
  <si>
    <t>CORK</t>
  </si>
  <si>
    <t>SS-253</t>
  </si>
  <si>
    <t>Ballydehob 38kV Substation</t>
  </si>
  <si>
    <t>CL1-014</t>
  </si>
  <si>
    <t>SS-037</t>
  </si>
  <si>
    <t>Ballybeg 110kV Substation</t>
  </si>
  <si>
    <t>CL1-015</t>
  </si>
  <si>
    <t>SS-635</t>
  </si>
  <si>
    <t>Dingle 38kV Substation</t>
  </si>
  <si>
    <t>CL1-016</t>
  </si>
  <si>
    <t>SS-273</t>
  </si>
  <si>
    <t>Castletownbere 38kV Substation</t>
  </si>
  <si>
    <t>CL1-017</t>
  </si>
  <si>
    <t>SS-610</t>
  </si>
  <si>
    <t>Milford (North) 38kV Substation</t>
  </si>
  <si>
    <t>CL1-018</t>
  </si>
  <si>
    <t>SS-117</t>
  </si>
  <si>
    <t>Crockahenny 38kV Substation</t>
  </si>
  <si>
    <t>CL1-019</t>
  </si>
  <si>
    <t>MAYO</t>
  </si>
  <si>
    <t>SS-642</t>
  </si>
  <si>
    <t>Achill 38kV Substation</t>
  </si>
  <si>
    <t>CL1-020</t>
  </si>
  <si>
    <t>SS-123</t>
  </si>
  <si>
    <t>Derrybeg 38kV Substation</t>
  </si>
  <si>
    <t>CL1-021</t>
  </si>
  <si>
    <t>CL1-022</t>
  </si>
  <si>
    <t>SS-209</t>
  </si>
  <si>
    <t>Blessington 38kV Substation</t>
  </si>
  <si>
    <t>CL1-023</t>
  </si>
  <si>
    <t>CL1-024</t>
  </si>
  <si>
    <t>SS-617</t>
  </si>
  <si>
    <t>Mulreavy 110kV Substation</t>
  </si>
  <si>
    <t>CL1-025</t>
  </si>
  <si>
    <t>CAVAN</t>
  </si>
  <si>
    <t>SS-110</t>
  </si>
  <si>
    <t>Corraclassy 110kV Substation</t>
  </si>
  <si>
    <t>CL1-026</t>
  </si>
  <si>
    <t>LOUTH</t>
  </si>
  <si>
    <t>SS-650</t>
  </si>
  <si>
    <t>Ballymascanlan 38kV Substation</t>
  </si>
  <si>
    <t>CL1-027</t>
  </si>
  <si>
    <t>SS-362</t>
  </si>
  <si>
    <t>Glengarriff 38kV Substation</t>
  </si>
  <si>
    <t>CL1-028</t>
  </si>
  <si>
    <t>CL1-029</t>
  </si>
  <si>
    <t>CL1-030</t>
  </si>
  <si>
    <t>SS-337</t>
  </si>
  <si>
    <t>Knockaneden 38kV Substation</t>
  </si>
  <si>
    <t>CL1-031</t>
  </si>
  <si>
    <t>SS-151</t>
  </si>
  <si>
    <t>Kenmare 38kV Substation</t>
  </si>
  <si>
    <t>CL1-032</t>
  </si>
  <si>
    <t>CL1-033</t>
  </si>
  <si>
    <t>SS-321</t>
  </si>
  <si>
    <t>Milltown 38kV Substation</t>
  </si>
  <si>
    <t>CL1-034</t>
  </si>
  <si>
    <t>SS-387</t>
  </si>
  <si>
    <t>Coolcorcoran 38kV Substation</t>
  </si>
  <si>
    <t>CL1-035</t>
  </si>
  <si>
    <t>CL1-036</t>
  </si>
  <si>
    <t>CL1-037</t>
  </si>
  <si>
    <t>CL1-038</t>
  </si>
  <si>
    <t>CL1-039</t>
  </si>
  <si>
    <t>CL1-040</t>
  </si>
  <si>
    <t>CL1-041</t>
  </si>
  <si>
    <t>CL1-042</t>
  </si>
  <si>
    <t>CL1-043</t>
  </si>
  <si>
    <t>CL1-044</t>
  </si>
  <si>
    <t>CL1-045</t>
  </si>
  <si>
    <t>SS-637</t>
  </si>
  <si>
    <t>Kilgarvan 38kV Substation</t>
  </si>
  <si>
    <t>CL1-046</t>
  </si>
  <si>
    <t>CL1-047</t>
  </si>
  <si>
    <t>CL1-048</t>
  </si>
  <si>
    <t>SS-634</t>
  </si>
  <si>
    <t>Inch 38kV Substation</t>
  </si>
  <si>
    <t>CL1-049</t>
  </si>
  <si>
    <t>SS-140</t>
  </si>
  <si>
    <t>Ballyard 38kV Substation</t>
  </si>
  <si>
    <t>CL1-050</t>
  </si>
  <si>
    <t>SS-595</t>
  </si>
  <si>
    <t>Kilkee 38kV Substation</t>
  </si>
  <si>
    <t>CL1-051</t>
  </si>
  <si>
    <t>SS-134</t>
  </si>
  <si>
    <t>Ennistymon 38kV Substation</t>
  </si>
  <si>
    <t>CL1-052</t>
  </si>
  <si>
    <t>SS-105</t>
  </si>
  <si>
    <t>Garroman 38kV Substation</t>
  </si>
  <si>
    <t>CL1-053</t>
  </si>
  <si>
    <t>CL1-054</t>
  </si>
  <si>
    <t>CL1-055</t>
  </si>
  <si>
    <t>CL1-056</t>
  </si>
  <si>
    <t>CL1-057</t>
  </si>
  <si>
    <t>SS-461</t>
  </si>
  <si>
    <t>Westport 38kV Substation</t>
  </si>
  <si>
    <t>CL1-058</t>
  </si>
  <si>
    <t>SS-638</t>
  </si>
  <si>
    <t>Oughterard 38kV Substation</t>
  </si>
  <si>
    <t>CL1-059</t>
  </si>
  <si>
    <t>CL1-060</t>
  </si>
  <si>
    <t>SS-073</t>
  </si>
  <si>
    <t>Carrowbeg 110kV Substation</t>
  </si>
  <si>
    <t>CL1-061</t>
  </si>
  <si>
    <t>CL1-062</t>
  </si>
  <si>
    <t>CL1-063</t>
  </si>
  <si>
    <t>CL1-064</t>
  </si>
  <si>
    <t>CL1-065</t>
  </si>
  <si>
    <t>SS-317</t>
  </si>
  <si>
    <t>Newport 38kV Substation</t>
  </si>
  <si>
    <t>CL1-066</t>
  </si>
  <si>
    <t>SS-133</t>
  </si>
  <si>
    <t>Bellacorrick 110kV Substation</t>
  </si>
  <si>
    <t>CL1-067</t>
  </si>
  <si>
    <t>SS-419</t>
  </si>
  <si>
    <t>Bangor 38kV Substation</t>
  </si>
  <si>
    <t>CL1-068</t>
  </si>
  <si>
    <t>CL1-069</t>
  </si>
  <si>
    <t>CL1-070</t>
  </si>
  <si>
    <t>CL1-071</t>
  </si>
  <si>
    <t>CL1-072</t>
  </si>
  <si>
    <t>CL1-073</t>
  </si>
  <si>
    <t>SS-234</t>
  </si>
  <si>
    <t>Crossmolina 38kV Substation</t>
  </si>
  <si>
    <t>CL1-074</t>
  </si>
  <si>
    <t>CL1-075</t>
  </si>
  <si>
    <t>SS-710</t>
  </si>
  <si>
    <t>Tawnaghmore 110kV Substation</t>
  </si>
  <si>
    <t>CL1-076</t>
  </si>
  <si>
    <t>CL1-077</t>
  </si>
  <si>
    <t>CL1-078</t>
  </si>
  <si>
    <t>SLIGO</t>
  </si>
  <si>
    <t>SS-075</t>
  </si>
  <si>
    <t>Cunghill 110kV Substation</t>
  </si>
  <si>
    <t>CL1-079</t>
  </si>
  <si>
    <t>CL1-080</t>
  </si>
  <si>
    <t>LEITRIM</t>
  </si>
  <si>
    <t>SS-042</t>
  </si>
  <si>
    <t>Ballytivnan 38kV Substation</t>
  </si>
  <si>
    <t>CL1-081</t>
  </si>
  <si>
    <t>CL1-082</t>
  </si>
  <si>
    <t>CL1-083</t>
  </si>
  <si>
    <t>CL1-084</t>
  </si>
  <si>
    <t>CL1-085</t>
  </si>
  <si>
    <t>SS-090</t>
  </si>
  <si>
    <t>Corkermore 38kV Substation</t>
  </si>
  <si>
    <t>CL1-086</t>
  </si>
  <si>
    <t>CL1-087</t>
  </si>
  <si>
    <t>CL1-088</t>
  </si>
  <si>
    <t>CL1-089</t>
  </si>
  <si>
    <t>SS-252</t>
  </si>
  <si>
    <t>Killybegs 38kV Substation</t>
  </si>
  <si>
    <t>CL1-090</t>
  </si>
  <si>
    <t>SS-684</t>
  </si>
  <si>
    <t>Tievebrack 110kV Substation</t>
  </si>
  <si>
    <t>CL1-091</t>
  </si>
  <si>
    <t>CL1-092</t>
  </si>
  <si>
    <t>CL1-093</t>
  </si>
  <si>
    <t>CL1-094</t>
  </si>
  <si>
    <t>SS-239</t>
  </si>
  <si>
    <t>Moville 38kV Substation</t>
  </si>
  <si>
    <t>CL1-095</t>
  </si>
  <si>
    <t>SS-689</t>
  </si>
  <si>
    <t>CL1-096</t>
  </si>
  <si>
    <t>CL1-097</t>
  </si>
  <si>
    <t>CARLOW</t>
  </si>
  <si>
    <t>SS-481</t>
  </si>
  <si>
    <t>Castledockrell 110kV Substation</t>
  </si>
  <si>
    <t>CL1-098</t>
  </si>
  <si>
    <t>WEXFORD</t>
  </si>
  <si>
    <t>CL1-099</t>
  </si>
  <si>
    <t>SS-494</t>
  </si>
  <si>
    <t>Bunclody 38kV Substation</t>
  </si>
  <si>
    <t>CL1-100</t>
  </si>
  <si>
    <t>SS-062</t>
  </si>
  <si>
    <t>Stratford 110kV Substation</t>
  </si>
  <si>
    <t>CL1-101</t>
  </si>
  <si>
    <t>CL1-102</t>
  </si>
  <si>
    <t>SS-600</t>
  </si>
  <si>
    <t>Rathdrum 38kV Substation</t>
  </si>
  <si>
    <t>CL1-103</t>
  </si>
  <si>
    <t>CL1-104</t>
  </si>
  <si>
    <t>CL1-105</t>
  </si>
  <si>
    <t>SS-018</t>
  </si>
  <si>
    <t>Old Bawn 38kV Substation</t>
  </si>
  <si>
    <t>CL1-106</t>
  </si>
  <si>
    <t>SS-017</t>
  </si>
  <si>
    <t>Sandyford 38kV Substation</t>
  </si>
  <si>
    <t>CL1-107</t>
  </si>
  <si>
    <t>CL1-108</t>
  </si>
  <si>
    <t>CL1-109</t>
  </si>
  <si>
    <t>SS-077</t>
  </si>
  <si>
    <t>Curraglass 38kV Substation</t>
  </si>
  <si>
    <t>CL1-110</t>
  </si>
  <si>
    <t>CL1-111</t>
  </si>
  <si>
    <t>TIPPERARY</t>
  </si>
  <si>
    <t>SS-645</t>
  </si>
  <si>
    <t>Toomevara 38kV Substation</t>
  </si>
  <si>
    <t>CL1-112</t>
  </si>
  <si>
    <t>CL1-113</t>
  </si>
  <si>
    <t>SS-686</t>
  </si>
  <si>
    <t>Dungloe 38kV Substation</t>
  </si>
  <si>
    <t>CL1-114</t>
  </si>
  <si>
    <t>SS-195</t>
  </si>
  <si>
    <t>Cark 110kV Substation</t>
  </si>
  <si>
    <t>CL1-115</t>
  </si>
  <si>
    <t>CL1-116</t>
  </si>
  <si>
    <t>SS-304</t>
  </si>
  <si>
    <t>Arigna 110kV Substation</t>
  </si>
  <si>
    <t>CL1-117</t>
  </si>
  <si>
    <t>SS-078</t>
  </si>
  <si>
    <t>Glenree 110kV Substation</t>
  </si>
  <si>
    <t>CL1-118</t>
  </si>
  <si>
    <t>CL1-119</t>
  </si>
  <si>
    <t>SS-643</t>
  </si>
  <si>
    <t>Donegal 38kV Substation</t>
  </si>
  <si>
    <t>CL1-120</t>
  </si>
  <si>
    <t>SS-688</t>
  </si>
  <si>
    <t>Clogher 110kV Substation</t>
  </si>
  <si>
    <t>CL1-121</t>
  </si>
  <si>
    <t>SS-083</t>
  </si>
  <si>
    <t>Golagh 110kV Substation</t>
  </si>
  <si>
    <t>CL1-122</t>
  </si>
  <si>
    <t>CL1-123</t>
  </si>
  <si>
    <t>CL1-124</t>
  </si>
  <si>
    <t>SS-207</t>
  </si>
  <si>
    <t>Screeb 110kV Substation</t>
  </si>
  <si>
    <t>CL1-125</t>
  </si>
  <si>
    <t>SS-662</t>
  </si>
  <si>
    <t>Cloosh 110kV Substation</t>
  </si>
  <si>
    <t>CL1-126</t>
  </si>
  <si>
    <t>SS-623</t>
  </si>
  <si>
    <t>Uggool 110kV Substation</t>
  </si>
  <si>
    <t>CL1-127</t>
  </si>
  <si>
    <t>CL1-128</t>
  </si>
  <si>
    <t>WATERFORD</t>
  </si>
  <si>
    <t>SS-455</t>
  </si>
  <si>
    <t>Ardfinnan 38kV Substation</t>
  </si>
  <si>
    <t>CL1-129</t>
  </si>
  <si>
    <t>SS-659</t>
  </si>
  <si>
    <t>Spa Road 38kV Substation</t>
  </si>
  <si>
    <t>CL1-130</t>
  </si>
  <si>
    <t>SS-205</t>
  </si>
  <si>
    <t>Dungarvan 110kV Substation</t>
  </si>
  <si>
    <t>CL1-131</t>
  </si>
  <si>
    <t>SS-257</t>
  </si>
  <si>
    <t>Kilshanny 38kV Substation</t>
  </si>
  <si>
    <t>CL1-132</t>
  </si>
  <si>
    <t>SS-315</t>
  </si>
  <si>
    <t>Cahir 38kV Substation</t>
  </si>
  <si>
    <t>CL1-133</t>
  </si>
  <si>
    <t>SS-585</t>
  </si>
  <si>
    <t>Kilross Road 38kV Substation</t>
  </si>
  <si>
    <t>CL1-134</t>
  </si>
  <si>
    <t>SS-492</t>
  </si>
  <si>
    <t>Graigue 38kV Substation</t>
  </si>
  <si>
    <t>CL1-135</t>
  </si>
  <si>
    <t>CL1-136</t>
  </si>
  <si>
    <t>CL1-137</t>
  </si>
  <si>
    <t>CL1-138</t>
  </si>
  <si>
    <t>CL1-139</t>
  </si>
  <si>
    <t>SS-616</t>
  </si>
  <si>
    <t>Ballinvally 38kV Substation</t>
  </si>
  <si>
    <t>CL1-140</t>
  </si>
  <si>
    <t>SS-562</t>
  </si>
  <si>
    <t>Bantry 38kV Substation</t>
  </si>
  <si>
    <t>CL1-141</t>
  </si>
  <si>
    <t>CL1-142</t>
  </si>
  <si>
    <t>SS-261</t>
  </si>
  <si>
    <t>Milane Hill 38kV Station</t>
  </si>
  <si>
    <t>CL1-143</t>
  </si>
  <si>
    <t>SS-107</t>
  </si>
  <si>
    <t>Gort 38kV Substation</t>
  </si>
  <si>
    <t>CL1-144</t>
  </si>
  <si>
    <t>KILKENNY</t>
  </si>
  <si>
    <t>CL1-145</t>
  </si>
  <si>
    <t>SS-591</t>
  </si>
  <si>
    <t>Shillelagh 38kV Substation</t>
  </si>
  <si>
    <t>CL1-146</t>
  </si>
  <si>
    <t>SS-503</t>
  </si>
  <si>
    <t>Scariff 38kV Substation</t>
  </si>
  <si>
    <t>CL1-147</t>
  </si>
  <si>
    <t>CL1-148</t>
  </si>
  <si>
    <t>SS-355</t>
  </si>
  <si>
    <t>Carrigcannon 38kV Substation</t>
  </si>
  <si>
    <t>CL1-149</t>
  </si>
  <si>
    <t>CL1-150</t>
  </si>
  <si>
    <t>SS-570</t>
  </si>
  <si>
    <t>Kilcoole 38kV Substation</t>
  </si>
  <si>
    <t>CL1-151</t>
  </si>
  <si>
    <t>CL1-152</t>
  </si>
  <si>
    <t>CL1-153</t>
  </si>
  <si>
    <t>CL1-154</t>
  </si>
  <si>
    <t>CL1-155</t>
  </si>
  <si>
    <t>CL1-156</t>
  </si>
  <si>
    <t>CL1-157</t>
  </si>
  <si>
    <t>CL1-158</t>
  </si>
  <si>
    <t>CL1-159</t>
  </si>
  <si>
    <t>CL1-160</t>
  </si>
  <si>
    <t>SS-178</t>
  </si>
  <si>
    <t>Manorhamilton 38kV Substation</t>
  </si>
  <si>
    <t>CL1-161</t>
  </si>
  <si>
    <t>SS-206</t>
  </si>
  <si>
    <t>Boyle 38kV Substation</t>
  </si>
  <si>
    <t>CL1-162</t>
  </si>
  <si>
    <t>SS-068</t>
  </si>
  <si>
    <t>Ballymote 38kV Substation</t>
  </si>
  <si>
    <t>CL1-163</t>
  </si>
  <si>
    <t>CL1-164</t>
  </si>
  <si>
    <t>SS-203</t>
  </si>
  <si>
    <t>Foxford 38kV Substation</t>
  </si>
  <si>
    <t>CL1-165</t>
  </si>
  <si>
    <t>CL1-166</t>
  </si>
  <si>
    <t>CL1-167</t>
  </si>
  <si>
    <t>CL1-168</t>
  </si>
  <si>
    <t>CL1-169</t>
  </si>
  <si>
    <t>SS-272</t>
  </si>
  <si>
    <t>Carndonagh 38kV</t>
  </si>
  <si>
    <t>CL1-170</t>
  </si>
  <si>
    <t>CL1-171</t>
  </si>
  <si>
    <t>CL1-172</t>
  </si>
  <si>
    <t>MEATH</t>
  </si>
  <si>
    <t>CL1-173</t>
  </si>
  <si>
    <t>SS-651</t>
  </si>
  <si>
    <t>Grange 38kV Substation</t>
  </si>
  <si>
    <t>CL1-174</t>
  </si>
  <si>
    <t>CL1-175</t>
  </si>
  <si>
    <t>CL1-176</t>
  </si>
  <si>
    <t>CL1-177</t>
  </si>
  <si>
    <t>CL1-178</t>
  </si>
  <si>
    <t>CL1-179</t>
  </si>
  <si>
    <t>CL1-180</t>
  </si>
  <si>
    <t>CL1-181</t>
  </si>
  <si>
    <t>CL1-182</t>
  </si>
  <si>
    <t>CL1-183</t>
  </si>
  <si>
    <t>CL1-184</t>
  </si>
  <si>
    <t>CL1-185</t>
  </si>
  <si>
    <t>CL1-186</t>
  </si>
  <si>
    <t>CL1-187</t>
  </si>
  <si>
    <t>CL1-188</t>
  </si>
  <si>
    <t>CL1-189</t>
  </si>
  <si>
    <t>CL1-190</t>
  </si>
  <si>
    <t>CL1-191</t>
  </si>
  <si>
    <t>CL1-192</t>
  </si>
  <si>
    <t>CL1-193</t>
  </si>
  <si>
    <t>CL1-194</t>
  </si>
  <si>
    <t>CL1-195</t>
  </si>
  <si>
    <t>CL1-196</t>
  </si>
  <si>
    <t>CL1-197</t>
  </si>
  <si>
    <t>SS-072</t>
  </si>
  <si>
    <t>Clonkeen 110kV Substation</t>
  </si>
  <si>
    <t>CL1-198</t>
  </si>
  <si>
    <t>CL1-199</t>
  </si>
  <si>
    <t>CL1-200</t>
  </si>
  <si>
    <t>CL1-201</t>
  </si>
  <si>
    <t>CL1-202</t>
  </si>
  <si>
    <t>CL1-203</t>
  </si>
  <si>
    <t>CL1-204</t>
  </si>
  <si>
    <t>CL1-205</t>
  </si>
  <si>
    <t>CL1-206</t>
  </si>
  <si>
    <t>CL1-207</t>
  </si>
  <si>
    <t>CL1-208</t>
  </si>
  <si>
    <t>CL1-209</t>
  </si>
  <si>
    <t>CL1-210</t>
  </si>
  <si>
    <t>CL1-211</t>
  </si>
  <si>
    <t>SS-667</t>
  </si>
  <si>
    <t>Ballyrickard 38kV Substation</t>
  </si>
  <si>
    <t>CL1-212</t>
  </si>
  <si>
    <t>CL1-213</t>
  </si>
  <si>
    <t>CL1-214</t>
  </si>
  <si>
    <t>CL1-215</t>
  </si>
  <si>
    <t>CL1-216</t>
  </si>
  <si>
    <t>CL1-217</t>
  </si>
  <si>
    <t>CL1-218</t>
  </si>
  <si>
    <t>CL1-219</t>
  </si>
  <si>
    <t>CL1-220</t>
  </si>
  <si>
    <t>CL1-221</t>
  </si>
  <si>
    <t>CL1-222</t>
  </si>
  <si>
    <t>CL1-223</t>
  </si>
  <si>
    <t>CL1-224</t>
  </si>
  <si>
    <t>SS-233</t>
  </si>
  <si>
    <t>Cong 38kV station</t>
  </si>
  <si>
    <t>CL1-225</t>
  </si>
  <si>
    <t>CL1-226</t>
  </si>
  <si>
    <t>CL1-227</t>
  </si>
  <si>
    <t>CL1-228</t>
  </si>
  <si>
    <t>CL1-229</t>
  </si>
  <si>
    <t>CL1-230</t>
  </si>
  <si>
    <t>CL1-231</t>
  </si>
  <si>
    <t>CL1-232</t>
  </si>
  <si>
    <t>CL1-233</t>
  </si>
  <si>
    <t>CL1-234</t>
  </si>
  <si>
    <t>CL1-235</t>
  </si>
  <si>
    <t>CL1-236</t>
  </si>
  <si>
    <t>CL1-237</t>
  </si>
  <si>
    <t>CL1-238</t>
  </si>
  <si>
    <t>CL1-239</t>
  </si>
  <si>
    <t>CL1-240</t>
  </si>
  <si>
    <t>CL1-241</t>
  </si>
  <si>
    <t>CL1-242</t>
  </si>
  <si>
    <t>CL1-243</t>
  </si>
  <si>
    <t>CL1-244</t>
  </si>
  <si>
    <t>CL1-245</t>
  </si>
  <si>
    <t>CL1-246</t>
  </si>
  <si>
    <t>CL1-247</t>
  </si>
  <si>
    <t>CL1-248</t>
  </si>
  <si>
    <t>CL1-249</t>
  </si>
  <si>
    <t>CL1-250</t>
  </si>
  <si>
    <t>SS-498</t>
  </si>
  <si>
    <t>Belmullet 38kV Substation</t>
  </si>
  <si>
    <t>CL1-251</t>
  </si>
  <si>
    <t>CL1-252</t>
  </si>
  <si>
    <t>CL1-253</t>
  </si>
  <si>
    <t>CL1-254</t>
  </si>
  <si>
    <t>CL1-255</t>
  </si>
  <si>
    <t>SS-170</t>
  </si>
  <si>
    <t>Derrynadivva 38kV Substation</t>
  </si>
  <si>
    <t>CL1-256</t>
  </si>
  <si>
    <t>CL1-257</t>
  </si>
  <si>
    <t>CL1-258</t>
  </si>
  <si>
    <t>CL1-259</t>
  </si>
  <si>
    <t>CL1-260</t>
  </si>
  <si>
    <t>CL1-261</t>
  </si>
  <si>
    <t>CL1-262</t>
  </si>
  <si>
    <t>CL1-263</t>
  </si>
  <si>
    <t>CL1-264</t>
  </si>
  <si>
    <t>CL1-265</t>
  </si>
  <si>
    <t>CL1-266</t>
  </si>
  <si>
    <t>CL1-267</t>
  </si>
  <si>
    <t>CL1-268</t>
  </si>
  <si>
    <t>CL1-269</t>
  </si>
  <si>
    <t>SS-302</t>
  </si>
  <si>
    <t>Carrowleagh 38kV Substation</t>
  </si>
  <si>
    <t>CL1-270</t>
  </si>
  <si>
    <t>CL1-271</t>
  </si>
  <si>
    <t>CL1-272</t>
  </si>
  <si>
    <t>CL1-273</t>
  </si>
  <si>
    <t>SS-227</t>
  </si>
  <si>
    <t>Bundoran 38kV Substation</t>
  </si>
  <si>
    <t>CL1-274</t>
  </si>
  <si>
    <t>CL1-275</t>
  </si>
  <si>
    <t>CL1-276</t>
  </si>
  <si>
    <t>CL1-277</t>
  </si>
  <si>
    <t>CL1-278</t>
  </si>
  <si>
    <t>CL1-279</t>
  </si>
  <si>
    <t>CL1-280</t>
  </si>
  <si>
    <t>CL1-281</t>
  </si>
  <si>
    <t>CL1-282</t>
  </si>
  <si>
    <t>CL1-283</t>
  </si>
  <si>
    <t>CL1-284</t>
  </si>
  <si>
    <t>CL1-285</t>
  </si>
  <si>
    <t>CL1-286</t>
  </si>
  <si>
    <t>CL1-287</t>
  </si>
  <si>
    <t>CL1-288</t>
  </si>
  <si>
    <t>CL1-289</t>
  </si>
  <si>
    <t>CL1-290</t>
  </si>
  <si>
    <t>CL1-291</t>
  </si>
  <si>
    <t>CL1-292</t>
  </si>
  <si>
    <t>CL1-293</t>
  </si>
  <si>
    <t>CL1-294</t>
  </si>
  <si>
    <t>CL1-295</t>
  </si>
  <si>
    <t>CL1-296</t>
  </si>
  <si>
    <t>SS-125</t>
  </si>
  <si>
    <t>Drumlough Hill (2) 38kV Substation</t>
  </si>
  <si>
    <t>CL1-297</t>
  </si>
  <si>
    <t>CL1-298</t>
  </si>
  <si>
    <t>CL1-299</t>
  </si>
  <si>
    <t>CL1-300</t>
  </si>
  <si>
    <t>SS-687</t>
  </si>
  <si>
    <t>Gweedore Wind Farm 38kV Substation</t>
  </si>
  <si>
    <t>CL1-301</t>
  </si>
  <si>
    <t>CL1-302</t>
  </si>
  <si>
    <t>CL1-303</t>
  </si>
  <si>
    <t>CL1-304</t>
  </si>
  <si>
    <t>CL1-305</t>
  </si>
  <si>
    <t>CL1-306</t>
  </si>
  <si>
    <t>CL1-307</t>
  </si>
  <si>
    <t>CL1-308</t>
  </si>
  <si>
    <t>CL1-309</t>
  </si>
  <si>
    <t>CL1-311</t>
  </si>
  <si>
    <t>CL1-312</t>
  </si>
  <si>
    <t>CL1-313</t>
  </si>
  <si>
    <t>CL1-314</t>
  </si>
  <si>
    <t>SS-222</t>
  </si>
  <si>
    <t>Poulaphouca 110kV Substation</t>
  </si>
  <si>
    <t>CL1-315</t>
  </si>
  <si>
    <t>CL1-316</t>
  </si>
  <si>
    <t>CL1-317</t>
  </si>
  <si>
    <t>CL1-318</t>
  </si>
  <si>
    <t>CL1-319</t>
  </si>
  <si>
    <t>SS-699</t>
  </si>
  <si>
    <t>Ballycumber 38kV Substation</t>
  </si>
  <si>
    <t>CL1-320</t>
  </si>
  <si>
    <t>CL1-321</t>
  </si>
  <si>
    <t>CL1-322</t>
  </si>
  <si>
    <t>CL1-323</t>
  </si>
  <si>
    <t>CL1-324</t>
  </si>
  <si>
    <t>CL1-325</t>
  </si>
  <si>
    <t>SS-668</t>
  </si>
  <si>
    <t>Coomataggart 110 kV Substation</t>
  </si>
  <si>
    <t>CL1-326</t>
  </si>
  <si>
    <t>CL1-327</t>
  </si>
  <si>
    <t>CL1-328</t>
  </si>
  <si>
    <t>CL1-329</t>
  </si>
  <si>
    <t>SS-162</t>
  </si>
  <si>
    <t>Garrow 110kV Substation</t>
  </si>
  <si>
    <t>CL1-330</t>
  </si>
  <si>
    <t>CL1-331</t>
  </si>
  <si>
    <t>CL1-332</t>
  </si>
  <si>
    <t>SS-161</t>
  </si>
  <si>
    <t>Gneeves 38kV Substation</t>
  </si>
  <si>
    <t>CL1-333</t>
  </si>
  <si>
    <t>SS-615</t>
  </si>
  <si>
    <t>Knockduff 110kv Substation</t>
  </si>
  <si>
    <t>CL1-334</t>
  </si>
  <si>
    <t>CL1-335</t>
  </si>
  <si>
    <t>SS-333</t>
  </si>
  <si>
    <t>Clady 38kV Substation</t>
  </si>
  <si>
    <t>CL1-336</t>
  </si>
  <si>
    <t>CL1-337</t>
  </si>
  <si>
    <t>CL1-338</t>
  </si>
  <si>
    <t>CL1-339</t>
  </si>
  <si>
    <t>CL1-340</t>
  </si>
  <si>
    <t>CL1-341</t>
  </si>
  <si>
    <t>CL1-342</t>
  </si>
  <si>
    <t>CL1-343</t>
  </si>
  <si>
    <t>CL1-344</t>
  </si>
  <si>
    <t>CL1-345</t>
  </si>
  <si>
    <t>CL1-346</t>
  </si>
  <si>
    <t>CL1-347</t>
  </si>
  <si>
    <t>CL1-348</t>
  </si>
  <si>
    <t>SS-102</t>
  </si>
  <si>
    <t>Binbane 110kV Substation</t>
  </si>
  <si>
    <t>CL1-349</t>
  </si>
  <si>
    <t>CL1-350</t>
  </si>
  <si>
    <t>CL1-351</t>
  </si>
  <si>
    <t>CL1-352</t>
  </si>
  <si>
    <t>SS-196</t>
  </si>
  <si>
    <t>Culliagh 110kV Substation</t>
  </si>
  <si>
    <t>CL1-353</t>
  </si>
  <si>
    <t>CL1-354</t>
  </si>
  <si>
    <t>CL1-355</t>
  </si>
  <si>
    <t>CL1-356</t>
  </si>
  <si>
    <t>CL1-357</t>
  </si>
  <si>
    <t>CL1-358</t>
  </si>
  <si>
    <t>CL1-359</t>
  </si>
  <si>
    <t>CL1-360</t>
  </si>
  <si>
    <t>CL1-361</t>
  </si>
  <si>
    <t>SS-192</t>
  </si>
  <si>
    <t>Ballylickey 110kV Station</t>
  </si>
  <si>
    <t>CL1-362</t>
  </si>
  <si>
    <t>CL1-363</t>
  </si>
  <si>
    <t>CL1-364</t>
  </si>
  <si>
    <t>CL1-365</t>
  </si>
  <si>
    <t>SS-622</t>
  </si>
  <si>
    <t>Barranafaddock 38kV Substation</t>
  </si>
  <si>
    <t>CL1-366</t>
  </si>
  <si>
    <t>SS-505</t>
  </si>
  <si>
    <t>Kilmacthomas 38kV Substation</t>
  </si>
  <si>
    <t>CL1-367</t>
  </si>
  <si>
    <t>LIMERICK</t>
  </si>
  <si>
    <t>SS-695</t>
  </si>
  <si>
    <t>Castlepook 38kV Substation</t>
  </si>
  <si>
    <t>CL1-368</t>
  </si>
  <si>
    <t>CL1-369</t>
  </si>
  <si>
    <t>CL1-370</t>
  </si>
  <si>
    <t>CL1-371</t>
  </si>
  <si>
    <t>SS-064</t>
  </si>
  <si>
    <t>Ballydine 110kV Substation</t>
  </si>
  <si>
    <t>CL1-372</t>
  </si>
  <si>
    <t>CL1-373</t>
  </si>
  <si>
    <t>CL1-374</t>
  </si>
  <si>
    <t>CL1-375</t>
  </si>
  <si>
    <t>CL1-376</t>
  </si>
  <si>
    <t>CL1-377</t>
  </si>
  <si>
    <t>CL1-378</t>
  </si>
  <si>
    <t>CL1-379</t>
  </si>
  <si>
    <t>CL1-380</t>
  </si>
  <si>
    <t>CL1-381</t>
  </si>
  <si>
    <t>CL1-382</t>
  </si>
  <si>
    <t>CL1-383</t>
  </si>
  <si>
    <t>CL1-384</t>
  </si>
  <si>
    <t>CL1-385</t>
  </si>
  <si>
    <t>CL1-386</t>
  </si>
  <si>
    <t>CL2-001</t>
  </si>
  <si>
    <t>SS-118</t>
  </si>
  <si>
    <t>Sorne Hill 110kV Substation</t>
  </si>
  <si>
    <t>CL2-002</t>
  </si>
  <si>
    <t>CL2-003</t>
  </si>
  <si>
    <t>CL2-004</t>
  </si>
  <si>
    <t>SS-237</t>
  </si>
  <si>
    <t>Carnsore 38kV Substation</t>
  </si>
  <si>
    <t>CL2-005</t>
  </si>
  <si>
    <t>CL2-006</t>
  </si>
  <si>
    <t>CL2-007</t>
  </si>
  <si>
    <t>CL2-008</t>
  </si>
  <si>
    <t>CL2-009</t>
  </si>
  <si>
    <t>CL2-010</t>
  </si>
  <si>
    <t>CL2-011</t>
  </si>
  <si>
    <t>CL2-012</t>
  </si>
  <si>
    <t>CL2-013</t>
  </si>
  <si>
    <t>CL2-014</t>
  </si>
  <si>
    <t>CL2-015</t>
  </si>
  <si>
    <t>CL2-016</t>
  </si>
  <si>
    <t>CL2-017</t>
  </si>
  <si>
    <t>SS-670</t>
  </si>
  <si>
    <t>Acres 38kV Substation</t>
  </si>
  <si>
    <t>CL2-018</t>
  </si>
  <si>
    <t>SS-697</t>
  </si>
  <si>
    <t>Clogheravaddy 38kV Substation</t>
  </si>
  <si>
    <t>CL2-019</t>
  </si>
  <si>
    <t>CL2-020</t>
  </si>
  <si>
    <t>CL2-021</t>
  </si>
  <si>
    <t>CL2-022</t>
  </si>
  <si>
    <t>CL2-023</t>
  </si>
  <si>
    <t>CL2-024</t>
  </si>
  <si>
    <t>SS-702</t>
  </si>
  <si>
    <t>CL2-025</t>
  </si>
  <si>
    <t>CL2-026</t>
  </si>
  <si>
    <t>CL2-027</t>
  </si>
  <si>
    <t>CL2-028</t>
  </si>
  <si>
    <t>CL2-029</t>
  </si>
  <si>
    <t>CL2-030</t>
  </si>
  <si>
    <t>CL2-031</t>
  </si>
  <si>
    <t>CL2-032</t>
  </si>
  <si>
    <t>SS-070</t>
  </si>
  <si>
    <t>Glanlee 110kV Substation</t>
  </si>
  <si>
    <t>CL2-033</t>
  </si>
  <si>
    <t>CL2-034</t>
  </si>
  <si>
    <t>CL2-035</t>
  </si>
  <si>
    <t>SS-096</t>
  </si>
  <si>
    <t>Boggeragh 110kV Substation</t>
  </si>
  <si>
    <t>CL2-036</t>
  </si>
  <si>
    <t>SS-378</t>
  </si>
  <si>
    <t>Foynes 38kV Substation</t>
  </si>
  <si>
    <t>CL2-037</t>
  </si>
  <si>
    <t>CL2-038</t>
  </si>
  <si>
    <t>ROSCOMMON</t>
  </si>
  <si>
    <t>SS-384</t>
  </si>
  <si>
    <t>Largan Hill 38kV Substation</t>
  </si>
  <si>
    <t>CL2-039</t>
  </si>
  <si>
    <t>CL2-040</t>
  </si>
  <si>
    <t>CL2-041</t>
  </si>
  <si>
    <t>CL2-042</t>
  </si>
  <si>
    <t>SS-690</t>
  </si>
  <si>
    <t>Stranrolar 38kV Substation</t>
  </si>
  <si>
    <t>CL2-043</t>
  </si>
  <si>
    <t>CL2-044</t>
  </si>
  <si>
    <t>SS-347</t>
  </si>
  <si>
    <t>Glengoole 38kV Substation</t>
  </si>
  <si>
    <t>CL2-045</t>
  </si>
  <si>
    <t>SS-251</t>
  </si>
  <si>
    <t>Ballybrennan 38kV Substation</t>
  </si>
  <si>
    <t>CL2-046</t>
  </si>
  <si>
    <t>SS-372</t>
  </si>
  <si>
    <t>Ballyconra 38kV Substation</t>
  </si>
  <si>
    <t>CL2-047</t>
  </si>
  <si>
    <t>CL2-048</t>
  </si>
  <si>
    <t>SS-131</t>
  </si>
  <si>
    <t>Ros a Mh├¡l 38kV Substation</t>
  </si>
  <si>
    <t>CL2-049</t>
  </si>
  <si>
    <t>SS-660</t>
  </si>
  <si>
    <t>Nenagh 38kV Substation</t>
  </si>
  <si>
    <t>CL2-050</t>
  </si>
  <si>
    <t>SS-397</t>
  </si>
  <si>
    <t>Glenough 38kV Substation</t>
  </si>
  <si>
    <t>CL2-051</t>
  </si>
  <si>
    <t>OFFALY</t>
  </si>
  <si>
    <t>SS-537</t>
  </si>
  <si>
    <t>Monaincha 38kV Substation</t>
  </si>
  <si>
    <t>CL2-052</t>
  </si>
  <si>
    <t>CL2-053</t>
  </si>
  <si>
    <t>CL2-054</t>
  </si>
  <si>
    <t>SS-057</t>
  </si>
  <si>
    <t>Galway 110kV Substation</t>
  </si>
  <si>
    <t>CL2-055</t>
  </si>
  <si>
    <t>SS-038</t>
  </si>
  <si>
    <t>Salthill 110kV Substation</t>
  </si>
  <si>
    <t>CL2-056</t>
  </si>
  <si>
    <t>CL2-057</t>
  </si>
  <si>
    <t>CL2-058</t>
  </si>
  <si>
    <t>CL2-059</t>
  </si>
  <si>
    <t>CL2-060</t>
  </si>
  <si>
    <t>CL2-061</t>
  </si>
  <si>
    <t>CL2-062</t>
  </si>
  <si>
    <t>CL2-063</t>
  </si>
  <si>
    <t>SS-607</t>
  </si>
  <si>
    <t>CL2-064</t>
  </si>
  <si>
    <t>SS-596</t>
  </si>
  <si>
    <t>Cappamore 38kV Substation</t>
  </si>
  <si>
    <t>CL2-065</t>
  </si>
  <si>
    <t>CL2-066</t>
  </si>
  <si>
    <t>CL2-067</t>
  </si>
  <si>
    <t>SS-536</t>
  </si>
  <si>
    <t>Knockacummer 110kV Substation</t>
  </si>
  <si>
    <t>CL2-068</t>
  </si>
  <si>
    <t>CL2-069</t>
  </si>
  <si>
    <t>SS-646</t>
  </si>
  <si>
    <t>Oranmore 38kV Substation</t>
  </si>
  <si>
    <t>CL2-070</t>
  </si>
  <si>
    <t>SS-033</t>
  </si>
  <si>
    <t>Ballywater 110kV Substation</t>
  </si>
  <si>
    <t>CL2-071</t>
  </si>
  <si>
    <t>SS-535</t>
  </si>
  <si>
    <t>Garracummer 38kV Substation</t>
  </si>
  <si>
    <t>CL2-072</t>
  </si>
  <si>
    <t>SS-703</t>
  </si>
  <si>
    <t>CL2-073</t>
  </si>
  <si>
    <t>CL2-074</t>
  </si>
  <si>
    <t>CL2-075</t>
  </si>
  <si>
    <t>SS-263</t>
  </si>
  <si>
    <t>Lake 38kV Station</t>
  </si>
  <si>
    <t>CL2-076</t>
  </si>
  <si>
    <t>SS-189</t>
  </si>
  <si>
    <t>Knockearagh 110kV Substation</t>
  </si>
  <si>
    <t>CL2-077</t>
  </si>
  <si>
    <t>SS-532</t>
  </si>
  <si>
    <t>Woodhouse 110kV Substation</t>
  </si>
  <si>
    <t>CL2-078</t>
  </si>
  <si>
    <t>CL2-079</t>
  </si>
  <si>
    <t>SS-640</t>
  </si>
  <si>
    <t>Ballinrobe 38kV Substation</t>
  </si>
  <si>
    <t>CL2-080</t>
  </si>
  <si>
    <t>SS-431</t>
  </si>
  <si>
    <t>Knockaphunta 38kV Substation</t>
  </si>
  <si>
    <t>CL2-081</t>
  </si>
  <si>
    <t>SS-095</t>
  </si>
  <si>
    <t>Collooney 38kV Substation</t>
  </si>
  <si>
    <t>CL2-082</t>
  </si>
  <si>
    <t>CL2-083</t>
  </si>
  <si>
    <t>SS-201</t>
  </si>
  <si>
    <t>Swinford 38kV Station</t>
  </si>
  <si>
    <t>CL2-084</t>
  </si>
  <si>
    <t>CL2-085</t>
  </si>
  <si>
    <t>SS-598</t>
  </si>
  <si>
    <t>Glennamaddy 38kV Substation</t>
  </si>
  <si>
    <t>CL2-086</t>
  </si>
  <si>
    <t>CL2-087</t>
  </si>
  <si>
    <t>CL2-088</t>
  </si>
  <si>
    <t>CL2-089</t>
  </si>
  <si>
    <t>CL2-090</t>
  </si>
  <si>
    <t>SS-549</t>
  </si>
  <si>
    <t>Tuam North 38kV Substation</t>
  </si>
  <si>
    <t>CL2-091</t>
  </si>
  <si>
    <t>SS-639</t>
  </si>
  <si>
    <t>Tonroe 38kV Substation</t>
  </si>
  <si>
    <t>CL2-092</t>
  </si>
  <si>
    <t>CL2-093</t>
  </si>
  <si>
    <t>CL2-094</t>
  </si>
  <si>
    <t>CL2-095</t>
  </si>
  <si>
    <t>CL2-096</t>
  </si>
  <si>
    <t>CL2-097</t>
  </si>
  <si>
    <t>CL2-098</t>
  </si>
  <si>
    <t>CL2-099</t>
  </si>
  <si>
    <t>CL2-100</t>
  </si>
  <si>
    <t>CL2-101</t>
  </si>
  <si>
    <t>SS-109</t>
  </si>
  <si>
    <t>Cloon 110kV Substation</t>
  </si>
  <si>
    <t>CL2-102</t>
  </si>
  <si>
    <t>CL2-103</t>
  </si>
  <si>
    <t>CL2-104</t>
  </si>
  <si>
    <t>CL2-105</t>
  </si>
  <si>
    <t>CL2-106</t>
  </si>
  <si>
    <t>CL2-107</t>
  </si>
  <si>
    <t>CL2-108</t>
  </si>
  <si>
    <t>CL2-109</t>
  </si>
  <si>
    <t>CL2-110</t>
  </si>
  <si>
    <t>CL2-111</t>
  </si>
  <si>
    <t>CL2-112</t>
  </si>
  <si>
    <t>CL2-113</t>
  </si>
  <si>
    <t>CL2-114</t>
  </si>
  <si>
    <t>CL2-115</t>
  </si>
  <si>
    <t>CL2-116</t>
  </si>
  <si>
    <t>CL2-117</t>
  </si>
  <si>
    <t>CL2-118</t>
  </si>
  <si>
    <t>CL2-119</t>
  </si>
  <si>
    <t>CL2-120</t>
  </si>
  <si>
    <t>CL2-121</t>
  </si>
  <si>
    <t>CL2-122</t>
  </si>
  <si>
    <t>CL2-123</t>
  </si>
  <si>
    <t>CL2-124</t>
  </si>
  <si>
    <t>CL2-125</t>
  </si>
  <si>
    <t>CL2-126</t>
  </si>
  <si>
    <t>CL2-127</t>
  </si>
  <si>
    <t>CL2-128</t>
  </si>
  <si>
    <t>CL2-129</t>
  </si>
  <si>
    <t>CL2-130</t>
  </si>
  <si>
    <t>CL2-131</t>
  </si>
  <si>
    <t>CL2-132</t>
  </si>
  <si>
    <t>CL2-133</t>
  </si>
  <si>
    <t>CL2-134</t>
  </si>
  <si>
    <t>CL2-135</t>
  </si>
  <si>
    <t>CL2-136</t>
  </si>
  <si>
    <t>CL2-137</t>
  </si>
  <si>
    <t>CL2-138</t>
  </si>
  <si>
    <t>CL2-139</t>
  </si>
  <si>
    <t>CL2-140</t>
  </si>
  <si>
    <t>CL2-141</t>
  </si>
  <si>
    <t>SS-555</t>
  </si>
  <si>
    <t>Ballybunion 38kV Substation</t>
  </si>
  <si>
    <t>CL2-142</t>
  </si>
  <si>
    <t>CL2-143</t>
  </si>
  <si>
    <t>CL2-144</t>
  </si>
  <si>
    <t>CL2-145</t>
  </si>
  <si>
    <t>CL2-146</t>
  </si>
  <si>
    <t>CL2-147</t>
  </si>
  <si>
    <t>CL2-148</t>
  </si>
  <si>
    <t>CL2-149</t>
  </si>
  <si>
    <t>CL2-150</t>
  </si>
  <si>
    <t>CL2-151</t>
  </si>
  <si>
    <t>CL2-152</t>
  </si>
  <si>
    <t>CL2-153</t>
  </si>
  <si>
    <t>CL2-154</t>
  </si>
  <si>
    <t>CL2-155</t>
  </si>
  <si>
    <t>CL2-156</t>
  </si>
  <si>
    <t>CL2-157</t>
  </si>
  <si>
    <t>CL2-158</t>
  </si>
  <si>
    <t>CL2-159</t>
  </si>
  <si>
    <t>CL2-160</t>
  </si>
  <si>
    <t>CL2-161</t>
  </si>
  <si>
    <t>CL2-162</t>
  </si>
  <si>
    <t>CL2-163</t>
  </si>
  <si>
    <t>CL2-164</t>
  </si>
  <si>
    <t>CL2-165</t>
  </si>
  <si>
    <t>CL2-166</t>
  </si>
  <si>
    <t>CL2-167</t>
  </si>
  <si>
    <t>CL2-168</t>
  </si>
  <si>
    <t>CL2-169</t>
  </si>
  <si>
    <t>CL2-170</t>
  </si>
  <si>
    <t>CL2-171</t>
  </si>
  <si>
    <t>CL2-172</t>
  </si>
  <si>
    <t>CL2-173</t>
  </si>
  <si>
    <t>CL2-174</t>
  </si>
  <si>
    <t>CL2-175</t>
  </si>
  <si>
    <t>SS-198</t>
  </si>
  <si>
    <t>Enniscrone 38kV Substation</t>
  </si>
  <si>
    <t>CL2-176</t>
  </si>
  <si>
    <t>CL2-177</t>
  </si>
  <si>
    <t>CL2-178</t>
  </si>
  <si>
    <t>CL2-179</t>
  </si>
  <si>
    <t>CL2-180</t>
  </si>
  <si>
    <t>CL2-181</t>
  </si>
  <si>
    <t>CL2-182</t>
  </si>
  <si>
    <t>CL2-183</t>
  </si>
  <si>
    <t>CL2-184</t>
  </si>
  <si>
    <t>CL2-185</t>
  </si>
  <si>
    <t>CL2-186</t>
  </si>
  <si>
    <t>CL2-187</t>
  </si>
  <si>
    <t>CL2-188</t>
  </si>
  <si>
    <t>CL2-189</t>
  </si>
  <si>
    <t>CL2-190</t>
  </si>
  <si>
    <t>CL2-191</t>
  </si>
  <si>
    <t>CL2-192</t>
  </si>
  <si>
    <t>CL2-193</t>
  </si>
  <si>
    <t>CL2-194</t>
  </si>
  <si>
    <t>CL2-195</t>
  </si>
  <si>
    <t>CL2-196</t>
  </si>
  <si>
    <t>CL2-197</t>
  </si>
  <si>
    <t>CL2-198</t>
  </si>
  <si>
    <t>CL2-199</t>
  </si>
  <si>
    <t>CL2-200</t>
  </si>
  <si>
    <t>CL2-201</t>
  </si>
  <si>
    <t>CL2-202</t>
  </si>
  <si>
    <t>SS-534</t>
  </si>
  <si>
    <t>Garvagh Glebe 110kV Substation Extension</t>
  </si>
  <si>
    <t>CL2-203</t>
  </si>
  <si>
    <t>CL2-204</t>
  </si>
  <si>
    <t>CL2-205</t>
  </si>
  <si>
    <t>CL2-206</t>
  </si>
  <si>
    <t>CL2-207</t>
  </si>
  <si>
    <t>CL2-208</t>
  </si>
  <si>
    <t>CL2-209</t>
  </si>
  <si>
    <t>CL2-210</t>
  </si>
  <si>
    <t>CL2-211</t>
  </si>
  <si>
    <t>SS-091</t>
  </si>
  <si>
    <t>Whitestown 38kV Substation</t>
  </si>
  <si>
    <t>CL2-212</t>
  </si>
  <si>
    <t>CL2-213</t>
  </si>
  <si>
    <t>CL2-214</t>
  </si>
  <si>
    <t>CL2-215</t>
  </si>
  <si>
    <t>CL2-216</t>
  </si>
  <si>
    <t>CL2-217</t>
  </si>
  <si>
    <t>CL2-218</t>
  </si>
  <si>
    <t>CL2-219</t>
  </si>
  <si>
    <t>CL2-220</t>
  </si>
  <si>
    <t>CL2-221</t>
  </si>
  <si>
    <t>CL2-222</t>
  </si>
  <si>
    <t>CL2-223</t>
  </si>
  <si>
    <t>CL2-224</t>
  </si>
  <si>
    <t>SS-495</t>
  </si>
  <si>
    <t>New Ross (West) 38kV Substation</t>
  </si>
  <si>
    <t>CL2-225</t>
  </si>
  <si>
    <t>SS-069</t>
  </si>
  <si>
    <t>Garryspillane 38kV Substation</t>
  </si>
  <si>
    <t>CL2-226</t>
  </si>
  <si>
    <t>CL2-227</t>
  </si>
  <si>
    <t>CL2-228</t>
  </si>
  <si>
    <t>CL2-229</t>
  </si>
  <si>
    <t>SS-540</t>
  </si>
  <si>
    <t>Templemore 38kV Substation</t>
  </si>
  <si>
    <t>CL2-230</t>
  </si>
  <si>
    <t>CL2-231</t>
  </si>
  <si>
    <t>CL2-232</t>
  </si>
  <si>
    <t>CL2-233</t>
  </si>
  <si>
    <t>SS-097</t>
  </si>
  <si>
    <t>Corderry 110kV Substation</t>
  </si>
  <si>
    <t>CL2-234</t>
  </si>
  <si>
    <t>CL2-235</t>
  </si>
  <si>
    <t>CL2-236</t>
  </si>
  <si>
    <t>SS-698</t>
  </si>
  <si>
    <t>Binbane 38kV Substation</t>
  </si>
  <si>
    <t>CL2-237</t>
  </si>
  <si>
    <t>CL2-238</t>
  </si>
  <si>
    <t>CL2-239</t>
  </si>
  <si>
    <t>CL2-240</t>
  </si>
  <si>
    <t>SS-354</t>
  </si>
  <si>
    <t>Twomilebridge 38kV Substation</t>
  </si>
  <si>
    <t>CL2-241</t>
  </si>
  <si>
    <t>CL2-242</t>
  </si>
  <si>
    <t>CL2-243</t>
  </si>
  <si>
    <t>CL2-244</t>
  </si>
  <si>
    <t>SS-256</t>
  </si>
  <si>
    <t>Mitchelstown West 38kV Substation</t>
  </si>
  <si>
    <t>CL2-245</t>
  </si>
  <si>
    <t>CL2-246</t>
  </si>
  <si>
    <t>SS-016</t>
  </si>
  <si>
    <t>Portlaw 38kV Substation</t>
  </si>
  <si>
    <t>CL2-247</t>
  </si>
  <si>
    <t>SS-692</t>
  </si>
  <si>
    <t>Hollyford 38kV Substation</t>
  </si>
  <si>
    <t>CL2-248</t>
  </si>
  <si>
    <t>SS-368</t>
  </si>
  <si>
    <t>Gortahile 38kV Substation</t>
  </si>
  <si>
    <t>CL2-249</t>
  </si>
  <si>
    <t>SS-084</t>
  </si>
  <si>
    <t>Birr 38kV Substation</t>
  </si>
  <si>
    <t>CL2-250</t>
  </si>
  <si>
    <t>CL2-251</t>
  </si>
  <si>
    <t>CL2-252</t>
  </si>
  <si>
    <t>CL2-253</t>
  </si>
  <si>
    <t>CL2-254</t>
  </si>
  <si>
    <t>CL2-255</t>
  </si>
  <si>
    <t>SS-197</t>
  </si>
  <si>
    <t>Midleton 110kV Substation</t>
  </si>
  <si>
    <t>CL2-256</t>
  </si>
  <si>
    <t>CL2-257</t>
  </si>
  <si>
    <t>SS-489</t>
  </si>
  <si>
    <t>Ballyhale 38kV Substation</t>
  </si>
  <si>
    <t>CL2-258</t>
  </si>
  <si>
    <t>CL2-259</t>
  </si>
  <si>
    <t>CL2-260</t>
  </si>
  <si>
    <t>SS-406</t>
  </si>
  <si>
    <t>Kanturk 38kV Substation</t>
  </si>
  <si>
    <t>CL2-261</t>
  </si>
  <si>
    <t>LAOIS</t>
  </si>
  <si>
    <t>SS-486</t>
  </si>
  <si>
    <t>Castlecomer 38kV Substation</t>
  </si>
  <si>
    <t>CL2-262</t>
  </si>
  <si>
    <t>CL2-263</t>
  </si>
  <si>
    <t>CL2-264</t>
  </si>
  <si>
    <t>CL2-265</t>
  </si>
  <si>
    <t>CL2-266</t>
  </si>
  <si>
    <t>CL2-267</t>
  </si>
  <si>
    <t>CL2-268</t>
  </si>
  <si>
    <t>CL2-269</t>
  </si>
  <si>
    <t>CL2-270</t>
  </si>
  <si>
    <t>CL2-271</t>
  </si>
  <si>
    <t>CL2-272</t>
  </si>
  <si>
    <t>CL2-273</t>
  </si>
  <si>
    <t>CL2-274</t>
  </si>
  <si>
    <t>CL2-275</t>
  </si>
  <si>
    <t>CL2-276</t>
  </si>
  <si>
    <t>CL2-277</t>
  </si>
  <si>
    <t>CL2-278</t>
  </si>
  <si>
    <t>CL2-279</t>
  </si>
  <si>
    <t>WESTMEATH</t>
  </si>
  <si>
    <t>SS-246</t>
  </si>
  <si>
    <t>Loughanalla 38kV Substation</t>
  </si>
  <si>
    <t>CL2-280</t>
  </si>
  <si>
    <t>SS-517</t>
  </si>
  <si>
    <t>Delvin 38kV Substation</t>
  </si>
  <si>
    <t>CL2-281</t>
  </si>
  <si>
    <t>SS-388</t>
  </si>
  <si>
    <t>Oldcastle 38kV Substation</t>
  </si>
  <si>
    <t>CL2-282</t>
  </si>
  <si>
    <t>CL2-283</t>
  </si>
  <si>
    <t>CL2-284</t>
  </si>
  <si>
    <t>CL2-285</t>
  </si>
  <si>
    <t>CL2-286</t>
  </si>
  <si>
    <t>CL2-287</t>
  </si>
  <si>
    <t>CL2-288</t>
  </si>
  <si>
    <t>CL2-289</t>
  </si>
  <si>
    <t>CL2-290</t>
  </si>
  <si>
    <t>CL2-291</t>
  </si>
  <si>
    <t>CL2-292</t>
  </si>
  <si>
    <t>CL2-293</t>
  </si>
  <si>
    <t>CL2-294</t>
  </si>
  <si>
    <t>CL2-295</t>
  </si>
  <si>
    <t>SS-087</t>
  </si>
  <si>
    <t>Cliff 110kV Substation</t>
  </si>
  <si>
    <t>CL2-296</t>
  </si>
  <si>
    <t>CL2-297</t>
  </si>
  <si>
    <t>CL2-298</t>
  </si>
  <si>
    <t>CL2-299</t>
  </si>
  <si>
    <t>CL2-300</t>
  </si>
  <si>
    <t>CL2-301</t>
  </si>
  <si>
    <t>CL2-302</t>
  </si>
  <si>
    <t>CL2-303</t>
  </si>
  <si>
    <t>SS-111</t>
  </si>
  <si>
    <t>Gortawee 110kV Station</t>
  </si>
  <si>
    <t>CL2-304</t>
  </si>
  <si>
    <t>CL2-305</t>
  </si>
  <si>
    <t>CL2-306</t>
  </si>
  <si>
    <t>CL2-307</t>
  </si>
  <si>
    <t>CL2-308</t>
  </si>
  <si>
    <t>SS-314</t>
  </si>
  <si>
    <t>Richfield 38kV Substation</t>
  </si>
  <si>
    <t>CL2-309</t>
  </si>
  <si>
    <t>CL2-310</t>
  </si>
  <si>
    <t>SS-254</t>
  </si>
  <si>
    <t>Glanta Commons 38kV Station</t>
  </si>
  <si>
    <t>CL2-311</t>
  </si>
  <si>
    <t>CL2-312</t>
  </si>
  <si>
    <t>CL2-313</t>
  </si>
  <si>
    <t>CL2-314</t>
  </si>
  <si>
    <t>CL2-315</t>
  </si>
  <si>
    <t>CL2-316</t>
  </si>
  <si>
    <t>CL2-317</t>
  </si>
  <si>
    <t>CL2-318</t>
  </si>
  <si>
    <t>CL2-319</t>
  </si>
  <si>
    <t>CL2-320</t>
  </si>
  <si>
    <t>CL2-321</t>
  </si>
  <si>
    <t>CL2-322</t>
  </si>
  <si>
    <t>CL2-323</t>
  </si>
  <si>
    <t>CL2-324</t>
  </si>
  <si>
    <t>CL2-325</t>
  </si>
  <si>
    <t>CL2-326</t>
  </si>
  <si>
    <t>CL2-327</t>
  </si>
  <si>
    <t>CL2-328</t>
  </si>
  <si>
    <t>CL2-329</t>
  </si>
  <si>
    <t>CL2-330</t>
  </si>
  <si>
    <t>CL2-331</t>
  </si>
  <si>
    <t>CL2-332</t>
  </si>
  <si>
    <t>CL2-333</t>
  </si>
  <si>
    <t>CL2-334</t>
  </si>
  <si>
    <t>CL2-335</t>
  </si>
  <si>
    <t>CL2-336</t>
  </si>
  <si>
    <t>CL2-337</t>
  </si>
  <si>
    <t>CL2-338</t>
  </si>
  <si>
    <t>CL2-339</t>
  </si>
  <si>
    <t>CL2-340</t>
  </si>
  <si>
    <t>CL2-341</t>
  </si>
  <si>
    <t>CL2-342</t>
  </si>
  <si>
    <t>CL2-343</t>
  </si>
  <si>
    <t>SS-157</t>
  </si>
  <si>
    <t>Oughtragh 110kV Substation</t>
  </si>
  <si>
    <t>CL2-344</t>
  </si>
  <si>
    <t>CL2-345</t>
  </si>
  <si>
    <t>CL2-346</t>
  </si>
  <si>
    <t>CL2-347</t>
  </si>
  <si>
    <t>CL2-348</t>
  </si>
  <si>
    <t>CL2-349</t>
  </si>
  <si>
    <t>CL2-350</t>
  </si>
  <si>
    <t>CL2-351</t>
  </si>
  <si>
    <t>CL2-352</t>
  </si>
  <si>
    <t>CL2-353</t>
  </si>
  <si>
    <t>CL2-354</t>
  </si>
  <si>
    <t>CL2-355</t>
  </si>
  <si>
    <t>CL2-356</t>
  </si>
  <si>
    <t>CL2-357</t>
  </si>
  <si>
    <t>CL2-358</t>
  </si>
  <si>
    <t>CL2-359</t>
  </si>
  <si>
    <t>CL2-360</t>
  </si>
  <si>
    <t>CL2-361</t>
  </si>
  <si>
    <t>CL2-362</t>
  </si>
  <si>
    <t>CL2-363</t>
  </si>
  <si>
    <t>CL2-364</t>
  </si>
  <si>
    <t>CL2-365</t>
  </si>
  <si>
    <t>CL2-366</t>
  </si>
  <si>
    <t>CL2-367</t>
  </si>
  <si>
    <t>CL2-368</t>
  </si>
  <si>
    <t>CL2-369</t>
  </si>
  <si>
    <t>CL2-370</t>
  </si>
  <si>
    <t>CL2-371</t>
  </si>
  <si>
    <t>CL2-372</t>
  </si>
  <si>
    <t>CL2-373</t>
  </si>
  <si>
    <t>CL2-374</t>
  </si>
  <si>
    <t>CL2-375</t>
  </si>
  <si>
    <t>CL2-376</t>
  </si>
  <si>
    <t>CL2-377</t>
  </si>
  <si>
    <t>CL2-378</t>
  </si>
  <si>
    <t>CL2-379</t>
  </si>
  <si>
    <t>CL2-380</t>
  </si>
  <si>
    <t>CL2-381</t>
  </si>
  <si>
    <t>CL2-382</t>
  </si>
  <si>
    <t>CL2-383</t>
  </si>
  <si>
    <t>SS-147</t>
  </si>
  <si>
    <t>Smearla 38kV Substation</t>
  </si>
  <si>
    <t>CL2-384</t>
  </si>
  <si>
    <t>CL2-385</t>
  </si>
  <si>
    <t>CL2-386</t>
  </si>
  <si>
    <t>CL2-387</t>
  </si>
  <si>
    <t>CL2-388</t>
  </si>
  <si>
    <t>CL2-389</t>
  </si>
  <si>
    <t>CL2-390</t>
  </si>
  <si>
    <t>CL2-391</t>
  </si>
  <si>
    <t>CL2-392</t>
  </si>
  <si>
    <t>CL2-393</t>
  </si>
  <si>
    <t>CL2-394</t>
  </si>
  <si>
    <t>CL2-395</t>
  </si>
  <si>
    <t>CL2-396</t>
  </si>
  <si>
    <t>CL2-397</t>
  </si>
  <si>
    <t>CL2-398</t>
  </si>
  <si>
    <t>CL2-399</t>
  </si>
  <si>
    <t>CL2-400</t>
  </si>
  <si>
    <t>CL2-401</t>
  </si>
  <si>
    <t>CL2-402</t>
  </si>
  <si>
    <t>CL2-403</t>
  </si>
  <si>
    <t>CL2-404</t>
  </si>
  <si>
    <t>CL2-405</t>
  </si>
  <si>
    <t>CL2-406</t>
  </si>
  <si>
    <t>CL2-407</t>
  </si>
  <si>
    <t>CL2-408</t>
  </si>
  <si>
    <t>CL2-409</t>
  </si>
  <si>
    <t>CL2-410</t>
  </si>
  <si>
    <t>CL2-411</t>
  </si>
  <si>
    <t>CL2-412</t>
  </si>
  <si>
    <t>CL2-413</t>
  </si>
  <si>
    <t>CL2-414</t>
  </si>
  <si>
    <t>CL2-415</t>
  </si>
  <si>
    <t>CL2-416</t>
  </si>
  <si>
    <t>CL2-417</t>
  </si>
  <si>
    <t>CL2-418</t>
  </si>
  <si>
    <t>CL2-419</t>
  </si>
  <si>
    <t>CL2-420</t>
  </si>
  <si>
    <t>CL2-421</t>
  </si>
  <si>
    <t>CL2-422</t>
  </si>
  <si>
    <t>CL2-423</t>
  </si>
  <si>
    <t>CL2-424</t>
  </si>
  <si>
    <t>CL2-425</t>
  </si>
  <si>
    <t>CL2-426</t>
  </si>
  <si>
    <t>CL2-427</t>
  </si>
  <si>
    <t>CL2-428</t>
  </si>
  <si>
    <t>CL2-429</t>
  </si>
  <si>
    <t>CL2-430</t>
  </si>
  <si>
    <t>CL2-431</t>
  </si>
  <si>
    <t>CL2-432</t>
  </si>
  <si>
    <t>CL2-433</t>
  </si>
  <si>
    <t>CL2-434</t>
  </si>
  <si>
    <t>CL2-435</t>
  </si>
  <si>
    <t>CL2-436</t>
  </si>
  <si>
    <t>CL2-437</t>
  </si>
  <si>
    <t>CL2-438</t>
  </si>
  <si>
    <t>CL2-439</t>
  </si>
  <si>
    <t>CL2-440</t>
  </si>
  <si>
    <t>CL2-441</t>
  </si>
  <si>
    <t>CL2-442</t>
  </si>
  <si>
    <t>CL2-443</t>
  </si>
  <si>
    <t>CL2-444</t>
  </si>
  <si>
    <t>CL2-445</t>
  </si>
  <si>
    <t>CL2-446</t>
  </si>
  <si>
    <t>CL2-447</t>
  </si>
  <si>
    <t>CL2-448</t>
  </si>
  <si>
    <t>CL2-449</t>
  </si>
  <si>
    <t>CL2-450</t>
  </si>
  <si>
    <t>CL2-451</t>
  </si>
  <si>
    <t>CL2-452</t>
  </si>
  <si>
    <t>CL2-453</t>
  </si>
  <si>
    <t>CL2-454</t>
  </si>
  <si>
    <t>CL2-455</t>
  </si>
  <si>
    <t>CL2-456</t>
  </si>
  <si>
    <t>CL2-457</t>
  </si>
  <si>
    <t>CL2-458</t>
  </si>
  <si>
    <t>CL2-459</t>
  </si>
  <si>
    <t>CL2-460</t>
  </si>
  <si>
    <t>CL2-461</t>
  </si>
  <si>
    <t>CL2-462</t>
  </si>
  <si>
    <t>CL2-463</t>
  </si>
  <si>
    <t>CL2-464</t>
  </si>
  <si>
    <t>CL2-465</t>
  </si>
  <si>
    <t>CL2-466</t>
  </si>
  <si>
    <t>CL2-467</t>
  </si>
  <si>
    <t>CL2-468</t>
  </si>
  <si>
    <t>CL2-469</t>
  </si>
  <si>
    <t>CL2-470</t>
  </si>
  <si>
    <t>CL2-471</t>
  </si>
  <si>
    <t>CL2-472</t>
  </si>
  <si>
    <t>CL2-473</t>
  </si>
  <si>
    <t>CL2-474</t>
  </si>
  <si>
    <t>CL2-475</t>
  </si>
  <si>
    <t>CL2-476</t>
  </si>
  <si>
    <t>CL2-477</t>
  </si>
  <si>
    <t>CL2-478</t>
  </si>
  <si>
    <t>CL2-479</t>
  </si>
  <si>
    <t>CL2-480</t>
  </si>
  <si>
    <t>CL2-481</t>
  </si>
  <si>
    <t>CL2-482</t>
  </si>
  <si>
    <t>CL2-483</t>
  </si>
  <si>
    <t>CL2-484</t>
  </si>
  <si>
    <t>CL2-485</t>
  </si>
  <si>
    <t>CL2-486</t>
  </si>
  <si>
    <t>CL2-487</t>
  </si>
  <si>
    <t>SS-074</t>
  </si>
  <si>
    <t>Tobercurry 38kV Substation</t>
  </si>
  <si>
    <t>CL2-488</t>
  </si>
  <si>
    <t>CL2-489</t>
  </si>
  <si>
    <t>CL2-490</t>
  </si>
  <si>
    <t>CL2-491</t>
  </si>
  <si>
    <t>CL2-492</t>
  </si>
  <si>
    <t>CL2-493</t>
  </si>
  <si>
    <t>CL2-494</t>
  </si>
  <si>
    <t>CL2-495</t>
  </si>
  <si>
    <t>SS-031</t>
  </si>
  <si>
    <t>Sligo 110kV Substation</t>
  </si>
  <si>
    <t>CL2-496</t>
  </si>
  <si>
    <t>CL2-497</t>
  </si>
  <si>
    <t>CL2-498</t>
  </si>
  <si>
    <t>CL2-499</t>
  </si>
  <si>
    <t>CL2-500</t>
  </si>
  <si>
    <t>CL2-501</t>
  </si>
  <si>
    <t>CL2-502</t>
  </si>
  <si>
    <t>CL2-503</t>
  </si>
  <si>
    <t>CL2-504</t>
  </si>
  <si>
    <t>CL2-505</t>
  </si>
  <si>
    <t>CL2-506</t>
  </si>
  <si>
    <t>CL2-507</t>
  </si>
  <si>
    <t>CL2-509</t>
  </si>
  <si>
    <t>CL2-510</t>
  </si>
  <si>
    <t>SS-089</t>
  </si>
  <si>
    <t>Loughderryduff 38kV Substation</t>
  </si>
  <si>
    <t>CL2-511</t>
  </si>
  <si>
    <t>CL2-512</t>
  </si>
  <si>
    <t>CL2-513</t>
  </si>
  <si>
    <t>CL2-514</t>
  </si>
  <si>
    <t>CL2-515</t>
  </si>
  <si>
    <t>CL2-516</t>
  </si>
  <si>
    <t>CL2-517</t>
  </si>
  <si>
    <t>CL2-518</t>
  </si>
  <si>
    <t>CL2-519</t>
  </si>
  <si>
    <t>CL2-520</t>
  </si>
  <si>
    <t>CL2-521</t>
  </si>
  <si>
    <t>CL2-522</t>
  </si>
  <si>
    <t>CL2-523</t>
  </si>
  <si>
    <t>CL2-524</t>
  </si>
  <si>
    <t>CL2-525</t>
  </si>
  <si>
    <t>CL2-526</t>
  </si>
  <si>
    <t>CL2-527</t>
  </si>
  <si>
    <t>CL2-528</t>
  </si>
  <si>
    <t>CL2-529</t>
  </si>
  <si>
    <t>CL2-530</t>
  </si>
  <si>
    <t>CL2-531</t>
  </si>
  <si>
    <t>CL2-532</t>
  </si>
  <si>
    <t>CL2-533</t>
  </si>
  <si>
    <t>CL2-534</t>
  </si>
  <si>
    <t>SS-289</t>
  </si>
  <si>
    <t>Gweedore 38kV Substation</t>
  </si>
  <si>
    <t>CL2-535</t>
  </si>
  <si>
    <t>CL2-536</t>
  </si>
  <si>
    <t>CL2-537</t>
  </si>
  <si>
    <t>CL2-538</t>
  </si>
  <si>
    <t>CL2-539</t>
  </si>
  <si>
    <t>CL2-540</t>
  </si>
  <si>
    <t>CL2-541</t>
  </si>
  <si>
    <t>CL2-542</t>
  </si>
  <si>
    <t>CL2-543</t>
  </si>
  <si>
    <t>CL2-544</t>
  </si>
  <si>
    <t>CL2-545</t>
  </si>
  <si>
    <t>CL2-546</t>
  </si>
  <si>
    <t>CL2-547</t>
  </si>
  <si>
    <t>CL2-548</t>
  </si>
  <si>
    <t>CL2-549</t>
  </si>
  <si>
    <t>SS-128</t>
  </si>
  <si>
    <t>Garvagh Glebe 110kV Substation</t>
  </si>
  <si>
    <t>CL2-550</t>
  </si>
  <si>
    <t>CL2-551</t>
  </si>
  <si>
    <t>CL2-552</t>
  </si>
  <si>
    <t>CL2-553</t>
  </si>
  <si>
    <t>CL2-554</t>
  </si>
  <si>
    <t>SS-487</t>
  </si>
  <si>
    <t>Bagenalstown 38kV Substation</t>
  </si>
  <si>
    <t>CL2-555</t>
  </si>
  <si>
    <t>CL2-556</t>
  </si>
  <si>
    <t>CL2-557</t>
  </si>
  <si>
    <t>CL2-558</t>
  </si>
  <si>
    <t>CL2-559</t>
  </si>
  <si>
    <t>CL2-560</t>
  </si>
  <si>
    <t>CL2-561</t>
  </si>
  <si>
    <t>CL2-562</t>
  </si>
  <si>
    <t>CL2-563</t>
  </si>
  <si>
    <t>CL2-564</t>
  </si>
  <si>
    <t>CL2-565</t>
  </si>
  <si>
    <t>CL2-566</t>
  </si>
  <si>
    <t>CL2-567</t>
  </si>
  <si>
    <t>CL2-568</t>
  </si>
  <si>
    <t>CL2-569</t>
  </si>
  <si>
    <t>CL2-570</t>
  </si>
  <si>
    <t>CL2-571</t>
  </si>
  <si>
    <t>CL2-572</t>
  </si>
  <si>
    <t>CL2-573</t>
  </si>
  <si>
    <t>CL2-574</t>
  </si>
  <si>
    <t>CL2-575</t>
  </si>
  <si>
    <t>CL2-576</t>
  </si>
  <si>
    <t>CL2-577</t>
  </si>
  <si>
    <t>CL2-578</t>
  </si>
  <si>
    <t>CL2-579</t>
  </si>
  <si>
    <t>CL2-580</t>
  </si>
  <si>
    <t>CL2-581</t>
  </si>
  <si>
    <t>CL2-582</t>
  </si>
  <si>
    <t>SS-071</t>
  </si>
  <si>
    <t>Coomagearlahy Substation</t>
  </si>
  <si>
    <t>medium-low</t>
  </si>
  <si>
    <t>CL2-583</t>
  </si>
  <si>
    <t>CL2-584</t>
  </si>
  <si>
    <t>CL2-585</t>
  </si>
  <si>
    <t>CL2-586</t>
  </si>
  <si>
    <t>CL2-587</t>
  </si>
  <si>
    <t>CL2-588</t>
  </si>
  <si>
    <t>CL2-589</t>
  </si>
  <si>
    <t>CL2-590</t>
  </si>
  <si>
    <t>CL2-591</t>
  </si>
  <si>
    <t>CL2-592</t>
  </si>
  <si>
    <t>SS-394</t>
  </si>
  <si>
    <t>Kilberrihert 38kV Substation</t>
  </si>
  <si>
    <t>CL2-593</t>
  </si>
  <si>
    <t>CL2-594</t>
  </si>
  <si>
    <t>CL2-595</t>
  </si>
  <si>
    <t>CL2-596</t>
  </si>
  <si>
    <t>CL2-597</t>
  </si>
  <si>
    <t>SS-116</t>
  </si>
  <si>
    <t>Ardnacrusha 110kV Substation</t>
  </si>
  <si>
    <t>CL2-598</t>
  </si>
  <si>
    <t>CL2-599</t>
  </si>
  <si>
    <t>CL2-600</t>
  </si>
  <si>
    <t>SS-155</t>
  </si>
  <si>
    <t>Booltiagh 110kV Substation</t>
  </si>
  <si>
    <t>CL2-601</t>
  </si>
  <si>
    <t>SS-700</t>
  </si>
  <si>
    <t>Letteragh 38kV Substation</t>
  </si>
  <si>
    <t>CL2-602</t>
  </si>
  <si>
    <t>CL2-603</t>
  </si>
  <si>
    <t>CL2-604</t>
  </si>
  <si>
    <t>CL2-605</t>
  </si>
  <si>
    <t>CL2-606</t>
  </si>
  <si>
    <t>CL2-607</t>
  </si>
  <si>
    <t>CL2-608</t>
  </si>
  <si>
    <t>CL2-609</t>
  </si>
  <si>
    <t>CL2-610</t>
  </si>
  <si>
    <t>CL2-611</t>
  </si>
  <si>
    <t>CL2-612</t>
  </si>
  <si>
    <t>CL2-613</t>
  </si>
  <si>
    <t>CL2-614</t>
  </si>
  <si>
    <t>CL2-615</t>
  </si>
  <si>
    <t>CL2-616</t>
  </si>
  <si>
    <t>CL2-617</t>
  </si>
  <si>
    <t>CL2-618</t>
  </si>
  <si>
    <t>CL2-619</t>
  </si>
  <si>
    <t>CL2-620</t>
  </si>
  <si>
    <t>CL2-621</t>
  </si>
  <si>
    <t>CL2-622</t>
  </si>
  <si>
    <t>CL2-623</t>
  </si>
  <si>
    <t>CL2-624</t>
  </si>
  <si>
    <t>CL2-625</t>
  </si>
  <si>
    <t>CL2-626</t>
  </si>
  <si>
    <t>CL2-627</t>
  </si>
  <si>
    <t>CL2-628</t>
  </si>
  <si>
    <t>CL2-629</t>
  </si>
  <si>
    <t>CL2-630</t>
  </si>
  <si>
    <t>CL2-631</t>
  </si>
  <si>
    <t>CL2-632</t>
  </si>
  <si>
    <t>CL2-633</t>
  </si>
  <si>
    <t>CL2-634</t>
  </si>
  <si>
    <t>CL2-635</t>
  </si>
  <si>
    <t>CL2-636</t>
  </si>
  <si>
    <t>CL2-637</t>
  </si>
  <si>
    <t>CL2-638</t>
  </si>
  <si>
    <t>CL2-639</t>
  </si>
  <si>
    <t>CL2-640</t>
  </si>
  <si>
    <t>CL2-641</t>
  </si>
  <si>
    <t>SS-572</t>
  </si>
  <si>
    <t>Glenties 38kV Substation</t>
  </si>
  <si>
    <t>CL2-642</t>
  </si>
  <si>
    <t>CL2-643</t>
  </si>
  <si>
    <t>CL2-644</t>
  </si>
  <si>
    <t>CL2-645</t>
  </si>
  <si>
    <t>CL2-646</t>
  </si>
  <si>
    <t>SS-015</t>
  </si>
  <si>
    <t>Letterkenny 110kV Station</t>
  </si>
  <si>
    <t>CL2-647</t>
  </si>
  <si>
    <t>CL2-648</t>
  </si>
  <si>
    <t>CL2-649</t>
  </si>
  <si>
    <t>CL2-650</t>
  </si>
  <si>
    <t>CL2-651</t>
  </si>
  <si>
    <t>CL2-652</t>
  </si>
  <si>
    <t>CL2-653</t>
  </si>
  <si>
    <t>CL2-654</t>
  </si>
  <si>
    <t>CL2-655</t>
  </si>
  <si>
    <t>SS-130</t>
  </si>
  <si>
    <t>An Spid├®al 38kV Substation</t>
  </si>
  <si>
    <t>CL2-656</t>
  </si>
  <si>
    <t>CL2-657</t>
  </si>
  <si>
    <t>CL2-658</t>
  </si>
  <si>
    <t>CL2-659</t>
  </si>
  <si>
    <t>CL2-660</t>
  </si>
  <si>
    <t>SS-661</t>
  </si>
  <si>
    <t>Knockranny 110kV Substation</t>
  </si>
  <si>
    <t>CL2-661</t>
  </si>
  <si>
    <t>CL2-662</t>
  </si>
  <si>
    <t>CL2-663</t>
  </si>
  <si>
    <t>CL2-664</t>
  </si>
  <si>
    <t>CL2-665</t>
  </si>
  <si>
    <t>CL2-666</t>
  </si>
  <si>
    <t>CL2-667</t>
  </si>
  <si>
    <t>CL2-668</t>
  </si>
  <si>
    <t>CL2-669</t>
  </si>
  <si>
    <t>CL2-670</t>
  </si>
  <si>
    <t>SS-507</t>
  </si>
  <si>
    <t>Kilcloher 38kV Substation</t>
  </si>
  <si>
    <t>CL2-671</t>
  </si>
  <si>
    <t>CL2-672</t>
  </si>
  <si>
    <t>CL2-673</t>
  </si>
  <si>
    <t>CL2-674</t>
  </si>
  <si>
    <t>CL2-675</t>
  </si>
  <si>
    <t>CL2-676</t>
  </si>
  <si>
    <t>CL2-677</t>
  </si>
  <si>
    <t>CL2-678</t>
  </si>
  <si>
    <t>CL2-679</t>
  </si>
  <si>
    <t>CL2-680</t>
  </si>
  <si>
    <t>CL2-681</t>
  </si>
  <si>
    <t>CL2-682</t>
  </si>
  <si>
    <t>SS-583</t>
  </si>
  <si>
    <t>Castletownroche 38kV Substation</t>
  </si>
  <si>
    <t>CL2-683</t>
  </si>
  <si>
    <t>CL2-684</t>
  </si>
  <si>
    <t>CL2-685</t>
  </si>
  <si>
    <t>CL2-686</t>
  </si>
  <si>
    <t>CL2-687</t>
  </si>
  <si>
    <t>CL2-688</t>
  </si>
  <si>
    <t>CL2-689</t>
  </si>
  <si>
    <t>CL2-690</t>
  </si>
  <si>
    <t>SS-295</t>
  </si>
  <si>
    <t>Doon 110kV Substation</t>
  </si>
  <si>
    <t>CL2-691</t>
  </si>
  <si>
    <t>CL2-692</t>
  </si>
  <si>
    <t>CL2-693</t>
  </si>
  <si>
    <t>CL2-694</t>
  </si>
  <si>
    <t>CL2-695</t>
  </si>
  <si>
    <t>SS-433</t>
  </si>
  <si>
    <t>Lee Bridge 38kV Substation</t>
  </si>
  <si>
    <t>CL2-696</t>
  </si>
  <si>
    <t>SS-538</t>
  </si>
  <si>
    <t>Galmoy 38kV Substation</t>
  </si>
  <si>
    <t>CL2-697</t>
  </si>
  <si>
    <t>CL2-698</t>
  </si>
  <si>
    <t>CL2-699</t>
  </si>
  <si>
    <t>CL2-700</t>
  </si>
  <si>
    <t>CL2-701</t>
  </si>
  <si>
    <t>SS-103</t>
  </si>
  <si>
    <t>Claregalway 38kV Substation</t>
  </si>
  <si>
    <t>CL2-702</t>
  </si>
  <si>
    <t>CL2-703</t>
  </si>
  <si>
    <t>CL2-704</t>
  </si>
  <si>
    <t>CL2-705</t>
  </si>
  <si>
    <t>CL2-706</t>
  </si>
  <si>
    <t>CL2-707</t>
  </si>
  <si>
    <t>CL2-708</t>
  </si>
  <si>
    <t>CL2-709</t>
  </si>
  <si>
    <t>CL2-710</t>
  </si>
  <si>
    <t>CL2-711</t>
  </si>
  <si>
    <t>CL2-712</t>
  </si>
  <si>
    <t>CL2-713</t>
  </si>
  <si>
    <t>CL2-714</t>
  </si>
  <si>
    <t>CL2-715</t>
  </si>
  <si>
    <t>CL2-716</t>
  </si>
  <si>
    <t>CL2-717</t>
  </si>
  <si>
    <t>CL2-718</t>
  </si>
  <si>
    <t>CL2-719</t>
  </si>
  <si>
    <t>CL2-720</t>
  </si>
  <si>
    <t>CL2-721</t>
  </si>
  <si>
    <t>CL2-722</t>
  </si>
  <si>
    <t>CL2-723</t>
  </si>
  <si>
    <t>SS-032</t>
  </si>
  <si>
    <t>Mallow 110kV Substation</t>
  </si>
  <si>
    <t>CL2-724</t>
  </si>
  <si>
    <t>SS-034</t>
  </si>
  <si>
    <t>Athy 110kV Substation</t>
  </si>
  <si>
    <t>CL2-725</t>
  </si>
  <si>
    <t>SS-483</t>
  </si>
  <si>
    <t>Birdhill 38kV Substation</t>
  </si>
  <si>
    <t>CL2-726</t>
  </si>
  <si>
    <t>SS-602</t>
  </si>
  <si>
    <t>Avoca 38kV Substation</t>
  </si>
  <si>
    <t>CL2-727</t>
  </si>
  <si>
    <t>CL2-728</t>
  </si>
  <si>
    <t>CL2-729</t>
  </si>
  <si>
    <t>CL2-730</t>
  </si>
  <si>
    <t>SS-669</t>
  </si>
  <si>
    <t>38kV Substation</t>
  </si>
  <si>
    <t>CL2-731</t>
  </si>
  <si>
    <t>CL2-732</t>
  </si>
  <si>
    <t>CL2-733</t>
  </si>
  <si>
    <t>CL2-734</t>
  </si>
  <si>
    <t>CL2-735</t>
  </si>
  <si>
    <t>CL2-736</t>
  </si>
  <si>
    <t>CL2-737</t>
  </si>
  <si>
    <t>CL2-738</t>
  </si>
  <si>
    <t>CL2-739</t>
  </si>
  <si>
    <t>CL2-740</t>
  </si>
  <si>
    <t>CL2-741</t>
  </si>
  <si>
    <t>CL2-742</t>
  </si>
  <si>
    <t>CL2-743</t>
  </si>
  <si>
    <t>CL2-744</t>
  </si>
  <si>
    <t>CL2-745</t>
  </si>
  <si>
    <t>CL2-746</t>
  </si>
  <si>
    <t>CL2-747</t>
  </si>
  <si>
    <t>CL2-748</t>
  </si>
  <si>
    <t>CL2-749</t>
  </si>
  <si>
    <t>CL2-750</t>
  </si>
  <si>
    <t>CL2-751</t>
  </si>
  <si>
    <t>CL2-752</t>
  </si>
  <si>
    <t>SS-173</t>
  </si>
  <si>
    <t>Charlestown 38kV Substation</t>
  </si>
  <si>
    <t>CL2-753</t>
  </si>
  <si>
    <t>CL2-754</t>
  </si>
  <si>
    <t>CL2-755</t>
  </si>
  <si>
    <t>CL2-756</t>
  </si>
  <si>
    <t>CL2-757</t>
  </si>
  <si>
    <t>CL2-758</t>
  </si>
  <si>
    <t>CL2-759</t>
  </si>
  <si>
    <t>CL2-760</t>
  </si>
  <si>
    <t>SS-574</t>
  </si>
  <si>
    <t>Convoy 38kV Substation</t>
  </si>
  <si>
    <t>CL2-761</t>
  </si>
  <si>
    <t>CL2-762</t>
  </si>
  <si>
    <t>SS-139</t>
  </si>
  <si>
    <t>Gortlee 38kV Substation</t>
  </si>
  <si>
    <t>CL2-763</t>
  </si>
  <si>
    <t>CL2-764</t>
  </si>
  <si>
    <t>CL2-765</t>
  </si>
  <si>
    <t>CL2-766</t>
  </si>
  <si>
    <t>CL2-767</t>
  </si>
  <si>
    <t>CL3-001</t>
  </si>
  <si>
    <t>CL3-002</t>
  </si>
  <si>
    <t>CL3-003</t>
  </si>
  <si>
    <t>SS-493</t>
  </si>
  <si>
    <t>Enniscorthy 38kV Substation</t>
  </si>
  <si>
    <t>CL3-005</t>
  </si>
  <si>
    <t>CL3-006</t>
  </si>
  <si>
    <t>CL3-007</t>
  </si>
  <si>
    <t>CL3-008</t>
  </si>
  <si>
    <t>SS-144</t>
  </si>
  <si>
    <t>Monateen 110kV Substation</t>
  </si>
  <si>
    <t>CL3-009</t>
  </si>
  <si>
    <t>SS-176</t>
  </si>
  <si>
    <t>Shannon 38kV Substation</t>
  </si>
  <si>
    <t>CL3-010</t>
  </si>
  <si>
    <t>SS-673</t>
  </si>
  <si>
    <t>Drumquin 38kV Substation</t>
  </si>
  <si>
    <t>CL3-011</t>
  </si>
  <si>
    <t>CL3-012</t>
  </si>
  <si>
    <t>SS-300</t>
  </si>
  <si>
    <t>Lisheen 110kV Substation</t>
  </si>
  <si>
    <t>CL3-013</t>
  </si>
  <si>
    <t>CL3-014</t>
  </si>
  <si>
    <t>CL3-015</t>
  </si>
  <si>
    <t>SS-590</t>
  </si>
  <si>
    <t>Bruff 38kV Substation</t>
  </si>
  <si>
    <t>CL3-016</t>
  </si>
  <si>
    <t>CL3-017</t>
  </si>
  <si>
    <t>SS-141</t>
  </si>
  <si>
    <t>Ennis North 38kV Substation</t>
  </si>
  <si>
    <t>CL3-018</t>
  </si>
  <si>
    <t>SS-012</t>
  </si>
  <si>
    <t>Ennis 110kV Substation</t>
  </si>
  <si>
    <t>CL3-019</t>
  </si>
  <si>
    <t>CL3-020</t>
  </si>
  <si>
    <t>SS-439</t>
  </si>
  <si>
    <t>Loughrea 38kV Substation</t>
  </si>
  <si>
    <t>CL3-021</t>
  </si>
  <si>
    <t>SS-502</t>
  </si>
  <si>
    <t>Ballinasloe 38kV Substation</t>
  </si>
  <si>
    <t>CL3-022</t>
  </si>
  <si>
    <t>SS-269</t>
  </si>
  <si>
    <t>Shannonbridge 110kV Substation</t>
  </si>
  <si>
    <t>CL3-023</t>
  </si>
  <si>
    <t>CL3-024</t>
  </si>
  <si>
    <t>CL3-025</t>
  </si>
  <si>
    <t>CL3-026</t>
  </si>
  <si>
    <t>CL3-027</t>
  </si>
  <si>
    <t>SS-701</t>
  </si>
  <si>
    <t>Clarkstown 38kV Substation</t>
  </si>
  <si>
    <t>CL3-028</t>
  </si>
  <si>
    <t>LONGFORD</t>
  </si>
  <si>
    <t>SS-575</t>
  </si>
  <si>
    <t>Aghamore 38kV Substation</t>
  </si>
  <si>
    <t>CL3-029</t>
  </si>
  <si>
    <t>CL3-030</t>
  </si>
  <si>
    <t>KILDARE</t>
  </si>
  <si>
    <t>SS-657</t>
  </si>
  <si>
    <t>Edenderry 38kV Substation</t>
  </si>
  <si>
    <t>CL3-031</t>
  </si>
  <si>
    <t>SS-216</t>
  </si>
  <si>
    <t>Blake 110kV Substation</t>
  </si>
  <si>
    <t>CL3-032</t>
  </si>
  <si>
    <t>CL3-033</t>
  </si>
  <si>
    <t>SS-530</t>
  </si>
  <si>
    <t>Esker 110kV Substation</t>
  </si>
  <si>
    <t>CL3-034</t>
  </si>
  <si>
    <t>SS-168</t>
  </si>
  <si>
    <t>Derryiron 110kV Substation</t>
  </si>
  <si>
    <t>CL3-035</t>
  </si>
  <si>
    <t>CL3-036</t>
  </si>
  <si>
    <t>CL3-037</t>
  </si>
  <si>
    <t>SS-053</t>
  </si>
  <si>
    <t>Ikerrin 110kV Substation</t>
  </si>
  <si>
    <t>CL3-038</t>
  </si>
  <si>
    <t>SS-228</t>
  </si>
  <si>
    <t>Dunfierth 110kV Substation</t>
  </si>
  <si>
    <t>CL3-039</t>
  </si>
  <si>
    <t>CL3-040</t>
  </si>
  <si>
    <t>SS-544</t>
  </si>
  <si>
    <t>Ballybailie 38kV Substation</t>
  </si>
  <si>
    <t>CL3-041</t>
  </si>
  <si>
    <t>CL3-042</t>
  </si>
  <si>
    <t>CL3-043</t>
  </si>
  <si>
    <t>SS-175</t>
  </si>
  <si>
    <t>Ballygar 38kV Substation</t>
  </si>
  <si>
    <t>CL3-044</t>
  </si>
  <si>
    <t>SS-229</t>
  </si>
  <si>
    <t>Mullingar 110kV Substation</t>
  </si>
  <si>
    <t>CL3-045</t>
  </si>
  <si>
    <t>CL3-046</t>
  </si>
  <si>
    <t>CL3-047</t>
  </si>
  <si>
    <t>CL3-048</t>
  </si>
  <si>
    <t>CL3-049</t>
  </si>
  <si>
    <t>CL3-050</t>
  </si>
  <si>
    <t>SS-551</t>
  </si>
  <si>
    <t>Dallow 110kV Substation</t>
  </si>
  <si>
    <t>CL3-051</t>
  </si>
  <si>
    <t>CL3-052</t>
  </si>
  <si>
    <t>SS-652</t>
  </si>
  <si>
    <t>Garrycastle 38kV Substation</t>
  </si>
  <si>
    <t>CL3-053</t>
  </si>
  <si>
    <t>CL3-054</t>
  </si>
  <si>
    <t>CL3-055</t>
  </si>
  <si>
    <t>CL3-056</t>
  </si>
  <si>
    <t>CL3-057</t>
  </si>
  <si>
    <t>CL3-058</t>
  </si>
  <si>
    <t>SS-098</t>
  </si>
  <si>
    <t>Callan 38kV Substation</t>
  </si>
  <si>
    <t>CL3-059</t>
  </si>
  <si>
    <t>CL3-060</t>
  </si>
  <si>
    <t>SS-459</t>
  </si>
  <si>
    <t>Ballycrossaun 38kV Substation</t>
  </si>
  <si>
    <t>CL3-061</t>
  </si>
  <si>
    <t>SS-325</t>
  </si>
  <si>
    <t>Kyleeragh 38kV Substation</t>
  </si>
  <si>
    <t>CL3-062</t>
  </si>
  <si>
    <t>CL3-063</t>
  </si>
  <si>
    <t>CL3-064</t>
  </si>
  <si>
    <t>CL3-065</t>
  </si>
  <si>
    <t>CL3-066</t>
  </si>
  <si>
    <t>SS-236</t>
  </si>
  <si>
    <t>Creagh 38kV Substation</t>
  </si>
  <si>
    <t>CL3-067</t>
  </si>
  <si>
    <t>SS-594</t>
  </si>
  <si>
    <t>Kill Hill 110kV Substation</t>
  </si>
  <si>
    <t>CL3-068</t>
  </si>
  <si>
    <t>CL3-069</t>
  </si>
  <si>
    <t>CL3-070</t>
  </si>
  <si>
    <t>SS-464</t>
  </si>
  <si>
    <t>Rathdowney 38kV Substation</t>
  </si>
  <si>
    <t>CL3-071</t>
  </si>
  <si>
    <t>CL3-072</t>
  </si>
  <si>
    <t>CL3-073</t>
  </si>
  <si>
    <t>SS-231</t>
  </si>
  <si>
    <t>Lumcloon 38kV Substation</t>
  </si>
  <si>
    <t>CL3-074</t>
  </si>
  <si>
    <t>CL3-075</t>
  </si>
  <si>
    <t>SS-104</t>
  </si>
  <si>
    <t>Athenry 38kV Substation</t>
  </si>
  <si>
    <t>CL3-076</t>
  </si>
  <si>
    <t>CL3-077</t>
  </si>
  <si>
    <t>SS-402</t>
  </si>
  <si>
    <t>Rathgoggan 38kV Substation</t>
  </si>
  <si>
    <t>CL3-078</t>
  </si>
  <si>
    <t>CL3-079</t>
  </si>
  <si>
    <t>CL3-080</t>
  </si>
  <si>
    <t>CL3-081</t>
  </si>
  <si>
    <t>SS-235</t>
  </si>
  <si>
    <t>Lisheeny 38kV Substation</t>
  </si>
  <si>
    <t>CL3-082</t>
  </si>
  <si>
    <t>SS-052</t>
  </si>
  <si>
    <t>Moate 38kV Substation</t>
  </si>
  <si>
    <t>CL3-083</t>
  </si>
  <si>
    <t>CL3-084</t>
  </si>
  <si>
    <t>CL3-085</t>
  </si>
  <si>
    <t>CL3-086</t>
  </si>
  <si>
    <t>SS-149</t>
  </si>
  <si>
    <t>Tulla 38kV Substation</t>
  </si>
  <si>
    <t>CL3-087</t>
  </si>
  <si>
    <t>CL3-088</t>
  </si>
  <si>
    <t>CL3-089</t>
  </si>
  <si>
    <t>SS-581</t>
  </si>
  <si>
    <t>Coolcarron 38kV Substation</t>
  </si>
  <si>
    <t>CL3-090</t>
  </si>
  <si>
    <t>CL3-091</t>
  </si>
  <si>
    <t>SS-541</t>
  </si>
  <si>
    <t>Roscrea 38kV Substation</t>
  </si>
  <si>
    <t>CL3-092</t>
  </si>
  <si>
    <t>CL3-093</t>
  </si>
  <si>
    <t>SS-468</t>
  </si>
  <si>
    <t>Clara 38kV Substation</t>
  </si>
  <si>
    <t>CL3-094</t>
  </si>
  <si>
    <t>SS-606</t>
  </si>
  <si>
    <t>Castlelyons 38kV Substation</t>
  </si>
  <si>
    <t>CL3-095</t>
  </si>
  <si>
    <t>CL3-096</t>
  </si>
  <si>
    <t>SS-666</t>
  </si>
  <si>
    <t>CL3-097</t>
  </si>
  <si>
    <t>CL3-098</t>
  </si>
  <si>
    <t>SS-469</t>
  </si>
  <si>
    <t>Portarlington 38kV Substation</t>
  </si>
  <si>
    <t>CL3-099</t>
  </si>
  <si>
    <t>CL3-100</t>
  </si>
  <si>
    <t>SS-035</t>
  </si>
  <si>
    <t>Athy South 38kV Substation</t>
  </si>
  <si>
    <t>CL3-101</t>
  </si>
  <si>
    <t>CL3-102</t>
  </si>
  <si>
    <t>CL3-103</t>
  </si>
  <si>
    <t>SS-311</t>
  </si>
  <si>
    <t>Clonminch 38kV Substation</t>
  </si>
  <si>
    <t>CL3-104</t>
  </si>
  <si>
    <t>CL3-105</t>
  </si>
  <si>
    <t>CL3-106</t>
  </si>
  <si>
    <t>CL3-107</t>
  </si>
  <si>
    <t>CL3-108</t>
  </si>
  <si>
    <t>CL3-109</t>
  </si>
  <si>
    <t>SS-255</t>
  </si>
  <si>
    <t>Cloonlough 38kV Substation</t>
  </si>
  <si>
    <t>CL3-110</t>
  </si>
  <si>
    <t>SS-320</t>
  </si>
  <si>
    <t>CL3-111</t>
  </si>
  <si>
    <t>CL3-112</t>
  </si>
  <si>
    <t>CL3-113</t>
  </si>
  <si>
    <t>CL3-114</t>
  </si>
  <si>
    <t>CL3-115</t>
  </si>
  <si>
    <t>CL3-116</t>
  </si>
  <si>
    <t>CL3-117</t>
  </si>
  <si>
    <t>CL3-118</t>
  </si>
  <si>
    <t>SS-683</t>
  </si>
  <si>
    <t>Monksland 38kV Substation</t>
  </si>
  <si>
    <t>CL3-119</t>
  </si>
  <si>
    <t>SS-066</t>
  </si>
  <si>
    <t>Thornsberry 110kV Substation</t>
  </si>
  <si>
    <t>CL3-120</t>
  </si>
  <si>
    <t>CL3-121</t>
  </si>
  <si>
    <t>CL3-122</t>
  </si>
  <si>
    <t>CL3-123</t>
  </si>
  <si>
    <t>SS-217</t>
  </si>
  <si>
    <t>Port Laoise 110kV Substation</t>
  </si>
  <si>
    <t>CL3-124</t>
  </si>
  <si>
    <t>SS-275</t>
  </si>
  <si>
    <t>Mountrath ESB Telecoms 38kV Radio Site</t>
  </si>
  <si>
    <t>CL3-125</t>
  </si>
  <si>
    <t>CL3-126</t>
  </si>
  <si>
    <t>SS-244</t>
  </si>
  <si>
    <t>Cartrontroy 38kV Substation</t>
  </si>
  <si>
    <t>CL3-127</t>
  </si>
  <si>
    <t>CL3-128</t>
  </si>
  <si>
    <t>CL3-129</t>
  </si>
  <si>
    <t>CL3-130</t>
  </si>
  <si>
    <t>CL3-131</t>
  </si>
  <si>
    <t>SS-340</t>
  </si>
  <si>
    <t>Milford 38kV Substation</t>
  </si>
  <si>
    <t>CL3-132</t>
  </si>
  <si>
    <t>CL3-133</t>
  </si>
  <si>
    <t>CL3-134</t>
  </si>
  <si>
    <t>CL3-135</t>
  </si>
  <si>
    <t>SS-348</t>
  </si>
  <si>
    <t>Furle 38kV Substation</t>
  </si>
  <si>
    <t>CL3-136</t>
  </si>
  <si>
    <t>SS-040</t>
  </si>
  <si>
    <t>Deerpark 38kV Substation</t>
  </si>
  <si>
    <t>CL3-137</t>
  </si>
  <si>
    <t>CL3-138</t>
  </si>
  <si>
    <t>CL3-139</t>
  </si>
  <si>
    <t>CL3-140</t>
  </si>
  <si>
    <t>CL3-141</t>
  </si>
  <si>
    <t>SS-706</t>
  </si>
  <si>
    <t>Scartaglin 38kV Substation</t>
  </si>
  <si>
    <t>CL3-142</t>
  </si>
  <si>
    <t>CL3-143</t>
  </si>
  <si>
    <t>CL3-144</t>
  </si>
  <si>
    <t>CL3-145</t>
  </si>
  <si>
    <t>CL3-146</t>
  </si>
  <si>
    <t>CL3-147</t>
  </si>
  <si>
    <t>CL3-148</t>
  </si>
  <si>
    <t>CL3-149</t>
  </si>
  <si>
    <t>CL3-150</t>
  </si>
  <si>
    <t>CL3-151</t>
  </si>
  <si>
    <t>CL3-152</t>
  </si>
  <si>
    <t>SS-171</t>
  </si>
  <si>
    <t>Castlerea 38kV Substation</t>
  </si>
  <si>
    <t>CL3-153</t>
  </si>
  <si>
    <t>CL3-154</t>
  </si>
  <si>
    <t>SS-048</t>
  </si>
  <si>
    <t>Roosky 38kV Substation</t>
  </si>
  <si>
    <t>CL3-155</t>
  </si>
  <si>
    <t>SS-158</t>
  </si>
  <si>
    <t>Gilra 110kV Substation</t>
  </si>
  <si>
    <t>CL3-156</t>
  </si>
  <si>
    <t>CL3-157</t>
  </si>
  <si>
    <t>CL3-158</t>
  </si>
  <si>
    <t>SS-202</t>
  </si>
  <si>
    <t>Kiltimagh 38kV Substation</t>
  </si>
  <si>
    <t>CL3-159</t>
  </si>
  <si>
    <t>CL3-160</t>
  </si>
  <si>
    <t>CL3-161</t>
  </si>
  <si>
    <t>SS-208</t>
  </si>
  <si>
    <t>Ballyhaunis 38kV Substation</t>
  </si>
  <si>
    <t>CL3-162</t>
  </si>
  <si>
    <t>CL3-163</t>
  </si>
  <si>
    <t>SS-563</t>
  </si>
  <si>
    <t>Ballymahon 38kV Substation</t>
  </si>
  <si>
    <t>CL3-164</t>
  </si>
  <si>
    <t>CL3-165</t>
  </si>
  <si>
    <t>CL3-166</t>
  </si>
  <si>
    <t>CL3-167</t>
  </si>
  <si>
    <t>CL3-168</t>
  </si>
  <si>
    <t>SS-124</t>
  </si>
  <si>
    <t>Roscommon 38kV Substation</t>
  </si>
  <si>
    <t>CL3-169</t>
  </si>
  <si>
    <t>CL3-170</t>
  </si>
  <si>
    <t>SS-247</t>
  </si>
  <si>
    <t>Edgeworthstown 38kV Substation</t>
  </si>
  <si>
    <t>CL3-171</t>
  </si>
  <si>
    <t>CL3-172</t>
  </si>
  <si>
    <t>CL3-173</t>
  </si>
  <si>
    <t>CL3-174</t>
  </si>
  <si>
    <t>SS-067</t>
  </si>
  <si>
    <t>Finnea 38kV Substation</t>
  </si>
  <si>
    <t>CL3-175</t>
  </si>
  <si>
    <t>CL3-176</t>
  </si>
  <si>
    <t>CL3-177</t>
  </si>
  <si>
    <t>CL3-178</t>
  </si>
  <si>
    <t>CL3-179</t>
  </si>
  <si>
    <t>CL3-180</t>
  </si>
  <si>
    <t>SS-543</t>
  </si>
  <si>
    <t>Lisnamuck 38kV Substation</t>
  </si>
  <si>
    <t>CL3-181</t>
  </si>
  <si>
    <t>SS-081</t>
  </si>
  <si>
    <t>Killeshandra 38kV Substation</t>
  </si>
  <si>
    <t>CL3-182</t>
  </si>
  <si>
    <t>MONAGHAN</t>
  </si>
  <si>
    <t>SS-428</t>
  </si>
  <si>
    <t>Clones 38kV Substation</t>
  </si>
  <si>
    <t>CL3-183</t>
  </si>
  <si>
    <t>SS-526</t>
  </si>
  <si>
    <t>Newbrook 38kV Substation</t>
  </si>
  <si>
    <t>CL3-184</t>
  </si>
  <si>
    <t>CL3-185</t>
  </si>
  <si>
    <t>CL3-186</t>
  </si>
  <si>
    <t>SS-375</t>
  </si>
  <si>
    <t>Kells Business Park 38kV Substation</t>
  </si>
  <si>
    <t>CL3-187</t>
  </si>
  <si>
    <t>SS-521</t>
  </si>
  <si>
    <t>Kingscourt 38kV Substation</t>
  </si>
  <si>
    <t>CL3-188</t>
  </si>
  <si>
    <t>CL3-189</t>
  </si>
  <si>
    <t>SS-460</t>
  </si>
  <si>
    <t>Julianstown 38kV Substation</t>
  </si>
  <si>
    <t>CL3-190</t>
  </si>
  <si>
    <t>SS-518</t>
  </si>
  <si>
    <t>Athboy 38kV Substation</t>
  </si>
  <si>
    <t>CL3-191</t>
  </si>
  <si>
    <t>SS-044</t>
  </si>
  <si>
    <t>Richmond 110kV Substation</t>
  </si>
  <si>
    <t>CL3-192</t>
  </si>
  <si>
    <t>CL3-193</t>
  </si>
  <si>
    <t>CL3-194</t>
  </si>
  <si>
    <t>CL3-195</t>
  </si>
  <si>
    <t>CL3-196</t>
  </si>
  <si>
    <t>CL3-197</t>
  </si>
  <si>
    <t>SS-268</t>
  </si>
  <si>
    <t>Lanesborough 110kV Substation</t>
  </si>
  <si>
    <t>CL3-198</t>
  </si>
  <si>
    <t>SS-547</t>
  </si>
  <si>
    <t>Emyvale 38kV Substation</t>
  </si>
  <si>
    <t>CL3-199</t>
  </si>
  <si>
    <t>CL3-200</t>
  </si>
  <si>
    <t>CL3-201</t>
  </si>
  <si>
    <t>CL3-202</t>
  </si>
  <si>
    <t>CL3-203</t>
  </si>
  <si>
    <t>CL3-204</t>
  </si>
  <si>
    <t>CL3-205</t>
  </si>
  <si>
    <t>CL3-206</t>
  </si>
  <si>
    <t>CL3-207</t>
  </si>
  <si>
    <t>CL3-208</t>
  </si>
  <si>
    <t>CL3-209</t>
  </si>
  <si>
    <t>CL3-210</t>
  </si>
  <si>
    <t>CL3-211</t>
  </si>
  <si>
    <t>CL3-212</t>
  </si>
  <si>
    <t>CL3-213</t>
  </si>
  <si>
    <t>CL3-214</t>
  </si>
  <si>
    <t>CL3-215</t>
  </si>
  <si>
    <t>SS-232</t>
  </si>
  <si>
    <t>Bushfield 38kV Substation</t>
  </si>
  <si>
    <t>CL3-216</t>
  </si>
  <si>
    <t>CL3-217</t>
  </si>
  <si>
    <t>CL3-218</t>
  </si>
  <si>
    <t>CL3-219</t>
  </si>
  <si>
    <t>CL3-220</t>
  </si>
  <si>
    <t>CL3-221</t>
  </si>
  <si>
    <t>CL3-222</t>
  </si>
  <si>
    <t>CL3-223</t>
  </si>
  <si>
    <t>CL3-224</t>
  </si>
  <si>
    <t>CL3-225</t>
  </si>
  <si>
    <t>CL3-226</t>
  </si>
  <si>
    <t>CL3-227</t>
  </si>
  <si>
    <t>CL3-228</t>
  </si>
  <si>
    <t>CL3-229</t>
  </si>
  <si>
    <t>CL3-230</t>
  </si>
  <si>
    <t>CL3-231</t>
  </si>
  <si>
    <t>CL3-232</t>
  </si>
  <si>
    <t>CL3-233</t>
  </si>
  <si>
    <t>CL3-234</t>
  </si>
  <si>
    <t>CL3-235</t>
  </si>
  <si>
    <t>CL3-236</t>
  </si>
  <si>
    <t>CL3-237</t>
  </si>
  <si>
    <t>CL3-238</t>
  </si>
  <si>
    <t>CL3-239</t>
  </si>
  <si>
    <t>CL3-240</t>
  </si>
  <si>
    <t>CL3-241</t>
  </si>
  <si>
    <t>CL3-242</t>
  </si>
  <si>
    <t>CL3-243</t>
  </si>
  <si>
    <t>CL3-244</t>
  </si>
  <si>
    <t>CL3-245</t>
  </si>
  <si>
    <t>CL3-246</t>
  </si>
  <si>
    <t>CL3-247</t>
  </si>
  <si>
    <t>CL3-248</t>
  </si>
  <si>
    <t>CL3-249</t>
  </si>
  <si>
    <t>CL3-250</t>
  </si>
  <si>
    <t>CL3-251</t>
  </si>
  <si>
    <t>CL3-252</t>
  </si>
  <si>
    <t>CL3-253</t>
  </si>
  <si>
    <t>CL3-254</t>
  </si>
  <si>
    <t>CL3-255</t>
  </si>
  <si>
    <t>CL3-256</t>
  </si>
  <si>
    <t>CL3-257</t>
  </si>
  <si>
    <t>CL3-258</t>
  </si>
  <si>
    <t>CL3-259</t>
  </si>
  <si>
    <t>CL3-260</t>
  </si>
  <si>
    <t>CL3-261</t>
  </si>
  <si>
    <t>CL3-262</t>
  </si>
  <si>
    <t>CL3-263</t>
  </si>
  <si>
    <t>CL3-264</t>
  </si>
  <si>
    <t>CL3-265</t>
  </si>
  <si>
    <t>CL3-266</t>
  </si>
  <si>
    <t>CL3-267</t>
  </si>
  <si>
    <t>CL3-268</t>
  </si>
  <si>
    <t>CL3-269</t>
  </si>
  <si>
    <t>CL3-270</t>
  </si>
  <si>
    <t>CL3-271</t>
  </si>
  <si>
    <t>CL3-272</t>
  </si>
  <si>
    <t>CL3-273</t>
  </si>
  <si>
    <t>CL3-274</t>
  </si>
  <si>
    <t>CL3-275</t>
  </si>
  <si>
    <t>CL3-276</t>
  </si>
  <si>
    <t>CL3-277</t>
  </si>
  <si>
    <t>CL3-278</t>
  </si>
  <si>
    <t>CL3-279</t>
  </si>
  <si>
    <t>CL3-280</t>
  </si>
  <si>
    <t>CL3-281</t>
  </si>
  <si>
    <t>CL3-282</t>
  </si>
  <si>
    <t>CL3-283</t>
  </si>
  <si>
    <t>CL3-284</t>
  </si>
  <si>
    <t>CL3-285</t>
  </si>
  <si>
    <t>CL3-286</t>
  </si>
  <si>
    <t>CL3-287</t>
  </si>
  <si>
    <t>CL3-288</t>
  </si>
  <si>
    <t>CL3-289</t>
  </si>
  <si>
    <t>CL3-290</t>
  </si>
  <si>
    <t>CL3-291</t>
  </si>
  <si>
    <t>CL3-292</t>
  </si>
  <si>
    <t>CL3-293</t>
  </si>
  <si>
    <t>CL3-294</t>
  </si>
  <si>
    <t>CL3-295</t>
  </si>
  <si>
    <t>CL3-296</t>
  </si>
  <si>
    <t>CL3-297</t>
  </si>
  <si>
    <t>CL3-298</t>
  </si>
  <si>
    <t>CL3-299</t>
  </si>
  <si>
    <t>CL3-300</t>
  </si>
  <si>
    <t>CL3-301</t>
  </si>
  <si>
    <t>CL3-302</t>
  </si>
  <si>
    <t>CL3-303</t>
  </si>
  <si>
    <t>CL3-304</t>
  </si>
  <si>
    <t>CL3-305</t>
  </si>
  <si>
    <t>CL3-306</t>
  </si>
  <si>
    <t>CL3-307</t>
  </si>
  <si>
    <t>CL3-308</t>
  </si>
  <si>
    <t>CL3-309</t>
  </si>
  <si>
    <t>CL3-310</t>
  </si>
  <si>
    <t>CL3-311</t>
  </si>
  <si>
    <t>CL3-312</t>
  </si>
  <si>
    <t>CL3-313</t>
  </si>
  <si>
    <t>CL3-314</t>
  </si>
  <si>
    <t>CL3-315</t>
  </si>
  <si>
    <t>CL3-316</t>
  </si>
  <si>
    <t>CL3-317</t>
  </si>
  <si>
    <t>CL3-318</t>
  </si>
  <si>
    <t>CL3-319</t>
  </si>
  <si>
    <t>CL3-320</t>
  </si>
  <si>
    <t>CL3-321</t>
  </si>
  <si>
    <t>CL3-322</t>
  </si>
  <si>
    <t>CL3-323</t>
  </si>
  <si>
    <t>CL3-324</t>
  </si>
  <si>
    <t>CL3-325</t>
  </si>
  <si>
    <t>CL3-326</t>
  </si>
  <si>
    <t>CL3-327</t>
  </si>
  <si>
    <t>CL3-328</t>
  </si>
  <si>
    <t>CL3-329</t>
  </si>
  <si>
    <t>CL3-330</t>
  </si>
  <si>
    <t>CL3-331</t>
  </si>
  <si>
    <t>CL3-332</t>
  </si>
  <si>
    <t>CL3-333</t>
  </si>
  <si>
    <t>CL3-334</t>
  </si>
  <si>
    <t>CL3-335</t>
  </si>
  <si>
    <t>CL3-336</t>
  </si>
  <si>
    <t>CL3-337</t>
  </si>
  <si>
    <t>CL3-338</t>
  </si>
  <si>
    <t>CL3-339</t>
  </si>
  <si>
    <t>CL3-340</t>
  </si>
  <si>
    <t>CL3-341</t>
  </si>
  <si>
    <t>CL3-342</t>
  </si>
  <si>
    <t>CL3-343</t>
  </si>
  <si>
    <t>CL3-344</t>
  </si>
  <si>
    <t>CL3-345</t>
  </si>
  <si>
    <t>SS-086</t>
  </si>
  <si>
    <t>Meentycat 110kV Substation</t>
  </si>
  <si>
    <t>CL3-346</t>
  </si>
  <si>
    <t>CL3-347</t>
  </si>
  <si>
    <t>CL3-348</t>
  </si>
  <si>
    <t>CL3-349</t>
  </si>
  <si>
    <t>CL3-350</t>
  </si>
  <si>
    <t>CL3-351</t>
  </si>
  <si>
    <t>CL3-352</t>
  </si>
  <si>
    <t>CL3-353</t>
  </si>
  <si>
    <t>CL3-354</t>
  </si>
  <si>
    <t>CL3-355</t>
  </si>
  <si>
    <t>CL3-356</t>
  </si>
  <si>
    <t>CL3-357</t>
  </si>
  <si>
    <t>CL3-358</t>
  </si>
  <si>
    <t>CL3-359</t>
  </si>
  <si>
    <t>CL3-360</t>
  </si>
  <si>
    <t>CL3-361</t>
  </si>
  <si>
    <t>CL3-362</t>
  </si>
  <si>
    <t>CL3-363</t>
  </si>
  <si>
    <t>CL3-364</t>
  </si>
  <si>
    <t>CL3-365</t>
  </si>
  <si>
    <t>CL3-366</t>
  </si>
  <si>
    <t>CL3-367</t>
  </si>
  <si>
    <t>CL3-368</t>
  </si>
  <si>
    <t>CL3-369</t>
  </si>
  <si>
    <t>CL3-370</t>
  </si>
  <si>
    <t>CL3-371</t>
  </si>
  <si>
    <t>CL3-372</t>
  </si>
  <si>
    <t>CL3-373</t>
  </si>
  <si>
    <t>CL3-374</t>
  </si>
  <si>
    <t>CL3-375</t>
  </si>
  <si>
    <t>SS-653</t>
  </si>
  <si>
    <t>Cranny 38kV Substation</t>
  </si>
  <si>
    <t>CL3-376</t>
  </si>
  <si>
    <t>CL3-377</t>
  </si>
  <si>
    <t>CL3-378</t>
  </si>
  <si>
    <t>CL3-379</t>
  </si>
  <si>
    <t>CL3-380</t>
  </si>
  <si>
    <t>CL3-381</t>
  </si>
  <si>
    <t>CL3-382</t>
  </si>
  <si>
    <t>CL3-383</t>
  </si>
  <si>
    <t>CL3-384</t>
  </si>
  <si>
    <t>CL3-385</t>
  </si>
  <si>
    <t>CL3-386</t>
  </si>
  <si>
    <t>CL3-387</t>
  </si>
  <si>
    <t>CL3-388</t>
  </si>
  <si>
    <t>CL3-389</t>
  </si>
  <si>
    <t>CL3-390</t>
  </si>
  <si>
    <t>SS-470</t>
  </si>
  <si>
    <t>Mountmellick 38kV Substation</t>
  </si>
  <si>
    <t>CL3-391</t>
  </si>
  <si>
    <t>CL3-392</t>
  </si>
  <si>
    <t>CL3-393</t>
  </si>
  <si>
    <t>CL3-394</t>
  </si>
  <si>
    <t>CL3-395</t>
  </si>
  <si>
    <t>CL3-396</t>
  </si>
  <si>
    <t>CL3-397</t>
  </si>
  <si>
    <t>SS-194</t>
  </si>
  <si>
    <t>Kilkenny 38kV Substation</t>
  </si>
  <si>
    <t>CL3-398</t>
  </si>
  <si>
    <t>CL3-399</t>
  </si>
  <si>
    <t>CL3-400</t>
  </si>
  <si>
    <t>CL3-401</t>
  </si>
  <si>
    <t>CL3-402</t>
  </si>
  <si>
    <t>CL3-403</t>
  </si>
  <si>
    <t>CL3-404</t>
  </si>
  <si>
    <t>CL3-405</t>
  </si>
  <si>
    <t>CL3-406</t>
  </si>
  <si>
    <t>SS-467</t>
  </si>
  <si>
    <t>20000;10000</t>
  </si>
  <si>
    <t>CL3-407</t>
  </si>
  <si>
    <t>CL3-408</t>
  </si>
  <si>
    <t>CL3-409</t>
  </si>
  <si>
    <t>CL3-410</t>
  </si>
  <si>
    <t>CL3-411</t>
  </si>
  <si>
    <t>CL3-412</t>
  </si>
  <si>
    <t>CL3-413</t>
  </si>
  <si>
    <t>CL3-414</t>
  </si>
  <si>
    <t>CL3-415</t>
  </si>
  <si>
    <t>SS-059</t>
  </si>
  <si>
    <t>Kinnegad 110kV</t>
  </si>
  <si>
    <t>CL3-416</t>
  </si>
  <si>
    <t>SS-457</t>
  </si>
  <si>
    <t>Cloondara 38kV Substation</t>
  </si>
  <si>
    <t>CL3-417</t>
  </si>
  <si>
    <t>CL3-418</t>
  </si>
  <si>
    <t>CL3-419</t>
  </si>
  <si>
    <t>CL3-420</t>
  </si>
  <si>
    <t>CL3-421</t>
  </si>
  <si>
    <t>CL3-422</t>
  </si>
  <si>
    <t>CL3-423</t>
  </si>
  <si>
    <t>CL3-424</t>
  </si>
  <si>
    <t>CL3-425</t>
  </si>
  <si>
    <t>CL3-426</t>
  </si>
  <si>
    <t>CL3-427</t>
  </si>
  <si>
    <t>CL3-428</t>
  </si>
  <si>
    <t>CL3-429</t>
  </si>
  <si>
    <t>CL3-430</t>
  </si>
  <si>
    <t>CL3-431</t>
  </si>
  <si>
    <t>CL3-432</t>
  </si>
  <si>
    <t>CL3-433</t>
  </si>
  <si>
    <t>CL3-434</t>
  </si>
  <si>
    <t>CL3-435</t>
  </si>
  <si>
    <t>CL3-436</t>
  </si>
  <si>
    <t>CL3-437</t>
  </si>
  <si>
    <t>CL3-438</t>
  </si>
  <si>
    <t>CL3-439</t>
  </si>
  <si>
    <t>CL3-440</t>
  </si>
  <si>
    <t>CL3-441</t>
  </si>
  <si>
    <t>CL3-442</t>
  </si>
  <si>
    <t>CL3-443</t>
  </si>
  <si>
    <t>CL3-444</t>
  </si>
  <si>
    <t>CL3-445</t>
  </si>
  <si>
    <t>CL3-446</t>
  </si>
  <si>
    <t>CL3-447</t>
  </si>
  <si>
    <t>CL3-448</t>
  </si>
  <si>
    <t>CL3-449</t>
  </si>
  <si>
    <t>CL3-450</t>
  </si>
  <si>
    <t>CL3-451</t>
  </si>
  <si>
    <t>CL3-452</t>
  </si>
  <si>
    <t>CL3-453</t>
  </si>
  <si>
    <t>CL3-454</t>
  </si>
  <si>
    <t>CL3-455</t>
  </si>
  <si>
    <t>CL3-456</t>
  </si>
  <si>
    <t>CL3-457</t>
  </si>
  <si>
    <t>CL3-458</t>
  </si>
  <si>
    <t>CL3-459</t>
  </si>
  <si>
    <t>CL3-460</t>
  </si>
  <si>
    <t>CL3-461</t>
  </si>
  <si>
    <t>CL3-462</t>
  </si>
  <si>
    <t>CL3-463</t>
  </si>
  <si>
    <t>CL3-464</t>
  </si>
  <si>
    <t>CL3-465</t>
  </si>
  <si>
    <t>CL3-466</t>
  </si>
  <si>
    <t>CL3-467</t>
  </si>
  <si>
    <t>CL3-468</t>
  </si>
  <si>
    <t>CL3-469</t>
  </si>
  <si>
    <t>CL3-470</t>
  </si>
  <si>
    <t>CL3-471</t>
  </si>
  <si>
    <t>CL3-472</t>
  </si>
  <si>
    <t>CL3-473</t>
  </si>
  <si>
    <t>CL3-474</t>
  </si>
  <si>
    <t>CL3-475</t>
  </si>
  <si>
    <t>CL3-476</t>
  </si>
  <si>
    <t>CL3-477</t>
  </si>
  <si>
    <t>CL3-478</t>
  </si>
  <si>
    <t>CL3-479</t>
  </si>
  <si>
    <t>CL3-480</t>
  </si>
  <si>
    <t>CL3-481</t>
  </si>
  <si>
    <t>SS-160</t>
  </si>
  <si>
    <t>Woodford 38kV Substation</t>
  </si>
  <si>
    <t>CL3-482</t>
  </si>
  <si>
    <t>CL3-483</t>
  </si>
  <si>
    <t>CL3-484</t>
  </si>
  <si>
    <t>CL3-485</t>
  </si>
  <si>
    <t>CL3-486</t>
  </si>
  <si>
    <t>CL3-487</t>
  </si>
  <si>
    <t>CL3-488</t>
  </si>
  <si>
    <t>CL3-489</t>
  </si>
  <si>
    <t>CL3-490</t>
  </si>
  <si>
    <t>CL3-491</t>
  </si>
  <si>
    <t>CL3-492</t>
  </si>
  <si>
    <t>CL3-493</t>
  </si>
  <si>
    <t>CL3-494</t>
  </si>
  <si>
    <t>CL3-495</t>
  </si>
  <si>
    <t>CL3-496</t>
  </si>
  <si>
    <t>CL3-497</t>
  </si>
  <si>
    <t>CL3-498</t>
  </si>
  <si>
    <t>CL3-499</t>
  </si>
  <si>
    <t>CL3-500</t>
  </si>
  <si>
    <t>CL3-501</t>
  </si>
  <si>
    <t>CL3-502</t>
  </si>
  <si>
    <t>CL3-503</t>
  </si>
  <si>
    <t>CL3-504</t>
  </si>
  <si>
    <t>CL3-505</t>
  </si>
  <si>
    <t>CL3-506</t>
  </si>
  <si>
    <t>CL3-507</t>
  </si>
  <si>
    <t>CL3-508</t>
  </si>
  <si>
    <t>CL3-509</t>
  </si>
  <si>
    <t>CL3-510</t>
  </si>
  <si>
    <t>CL3-511</t>
  </si>
  <si>
    <t>CL3-512</t>
  </si>
  <si>
    <t>CL3-513</t>
  </si>
  <si>
    <t>CL3-514</t>
  </si>
  <si>
    <t>CL3-515</t>
  </si>
  <si>
    <t>CL3-516</t>
  </si>
  <si>
    <t>CL3-517</t>
  </si>
  <si>
    <t>CL3-518</t>
  </si>
  <si>
    <t>SS-283</t>
  </si>
  <si>
    <t>Mungret</t>
  </si>
  <si>
    <t>CL3-519</t>
  </si>
  <si>
    <t>CL3-520</t>
  </si>
  <si>
    <t>CL3-521</t>
  </si>
  <si>
    <t>CL3-522</t>
  </si>
  <si>
    <t>CL3-523</t>
  </si>
  <si>
    <t>CL3-524</t>
  </si>
  <si>
    <t>CL3-525</t>
  </si>
  <si>
    <t>CL3-526</t>
  </si>
  <si>
    <t>CL3-527</t>
  </si>
  <si>
    <t>CL3-528</t>
  </si>
  <si>
    <t>CL3-529</t>
  </si>
  <si>
    <t>CL3-530</t>
  </si>
  <si>
    <t>CL3-531</t>
  </si>
  <si>
    <t>CL3-532</t>
  </si>
  <si>
    <t>CL3-533</t>
  </si>
  <si>
    <t>CL3-534</t>
  </si>
  <si>
    <t>CL3-535</t>
  </si>
  <si>
    <t>CL3-536</t>
  </si>
  <si>
    <t>CL3-537</t>
  </si>
  <si>
    <t>CL3-538</t>
  </si>
  <si>
    <t>CL3-539</t>
  </si>
  <si>
    <t>CL3-540</t>
  </si>
  <si>
    <t>CL3-541</t>
  </si>
  <si>
    <t>CL3-542</t>
  </si>
  <si>
    <t>CL3-543</t>
  </si>
  <si>
    <t>CL3-544</t>
  </si>
  <si>
    <t>CL3-545</t>
  </si>
  <si>
    <t>CL3-546</t>
  </si>
  <si>
    <t>CL3-547</t>
  </si>
  <si>
    <t>CL3-548</t>
  </si>
  <si>
    <t>CL3-549</t>
  </si>
  <si>
    <t>CL3-550</t>
  </si>
  <si>
    <t>CL3-551</t>
  </si>
  <si>
    <t>CL3-552</t>
  </si>
  <si>
    <t>CL3-553</t>
  </si>
  <si>
    <t>CL3-554</t>
  </si>
  <si>
    <t>CL3-555</t>
  </si>
  <si>
    <t>CL3-556</t>
  </si>
  <si>
    <t>CL3-557</t>
  </si>
  <si>
    <t>CL3-558</t>
  </si>
  <si>
    <t>CL3-559</t>
  </si>
  <si>
    <t>CL3-560</t>
  </si>
  <si>
    <t>CL3-561</t>
  </si>
  <si>
    <t>CL3-562</t>
  </si>
  <si>
    <t>CL3-563</t>
  </si>
  <si>
    <t>CL3-564</t>
  </si>
  <si>
    <t>SS-166</t>
  </si>
  <si>
    <t>Tonroe 110kV Substation</t>
  </si>
  <si>
    <t>CL3-565</t>
  </si>
  <si>
    <t>CL3-566</t>
  </si>
  <si>
    <t>CL3-567</t>
  </si>
  <si>
    <t>CL3-568</t>
  </si>
  <si>
    <t>CL3-569</t>
  </si>
  <si>
    <t>CL3-570</t>
  </si>
  <si>
    <t>CL3-571</t>
  </si>
  <si>
    <t>CL3-572</t>
  </si>
  <si>
    <t>CL3-573</t>
  </si>
  <si>
    <t>CL3-574</t>
  </si>
  <si>
    <t>CL3-575</t>
  </si>
  <si>
    <t>CL3-576</t>
  </si>
  <si>
    <t>CL3-577</t>
  </si>
  <si>
    <t>CL3-578</t>
  </si>
  <si>
    <t>CL3-579</t>
  </si>
  <si>
    <t>CL3-580</t>
  </si>
  <si>
    <t>CL3-581</t>
  </si>
  <si>
    <t>CL3-582</t>
  </si>
  <si>
    <t>CL3-583</t>
  </si>
  <si>
    <t>CL3-584</t>
  </si>
  <si>
    <t>CL3-585</t>
  </si>
  <si>
    <t>CL3-586</t>
  </si>
  <si>
    <t>CL3-587</t>
  </si>
  <si>
    <t>SS-327</t>
  </si>
  <si>
    <t>Rathmore 38kV Substation</t>
  </si>
  <si>
    <t>CL3-588</t>
  </si>
  <si>
    <t>CL3-589</t>
  </si>
  <si>
    <t>CL3-590</t>
  </si>
  <si>
    <t>CL3-591</t>
  </si>
  <si>
    <t>CL3-592</t>
  </si>
  <si>
    <t>CL3-593</t>
  </si>
  <si>
    <t>CL3-594</t>
  </si>
  <si>
    <t>CL3-595</t>
  </si>
  <si>
    <t>CL3-596</t>
  </si>
  <si>
    <t>CL3-597</t>
  </si>
  <si>
    <t>CL3-598</t>
  </si>
  <si>
    <t>CL3-599</t>
  </si>
  <si>
    <t>CL3-600</t>
  </si>
  <si>
    <t>CL3-601</t>
  </si>
  <si>
    <t>CL3-602</t>
  </si>
  <si>
    <t>CL3-603</t>
  </si>
  <si>
    <t>CL3-604</t>
  </si>
  <si>
    <t>SS-338</t>
  </si>
  <si>
    <t>Banagher 38kV Substation</t>
  </si>
  <si>
    <t>CL3-605</t>
  </si>
  <si>
    <t>CL3-606</t>
  </si>
  <si>
    <t>CL3-607</t>
  </si>
  <si>
    <t>CL3-608</t>
  </si>
  <si>
    <t>CL3-609</t>
  </si>
  <si>
    <t>SS-376</t>
  </si>
  <si>
    <t>Kells 38kV Substation</t>
  </si>
  <si>
    <t>CL3-610</t>
  </si>
  <si>
    <t>CL3-611</t>
  </si>
  <si>
    <t>CL3-612</t>
  </si>
  <si>
    <t>CL3-613</t>
  </si>
  <si>
    <t>CL3-614</t>
  </si>
  <si>
    <t>CL3-615</t>
  </si>
  <si>
    <t>CL3-616</t>
  </si>
  <si>
    <t>CL3-617</t>
  </si>
  <si>
    <t>SS-167</t>
  </si>
  <si>
    <t>Cushaling 110kV Substation</t>
  </si>
  <si>
    <t>CL3-618</t>
  </si>
  <si>
    <t>CL3-619</t>
  </si>
  <si>
    <t>CL3-620</t>
  </si>
  <si>
    <t>CL3-621</t>
  </si>
  <si>
    <t>CL3-622</t>
  </si>
  <si>
    <t>CL3-623</t>
  </si>
  <si>
    <t>CL3-624</t>
  </si>
  <si>
    <t>CL3-625</t>
  </si>
  <si>
    <t>CL3-626</t>
  </si>
  <si>
    <t>CL3-627</t>
  </si>
  <si>
    <t>CL3-628</t>
  </si>
  <si>
    <t>CL3-629</t>
  </si>
  <si>
    <t>CL3-630</t>
  </si>
  <si>
    <t>CL3-631</t>
  </si>
  <si>
    <t>CL3-632</t>
  </si>
  <si>
    <t>CL3-633</t>
  </si>
  <si>
    <t>CL3-634</t>
  </si>
  <si>
    <t>CL3-635</t>
  </si>
  <si>
    <t>CL3-636</t>
  </si>
  <si>
    <t>CL3-637</t>
  </si>
  <si>
    <t>CL3-638</t>
  </si>
  <si>
    <t>CL3-639</t>
  </si>
  <si>
    <t>CL3-640</t>
  </si>
  <si>
    <t>CL3-641</t>
  </si>
  <si>
    <t>CL3-642</t>
  </si>
  <si>
    <t>CL3-643</t>
  </si>
  <si>
    <t>CL3-644</t>
  </si>
  <si>
    <t>CL3-645</t>
  </si>
  <si>
    <t>CL3-646</t>
  </si>
  <si>
    <t>CL3-647</t>
  </si>
  <si>
    <t>CL3-648</t>
  </si>
  <si>
    <t>CL3-649</t>
  </si>
  <si>
    <t>CL3-650</t>
  </si>
  <si>
    <t>CL3-651</t>
  </si>
  <si>
    <t>CL3-652</t>
  </si>
  <si>
    <t>CL3-653</t>
  </si>
  <si>
    <t>SS-630</t>
  </si>
  <si>
    <t>Lismore 38kV Substation</t>
  </si>
  <si>
    <t>CL3-654</t>
  </si>
  <si>
    <t>CL3-655</t>
  </si>
  <si>
    <t>CL3-656</t>
  </si>
  <si>
    <t>CL3-657</t>
  </si>
  <si>
    <t>CL3-658</t>
  </si>
  <si>
    <t>CL3-659</t>
  </si>
  <si>
    <t>CL3-660</t>
  </si>
  <si>
    <t>CL3-661</t>
  </si>
  <si>
    <t>CL3-662</t>
  </si>
  <si>
    <t>CL3-663</t>
  </si>
  <si>
    <t>CL3-664</t>
  </si>
  <si>
    <t>CL3-665</t>
  </si>
  <si>
    <t>CL3-666</t>
  </si>
  <si>
    <t>CL3-667</t>
  </si>
  <si>
    <t>CL3-668</t>
  </si>
  <si>
    <t>CL3-669</t>
  </si>
  <si>
    <t>CL3-670</t>
  </si>
  <si>
    <t>CL3-671</t>
  </si>
  <si>
    <t>CL3-672</t>
  </si>
  <si>
    <t>SS-193</t>
  </si>
  <si>
    <t>Charleville 110kV Substation</t>
  </si>
  <si>
    <t>CL3-673</t>
  </si>
  <si>
    <t>CL3-674</t>
  </si>
  <si>
    <t>CL3-675</t>
  </si>
  <si>
    <t>CL3-676</t>
  </si>
  <si>
    <t>CL3-677</t>
  </si>
  <si>
    <t>CL3-678</t>
  </si>
  <si>
    <t>SS-127</t>
  </si>
  <si>
    <t>Tipperary 110kV Substation</t>
  </si>
  <si>
    <t>CL3-679</t>
  </si>
  <si>
    <t>CL3-680</t>
  </si>
  <si>
    <t>CL3-681</t>
  </si>
  <si>
    <t>CL3-682</t>
  </si>
  <si>
    <t>CL3-683</t>
  </si>
  <si>
    <t>CL3-684</t>
  </si>
  <si>
    <t>CL3-685</t>
  </si>
  <si>
    <t>CL3-686</t>
  </si>
  <si>
    <t>CL3-687</t>
  </si>
  <si>
    <t>CL3-688</t>
  </si>
  <si>
    <t>CL3-689</t>
  </si>
  <si>
    <t>CL3-690</t>
  </si>
  <si>
    <t>CL3-691</t>
  </si>
  <si>
    <t>CL3-692</t>
  </si>
  <si>
    <t>CL3-693</t>
  </si>
  <si>
    <t>CL3-694</t>
  </si>
  <si>
    <t>CL3-695</t>
  </si>
  <si>
    <t>CL3-696</t>
  </si>
  <si>
    <t>CL3-697</t>
  </si>
  <si>
    <t>CL3-698</t>
  </si>
  <si>
    <t>SS-120</t>
  </si>
  <si>
    <t>Carhoon 110kV Substation</t>
  </si>
  <si>
    <t>CL3-699</t>
  </si>
  <si>
    <t>CL3-700</t>
  </si>
  <si>
    <t>SS-185</t>
  </si>
  <si>
    <t>Anner 110kV Substation</t>
  </si>
  <si>
    <t>CL3-701</t>
  </si>
  <si>
    <t>CL3-702</t>
  </si>
  <si>
    <t>SS-092</t>
  </si>
  <si>
    <t>Crane 110kV Substation</t>
  </si>
  <si>
    <t>CL3-703</t>
  </si>
  <si>
    <t>CL3-704</t>
  </si>
  <si>
    <t>CL3-705</t>
  </si>
  <si>
    <t>CL3-706</t>
  </si>
  <si>
    <t>CL3-707</t>
  </si>
  <si>
    <t>CL3-708</t>
  </si>
  <si>
    <t>CL3-709</t>
  </si>
  <si>
    <t>CL3-710</t>
  </si>
  <si>
    <t>CL3-711</t>
  </si>
  <si>
    <t>CL3-712</t>
  </si>
  <si>
    <t>CL3-713</t>
  </si>
  <si>
    <t>CL3-714</t>
  </si>
  <si>
    <t>CL3-715</t>
  </si>
  <si>
    <t>CL3-716</t>
  </si>
  <si>
    <t>CL3-717</t>
  </si>
  <si>
    <t>CL3-718</t>
  </si>
  <si>
    <t>CL3-719</t>
  </si>
  <si>
    <t>CL3-720</t>
  </si>
  <si>
    <t>CL3-721</t>
  </si>
  <si>
    <t>CL3-722</t>
  </si>
  <si>
    <t>CL3-723</t>
  </si>
  <si>
    <t>CL3-724</t>
  </si>
  <si>
    <t>SS-588</t>
  </si>
  <si>
    <t>Kilmallock 38kV Substation</t>
  </si>
  <si>
    <t>CL3-725</t>
  </si>
  <si>
    <t>CL3-726</t>
  </si>
  <si>
    <t>CL3-727</t>
  </si>
  <si>
    <t>CL3-728</t>
  </si>
  <si>
    <t>CL3-729</t>
  </si>
  <si>
    <t>CL3-730</t>
  </si>
  <si>
    <t>CL3-731</t>
  </si>
  <si>
    <t>CL3-732</t>
  </si>
  <si>
    <t>SS-527</t>
  </si>
  <si>
    <t>Rathkeale 38kV Substation</t>
  </si>
  <si>
    <t>CL3-733</t>
  </si>
  <si>
    <t>SS-043</t>
  </si>
  <si>
    <t>Thurles 110kV Substation</t>
  </si>
  <si>
    <t>CL3-734</t>
  </si>
  <si>
    <t>CL3-735</t>
  </si>
  <si>
    <t>SS-577</t>
  </si>
  <si>
    <t>Whitechurch 38kV Substation</t>
  </si>
  <si>
    <t>CL3-736</t>
  </si>
  <si>
    <t>CL3-737</t>
  </si>
  <si>
    <t>CL3-738</t>
  </si>
  <si>
    <t>CL3-739</t>
  </si>
  <si>
    <t>CL3-740</t>
  </si>
  <si>
    <t>CL3-741</t>
  </si>
  <si>
    <t>CL3-742</t>
  </si>
  <si>
    <t>SS-482</t>
  </si>
  <si>
    <t>Foxhole 38kV Substation</t>
  </si>
  <si>
    <t>CL3-743</t>
  </si>
  <si>
    <t>CL3-744</t>
  </si>
  <si>
    <t>CL3-745</t>
  </si>
  <si>
    <t>CL3-746</t>
  </si>
  <si>
    <t>CL3-747</t>
  </si>
  <si>
    <t>CL3-748</t>
  </si>
  <si>
    <t>CL3-749</t>
  </si>
  <si>
    <t>CL3-750</t>
  </si>
  <si>
    <t>CL3-751</t>
  </si>
  <si>
    <t>CL3-752</t>
  </si>
  <si>
    <t>CL3-753</t>
  </si>
  <si>
    <t>CL3-754</t>
  </si>
  <si>
    <t>CL3-755</t>
  </si>
  <si>
    <t>SS-508</t>
  </si>
  <si>
    <t>Ballyconnell 38kV Substation</t>
  </si>
  <si>
    <t>CL3-756</t>
  </si>
  <si>
    <t>CL3-757</t>
  </si>
  <si>
    <t>CL3-758</t>
  </si>
  <si>
    <t>CL3-759</t>
  </si>
  <si>
    <t>CL3-760</t>
  </si>
  <si>
    <t>CL3-761</t>
  </si>
  <si>
    <t>CL3-762</t>
  </si>
  <si>
    <t>CL3-763</t>
  </si>
  <si>
    <t>CL3-764</t>
  </si>
  <si>
    <t>CL3-765</t>
  </si>
  <si>
    <t>CL3-766</t>
  </si>
  <si>
    <t>CL3-767</t>
  </si>
  <si>
    <t>SS-696</t>
  </si>
  <si>
    <t>Sliabh Bawn 110kV Substation</t>
  </si>
  <si>
    <t>CL3-768</t>
  </si>
  <si>
    <t>CL3-769</t>
  </si>
  <si>
    <t>CL3-770</t>
  </si>
  <si>
    <t>CL3-771</t>
  </si>
  <si>
    <t>CL3-772</t>
  </si>
  <si>
    <t>CL3-773</t>
  </si>
  <si>
    <t>CL3-774</t>
  </si>
  <si>
    <t>CL3-775</t>
  </si>
  <si>
    <t>CL3-776</t>
  </si>
  <si>
    <t>CL3-777</t>
  </si>
  <si>
    <t>CL3-778</t>
  </si>
  <si>
    <t>CL3-779</t>
  </si>
  <si>
    <t>CL3-780</t>
  </si>
  <si>
    <t>CL3-781</t>
  </si>
  <si>
    <t>CL3-782</t>
  </si>
  <si>
    <t>CL3-783</t>
  </si>
  <si>
    <t>CL3-784</t>
  </si>
  <si>
    <t>CL3-785</t>
  </si>
  <si>
    <t>SS-466</t>
  </si>
  <si>
    <t>Cootehill 38kV Substation</t>
  </si>
  <si>
    <t>CL3-786</t>
  </si>
  <si>
    <t>Connection Cost Million E/Kw</t>
  </si>
  <si>
    <t>Capacity</t>
  </si>
  <si>
    <t>Total Connection Cost</t>
  </si>
  <si>
    <t>Cost Range</t>
  </si>
  <si>
    <t>Connection Cost (Euro/kW)</t>
  </si>
  <si>
    <t>Investment Cost</t>
  </si>
  <si>
    <t>Pulverised coal supercritical</t>
  </si>
  <si>
    <t>Pulverised peat supercritical</t>
  </si>
  <si>
    <t>Supercritical fluidized bed peat</t>
  </si>
  <si>
    <t>Integrated Gasification Combined Cycle coal</t>
  </si>
  <si>
    <t>Integrated Gasification Combined Cycle peat</t>
  </si>
  <si>
    <t>CCGT advanced CCS post combustion</t>
  </si>
  <si>
    <t>Pulverised coal supercritical CCS post-combustion</t>
  </si>
  <si>
    <t>Fluidised bed peat CCS post combustion</t>
  </si>
  <si>
    <t>Pulverised coal supercritical CCS oxyfuel</t>
  </si>
  <si>
    <t>IGCC coal CCS pre-combustion</t>
  </si>
  <si>
    <t>IGCC peat CCS pre combustion</t>
  </si>
  <si>
    <t>P-TH-OCGT-GAS01</t>
    <phoneticPr fontId="15" type="noConversion"/>
  </si>
  <si>
    <t>P-TH-OCGT-GAS02</t>
  </si>
  <si>
    <t>P-TH-CCGT-GAS03</t>
    <phoneticPr fontId="15" type="noConversion"/>
  </si>
  <si>
    <t>P-RNW-SOL-PV02</t>
    <phoneticPr fontId="15" type="noConversion"/>
  </si>
  <si>
    <t>P-RNW-SOL-PV01</t>
    <phoneticPr fontId="15" type="noConversion"/>
  </si>
  <si>
    <t>P-RNW-SOL-PV03</t>
  </si>
  <si>
    <t>P-RNW-SOL-CSP04</t>
  </si>
  <si>
    <t>P-RNW-HYD-DAM01</t>
  </si>
  <si>
    <t>P-RNW-HYD-DAM02</t>
  </si>
  <si>
    <t>P-RNW-HYD-DAM03</t>
  </si>
  <si>
    <t>P-RNW-HYD-ROR04</t>
  </si>
  <si>
    <t>P-RNW-GEO01</t>
  </si>
  <si>
    <t>P-RNW-GEO02</t>
  </si>
  <si>
    <t>P-RNW-GEO03</t>
  </si>
  <si>
    <t>P-RNW-OCE-WAV01</t>
  </si>
  <si>
    <t>P-RNW-OCE-TID02</t>
  </si>
  <si>
    <t>P-TH-SC-COA01</t>
    <phoneticPr fontId="15" type="noConversion"/>
  </si>
  <si>
    <t>P-TH-SC-PEA02</t>
  </si>
  <si>
    <t>P-TH-FB-PEA01</t>
    <phoneticPr fontId="15" type="noConversion"/>
  </si>
  <si>
    <t>P-TH-IGCC-COA03</t>
    <phoneticPr fontId="15" type="noConversion"/>
  </si>
  <si>
    <t>P-TH-IGCC-PEA03</t>
    <phoneticPr fontId="15" type="noConversion"/>
  </si>
  <si>
    <t>P-RNW-ST-BIO02</t>
  </si>
  <si>
    <t>P-RNW-FB-BIO01</t>
    <phoneticPr fontId="15" type="noConversion"/>
  </si>
  <si>
    <t>P-RNW-IGCC-BIO03</t>
    <phoneticPr fontId="15" type="noConversion"/>
  </si>
  <si>
    <t>P-RNW-AB-BIO04</t>
    <phoneticPr fontId="15" type="noConversion"/>
  </si>
  <si>
    <t>P-RNW-ST-MSW04</t>
    <phoneticPr fontId="15" type="noConversion"/>
  </si>
  <si>
    <t>P-RNW-WIN-ON01</t>
    <phoneticPr fontId="15" type="noConversion"/>
  </si>
  <si>
    <t>P-RNW-WIN-ON02</t>
  </si>
  <si>
    <t>P-RNW-WIN-ON03</t>
  </si>
  <si>
    <t>P-RNW-WIN-ON04</t>
  </si>
  <si>
    <t>P-RNW-WIN-ON05</t>
  </si>
  <si>
    <t>*P-TH-CCGT-GAS-CCS04</t>
    <phoneticPr fontId="15" type="noConversion"/>
  </si>
  <si>
    <t>*P-TH-SC-COA-CCS04</t>
    <phoneticPr fontId="15" type="noConversion"/>
  </si>
  <si>
    <t>*P-TH-FB-PEA-CCS04</t>
    <phoneticPr fontId="15" type="noConversion"/>
  </si>
  <si>
    <t>*P-TH-SC-COA-CCS05</t>
    <phoneticPr fontId="15" type="noConversion"/>
  </si>
  <si>
    <t>*P-TH-IGCC-COA-CCS06</t>
    <phoneticPr fontId="15" type="noConversion"/>
  </si>
  <si>
    <t>*P-TH-IGCC-PEA-CCS05</t>
    <phoneticPr fontId="15" type="noConversion"/>
  </si>
  <si>
    <t>P-TH-CCGT-GAS-CCS04-Cork1</t>
    <phoneticPr fontId="15" type="noConversion"/>
  </si>
  <si>
    <t>P-TH-CCGT-GAS-CCS04-Cork2</t>
    <phoneticPr fontId="15" type="noConversion"/>
  </si>
  <si>
    <t>P-TH-IGCC-PEA-CCS05-Offaly1</t>
    <phoneticPr fontId="15" type="noConversion"/>
  </si>
  <si>
    <t>P-TH-IGCC-PEA-CCS05-Offaly2</t>
    <phoneticPr fontId="15" type="noConversion"/>
  </si>
  <si>
    <t>P-TH-IGCC-PEA-CCS05-Offaly3</t>
    <phoneticPr fontId="15" type="noConversion"/>
  </si>
  <si>
    <t>P-TH-CCGT-GAS-CCS04-Dublin2</t>
    <phoneticPr fontId="15" type="noConversion"/>
  </si>
  <si>
    <t>P-TH-SC-COA-CCS04-Kilroot1</t>
    <phoneticPr fontId="15" type="noConversion"/>
  </si>
  <si>
    <t>P-TH-SC-COA-CCS04-MP1</t>
    <phoneticPr fontId="15" type="noConversion"/>
  </si>
  <si>
    <t>P-TH-IGCC-COA-CCS06-MP1</t>
    <phoneticPr fontId="15" type="noConversion"/>
  </si>
  <si>
    <t>P-TH-SC-COA-CCS04-MP2</t>
    <phoneticPr fontId="15" type="noConversion"/>
  </si>
  <si>
    <t>P-TH-IGCC-COA-CCS06-MP2</t>
    <phoneticPr fontId="15" type="noConversion"/>
  </si>
  <si>
    <t>PWRWIN</t>
  </si>
  <si>
    <t>PWRSOL</t>
  </si>
  <si>
    <t>PWRHYD</t>
  </si>
  <si>
    <t>PWRGEO</t>
  </si>
  <si>
    <t>PWROCE</t>
  </si>
  <si>
    <t>PWRGAS</t>
  </si>
  <si>
    <t>PWRCOA</t>
  </si>
  <si>
    <t>PWRPEA</t>
  </si>
  <si>
    <t>PWRBIO</t>
  </si>
  <si>
    <t>PWRMSW</t>
  </si>
  <si>
    <t>PWRH2G</t>
  </si>
  <si>
    <t>PWRWIN</t>
    <phoneticPr fontId="15" type="noConversion"/>
  </si>
  <si>
    <t>P-TH-OCGT-H2-01</t>
    <phoneticPr fontId="15" type="noConversion"/>
  </si>
  <si>
    <t>P-TH-CCGT-H2-02</t>
    <phoneticPr fontId="15" type="noConversion"/>
  </si>
  <si>
    <t>~FI_T</t>
  </si>
  <si>
    <t>Comm-Out</t>
  </si>
  <si>
    <t>Year</t>
  </si>
  <si>
    <t>START</t>
  </si>
  <si>
    <t>Life</t>
  </si>
  <si>
    <t>AF</t>
  </si>
  <si>
    <t>CAP2ACT</t>
  </si>
  <si>
    <t>NCAP_DRATE</t>
  </si>
  <si>
    <t>Source: JRC-EU-TIMES model documentation 2013 (p. 87 Biomass with carbon sequestration)</t>
  </si>
  <si>
    <t>Steam Turbine Biomass WOO with CO2seq</t>
  </si>
  <si>
    <t>P-RNW-ST-BIO-CCS05</t>
    <phoneticPr fontId="15" type="noConversion"/>
  </si>
  <si>
    <t>PWRCO2S</t>
  </si>
  <si>
    <t>Sequestered CO2 (PWR)</t>
  </si>
  <si>
    <t>Electricity Interconnector</t>
  </si>
  <si>
    <t>Region</t>
  </si>
  <si>
    <t>COST~2015</t>
  </si>
  <si>
    <t>COST~2020</t>
  </si>
  <si>
    <t>COST~2030</t>
  </si>
  <si>
    <t>COST~2040</t>
  </si>
  <si>
    <t>COST~2050</t>
  </si>
  <si>
    <t>*Region Name</t>
  </si>
  <si>
    <t>Euro/GJ</t>
  </si>
  <si>
    <t>Region Name</t>
  </si>
  <si>
    <t>TimeSlice level of Process Activity</t>
  </si>
  <si>
    <t>Primary Commodity Group</t>
  </si>
  <si>
    <t>IE,National</t>
  </si>
  <si>
    <t>Years</t>
  </si>
  <si>
    <t>%</t>
  </si>
  <si>
    <t>Tsiropoulos I, Tarvydas, D, Zucker, A, Cost development of low carbon energy technologies - Scenario-based cost trajectories to 2050, 2017 Edition, EUR 29034 EN, Publications Office of the European Union, Luxembourg, 2018, ISBN 978-92-79-77479-9, doi:10.2760/490059, JRC109894.</t>
  </si>
  <si>
    <t>Wind energy</t>
  </si>
  <si>
    <t>Input assumptions on learning rate method for onshore wind energy</t>
  </si>
  <si>
    <t>Global deployment</t>
  </si>
  <si>
    <t>Baseline</t>
  </si>
  <si>
    <t>Diversified</t>
  </si>
  <si>
    <t>ProRES</t>
  </si>
  <si>
    <t>Global capacity additions</t>
  </si>
  <si>
    <t>GW/year</t>
  </si>
  <si>
    <t>Learning rate</t>
  </si>
  <si>
    <t>Reference</t>
  </si>
  <si>
    <t>High</t>
  </si>
  <si>
    <t>Low</t>
  </si>
  <si>
    <t>Lifetime</t>
  </si>
  <si>
    <t>-</t>
  </si>
  <si>
    <t>Input assumptions on learning rate method for offshore wind energy</t>
  </si>
  <si>
    <t>Capital investment cost trajectories of onshore wind turbines (low specific capacity, high hub height)</t>
  </si>
  <si>
    <t>Capital investment costs</t>
  </si>
  <si>
    <t>EUR 2015/kW</t>
  </si>
  <si>
    <t>Min</t>
  </si>
  <si>
    <t>Max</t>
  </si>
  <si>
    <t>O&amp;M costs</t>
  </si>
  <si>
    <r>
      <t>%</t>
    </r>
    <r>
      <rPr>
        <vertAlign val="subscript"/>
        <sz val="10"/>
        <color rgb="FF000000"/>
        <rFont val="Verdana"/>
        <family val="2"/>
      </rPr>
      <t>CAPEX</t>
    </r>
  </si>
  <si>
    <t>Capital investment cost trajectories of onshore wind turbines (medium specific capacity, medium hub height)</t>
  </si>
  <si>
    <t>Capital investment cost trajectories of onshore wind turbines (high specific capacity, low hub height)</t>
  </si>
  <si>
    <t>Capital investment cost trajectories of offshore wind turbines (monopole, medium distance to shore)</t>
  </si>
  <si>
    <t>P-RNW-WIN-OF02</t>
  </si>
  <si>
    <t>Capital investment cost trajectories of offshore wind turbines (jacket, medium distance to shore)</t>
  </si>
  <si>
    <t>Capital investment cost trajectories of offshore wind turbines (floating, long distance to shore)</t>
  </si>
  <si>
    <t>Input assumptions on learning rate method for photovoltaics</t>
  </si>
  <si>
    <t xml:space="preserve"> - </t>
  </si>
  <si>
    <t>Capital investment cost trajectories of utility-scale photovoltaics with one-axis tracking</t>
  </si>
  <si>
    <r>
      <t>%</t>
    </r>
    <r>
      <rPr>
        <vertAlign val="subscript"/>
        <sz val="11"/>
        <color rgb="FF000000"/>
        <rFont val="Verdana"/>
        <family val="2"/>
      </rPr>
      <t>CAPEX</t>
    </r>
  </si>
  <si>
    <t>Capital investment cost trajectories of utility-scale photovoltaics without tracking</t>
  </si>
  <si>
    <t>P-RNW-SOL-PV02</t>
  </si>
  <si>
    <t>Capital investment cost trajectories of commercial-scale PV, flat surface</t>
  </si>
  <si>
    <t>P-RNW-SOL-PV01</t>
  </si>
  <si>
    <t>Capital investment cost trajectories of residential-scale PV, inclined surface</t>
  </si>
  <si>
    <t>Solar thermal electricity</t>
  </si>
  <si>
    <t>Input assumptions on learning rate method for solar thermal electricity</t>
  </si>
  <si>
    <t>Capital investment cost trajectories of parabolic trough with storage</t>
  </si>
  <si>
    <t>Capital investment cost trajectories of solar tower with storage</t>
  </si>
  <si>
    <t>Geothermal energy</t>
  </si>
  <si>
    <t>Input assumptions on learning rate method for geothermal energy</t>
  </si>
  <si>
    <t>Capital investment cost trajectories of flash geothermal</t>
  </si>
  <si>
    <t xml:space="preserve">Capital investment cost trajectories of Organic Rankine Cycle (binary) geothermal </t>
  </si>
  <si>
    <t xml:space="preserve">Capital investment cost trajectories of Enhanced Geothermal System </t>
  </si>
  <si>
    <t>Ocean energy</t>
  </si>
  <si>
    <t>Input assumptions on learning rate method for ocean energy</t>
  </si>
  <si>
    <t>Capital investment cost trajectories of tidal range</t>
  </si>
  <si>
    <t>Capital investment cost trajectories of tidal stream</t>
  </si>
  <si>
    <t>Capital investment cost trajectories of wave energy</t>
  </si>
  <si>
    <t>Hydropower</t>
  </si>
  <si>
    <t>Input assumptions on learning rate method for hydropower</t>
  </si>
  <si>
    <t xml:space="preserve">Input assumptions on learning rate method for natural gas combined cycle plants with CCS, post-combustion </t>
  </si>
  <si>
    <t>Learning rate method input assumptions for biomass IGCC plants with CCS, pre-combustion</t>
  </si>
  <si>
    <t>Global installed capacity</t>
  </si>
  <si>
    <t>Capital investment cost trajectories of large-scale low-cost hydropower and dam</t>
  </si>
  <si>
    <t>Capital investment cost trajectories of large-scale high-cost hydropower and dam</t>
  </si>
  <si>
    <t>Capital investment cost trajectories of medium-scale low-cost hydropower and dam</t>
  </si>
  <si>
    <t>Capital investment cost trajectories of medium-scale high-cost hydropower and dam</t>
  </si>
  <si>
    <t>Capital investment cost trajectories of small-scale low-cost hydropower and dam</t>
  </si>
  <si>
    <t>Capital investment cost trajectories of small-scale high-cost hydropower and dam</t>
  </si>
  <si>
    <t>Capital investment cost trajectories of run-of-river plants</t>
  </si>
  <si>
    <t>Biomass heat and power</t>
  </si>
  <si>
    <t>Input assumptions on learning rate method for biomass heat and power</t>
  </si>
  <si>
    <t>Capital investment cost trajectories of biomass subcritical steam turbine CHP plant</t>
  </si>
  <si>
    <t>Capital investment cost trajectories of gasified biomass CHP plant</t>
  </si>
  <si>
    <t>Capital investment cost trajectories of biomass-fired Organic Rankine Cycle</t>
  </si>
  <si>
    <t>Capital investment cost trajectories of anaerobic digestion plants</t>
  </si>
  <si>
    <t>P-RNW-AB-BIO04</t>
  </si>
  <si>
    <t>Carbon Capture and Storage</t>
  </si>
  <si>
    <t>Input assumptions on learning rate method for pulverised coal plants with CCS, post-combustion</t>
  </si>
  <si>
    <t>*P-TH-SC-COA-CCS04</t>
  </si>
  <si>
    <t>Input assumptions on learning rate method for pulverised coal plants with CCS, oxyfuel</t>
  </si>
  <si>
    <t>Capital investment cost trajectories of pulverised coal plants with CCS, oxyfuel</t>
  </si>
  <si>
    <t>*P-TH-SC-COA-CCS05</t>
  </si>
  <si>
    <r>
      <t>%</t>
    </r>
    <r>
      <rPr>
        <vertAlign val="subscript"/>
        <sz val="10"/>
        <color rgb="FF000000"/>
        <rFont val="Verdana"/>
        <family val="2"/>
      </rPr>
      <t>CAPEX</t>
    </r>
    <r>
      <rPr>
        <sz val="10"/>
        <color rgb="FF000000"/>
        <rFont val="Verdana"/>
        <family val="2"/>
      </rPr>
      <t xml:space="preserve"> </t>
    </r>
  </si>
  <si>
    <t>Input assumptions on learning rate method for lignite IGCC plants with CCS, pre-combustion</t>
  </si>
  <si>
    <t>*P-TH-IGCC-PEA-CCS05</t>
  </si>
  <si>
    <t>Input assumptions on learning rate method for coal IGCC plants with CCS, pre-combustion</t>
  </si>
  <si>
    <t>*P-TH-IGCC-COA-CCS06</t>
  </si>
  <si>
    <t>Capital investment cost trajectories of biomass IGCC plants with CCS, pre-combustion</t>
  </si>
  <si>
    <t>Capital investment cost trajectories of natural gas combined cycle plants with CCS, post-combustion</t>
  </si>
  <si>
    <t>*P-TH-CCGT-GAS-CCS04</t>
  </si>
  <si>
    <t>ETRI2018</t>
  </si>
  <si>
    <t>ETRI2014</t>
  </si>
  <si>
    <t>*Cost data Source</t>
  </si>
  <si>
    <t>*Effieiency Data source</t>
  </si>
  <si>
    <t>P-TH-CCGT-GAS-CCS04-Dublin1</t>
  </si>
  <si>
    <t>INVCOST~2015</t>
  </si>
  <si>
    <t>IMP</t>
  </si>
  <si>
    <t>EXP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</si>
  <si>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</si>
  <si>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</si>
  <si>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</si>
  <si>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</si>
  <si>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</si>
  <si>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</si>
  <si>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</si>
  <si>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</si>
  <si>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</si>
  <si>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</si>
  <si>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</si>
  <si>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</si>
  <si>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New Technologies</t>
  </si>
  <si>
    <t>Power sector (PWR)</t>
  </si>
  <si>
    <t>Specify techno-economic data for new generation technologies</t>
  </si>
  <si>
    <t>Xiufeng Yue (UCC, xiufeng.yue@ucc.ie)</t>
  </si>
  <si>
    <t>Olexandr Balyk (UCC, olexandr.balyk@ucc.ie)</t>
  </si>
  <si>
    <t>James Glynn (UCC, james.glynn@ucc.ie)</t>
  </si>
  <si>
    <t>~FI_T: MEUR2015</t>
  </si>
  <si>
    <t>~FI_T: MEUR2012</t>
  </si>
  <si>
    <t>~FI_T: MEUR2014</t>
  </si>
  <si>
    <t>PRC_CAPACT</t>
  </si>
  <si>
    <t>NCAP_TLIFE</t>
  </si>
  <si>
    <t>NCAP_START</t>
  </si>
  <si>
    <t>FX</t>
  </si>
  <si>
    <t>IMPELC_FR-CI</t>
  </si>
  <si>
    <t>EXPELC_FR-CI</t>
  </si>
  <si>
    <t>Export of Electricity - France Celtic Interconnector</t>
  </si>
  <si>
    <t>Import of Electricity - France Celtic Interconnector</t>
  </si>
  <si>
    <t>CAP_BND</t>
  </si>
  <si>
    <t>CAP_BND~0</t>
  </si>
  <si>
    <t>IMPELC_UK-GL</t>
  </si>
  <si>
    <t>EXPELC_UK-GL</t>
  </si>
  <si>
    <t>Import of Electricity - UK Greenlink</t>
  </si>
  <si>
    <t>Export of Electricity - UK Greenlink</t>
  </si>
  <si>
    <t>INVCOST~2025</t>
  </si>
  <si>
    <t>~FI_T: MEUR2024</t>
  </si>
  <si>
    <t>PWR Offshore wind new</t>
  </si>
  <si>
    <t>FIXOM~2025</t>
  </si>
  <si>
    <t>*P-RNW-WIN-OF02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</si>
</sst>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Te\x\t"/>
    <numFmt numFmtId="165" formatCode="0.0"/>
    <numFmt numFmtId="166" formatCode="0.000"/>
    <numFmt numFmtId="167" formatCode="&quot;€&quot;#,##0"/>
    <numFmt numFmtId="168" formatCode="0.0%"/>
  </numFmts>
  <fonts count="6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theme="0"/>
      <name val="Calibri"/>
      <family val="2"/>
      <scheme val="minor"/>
    </font>
    <font>
      <b/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0"/>
      <name val="Calibri"/>
      <family val="2"/>
      <scheme val="minor"/>
    </font>
    <font>
      <b/>
      <sz val="10"/>
      <color indexed="12"/>
      <name val="Arial"/>
      <family val="2"/>
    </font>
    <font>
      <sz val="9"/>
      <name val="Calibri"/>
      <family val="3"/>
      <charset val="134"/>
      <scheme val="minor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color theme="3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name val="Calibri"/>
      <family val="2"/>
      <scheme val="minor"/>
    </font>
    <font>
      <sz val="14"/>
      <color rgb="FF000000"/>
      <name val="Arial"/>
      <family val="2"/>
    </font>
    <font>
      <sz val="10"/>
      <color rgb="FF000000"/>
      <name val="Arial"/>
      <family val="2"/>
    </font>
    <font>
      <sz val="14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Verdana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Verdana"/>
      <family val="2"/>
    </font>
    <font>
      <sz val="10"/>
      <color rgb="FF000000"/>
      <name val="Verdana"/>
      <family val="2"/>
    </font>
    <font>
      <vertAlign val="subscript"/>
      <sz val="10"/>
      <color rgb="FF000000"/>
      <name val="Verdana"/>
      <family val="2"/>
    </font>
    <font>
      <sz val="10"/>
      <color theme="1"/>
      <name val="Verdana"/>
      <family val="2"/>
    </font>
    <font>
      <sz val="11"/>
      <color rgb="FF000000"/>
      <name val="Verdana"/>
      <family val="2"/>
    </font>
    <font>
      <vertAlign val="subscript"/>
      <sz val="11"/>
      <color rgb="FF000000"/>
      <name val="Verdana"/>
      <family val="2"/>
    </font>
    <font>
      <b/>
      <sz val="9"/>
      <color rgb="FFFFFFFF"/>
      <name val="Verdana"/>
      <family val="2"/>
    </font>
    <font>
      <sz val="9"/>
      <color rgb="FF000000"/>
      <name val="Verdana"/>
      <family val="2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6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FF66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8E3F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A5D5E2"/>
        <bgColor indexed="64"/>
      </patternFill>
    </fill>
    <fill>
      <patternFill patternType="solid">
        <fgColor rgb="FFD2EAF1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BCAA2"/>
        <bgColor indexed="64"/>
      </patternFill>
    </fill>
    <fill>
      <patternFill patternType="solid">
        <fgColor rgb="FFFDE4D0"/>
        <bgColor indexed="64"/>
      </patternFill>
    </fill>
    <fill>
      <patternFill patternType="solid">
        <fgColor rgb="FFE36C0A"/>
        <bgColor indexed="64"/>
      </patternFill>
    </fill>
    <fill>
      <patternFill patternType="solid">
        <fgColor rgb="FF4F6228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E6EED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A7BFDE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BFB1D0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DFD8E8"/>
        <bgColor indexed="64"/>
      </patternFill>
    </fill>
    <fill>
      <patternFill patternType="solid">
        <fgColor rgb="FFDFA7A6"/>
        <bgColor indexed="64"/>
      </patternFill>
    </fill>
    <fill>
      <patternFill patternType="solid">
        <fgColor rgb="FFEFD3D2"/>
        <bgColor indexed="64"/>
      </patternFill>
    </fill>
    <fill>
      <patternFill patternType="solid">
        <fgColor rgb="FFCDDDA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7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thick">
        <color rgb="FFFFFFFF"/>
      </right>
      <top style="thick">
        <color rgb="FFFFFFFF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thick">
        <color rgb="FFFFFFFF"/>
      </right>
      <top/>
      <bottom/>
      <diagonal/>
    </border>
    <border>
      <left style="medium">
        <color rgb="FFFFFFFF"/>
      </left>
      <right style="thick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thick">
        <color rgb="FFFFFFFF"/>
      </right>
      <top style="medium">
        <color rgb="FFFFFFFF"/>
      </top>
      <bottom/>
      <diagonal/>
    </border>
    <border>
      <left style="medium">
        <color rgb="FFFFFFFF"/>
      </left>
      <right style="thick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5" fillId="5" borderId="0" applyNumberFormat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15" applyNumberFormat="0" applyAlignment="0" applyProtection="0">
      <alignment vertical="center"/>
    </xf>
    <xf numFmtId="0" fontId="24" fillId="12" borderId="16" applyNumberFormat="0" applyAlignment="0" applyProtection="0">
      <alignment vertical="center"/>
    </xf>
    <xf numFmtId="0" fontId="25" fillId="12" borderId="15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13" borderId="18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0" fontId="2" fillId="0" borderId="0"/>
  </cellStyleXfs>
  <cellXfs count="390">
    <xf numFmtId="0" fontId="0" fillId="0" borderId="0" xfId="0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164" fontId="5" fillId="5" borderId="0" xfId="2" applyNumberFormat="1" applyAlignment="1">
      <alignment vertical="center"/>
    </xf>
    <xf numFmtId="0" fontId="7" fillId="3" borderId="1" xfId="0" applyFont="1" applyFill="1" applyBorder="1" applyAlignment="1">
      <alignment vertical="center"/>
    </xf>
    <xf numFmtId="164" fontId="7" fillId="3" borderId="2" xfId="0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64" fontId="8" fillId="4" borderId="2" xfId="0" applyNumberFormat="1" applyFont="1" applyFill="1" applyBorder="1" applyAlignment="1">
      <alignment horizontal="left" vertical="center" wrapText="1"/>
    </xf>
    <xf numFmtId="164" fontId="9" fillId="0" borderId="0" xfId="0" applyNumberFormat="1" applyFont="1" applyAlignment="1">
      <alignment vertical="center"/>
    </xf>
    <xf numFmtId="164" fontId="7" fillId="3" borderId="1" xfId="0" applyNumberFormat="1" applyFont="1" applyFill="1" applyBorder="1" applyAlignment="1">
      <alignment vertical="center"/>
    </xf>
    <xf numFmtId="164" fontId="7" fillId="3" borderId="1" xfId="0" applyNumberFormat="1" applyFont="1" applyFill="1" applyBorder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5" fillId="2" borderId="0" xfId="0" applyFont="1" applyFill="1"/>
    <xf numFmtId="0" fontId="8" fillId="4" borderId="4" xfId="0" applyFont="1" applyFill="1" applyBorder="1" applyAlignment="1">
      <alignment vertical="center"/>
    </xf>
    <xf numFmtId="9" fontId="0" fillId="0" borderId="0" xfId="1" applyFont="1" applyBorder="1"/>
    <xf numFmtId="0" fontId="10" fillId="0" borderId="0" xfId="0" applyFont="1" applyAlignment="1">
      <alignment vertical="center"/>
    </xf>
    <xf numFmtId="0" fontId="0" fillId="0" borderId="5" xfId="0" applyBorder="1" applyAlignment="1">
      <alignment vertical="center"/>
    </xf>
    <xf numFmtId="9" fontId="0" fillId="0" borderId="5" xfId="1" applyFont="1" applyBorder="1"/>
    <xf numFmtId="0" fontId="8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0" fillId="0" borderId="6" xfId="0" applyBorder="1"/>
    <xf numFmtId="0" fontId="10" fillId="0" borderId="6" xfId="0" applyFont="1" applyBorder="1" applyAlignment="1">
      <alignment vertical="center"/>
    </xf>
    <xf numFmtId="9" fontId="0" fillId="0" borderId="6" xfId="1" applyFont="1" applyBorder="1"/>
    <xf numFmtId="0" fontId="0" fillId="0" borderId="6" xfId="0" applyBorder="1" applyAlignment="1">
      <alignment horizontal="center" vertical="center"/>
    </xf>
    <xf numFmtId="0" fontId="9" fillId="0" borderId="6" xfId="0" applyFont="1" applyBorder="1"/>
    <xf numFmtId="0" fontId="10" fillId="0" borderId="6" xfId="0" applyFont="1" applyBorder="1"/>
    <xf numFmtId="0" fontId="8" fillId="4" borderId="7" xfId="0" applyFont="1" applyFill="1" applyBorder="1" applyAlignment="1">
      <alignment vertical="center"/>
    </xf>
    <xf numFmtId="0" fontId="8" fillId="4" borderId="7" xfId="0" applyFont="1" applyFill="1" applyBorder="1" applyAlignment="1">
      <alignment horizontal="left" vertical="center"/>
    </xf>
    <xf numFmtId="1" fontId="0" fillId="0" borderId="6" xfId="0" applyNumberFormat="1" applyBorder="1"/>
    <xf numFmtId="0" fontId="14" fillId="0" borderId="0" xfId="0" applyFont="1" applyAlignment="1">
      <alignment horizontal="left"/>
    </xf>
    <xf numFmtId="0" fontId="14" fillId="0" borderId="0" xfId="0" applyFont="1"/>
    <xf numFmtId="0" fontId="2" fillId="0" borderId="0" xfId="0" applyFont="1"/>
    <xf numFmtId="164" fontId="14" fillId="0" borderId="0" xfId="0" applyNumberFormat="1" applyFont="1"/>
    <xf numFmtId="164" fontId="0" fillId="0" borderId="0" xfId="0" applyNumberFormat="1"/>
    <xf numFmtId="0" fontId="8" fillId="4" borderId="8" xfId="0" applyFont="1" applyFill="1" applyBorder="1" applyAlignment="1">
      <alignment horizontal="left" vertical="center" wrapText="1"/>
    </xf>
    <xf numFmtId="0" fontId="8" fillId="4" borderId="8" xfId="0" applyFont="1" applyFill="1" applyBorder="1" applyAlignment="1">
      <alignment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vertical="center"/>
    </xf>
    <xf numFmtId="0" fontId="8" fillId="4" borderId="8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center" vertical="center" wrapText="1"/>
    </xf>
    <xf numFmtId="2" fontId="0" fillId="0" borderId="6" xfId="0" applyNumberFormat="1" applyBorder="1"/>
    <xf numFmtId="2" fontId="0" fillId="0" borderId="9" xfId="0" applyNumberFormat="1" applyBorder="1"/>
    <xf numFmtId="0" fontId="0" fillId="0" borderId="9" xfId="0" applyBorder="1"/>
    <xf numFmtId="0" fontId="10" fillId="0" borderId="9" xfId="0" applyFont="1" applyBorder="1" applyAlignment="1">
      <alignment vertical="center"/>
    </xf>
    <xf numFmtId="9" fontId="0" fillId="0" borderId="9" xfId="1" applyFont="1" applyBorder="1"/>
    <xf numFmtId="1" fontId="0" fillId="0" borderId="9" xfId="0" applyNumberFormat="1" applyBorder="1"/>
    <xf numFmtId="0" fontId="0" fillId="0" borderId="9" xfId="0" applyBorder="1" applyAlignment="1">
      <alignment horizontal="center" vertical="center"/>
    </xf>
    <xf numFmtId="0" fontId="0" fillId="0" borderId="0" xfId="0" quotePrefix="1"/>
    <xf numFmtId="0" fontId="0" fillId="0" borderId="10" xfId="0" applyBorder="1"/>
    <xf numFmtId="0" fontId="10" fillId="0" borderId="10" xfId="0" applyFont="1" applyBorder="1" applyAlignment="1">
      <alignment vertical="center"/>
    </xf>
    <xf numFmtId="9" fontId="0" fillId="0" borderId="10" xfId="1" applyFont="1" applyBorder="1"/>
    <xf numFmtId="1" fontId="0" fillId="0" borderId="10" xfId="0" applyNumberFormat="1" applyBorder="1"/>
    <xf numFmtId="2" fontId="0" fillId="0" borderId="10" xfId="0" applyNumberFormat="1" applyBorder="1"/>
    <xf numFmtId="0" fontId="0" fillId="0" borderId="10" xfId="0" applyBorder="1" applyAlignment="1">
      <alignment horizontal="center" vertical="center"/>
    </xf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11" xfId="0" applyBorder="1"/>
    <xf numFmtId="0" fontId="10" fillId="0" borderId="11" xfId="0" applyFont="1" applyBorder="1" applyAlignment="1">
      <alignment vertical="center"/>
    </xf>
    <xf numFmtId="9" fontId="0" fillId="0" borderId="11" xfId="1" applyFont="1" applyBorder="1"/>
    <xf numFmtId="1" fontId="0" fillId="0" borderId="11" xfId="0" applyNumberFormat="1" applyBorder="1"/>
    <xf numFmtId="2" fontId="0" fillId="0" borderId="11" xfId="0" applyNumberFormat="1" applyBorder="1"/>
    <xf numFmtId="0" fontId="0" fillId="0" borderId="11" xfId="0" applyBorder="1" applyAlignment="1">
      <alignment horizontal="center" vertical="center"/>
    </xf>
    <xf numFmtId="0" fontId="8" fillId="4" borderId="7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vertical="center"/>
    </xf>
    <xf numFmtId="164" fontId="7" fillId="3" borderId="7" xfId="0" applyNumberFormat="1" applyFont="1" applyFill="1" applyBorder="1" applyAlignment="1">
      <alignment vertical="center"/>
    </xf>
    <xf numFmtId="0" fontId="7" fillId="3" borderId="8" xfId="0" applyFont="1" applyFill="1" applyBorder="1" applyAlignment="1">
      <alignment horizontal="center" vertical="center"/>
    </xf>
    <xf numFmtId="164" fontId="8" fillId="4" borderId="7" xfId="0" applyNumberFormat="1" applyFont="1" applyFill="1" applyBorder="1" applyAlignment="1">
      <alignment horizontal="left" vertical="center" wrapText="1"/>
    </xf>
    <xf numFmtId="166" fontId="0" fillId="0" borderId="0" xfId="0" applyNumberFormat="1"/>
    <xf numFmtId="166" fontId="0" fillId="37" borderId="0" xfId="0" applyNumberFormat="1" applyFill="1" applyAlignment="1">
      <alignment wrapText="1"/>
    </xf>
    <xf numFmtId="166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" fontId="0" fillId="37" borderId="0" xfId="0" applyNumberFormat="1" applyFill="1" applyAlignment="1">
      <alignment horizontal="center" wrapText="1"/>
    </xf>
    <xf numFmtId="167" fontId="0" fillId="37" borderId="0" xfId="0" applyNumberFormat="1" applyFill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wrapText="1"/>
    </xf>
    <xf numFmtId="1" fontId="34" fillId="0" borderId="0" xfId="0" applyNumberFormat="1" applyFont="1"/>
    <xf numFmtId="0" fontId="34" fillId="0" borderId="0" xfId="0" applyFont="1"/>
    <xf numFmtId="166" fontId="34" fillId="0" borderId="0" xfId="0" applyNumberFormat="1" applyFont="1"/>
    <xf numFmtId="166" fontId="34" fillId="37" borderId="0" xfId="0" applyNumberFormat="1" applyFont="1" applyFill="1"/>
    <xf numFmtId="0" fontId="34" fillId="0" borderId="0" xfId="0" applyFont="1" applyAlignment="1">
      <alignment wrapText="1"/>
    </xf>
    <xf numFmtId="167" fontId="34" fillId="37" borderId="0" xfId="0" applyNumberFormat="1" applyFont="1" applyFill="1" applyAlignment="1">
      <alignment wrapText="1"/>
    </xf>
    <xf numFmtId="167" fontId="0" fillId="37" borderId="0" xfId="0" applyNumberFormat="1" applyFill="1"/>
    <xf numFmtId="1" fontId="0" fillId="38" borderId="0" xfId="0" applyNumberFormat="1" applyFill="1"/>
    <xf numFmtId="0" fontId="0" fillId="38" borderId="0" xfId="0" applyFill="1"/>
    <xf numFmtId="166" fontId="0" fillId="38" borderId="0" xfId="0" applyNumberFormat="1" applyFill="1"/>
    <xf numFmtId="166" fontId="34" fillId="38" borderId="0" xfId="0" applyNumberFormat="1" applyFont="1" applyFill="1"/>
    <xf numFmtId="0" fontId="34" fillId="38" borderId="0" xfId="0" applyFont="1" applyFill="1" applyAlignment="1">
      <alignment wrapText="1"/>
    </xf>
    <xf numFmtId="0" fontId="0" fillId="38" borderId="0" xfId="0" applyFill="1" applyAlignment="1">
      <alignment vertical="center"/>
    </xf>
    <xf numFmtId="167" fontId="0" fillId="38" borderId="0" xfId="0" applyNumberFormat="1" applyFill="1"/>
    <xf numFmtId="2" fontId="0" fillId="38" borderId="0" xfId="0" applyNumberFormat="1" applyFill="1"/>
    <xf numFmtId="0" fontId="0" fillId="0" borderId="24" xfId="0" applyBorder="1"/>
    <xf numFmtId="166" fontId="34" fillId="0" borderId="23" xfId="0" applyNumberFormat="1" applyFont="1" applyBorder="1"/>
    <xf numFmtId="1" fontId="35" fillId="0" borderId="20" xfId="0" applyNumberFormat="1" applyFont="1" applyBorder="1" applyAlignment="1">
      <alignment horizontal="center" wrapText="1"/>
    </xf>
    <xf numFmtId="0" fontId="35" fillId="0" borderId="25" xfId="0" applyFont="1" applyBorder="1" applyAlignment="1">
      <alignment wrapText="1"/>
    </xf>
    <xf numFmtId="0" fontId="35" fillId="0" borderId="21" xfId="0" applyFont="1" applyBorder="1"/>
    <xf numFmtId="0" fontId="35" fillId="0" borderId="8" xfId="0" applyFont="1" applyBorder="1"/>
    <xf numFmtId="0" fontId="35" fillId="0" borderId="22" xfId="0" applyFont="1" applyBorder="1" applyAlignment="1">
      <alignment wrapText="1"/>
    </xf>
    <xf numFmtId="0" fontId="35" fillId="0" borderId="0" xfId="0" applyFont="1"/>
    <xf numFmtId="0" fontId="0" fillId="0" borderId="23" xfId="0" applyBorder="1"/>
    <xf numFmtId="0" fontId="0" fillId="0" borderId="21" xfId="0" applyBorder="1"/>
    <xf numFmtId="0" fontId="0" fillId="0" borderId="8" xfId="0" applyBorder="1"/>
    <xf numFmtId="0" fontId="0" fillId="39" borderId="6" xfId="0" applyFill="1" applyBorder="1"/>
    <xf numFmtId="0" fontId="10" fillId="39" borderId="6" xfId="0" applyFont="1" applyFill="1" applyBorder="1" applyAlignment="1">
      <alignment vertical="center"/>
    </xf>
    <xf numFmtId="9" fontId="0" fillId="39" borderId="6" xfId="1" applyFont="1" applyFill="1" applyBorder="1"/>
    <xf numFmtId="1" fontId="0" fillId="39" borderId="6" xfId="0" applyNumberFormat="1" applyFill="1" applyBorder="1"/>
    <xf numFmtId="2" fontId="0" fillId="39" borderId="6" xfId="0" applyNumberFormat="1" applyFill="1" applyBorder="1"/>
    <xf numFmtId="0" fontId="0" fillId="39" borderId="6" xfId="0" applyFill="1" applyBorder="1" applyAlignment="1">
      <alignment horizontal="center" vertical="center"/>
    </xf>
    <xf numFmtId="1" fontId="0" fillId="6" borderId="6" xfId="0" applyNumberFormat="1" applyFill="1" applyBorder="1"/>
    <xf numFmtId="2" fontId="0" fillId="6" borderId="6" xfId="0" applyNumberFormat="1" applyFill="1" applyBorder="1"/>
    <xf numFmtId="1" fontId="0" fillId="7" borderId="6" xfId="0" applyNumberFormat="1" applyFill="1" applyBorder="1"/>
    <xf numFmtId="165" fontId="0" fillId="7" borderId="6" xfId="0" applyNumberFormat="1" applyFill="1" applyBorder="1"/>
    <xf numFmtId="0" fontId="0" fillId="0" borderId="5" xfId="0" applyBorder="1"/>
    <xf numFmtId="1" fontId="0" fillId="6" borderId="9" xfId="0" applyNumberFormat="1" applyFill="1" applyBorder="1"/>
    <xf numFmtId="1" fontId="0" fillId="6" borderId="5" xfId="0" applyNumberFormat="1" applyFill="1" applyBorder="1"/>
    <xf numFmtId="2" fontId="0" fillId="6" borderId="9" xfId="0" applyNumberFormat="1" applyFill="1" applyBorder="1"/>
    <xf numFmtId="1" fontId="0" fillId="7" borderId="5" xfId="0" applyNumberFormat="1" applyFill="1" applyBorder="1"/>
    <xf numFmtId="165" fontId="0" fillId="7" borderId="5" xfId="0" applyNumberFormat="1" applyFill="1" applyBorder="1"/>
    <xf numFmtId="0" fontId="0" fillId="0" borderId="5" xfId="0" applyBorder="1" applyAlignment="1">
      <alignment horizontal="center" vertical="center"/>
    </xf>
    <xf numFmtId="0" fontId="36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0" fillId="0" borderId="8" xfId="0" applyBorder="1" applyAlignment="1">
      <alignment vertical="center"/>
    </xf>
    <xf numFmtId="0" fontId="34" fillId="3" borderId="7" xfId="0" applyFont="1" applyFill="1" applyBorder="1" applyAlignment="1">
      <alignment horizontal="left" vertical="center" wrapText="1"/>
    </xf>
    <xf numFmtId="0" fontId="34" fillId="3" borderId="7" xfId="0" applyFont="1" applyFill="1" applyBorder="1" applyAlignment="1">
      <alignment horizontal="center" vertical="center" wrapText="1"/>
    </xf>
    <xf numFmtId="164" fontId="37" fillId="0" borderId="0" xfId="0" applyNumberFormat="1" applyFont="1" applyAlignment="1">
      <alignment vertical="center"/>
    </xf>
    <xf numFmtId="164" fontId="38" fillId="3" borderId="20" xfId="0" applyNumberFormat="1" applyFont="1" applyFill="1" applyBorder="1" applyAlignment="1">
      <alignment vertical="center"/>
    </xf>
    <xf numFmtId="164" fontId="38" fillId="3" borderId="7" xfId="0" applyNumberFormat="1" applyFont="1" applyFill="1" applyBorder="1" applyAlignment="1">
      <alignment vertical="center"/>
    </xf>
    <xf numFmtId="164" fontId="38" fillId="3" borderId="26" xfId="0" applyNumberFormat="1" applyFont="1" applyFill="1" applyBorder="1" applyAlignment="1">
      <alignment vertical="center"/>
    </xf>
    <xf numFmtId="164" fontId="39" fillId="0" borderId="0" xfId="0" applyNumberFormat="1" applyFont="1"/>
    <xf numFmtId="164" fontId="39" fillId="0" borderId="0" xfId="0" applyNumberFormat="1" applyFont="1" applyAlignment="1">
      <alignment horizontal="left"/>
    </xf>
    <xf numFmtId="164" fontId="40" fillId="0" borderId="0" xfId="0" applyNumberFormat="1" applyFont="1"/>
    <xf numFmtId="0" fontId="41" fillId="2" borderId="0" xfId="0" quotePrefix="1" applyFont="1" applyFill="1" applyAlignment="1">
      <alignment horizontal="left" vertical="center"/>
    </xf>
    <xf numFmtId="0" fontId="42" fillId="2" borderId="0" xfId="0" applyFont="1" applyFill="1" applyAlignment="1">
      <alignment horizontal="left" vertical="center"/>
    </xf>
    <xf numFmtId="0" fontId="9" fillId="0" borderId="0" xfId="0" applyFont="1" applyAlignment="1">
      <alignment vertical="center"/>
    </xf>
    <xf numFmtId="0" fontId="7" fillId="3" borderId="8" xfId="0" applyFont="1" applyFill="1" applyBorder="1" applyAlignment="1">
      <alignment vertical="center" wrapText="1"/>
    </xf>
    <xf numFmtId="0" fontId="7" fillId="3" borderId="8" xfId="0" applyFont="1" applyFill="1" applyBorder="1" applyAlignment="1">
      <alignment horizontal="center" vertical="center" wrapText="1"/>
    </xf>
    <xf numFmtId="164" fontId="43" fillId="40" borderId="28" xfId="0" applyNumberFormat="1" applyFont="1" applyFill="1" applyBorder="1" applyAlignment="1">
      <alignment horizontal="center" vertical="center" wrapText="1"/>
    </xf>
    <xf numFmtId="164" fontId="43" fillId="40" borderId="29" xfId="0" applyNumberFormat="1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left" vertical="center"/>
    </xf>
    <xf numFmtId="0" fontId="9" fillId="3" borderId="30" xfId="0" applyFont="1" applyFill="1" applyBorder="1" applyAlignment="1">
      <alignment vertical="center" wrapText="1"/>
    </xf>
    <xf numFmtId="0" fontId="8" fillId="3" borderId="30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40" fillId="0" borderId="0" xfId="0" applyFont="1"/>
    <xf numFmtId="0" fontId="43" fillId="0" borderId="0" xfId="0" applyFont="1"/>
    <xf numFmtId="1" fontId="40" fillId="0" borderId="0" xfId="0" applyNumberFormat="1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4" fillId="0" borderId="0" xfId="0" applyFont="1"/>
    <xf numFmtId="0" fontId="49" fillId="42" borderId="32" xfId="0" applyFont="1" applyFill="1" applyBorder="1" applyAlignment="1">
      <alignment horizontal="left" vertical="center"/>
    </xf>
    <xf numFmtId="1" fontId="49" fillId="42" borderId="32" xfId="0" applyNumberFormat="1" applyFont="1" applyFill="1" applyBorder="1" applyAlignment="1">
      <alignment horizontal="center" vertical="center"/>
    </xf>
    <xf numFmtId="0" fontId="50" fillId="43" borderId="34" xfId="0" applyFont="1" applyFill="1" applyBorder="1" applyAlignment="1">
      <alignment horizontal="left" vertical="center"/>
    </xf>
    <xf numFmtId="1" fontId="50" fillId="43" borderId="34" xfId="0" applyNumberFormat="1" applyFont="1" applyFill="1" applyBorder="1" applyAlignment="1">
      <alignment horizontal="center" vertical="center"/>
    </xf>
    <xf numFmtId="0" fontId="50" fillId="44" borderId="34" xfId="0" applyFont="1" applyFill="1" applyBorder="1" applyAlignment="1">
      <alignment horizontal="left" vertical="center"/>
    </xf>
    <xf numFmtId="1" fontId="50" fillId="44" borderId="34" xfId="0" applyNumberFormat="1" applyFont="1" applyFill="1" applyBorder="1" applyAlignment="1">
      <alignment horizontal="center" vertical="center"/>
    </xf>
    <xf numFmtId="9" fontId="50" fillId="43" borderId="34" xfId="0" applyNumberFormat="1" applyFont="1" applyFill="1" applyBorder="1" applyAlignment="1">
      <alignment horizontal="center" vertical="center"/>
    </xf>
    <xf numFmtId="0" fontId="49" fillId="42" borderId="38" xfId="0" applyFont="1" applyFill="1" applyBorder="1" applyAlignment="1">
      <alignment horizontal="left" vertical="center"/>
    </xf>
    <xf numFmtId="0" fontId="49" fillId="42" borderId="32" xfId="0" applyFont="1" applyFill="1" applyBorder="1" applyAlignment="1">
      <alignment horizontal="center" vertical="center"/>
    </xf>
    <xf numFmtId="9" fontId="50" fillId="44" borderId="34" xfId="0" applyNumberFormat="1" applyFont="1" applyFill="1" applyBorder="1" applyAlignment="1">
      <alignment horizontal="center" vertical="center"/>
    </xf>
    <xf numFmtId="0" fontId="50" fillId="44" borderId="34" xfId="0" applyFont="1" applyFill="1" applyBorder="1" applyAlignment="1">
      <alignment horizontal="center" vertical="center"/>
    </xf>
    <xf numFmtId="0" fontId="50" fillId="43" borderId="39" xfId="0" applyFont="1" applyFill="1" applyBorder="1" applyAlignment="1">
      <alignment vertical="center"/>
    </xf>
    <xf numFmtId="0" fontId="50" fillId="43" borderId="34" xfId="0" applyFont="1" applyFill="1" applyBorder="1" applyAlignment="1">
      <alignment horizontal="center" vertical="center"/>
    </xf>
    <xf numFmtId="0" fontId="50" fillId="43" borderId="40" xfId="0" applyFont="1" applyFill="1" applyBorder="1" applyAlignment="1">
      <alignment vertical="center"/>
    </xf>
    <xf numFmtId="0" fontId="50" fillId="43" borderId="41" xfId="0" applyFont="1" applyFill="1" applyBorder="1" applyAlignment="1">
      <alignment vertical="center"/>
    </xf>
    <xf numFmtId="0" fontId="49" fillId="45" borderId="32" xfId="0" applyFont="1" applyFill="1" applyBorder="1" applyAlignment="1">
      <alignment horizontal="left" vertical="center"/>
    </xf>
    <xf numFmtId="0" fontId="49" fillId="45" borderId="32" xfId="0" applyFont="1" applyFill="1" applyBorder="1" applyAlignment="1">
      <alignment horizontal="center" vertical="center"/>
    </xf>
    <xf numFmtId="0" fontId="50" fillId="46" borderId="34" xfId="0" applyFont="1" applyFill="1" applyBorder="1" applyAlignment="1">
      <alignment horizontal="left" vertical="center"/>
    </xf>
    <xf numFmtId="1" fontId="50" fillId="46" borderId="34" xfId="0" applyNumberFormat="1" applyFont="1" applyFill="1" applyBorder="1" applyAlignment="1">
      <alignment horizontal="center" vertical="center"/>
    </xf>
    <xf numFmtId="0" fontId="50" fillId="47" borderId="34" xfId="0" applyFont="1" applyFill="1" applyBorder="1" applyAlignment="1">
      <alignment horizontal="left" vertical="center"/>
    </xf>
    <xf numFmtId="1" fontId="50" fillId="47" borderId="34" xfId="0" applyNumberFormat="1" applyFont="1" applyFill="1" applyBorder="1" applyAlignment="1">
      <alignment horizontal="center" vertical="center"/>
    </xf>
    <xf numFmtId="9" fontId="50" fillId="46" borderId="34" xfId="0" applyNumberFormat="1" applyFont="1" applyFill="1" applyBorder="1" applyAlignment="1">
      <alignment horizontal="center" vertical="center"/>
    </xf>
    <xf numFmtId="9" fontId="50" fillId="47" borderId="34" xfId="0" applyNumberFormat="1" applyFont="1" applyFill="1" applyBorder="1" applyAlignment="1">
      <alignment horizontal="center" vertical="center"/>
    </xf>
    <xf numFmtId="0" fontId="49" fillId="45" borderId="38" xfId="0" applyFont="1" applyFill="1" applyBorder="1" applyAlignment="1">
      <alignment horizontal="left" vertical="center"/>
    </xf>
    <xf numFmtId="0" fontId="50" fillId="47" borderId="34" xfId="0" applyFont="1" applyFill="1" applyBorder="1" applyAlignment="1">
      <alignment horizontal="center" vertical="center"/>
    </xf>
    <xf numFmtId="0" fontId="52" fillId="46" borderId="34" xfId="0" applyFont="1" applyFill="1" applyBorder="1" applyAlignment="1">
      <alignment horizontal="left" vertical="center"/>
    </xf>
    <xf numFmtId="0" fontId="52" fillId="46" borderId="39" xfId="0" applyFont="1" applyFill="1" applyBorder="1" applyAlignment="1">
      <alignment vertical="center"/>
    </xf>
    <xf numFmtId="0" fontId="52" fillId="46" borderId="34" xfId="0" applyFont="1" applyFill="1" applyBorder="1" applyAlignment="1">
      <alignment horizontal="center" vertical="center"/>
    </xf>
    <xf numFmtId="0" fontId="52" fillId="47" borderId="34" xfId="0" applyFont="1" applyFill="1" applyBorder="1" applyAlignment="1">
      <alignment horizontal="left" vertical="center"/>
    </xf>
    <xf numFmtId="0" fontId="52" fillId="47" borderId="34" xfId="0" applyFont="1" applyFill="1" applyBorder="1" applyAlignment="1">
      <alignment horizontal="center" vertical="center"/>
    </xf>
    <xf numFmtId="0" fontId="53" fillId="47" borderId="34" xfId="0" applyFont="1" applyFill="1" applyBorder="1" applyAlignment="1">
      <alignment horizontal="left" vertical="center"/>
    </xf>
    <xf numFmtId="168" fontId="52" fillId="47" borderId="34" xfId="0" applyNumberFormat="1" applyFont="1" applyFill="1" applyBorder="1" applyAlignment="1">
      <alignment horizontal="center" vertical="center"/>
    </xf>
    <xf numFmtId="0" fontId="50" fillId="46" borderId="39" xfId="0" applyFont="1" applyFill="1" applyBorder="1" applyAlignment="1">
      <alignment vertical="center"/>
    </xf>
    <xf numFmtId="0" fontId="50" fillId="46" borderId="34" xfId="0" applyFont="1" applyFill="1" applyBorder="1" applyAlignment="1">
      <alignment horizontal="center" vertical="center"/>
    </xf>
    <xf numFmtId="168" fontId="50" fillId="47" borderId="34" xfId="0" applyNumberFormat="1" applyFont="1" applyFill="1" applyBorder="1" applyAlignment="1">
      <alignment horizontal="center" vertical="center"/>
    </xf>
    <xf numFmtId="0" fontId="49" fillId="48" borderId="32" xfId="0" applyFont="1" applyFill="1" applyBorder="1" applyAlignment="1">
      <alignment horizontal="left" vertical="center"/>
    </xf>
    <xf numFmtId="0" fontId="49" fillId="48" borderId="32" xfId="0" applyFont="1" applyFill="1" applyBorder="1" applyAlignment="1">
      <alignment horizontal="center" vertical="center"/>
    </xf>
    <xf numFmtId="0" fontId="50" fillId="45" borderId="34" xfId="0" applyFont="1" applyFill="1" applyBorder="1" applyAlignment="1">
      <alignment horizontal="left" vertical="center"/>
    </xf>
    <xf numFmtId="1" fontId="50" fillId="45" borderId="34" xfId="0" applyNumberFormat="1" applyFont="1" applyFill="1" applyBorder="1" applyAlignment="1">
      <alignment horizontal="center" vertical="center"/>
    </xf>
    <xf numFmtId="9" fontId="50" fillId="45" borderId="34" xfId="0" applyNumberFormat="1" applyFont="1" applyFill="1" applyBorder="1" applyAlignment="1">
      <alignment horizontal="center" vertical="center"/>
    </xf>
    <xf numFmtId="0" fontId="49" fillId="48" borderId="38" xfId="0" applyFont="1" applyFill="1" applyBorder="1" applyAlignment="1">
      <alignment horizontal="left" vertical="center"/>
    </xf>
    <xf numFmtId="0" fontId="50" fillId="45" borderId="39" xfId="0" applyFont="1" applyFill="1" applyBorder="1" applyAlignment="1">
      <alignment vertical="center"/>
    </xf>
    <xf numFmtId="0" fontId="50" fillId="45" borderId="34" xfId="0" applyFont="1" applyFill="1" applyBorder="1" applyAlignment="1">
      <alignment horizontal="center" vertical="center"/>
    </xf>
    <xf numFmtId="0" fontId="49" fillId="49" borderId="32" xfId="0" applyFont="1" applyFill="1" applyBorder="1" applyAlignment="1">
      <alignment horizontal="left" vertical="center"/>
    </xf>
    <xf numFmtId="0" fontId="49" fillId="49" borderId="32" xfId="0" applyFont="1" applyFill="1" applyBorder="1" applyAlignment="1">
      <alignment horizontal="center" vertical="center"/>
    </xf>
    <xf numFmtId="0" fontId="50" fillId="50" borderId="34" xfId="0" applyFont="1" applyFill="1" applyBorder="1" applyAlignment="1">
      <alignment horizontal="left" vertical="center"/>
    </xf>
    <xf numFmtId="1" fontId="50" fillId="50" borderId="34" xfId="0" applyNumberFormat="1" applyFont="1" applyFill="1" applyBorder="1" applyAlignment="1">
      <alignment horizontal="center" vertical="center"/>
    </xf>
    <xf numFmtId="0" fontId="50" fillId="51" borderId="34" xfId="0" applyFont="1" applyFill="1" applyBorder="1" applyAlignment="1">
      <alignment horizontal="left" vertical="center"/>
    </xf>
    <xf numFmtId="1" fontId="50" fillId="51" borderId="34" xfId="0" applyNumberFormat="1" applyFont="1" applyFill="1" applyBorder="1" applyAlignment="1">
      <alignment horizontal="center" vertical="center"/>
    </xf>
    <xf numFmtId="165" fontId="50" fillId="51" borderId="34" xfId="0" applyNumberFormat="1" applyFont="1" applyFill="1" applyBorder="1" applyAlignment="1">
      <alignment horizontal="center" vertical="center"/>
    </xf>
    <xf numFmtId="165" fontId="50" fillId="50" borderId="34" xfId="0" applyNumberFormat="1" applyFont="1" applyFill="1" applyBorder="1" applyAlignment="1">
      <alignment horizontal="center" vertical="center"/>
    </xf>
    <xf numFmtId="9" fontId="50" fillId="50" borderId="34" xfId="0" applyNumberFormat="1" applyFont="1" applyFill="1" applyBorder="1" applyAlignment="1">
      <alignment horizontal="center" vertical="center"/>
    </xf>
    <xf numFmtId="9" fontId="50" fillId="51" borderId="34" xfId="0" applyNumberFormat="1" applyFont="1" applyFill="1" applyBorder="1" applyAlignment="1">
      <alignment horizontal="center" vertical="center"/>
    </xf>
    <xf numFmtId="0" fontId="49" fillId="49" borderId="38" xfId="0" applyFont="1" applyFill="1" applyBorder="1" applyAlignment="1">
      <alignment horizontal="left" vertical="center"/>
    </xf>
    <xf numFmtId="0" fontId="50" fillId="51" borderId="34" xfId="0" applyFont="1" applyFill="1" applyBorder="1" applyAlignment="1">
      <alignment horizontal="center" vertical="center"/>
    </xf>
    <xf numFmtId="0" fontId="50" fillId="50" borderId="39" xfId="0" applyFont="1" applyFill="1" applyBorder="1" applyAlignment="1">
      <alignment vertical="center"/>
    </xf>
    <xf numFmtId="0" fontId="50" fillId="50" borderId="34" xfId="0" applyFont="1" applyFill="1" applyBorder="1" applyAlignment="1">
      <alignment horizontal="center" vertical="center"/>
    </xf>
    <xf numFmtId="0" fontId="49" fillId="52" borderId="32" xfId="0" applyFont="1" applyFill="1" applyBorder="1" applyAlignment="1">
      <alignment horizontal="left" vertical="center"/>
    </xf>
    <xf numFmtId="0" fontId="49" fillId="52" borderId="32" xfId="0" applyFont="1" applyFill="1" applyBorder="1" applyAlignment="1">
      <alignment horizontal="center" vertical="center"/>
    </xf>
    <xf numFmtId="0" fontId="50" fillId="53" borderId="34" xfId="0" applyFont="1" applyFill="1" applyBorder="1" applyAlignment="1">
      <alignment horizontal="left" vertical="center"/>
    </xf>
    <xf numFmtId="165" fontId="50" fillId="53" borderId="34" xfId="0" applyNumberFormat="1" applyFont="1" applyFill="1" applyBorder="1" applyAlignment="1">
      <alignment horizontal="center" vertical="center"/>
    </xf>
    <xf numFmtId="1" fontId="50" fillId="53" borderId="34" xfId="0" applyNumberFormat="1" applyFont="1" applyFill="1" applyBorder="1" applyAlignment="1">
      <alignment horizontal="center" vertical="center"/>
    </xf>
    <xf numFmtId="0" fontId="50" fillId="54" borderId="34" xfId="0" applyFont="1" applyFill="1" applyBorder="1" applyAlignment="1">
      <alignment horizontal="left" vertical="center"/>
    </xf>
    <xf numFmtId="165" fontId="50" fillId="54" borderId="34" xfId="0" applyNumberFormat="1" applyFont="1" applyFill="1" applyBorder="1" applyAlignment="1">
      <alignment horizontal="center" vertical="center"/>
    </xf>
    <xf numFmtId="1" fontId="50" fillId="54" borderId="34" xfId="0" applyNumberFormat="1" applyFont="1" applyFill="1" applyBorder="1" applyAlignment="1">
      <alignment horizontal="center" vertical="center"/>
    </xf>
    <xf numFmtId="2" fontId="50" fillId="54" borderId="34" xfId="0" applyNumberFormat="1" applyFont="1" applyFill="1" applyBorder="1" applyAlignment="1">
      <alignment horizontal="center" vertical="center"/>
    </xf>
    <xf numFmtId="2" fontId="50" fillId="53" borderId="34" xfId="0" applyNumberFormat="1" applyFont="1" applyFill="1" applyBorder="1" applyAlignment="1">
      <alignment horizontal="center" vertical="center"/>
    </xf>
    <xf numFmtId="9" fontId="50" fillId="53" borderId="34" xfId="0" applyNumberFormat="1" applyFont="1" applyFill="1" applyBorder="1" applyAlignment="1">
      <alignment horizontal="center" vertical="center"/>
    </xf>
    <xf numFmtId="9" fontId="50" fillId="54" borderId="34" xfId="0" applyNumberFormat="1" applyFont="1" applyFill="1" applyBorder="1" applyAlignment="1">
      <alignment horizontal="center" vertical="center"/>
    </xf>
    <xf numFmtId="0" fontId="49" fillId="52" borderId="38" xfId="0" applyFont="1" applyFill="1" applyBorder="1" applyAlignment="1">
      <alignment horizontal="left" vertical="center"/>
    </xf>
    <xf numFmtId="0" fontId="50" fillId="54" borderId="34" xfId="0" applyFont="1" applyFill="1" applyBorder="1" applyAlignment="1">
      <alignment horizontal="center" vertical="center"/>
    </xf>
    <xf numFmtId="0" fontId="50" fillId="53" borderId="39" xfId="0" applyFont="1" applyFill="1" applyBorder="1" applyAlignment="1">
      <alignment vertical="center"/>
    </xf>
    <xf numFmtId="0" fontId="50" fillId="53" borderId="34" xfId="0" applyFont="1" applyFill="1" applyBorder="1" applyAlignment="1">
      <alignment horizontal="center" vertical="center"/>
    </xf>
    <xf numFmtId="168" fontId="50" fillId="54" borderId="34" xfId="0" applyNumberFormat="1" applyFont="1" applyFill="1" applyBorder="1" applyAlignment="1">
      <alignment horizontal="center" vertical="center"/>
    </xf>
    <xf numFmtId="0" fontId="49" fillId="55" borderId="32" xfId="0" applyFont="1" applyFill="1" applyBorder="1" applyAlignment="1">
      <alignment horizontal="left" vertical="center"/>
    </xf>
    <xf numFmtId="0" fontId="49" fillId="55" borderId="32" xfId="0" applyFont="1" applyFill="1" applyBorder="1" applyAlignment="1">
      <alignment horizontal="center" vertical="center"/>
    </xf>
    <xf numFmtId="0" fontId="50" fillId="56" borderId="34" xfId="0" applyFont="1" applyFill="1" applyBorder="1" applyAlignment="1">
      <alignment horizontal="left" vertical="center"/>
    </xf>
    <xf numFmtId="1" fontId="50" fillId="56" borderId="34" xfId="0" applyNumberFormat="1" applyFont="1" applyFill="1" applyBorder="1" applyAlignment="1">
      <alignment horizontal="center" vertical="center"/>
    </xf>
    <xf numFmtId="0" fontId="49" fillId="57" borderId="32" xfId="0" applyFont="1" applyFill="1" applyBorder="1" applyAlignment="1">
      <alignment horizontal="left" vertical="center"/>
    </xf>
    <xf numFmtId="0" fontId="49" fillId="57" borderId="32" xfId="0" applyFont="1" applyFill="1" applyBorder="1" applyAlignment="1">
      <alignment horizontal="center" vertical="center"/>
    </xf>
    <xf numFmtId="0" fontId="50" fillId="58" borderId="34" xfId="0" applyFont="1" applyFill="1" applyBorder="1" applyAlignment="1">
      <alignment horizontal="left" vertical="center"/>
    </xf>
    <xf numFmtId="1" fontId="50" fillId="58" borderId="34" xfId="0" applyNumberFormat="1" applyFont="1" applyFill="1" applyBorder="1" applyAlignment="1">
      <alignment horizontal="center" vertical="center"/>
    </xf>
    <xf numFmtId="0" fontId="50" fillId="59" borderId="34" xfId="0" applyFont="1" applyFill="1" applyBorder="1" applyAlignment="1">
      <alignment horizontal="left" vertical="center"/>
    </xf>
    <xf numFmtId="0" fontId="50" fillId="59" borderId="34" xfId="0" applyFont="1" applyFill="1" applyBorder="1" applyAlignment="1">
      <alignment horizontal="center" vertical="center"/>
    </xf>
    <xf numFmtId="165" fontId="50" fillId="59" borderId="34" xfId="0" applyNumberFormat="1" applyFont="1" applyFill="1" applyBorder="1" applyAlignment="1">
      <alignment horizontal="center" vertical="center"/>
    </xf>
    <xf numFmtId="0" fontId="56" fillId="59" borderId="34" xfId="0" applyFont="1" applyFill="1" applyBorder="1" applyAlignment="1">
      <alignment horizontal="left" vertical="center"/>
    </xf>
    <xf numFmtId="0" fontId="56" fillId="59" borderId="34" xfId="0" applyFont="1" applyFill="1" applyBorder="1" applyAlignment="1">
      <alignment horizontal="center" vertical="center"/>
    </xf>
    <xf numFmtId="1" fontId="56" fillId="59" borderId="34" xfId="0" applyNumberFormat="1" applyFont="1" applyFill="1" applyBorder="1" applyAlignment="1">
      <alignment horizontal="center" vertical="center"/>
    </xf>
    <xf numFmtId="165" fontId="56" fillId="59" borderId="34" xfId="0" applyNumberFormat="1" applyFont="1" applyFill="1" applyBorder="1" applyAlignment="1">
      <alignment horizontal="center" vertical="center"/>
    </xf>
    <xf numFmtId="0" fontId="56" fillId="60" borderId="34" xfId="0" applyFont="1" applyFill="1" applyBorder="1" applyAlignment="1">
      <alignment horizontal="left" vertical="center"/>
    </xf>
    <xf numFmtId="0" fontId="56" fillId="60" borderId="34" xfId="0" applyFont="1" applyFill="1" applyBorder="1" applyAlignment="1">
      <alignment horizontal="center" vertical="center"/>
    </xf>
    <xf numFmtId="165" fontId="56" fillId="60" borderId="34" xfId="0" applyNumberFormat="1" applyFont="1" applyFill="1" applyBorder="1" applyAlignment="1">
      <alignment horizontal="center" vertical="center"/>
    </xf>
    <xf numFmtId="168" fontId="56" fillId="60" borderId="34" xfId="1" applyNumberFormat="1" applyFont="1" applyFill="1" applyBorder="1" applyAlignment="1">
      <alignment horizontal="center" vertical="center"/>
    </xf>
    <xf numFmtId="9" fontId="50" fillId="56" borderId="34" xfId="0" applyNumberFormat="1" applyFont="1" applyFill="1" applyBorder="1" applyAlignment="1">
      <alignment horizontal="center" vertical="center"/>
    </xf>
    <xf numFmtId="168" fontId="56" fillId="59" borderId="34" xfId="1" applyNumberFormat="1" applyFont="1" applyFill="1" applyBorder="1" applyAlignment="1">
      <alignment horizontal="center" vertical="center"/>
    </xf>
    <xf numFmtId="9" fontId="50" fillId="58" borderId="34" xfId="0" applyNumberFormat="1" applyFont="1" applyFill="1" applyBorder="1" applyAlignment="1">
      <alignment horizontal="center" vertical="center"/>
    </xf>
    <xf numFmtId="0" fontId="55" fillId="57" borderId="38" xfId="0" applyFont="1" applyFill="1" applyBorder="1" applyAlignment="1">
      <alignment horizontal="left" vertical="center"/>
    </xf>
    <xf numFmtId="0" fontId="49" fillId="55" borderId="38" xfId="0" applyFont="1" applyFill="1" applyBorder="1" applyAlignment="1">
      <alignment horizontal="left" vertical="center"/>
    </xf>
    <xf numFmtId="0" fontId="50" fillId="58" borderId="34" xfId="0" applyFont="1" applyFill="1" applyBorder="1" applyAlignment="1">
      <alignment horizontal="center" vertical="center"/>
    </xf>
    <xf numFmtId="0" fontId="50" fillId="56" borderId="39" xfId="0" applyFont="1" applyFill="1" applyBorder="1" applyAlignment="1">
      <alignment vertical="center"/>
    </xf>
    <xf numFmtId="0" fontId="50" fillId="56" borderId="34" xfId="0" applyFont="1" applyFill="1" applyBorder="1" applyAlignment="1">
      <alignment horizontal="center" vertical="center"/>
    </xf>
    <xf numFmtId="0" fontId="50" fillId="60" borderId="34" xfId="0" applyFont="1" applyFill="1" applyBorder="1" applyAlignment="1">
      <alignment horizontal="left" vertical="center"/>
    </xf>
    <xf numFmtId="0" fontId="50" fillId="60" borderId="34" xfId="0" applyFont="1" applyFill="1" applyBorder="1" applyAlignment="1">
      <alignment horizontal="center" vertical="center"/>
    </xf>
    <xf numFmtId="0" fontId="49" fillId="57" borderId="38" xfId="0" applyFont="1" applyFill="1" applyBorder="1" applyAlignment="1">
      <alignment horizontal="left" vertical="center"/>
    </xf>
    <xf numFmtId="168" fontId="50" fillId="59" borderId="34" xfId="0" applyNumberFormat="1" applyFont="1" applyFill="1" applyBorder="1" applyAlignment="1">
      <alignment horizontal="center" vertical="center"/>
    </xf>
    <xf numFmtId="168" fontId="50" fillId="58" borderId="34" xfId="0" applyNumberFormat="1" applyFont="1" applyFill="1" applyBorder="1" applyAlignment="1">
      <alignment horizontal="center" vertical="center"/>
    </xf>
    <xf numFmtId="0" fontId="49" fillId="55" borderId="0" xfId="0" applyFont="1" applyFill="1" applyAlignment="1">
      <alignment horizontal="left" vertical="center"/>
    </xf>
    <xf numFmtId="0" fontId="50" fillId="58" borderId="0" xfId="0" applyFont="1" applyFill="1" applyAlignment="1">
      <alignment horizontal="left" vertical="center"/>
    </xf>
    <xf numFmtId="168" fontId="50" fillId="58" borderId="0" xfId="0" applyNumberFormat="1" applyFont="1" applyFill="1" applyAlignment="1">
      <alignment horizontal="center" vertical="center"/>
    </xf>
    <xf numFmtId="0" fontId="49" fillId="50" borderId="32" xfId="0" applyFont="1" applyFill="1" applyBorder="1" applyAlignment="1">
      <alignment horizontal="left" vertical="center"/>
    </xf>
    <xf numFmtId="0" fontId="49" fillId="50" borderId="32" xfId="0" applyFont="1" applyFill="1" applyBorder="1" applyAlignment="1">
      <alignment horizontal="center" vertical="center"/>
    </xf>
    <xf numFmtId="0" fontId="50" fillId="61" borderId="34" xfId="0" applyFont="1" applyFill="1" applyBorder="1" applyAlignment="1">
      <alignment horizontal="left" vertical="center"/>
    </xf>
    <xf numFmtId="1" fontId="50" fillId="61" borderId="34" xfId="0" applyNumberFormat="1" applyFont="1" applyFill="1" applyBorder="1" applyAlignment="1">
      <alignment horizontal="center" vertical="center"/>
    </xf>
    <xf numFmtId="9" fontId="50" fillId="61" borderId="34" xfId="0" applyNumberFormat="1" applyFont="1" applyFill="1" applyBorder="1" applyAlignment="1">
      <alignment horizontal="center" vertical="center"/>
    </xf>
    <xf numFmtId="0" fontId="49" fillId="50" borderId="38" xfId="0" applyFont="1" applyFill="1" applyBorder="1" applyAlignment="1">
      <alignment horizontal="left" vertical="center"/>
    </xf>
    <xf numFmtId="0" fontId="50" fillId="61" borderId="39" xfId="0" applyFont="1" applyFill="1" applyBorder="1" applyAlignment="1">
      <alignment vertical="center"/>
    </xf>
    <xf numFmtId="0" fontId="50" fillId="61" borderId="34" xfId="0" applyFont="1" applyFill="1" applyBorder="1" applyAlignment="1">
      <alignment horizontal="center" vertical="center"/>
    </xf>
    <xf numFmtId="0" fontId="49" fillId="50" borderId="37" xfId="0" applyFont="1" applyFill="1" applyBorder="1" applyAlignment="1">
      <alignment horizontal="left" vertical="center"/>
    </xf>
    <xf numFmtId="2" fontId="56" fillId="59" borderId="34" xfId="0" applyNumberFormat="1" applyFont="1" applyFill="1" applyBorder="1" applyAlignment="1">
      <alignment horizontal="center" vertical="center"/>
    </xf>
    <xf numFmtId="0" fontId="50" fillId="59" borderId="39" xfId="0" applyFont="1" applyFill="1" applyBorder="1" applyAlignment="1">
      <alignment vertical="center"/>
    </xf>
    <xf numFmtId="0" fontId="50" fillId="59" borderId="40" xfId="0" applyFont="1" applyFill="1" applyBorder="1" applyAlignment="1">
      <alignment vertical="center"/>
    </xf>
    <xf numFmtId="0" fontId="50" fillId="59" borderId="41" xfId="0" applyFont="1" applyFill="1" applyBorder="1" applyAlignment="1">
      <alignment vertical="center"/>
    </xf>
    <xf numFmtId="9" fontId="50" fillId="59" borderId="34" xfId="0" applyNumberFormat="1" applyFont="1" applyFill="1" applyBorder="1" applyAlignment="1">
      <alignment horizontal="center" vertical="center"/>
    </xf>
    <xf numFmtId="0" fontId="1" fillId="62" borderId="0" xfId="43" applyFont="1" applyFill="1" applyAlignment="1">
      <alignment vertical="center"/>
    </xf>
    <xf numFmtId="0" fontId="1" fillId="41" borderId="0" xfId="43" applyFont="1" applyFill="1" applyAlignment="1">
      <alignment vertical="center"/>
    </xf>
    <xf numFmtId="0" fontId="58" fillId="41" borderId="0" xfId="43" applyFont="1" applyFill="1" applyAlignment="1">
      <alignment vertical="center"/>
    </xf>
    <xf numFmtId="0" fontId="57" fillId="41" borderId="0" xfId="43" applyFont="1" applyFill="1" applyAlignment="1">
      <alignment vertical="center"/>
    </xf>
    <xf numFmtId="0" fontId="1" fillId="63" borderId="0" xfId="43" applyFont="1" applyFill="1" applyAlignment="1">
      <alignment vertical="center"/>
    </xf>
    <xf numFmtId="0" fontId="38" fillId="41" borderId="0" xfId="43" applyFont="1" applyFill="1" applyAlignment="1">
      <alignment vertical="center"/>
    </xf>
    <xf numFmtId="0" fontId="59" fillId="41" borderId="0" xfId="43" applyFont="1" applyFill="1" applyAlignment="1">
      <alignment vertical="center"/>
    </xf>
    <xf numFmtId="0" fontId="60" fillId="62" borderId="0" xfId="43" applyFont="1" applyFill="1" applyAlignment="1">
      <alignment vertical="center"/>
    </xf>
    <xf numFmtId="0" fontId="34" fillId="41" borderId="0" xfId="43" applyFont="1" applyFill="1" applyAlignment="1">
      <alignment vertical="center"/>
    </xf>
    <xf numFmtId="0" fontId="10" fillId="41" borderId="0" xfId="43" applyFont="1" applyFill="1" applyAlignment="1">
      <alignment vertical="center"/>
    </xf>
    <xf numFmtId="0" fontId="34" fillId="62" borderId="0" xfId="43" applyFont="1" applyFill="1" applyAlignment="1">
      <alignment vertical="center"/>
    </xf>
    <xf numFmtId="165" fontId="34" fillId="62" borderId="0" xfId="43" applyNumberFormat="1" applyFont="1" applyFill="1" applyAlignment="1">
      <alignment horizontal="left" vertical="center"/>
    </xf>
    <xf numFmtId="0" fontId="61" fillId="41" borderId="0" xfId="43" applyFont="1" applyFill="1" applyAlignment="1">
      <alignment vertical="center"/>
    </xf>
    <xf numFmtId="0" fontId="48" fillId="62" borderId="0" xfId="43" applyFont="1" applyFill="1" applyAlignment="1">
      <alignment vertical="center"/>
    </xf>
    <xf numFmtId="0" fontId="57" fillId="62" borderId="0" xfId="42" applyFill="1" applyAlignment="1">
      <alignment vertical="center"/>
    </xf>
    <xf numFmtId="164" fontId="43" fillId="40" borderId="27" xfId="0" applyNumberFormat="1" applyFont="1" applyFill="1" applyBorder="1" applyAlignment="1">
      <alignment vertical="center"/>
    </xf>
    <xf numFmtId="164" fontId="43" fillId="40" borderId="28" xfId="0" applyNumberFormat="1" applyFont="1" applyFill="1" applyBorder="1" applyAlignment="1">
      <alignment vertical="center"/>
    </xf>
    <xf numFmtId="0" fontId="8" fillId="4" borderId="8" xfId="0" applyFont="1" applyFill="1" applyBorder="1" applyAlignment="1">
      <alignment horizontal="center" vertical="center" wrapText="1"/>
    </xf>
    <xf numFmtId="0" fontId="34" fillId="62" borderId="0" xfId="43" applyFont="1" applyFill="1" applyAlignment="1">
      <alignment vertical="center"/>
    </xf>
    <xf numFmtId="0" fontId="58" fillId="62" borderId="0" xfId="43" applyFont="1" applyFill="1" applyAlignment="1">
      <alignment horizontal="center" vertical="center"/>
    </xf>
    <xf numFmtId="0" fontId="57" fillId="62" borderId="0" xfId="42" applyFill="1" applyAlignment="1">
      <alignment vertical="center"/>
    </xf>
    <xf numFmtId="0" fontId="8" fillId="4" borderId="3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35" fillId="0" borderId="8" xfId="0" applyFont="1" applyBorder="1" applyAlignment="1">
      <alignment horizontal="center"/>
    </xf>
    <xf numFmtId="0" fontId="55" fillId="57" borderId="37" xfId="0" applyFont="1" applyFill="1" applyBorder="1" applyAlignment="1">
      <alignment horizontal="left" vertical="center"/>
    </xf>
    <xf numFmtId="0" fontId="55" fillId="57" borderId="35" xfId="0" applyFont="1" applyFill="1" applyBorder="1" applyAlignment="1">
      <alignment horizontal="left" vertical="center"/>
    </xf>
    <xf numFmtId="0" fontId="55" fillId="57" borderId="36" xfId="0" applyFont="1" applyFill="1" applyBorder="1" applyAlignment="1">
      <alignment horizontal="left" vertical="center"/>
    </xf>
    <xf numFmtId="0" fontId="49" fillId="57" borderId="31" xfId="0" applyFont="1" applyFill="1" applyBorder="1" applyAlignment="1">
      <alignment horizontal="left" vertical="center"/>
    </xf>
    <xf numFmtId="0" fontId="49" fillId="57" borderId="32" xfId="0" applyFont="1" applyFill="1" applyBorder="1" applyAlignment="1">
      <alignment horizontal="left" vertical="center"/>
    </xf>
    <xf numFmtId="0" fontId="49" fillId="57" borderId="33" xfId="0" applyFont="1" applyFill="1" applyBorder="1" applyAlignment="1">
      <alignment horizontal="left" vertical="center" wrapText="1"/>
    </xf>
    <xf numFmtId="0" fontId="49" fillId="57" borderId="35" xfId="0" applyFont="1" applyFill="1" applyBorder="1" applyAlignment="1">
      <alignment horizontal="left" vertical="center" wrapText="1"/>
    </xf>
    <xf numFmtId="0" fontId="49" fillId="57" borderId="36" xfId="0" applyFont="1" applyFill="1" applyBorder="1" applyAlignment="1">
      <alignment horizontal="left" vertical="center" wrapText="1"/>
    </xf>
    <xf numFmtId="0" fontId="50" fillId="59" borderId="39" xfId="0" applyFont="1" applyFill="1" applyBorder="1" applyAlignment="1">
      <alignment horizontal="center" vertical="center"/>
    </xf>
    <xf numFmtId="0" fontId="50" fillId="59" borderId="40" xfId="0" applyFont="1" applyFill="1" applyBorder="1" applyAlignment="1">
      <alignment horizontal="center" vertical="center"/>
    </xf>
    <xf numFmtId="0" fontId="50" fillId="59" borderId="41" xfId="0" applyFont="1" applyFill="1" applyBorder="1" applyAlignment="1">
      <alignment horizontal="center" vertical="center"/>
    </xf>
    <xf numFmtId="0" fontId="55" fillId="57" borderId="39" xfId="0" applyFont="1" applyFill="1" applyBorder="1" applyAlignment="1">
      <alignment horizontal="left" vertical="center" wrapText="1"/>
    </xf>
    <xf numFmtId="0" fontId="55" fillId="57" borderId="40" xfId="0" applyFont="1" applyFill="1" applyBorder="1" applyAlignment="1">
      <alignment horizontal="left" vertical="center" wrapText="1"/>
    </xf>
    <xf numFmtId="0" fontId="55" fillId="57" borderId="37" xfId="0" applyFont="1" applyFill="1" applyBorder="1" applyAlignment="1">
      <alignment horizontal="left" vertical="center" wrapText="1"/>
    </xf>
    <xf numFmtId="0" fontId="55" fillId="57" borderId="35" xfId="0" applyFont="1" applyFill="1" applyBorder="1" applyAlignment="1">
      <alignment horizontal="left" vertical="center" wrapText="1"/>
    </xf>
    <xf numFmtId="0" fontId="49" fillId="57" borderId="31" xfId="0" applyFont="1" applyFill="1" applyBorder="1" applyAlignment="1">
      <alignment horizontal="center" vertical="center"/>
    </xf>
    <xf numFmtId="0" fontId="49" fillId="57" borderId="32" xfId="0" applyFont="1" applyFill="1" applyBorder="1" applyAlignment="1">
      <alignment horizontal="center" vertical="center"/>
    </xf>
    <xf numFmtId="0" fontId="49" fillId="50" borderId="31" xfId="0" applyFont="1" applyFill="1" applyBorder="1" applyAlignment="1">
      <alignment horizontal="left" vertical="center"/>
    </xf>
    <xf numFmtId="0" fontId="49" fillId="50" borderId="32" xfId="0" applyFont="1" applyFill="1" applyBorder="1" applyAlignment="1">
      <alignment horizontal="left" vertical="center"/>
    </xf>
    <xf numFmtId="0" fontId="49" fillId="50" borderId="33" xfId="0" applyFont="1" applyFill="1" applyBorder="1" applyAlignment="1">
      <alignment horizontal="left" vertical="center" wrapText="1"/>
    </xf>
    <xf numFmtId="0" fontId="49" fillId="50" borderId="35" xfId="0" applyFont="1" applyFill="1" applyBorder="1" applyAlignment="1">
      <alignment horizontal="left" vertical="center" wrapText="1"/>
    </xf>
    <xf numFmtId="0" fontId="49" fillId="50" borderId="36" xfId="0" applyFont="1" applyFill="1" applyBorder="1" applyAlignment="1">
      <alignment horizontal="left" vertical="center" wrapText="1"/>
    </xf>
    <xf numFmtId="0" fontId="49" fillId="55" borderId="31" xfId="0" applyFont="1" applyFill="1" applyBorder="1" applyAlignment="1">
      <alignment horizontal="left" vertical="center"/>
    </xf>
    <xf numFmtId="0" fontId="49" fillId="55" borderId="32" xfId="0" applyFont="1" applyFill="1" applyBorder="1" applyAlignment="1">
      <alignment horizontal="left" vertical="center"/>
    </xf>
    <xf numFmtId="0" fontId="49" fillId="55" borderId="33" xfId="0" applyFont="1" applyFill="1" applyBorder="1" applyAlignment="1">
      <alignment horizontal="left" vertical="center" wrapText="1"/>
    </xf>
    <xf numFmtId="0" fontId="49" fillId="55" borderId="35" xfId="0" applyFont="1" applyFill="1" applyBorder="1" applyAlignment="1">
      <alignment horizontal="left" vertical="center" wrapText="1"/>
    </xf>
    <xf numFmtId="0" fontId="49" fillId="55" borderId="36" xfId="0" applyFont="1" applyFill="1" applyBorder="1" applyAlignment="1">
      <alignment horizontal="left" vertical="center" wrapText="1"/>
    </xf>
    <xf numFmtId="0" fontId="49" fillId="50" borderId="37" xfId="0" applyFont="1" applyFill="1" applyBorder="1" applyAlignment="1">
      <alignment horizontal="left" vertical="center" wrapText="1"/>
    </xf>
    <xf numFmtId="0" fontId="49" fillId="50" borderId="37" xfId="0" applyFont="1" applyFill="1" applyBorder="1" applyAlignment="1">
      <alignment horizontal="left" vertical="center"/>
    </xf>
    <xf numFmtId="0" fontId="49" fillId="50" borderId="35" xfId="0" applyFont="1" applyFill="1" applyBorder="1" applyAlignment="1">
      <alignment horizontal="left" vertical="center"/>
    </xf>
    <xf numFmtId="0" fontId="49" fillId="50" borderId="36" xfId="0" applyFont="1" applyFill="1" applyBorder="1" applyAlignment="1">
      <alignment horizontal="left" vertical="center"/>
    </xf>
    <xf numFmtId="0" fontId="49" fillId="55" borderId="37" xfId="0" applyFont="1" applyFill="1" applyBorder="1" applyAlignment="1">
      <alignment horizontal="left" vertical="center" wrapText="1"/>
    </xf>
    <xf numFmtId="0" fontId="49" fillId="55" borderId="37" xfId="0" applyFont="1" applyFill="1" applyBorder="1" applyAlignment="1">
      <alignment horizontal="left" vertical="center"/>
    </xf>
    <xf numFmtId="0" fontId="49" fillId="55" borderId="35" xfId="0" applyFont="1" applyFill="1" applyBorder="1" applyAlignment="1">
      <alignment horizontal="left" vertical="center"/>
    </xf>
    <xf numFmtId="0" fontId="49" fillId="55" borderId="36" xfId="0" applyFont="1" applyFill="1" applyBorder="1" applyAlignment="1">
      <alignment horizontal="left" vertical="center"/>
    </xf>
    <xf numFmtId="0" fontId="49" fillId="52" borderId="31" xfId="0" applyFont="1" applyFill="1" applyBorder="1" applyAlignment="1">
      <alignment horizontal="left" vertical="center"/>
    </xf>
    <xf numFmtId="0" fontId="49" fillId="52" borderId="32" xfId="0" applyFont="1" applyFill="1" applyBorder="1" applyAlignment="1">
      <alignment horizontal="left" vertical="center"/>
    </xf>
    <xf numFmtId="0" fontId="49" fillId="52" borderId="33" xfId="0" applyFont="1" applyFill="1" applyBorder="1" applyAlignment="1">
      <alignment horizontal="left" vertical="center" wrapText="1"/>
    </xf>
    <xf numFmtId="0" fontId="49" fillId="52" borderId="35" xfId="0" applyFont="1" applyFill="1" applyBorder="1" applyAlignment="1">
      <alignment horizontal="left" vertical="center" wrapText="1"/>
    </xf>
    <xf numFmtId="0" fontId="49" fillId="52" borderId="36" xfId="0" applyFont="1" applyFill="1" applyBorder="1" applyAlignment="1">
      <alignment horizontal="left" vertical="center" wrapText="1"/>
    </xf>
    <xf numFmtId="0" fontId="49" fillId="49" borderId="31" xfId="0" applyFont="1" applyFill="1" applyBorder="1" applyAlignment="1">
      <alignment horizontal="left" vertical="center"/>
    </xf>
    <xf numFmtId="0" fontId="49" fillId="49" borderId="32" xfId="0" applyFont="1" applyFill="1" applyBorder="1" applyAlignment="1">
      <alignment horizontal="left" vertical="center"/>
    </xf>
    <xf numFmtId="0" fontId="49" fillId="49" borderId="33" xfId="0" applyFont="1" applyFill="1" applyBorder="1" applyAlignment="1">
      <alignment horizontal="left" vertical="center" wrapText="1"/>
    </xf>
    <xf numFmtId="0" fontId="49" fillId="49" borderId="35" xfId="0" applyFont="1" applyFill="1" applyBorder="1" applyAlignment="1">
      <alignment horizontal="left" vertical="center" wrapText="1"/>
    </xf>
    <xf numFmtId="0" fontId="49" fillId="49" borderId="36" xfId="0" applyFont="1" applyFill="1" applyBorder="1" applyAlignment="1">
      <alignment horizontal="left" vertical="center" wrapText="1"/>
    </xf>
    <xf numFmtId="0" fontId="49" fillId="52" borderId="37" xfId="0" applyFont="1" applyFill="1" applyBorder="1" applyAlignment="1">
      <alignment horizontal="left" vertical="center" wrapText="1"/>
    </xf>
    <xf numFmtId="0" fontId="49" fillId="52" borderId="37" xfId="0" applyFont="1" applyFill="1" applyBorder="1" applyAlignment="1">
      <alignment horizontal="left" vertical="center"/>
    </xf>
    <xf numFmtId="0" fontId="49" fillId="52" borderId="35" xfId="0" applyFont="1" applyFill="1" applyBorder="1" applyAlignment="1">
      <alignment horizontal="left" vertical="center"/>
    </xf>
    <xf numFmtId="0" fontId="49" fillId="52" borderId="36" xfId="0" applyFont="1" applyFill="1" applyBorder="1" applyAlignment="1">
      <alignment horizontal="left" vertical="center"/>
    </xf>
    <xf numFmtId="0" fontId="49" fillId="49" borderId="37" xfId="0" applyFont="1" applyFill="1" applyBorder="1" applyAlignment="1">
      <alignment horizontal="left" vertical="center" wrapText="1"/>
    </xf>
    <xf numFmtId="0" fontId="49" fillId="49" borderId="37" xfId="0" applyFont="1" applyFill="1" applyBorder="1" applyAlignment="1">
      <alignment horizontal="left" vertical="center"/>
    </xf>
    <xf numFmtId="0" fontId="49" fillId="49" borderId="35" xfId="0" applyFont="1" applyFill="1" applyBorder="1" applyAlignment="1">
      <alignment horizontal="left" vertical="center"/>
    </xf>
    <xf numFmtId="0" fontId="49" fillId="49" borderId="36" xfId="0" applyFont="1" applyFill="1" applyBorder="1" applyAlignment="1">
      <alignment horizontal="left" vertical="center"/>
    </xf>
    <xf numFmtId="0" fontId="49" fillId="48" borderId="31" xfId="0" applyFont="1" applyFill="1" applyBorder="1" applyAlignment="1">
      <alignment horizontal="center" vertical="center"/>
    </xf>
    <xf numFmtId="0" fontId="49" fillId="48" borderId="32" xfId="0" applyFont="1" applyFill="1" applyBorder="1" applyAlignment="1">
      <alignment horizontal="center" vertical="center"/>
    </xf>
    <xf numFmtId="0" fontId="49" fillId="48" borderId="33" xfId="0" applyFont="1" applyFill="1" applyBorder="1" applyAlignment="1">
      <alignment horizontal="left" vertical="center" wrapText="1"/>
    </xf>
    <xf numFmtId="0" fontId="49" fillId="48" borderId="35" xfId="0" applyFont="1" applyFill="1" applyBorder="1" applyAlignment="1">
      <alignment horizontal="left" vertical="center" wrapText="1"/>
    </xf>
    <xf numFmtId="0" fontId="49" fillId="48" borderId="36" xfId="0" applyFont="1" applyFill="1" applyBorder="1" applyAlignment="1">
      <alignment horizontal="left" vertical="center" wrapText="1"/>
    </xf>
    <xf numFmtId="0" fontId="49" fillId="45" borderId="31" xfId="0" applyFont="1" applyFill="1" applyBorder="1" applyAlignment="1">
      <alignment horizontal="center" vertical="center"/>
    </xf>
    <xf numFmtId="0" fontId="49" fillId="45" borderId="32" xfId="0" applyFont="1" applyFill="1" applyBorder="1" applyAlignment="1">
      <alignment horizontal="center" vertical="center"/>
    </xf>
    <xf numFmtId="0" fontId="49" fillId="45" borderId="33" xfId="0" applyFont="1" applyFill="1" applyBorder="1" applyAlignment="1">
      <alignment horizontal="left" vertical="center" wrapText="1"/>
    </xf>
    <xf numFmtId="0" fontId="49" fillId="45" borderId="35" xfId="0" applyFont="1" applyFill="1" applyBorder="1" applyAlignment="1">
      <alignment horizontal="left" vertical="center" wrapText="1"/>
    </xf>
    <xf numFmtId="0" fontId="49" fillId="45" borderId="36" xfId="0" applyFont="1" applyFill="1" applyBorder="1" applyAlignment="1">
      <alignment horizontal="left" vertical="center" wrapText="1"/>
    </xf>
    <xf numFmtId="0" fontId="49" fillId="48" borderId="37" xfId="0" applyFont="1" applyFill="1" applyBorder="1" applyAlignment="1">
      <alignment horizontal="left" vertical="center" wrapText="1"/>
    </xf>
    <xf numFmtId="0" fontId="49" fillId="48" borderId="37" xfId="0" applyFont="1" applyFill="1" applyBorder="1" applyAlignment="1">
      <alignment horizontal="left" vertical="center"/>
    </xf>
    <xf numFmtId="0" fontId="49" fillId="48" borderId="35" xfId="0" applyFont="1" applyFill="1" applyBorder="1" applyAlignment="1">
      <alignment horizontal="left" vertical="center"/>
    </xf>
    <xf numFmtId="0" fontId="49" fillId="48" borderId="36" xfId="0" applyFont="1" applyFill="1" applyBorder="1" applyAlignment="1">
      <alignment horizontal="left" vertical="center"/>
    </xf>
    <xf numFmtId="0" fontId="0" fillId="45" borderId="31" xfId="0" applyFill="1" applyBorder="1" applyAlignment="1">
      <alignment vertical="center"/>
    </xf>
    <xf numFmtId="0" fontId="0" fillId="45" borderId="32" xfId="0" applyFill="1" applyBorder="1" applyAlignment="1">
      <alignment vertical="center"/>
    </xf>
    <xf numFmtId="0" fontId="49" fillId="42" borderId="31" xfId="0" applyFont="1" applyFill="1" applyBorder="1" applyAlignment="1">
      <alignment horizontal="left" vertical="center"/>
    </xf>
    <xf numFmtId="0" fontId="49" fillId="42" borderId="32" xfId="0" applyFont="1" applyFill="1" applyBorder="1" applyAlignment="1">
      <alignment horizontal="left" vertical="center"/>
    </xf>
    <xf numFmtId="0" fontId="49" fillId="42" borderId="33" xfId="0" applyFont="1" applyFill="1" applyBorder="1" applyAlignment="1">
      <alignment horizontal="left" vertical="center" wrapText="1"/>
    </xf>
    <xf numFmtId="0" fontId="49" fillId="42" borderId="35" xfId="0" applyFont="1" applyFill="1" applyBorder="1" applyAlignment="1">
      <alignment horizontal="left" vertical="center" wrapText="1"/>
    </xf>
    <xf numFmtId="0" fontId="49" fillId="42" borderId="36" xfId="0" applyFont="1" applyFill="1" applyBorder="1" applyAlignment="1">
      <alignment horizontal="left" vertical="center" wrapText="1"/>
    </xf>
    <xf numFmtId="0" fontId="49" fillId="45" borderId="31" xfId="0" applyFont="1" applyFill="1" applyBorder="1" applyAlignment="1">
      <alignment horizontal="left" vertical="center"/>
    </xf>
    <xf numFmtId="0" fontId="49" fillId="45" borderId="32" xfId="0" applyFont="1" applyFill="1" applyBorder="1" applyAlignment="1">
      <alignment horizontal="left" vertical="center"/>
    </xf>
    <xf numFmtId="0" fontId="49" fillId="45" borderId="37" xfId="0" applyFont="1" applyFill="1" applyBorder="1" applyAlignment="1">
      <alignment horizontal="left" vertical="center" wrapText="1"/>
    </xf>
    <xf numFmtId="0" fontId="49" fillId="45" borderId="37" xfId="0" applyFont="1" applyFill="1" applyBorder="1" applyAlignment="1">
      <alignment horizontal="left" vertical="center"/>
    </xf>
    <xf numFmtId="0" fontId="49" fillId="45" borderId="35" xfId="0" applyFont="1" applyFill="1" applyBorder="1" applyAlignment="1">
      <alignment horizontal="left" vertical="center"/>
    </xf>
    <xf numFmtId="0" fontId="49" fillId="45" borderId="36" xfId="0" applyFont="1" applyFill="1" applyBorder="1" applyAlignment="1">
      <alignment horizontal="left" vertical="center"/>
    </xf>
    <xf numFmtId="0" fontId="49" fillId="42" borderId="37" xfId="0" applyFont="1" applyFill="1" applyBorder="1" applyAlignment="1">
      <alignment horizontal="left" vertical="center" wrapText="1"/>
    </xf>
    <xf numFmtId="0" fontId="49" fillId="42" borderId="37" xfId="0" applyFont="1" applyFill="1" applyBorder="1" applyAlignment="1">
      <alignment horizontal="left" vertical="center"/>
    </xf>
    <xf numFmtId="0" fontId="49" fillId="42" borderId="35" xfId="0" applyFont="1" applyFill="1" applyBorder="1" applyAlignment="1">
      <alignment horizontal="left" vertical="center"/>
    </xf>
    <xf numFmtId="0" fontId="49" fillId="42" borderId="36" xfId="0" applyFont="1" applyFill="1" applyBorder="1" applyAlignment="1">
      <alignment horizontal="left" vertical="center"/>
    </xf>
    <xf numFmtId="0" fontId="48" fillId="42" borderId="31" xfId="0" applyFont="1" applyFill="1" applyBorder="1" applyAlignment="1">
      <alignment vertical="center"/>
    </xf>
    <xf numFmtId="0" fontId="48" fillId="42" borderId="32" xfId="0" applyFont="1" applyFill="1" applyBorder="1" applyAlignment="1">
      <alignment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2" builtinId="29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2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50F1AD6C-8F11-4909-94C1-E60BC9CD3BAC}"/>
    <cellStyle name="Output" xfId="12" builtinId="21" customBuiltin="1"/>
    <cellStyle name="Percent" xfId="1" builtinId="5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E948C7-160E-4F3D-9A9A-E874A4DFD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D994CC-6296-46D9-9E76-CFC9258B39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766B35-9A8D-4E85-9CE7-D7FF48336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FEF244-A749-4442-BA94-1FDAB8DDA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E43609-B1FF-45BE-ADAB-DEE09F5599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9FB1F00-FA41-4762-8BEC-644FEFD46E45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2FE4-74C2-4246-8B9E-885F86B8B55F}">
  <sheetPr codeName="Sheet8"/>
  <dimension ref="A1:Z99"/>
  <sheetViews>
    <sheetView showGridLines="0" topLeftCell="A7" zoomScaleNormal="100" workbookViewId="0">
      <selection activeCell="E18" sqref="E18"/>
    </sheetView>
  </sheetViews>
  <sheetFormatPr defaultColWidth="8.85546875" defaultRowHeight="15"/>
  <cols>
    <col min="1" max="4" width="21.85546875" customWidth="1"/>
    <col min="5" max="6" width="14.140625" customWidth="1"/>
    <col min="7" max="7" width="12.140625" customWidth="1"/>
    <col min="8" max="10" width="8.140625" customWidth="1"/>
    <col min="11" max="11" width="9.85546875" customWidth="1"/>
    <col min="12" max="12" width="8.140625" customWidth="1"/>
    <col min="13" max="13" width="10" customWidth="1"/>
    <col min="14" max="14" width="11.42578125" customWidth="1"/>
    <col min="15" max="15" width="13.42578125" customWidth="1"/>
  </cols>
  <sheetData>
    <row r="1" spans="1:26">
      <c r="A1" s="280"/>
      <c r="B1" s="280"/>
      <c r="C1" s="280"/>
      <c r="D1" s="280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</row>
    <row r="2" spans="1:26">
      <c r="A2" s="280"/>
      <c r="B2" s="280"/>
      <c r="C2" s="280"/>
      <c r="D2" s="280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1"/>
      <c r="U2" s="281"/>
      <c r="V2" s="281"/>
      <c r="W2" s="281"/>
      <c r="X2" s="281"/>
      <c r="Y2" s="281"/>
      <c r="Z2" s="281"/>
    </row>
    <row r="3" spans="1:26">
      <c r="A3" s="280"/>
      <c r="B3" s="280"/>
      <c r="C3" s="280"/>
      <c r="D3" s="280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1"/>
      <c r="Y3" s="281"/>
      <c r="Z3" s="281"/>
    </row>
    <row r="4" spans="1:26">
      <c r="A4" s="280"/>
      <c r="B4" s="280"/>
      <c r="C4" s="280"/>
      <c r="D4" s="280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</row>
    <row r="5" spans="1:26">
      <c r="A5" s="280"/>
      <c r="B5" s="280"/>
      <c r="C5" s="280"/>
      <c r="D5" s="280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</row>
    <row r="6" spans="1:26">
      <c r="A6" s="280"/>
      <c r="B6" s="280"/>
      <c r="C6" s="280"/>
      <c r="D6" s="280"/>
      <c r="E6" s="281"/>
      <c r="F6" s="281"/>
      <c r="G6" s="281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</row>
    <row r="7" spans="1:26">
      <c r="A7" s="280"/>
      <c r="B7" s="280"/>
      <c r="C7" s="280"/>
      <c r="D7" s="280"/>
      <c r="E7" s="281"/>
      <c r="F7" s="281"/>
      <c r="G7" s="281"/>
      <c r="H7" s="281"/>
      <c r="I7" s="281"/>
      <c r="J7" s="281"/>
      <c r="K7" s="281"/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</row>
    <row r="8" spans="1:26">
      <c r="A8" s="280"/>
      <c r="B8" s="280"/>
      <c r="C8" s="280"/>
      <c r="D8" s="280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1"/>
    </row>
    <row r="9" spans="1:26">
      <c r="A9" s="280"/>
      <c r="B9" s="280"/>
      <c r="C9" s="280"/>
      <c r="D9" s="280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1"/>
      <c r="R9" s="281"/>
      <c r="S9" s="281"/>
      <c r="T9" s="281"/>
      <c r="U9" s="281"/>
      <c r="V9" s="281"/>
      <c r="W9" s="281"/>
      <c r="X9" s="281"/>
      <c r="Y9" s="281"/>
      <c r="Z9" s="281"/>
    </row>
    <row r="10" spans="1:26">
      <c r="A10" s="280"/>
      <c r="B10" s="280"/>
      <c r="C10" s="280"/>
      <c r="D10" s="280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</row>
    <row r="11" spans="1:26">
      <c r="A11" s="280"/>
      <c r="B11" s="280"/>
      <c r="C11" s="280"/>
      <c r="D11" s="280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1"/>
      <c r="R11" s="281"/>
      <c r="S11" s="281"/>
      <c r="T11" s="281"/>
      <c r="U11" s="281"/>
      <c r="V11" s="281"/>
      <c r="W11" s="281"/>
      <c r="X11" s="281"/>
      <c r="Y11" s="281"/>
      <c r="Z11" s="281"/>
    </row>
    <row r="12" spans="1:26">
      <c r="A12" s="280"/>
      <c r="B12" s="280"/>
      <c r="C12" s="280"/>
      <c r="D12" s="280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1"/>
      <c r="R12" s="281"/>
      <c r="S12" s="281"/>
      <c r="T12" s="281"/>
      <c r="U12" s="281"/>
      <c r="V12" s="281"/>
      <c r="W12" s="281"/>
      <c r="X12" s="281"/>
      <c r="Y12" s="281"/>
      <c r="Z12" s="281"/>
    </row>
    <row r="13" spans="1:26">
      <c r="A13" s="280"/>
      <c r="B13" s="280"/>
      <c r="C13" s="280"/>
      <c r="D13" s="280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1"/>
      <c r="R13" s="281"/>
      <c r="S13" s="281"/>
      <c r="T13" s="281"/>
      <c r="U13" s="281"/>
      <c r="V13" s="281"/>
      <c r="W13" s="281"/>
      <c r="X13" s="281"/>
      <c r="Y13" s="281"/>
      <c r="Z13" s="281"/>
    </row>
    <row r="14" spans="1:26">
      <c r="A14" s="280"/>
      <c r="B14" s="280"/>
      <c r="C14" s="280"/>
      <c r="D14" s="280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1"/>
      <c r="R14" s="281"/>
      <c r="S14" s="281"/>
      <c r="T14" s="281"/>
      <c r="U14" s="281"/>
      <c r="V14" s="281"/>
      <c r="W14" s="281"/>
      <c r="X14" s="281"/>
      <c r="Y14" s="281"/>
      <c r="Z14" s="281"/>
    </row>
    <row r="15" spans="1:26">
      <c r="A15" s="280"/>
      <c r="B15" s="280"/>
      <c r="C15" s="280"/>
      <c r="D15" s="280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1"/>
      <c r="R15" s="281"/>
      <c r="S15" s="281"/>
      <c r="T15" s="281"/>
      <c r="U15" s="281"/>
      <c r="V15" s="281"/>
      <c r="W15" s="281"/>
      <c r="X15" s="281"/>
      <c r="Y15" s="281"/>
      <c r="Z15" s="281"/>
    </row>
    <row r="16" spans="1:26" ht="102.75" customHeight="1">
      <c r="A16" s="299" t="s">
        <v>2949</v>
      </c>
      <c r="B16" s="299"/>
      <c r="C16" s="299"/>
      <c r="D16" s="299"/>
      <c r="E16" s="282"/>
      <c r="F16" s="282"/>
      <c r="G16" s="283"/>
      <c r="H16" s="283"/>
      <c r="I16" s="283"/>
      <c r="J16" s="283"/>
      <c r="K16" s="283"/>
      <c r="L16" s="283"/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W16" s="281"/>
      <c r="X16" s="281"/>
      <c r="Y16" s="281"/>
      <c r="Z16" s="281"/>
    </row>
    <row r="17" spans="1:26" ht="17.25" customHeight="1">
      <c r="A17" s="284"/>
      <c r="B17" s="284"/>
      <c r="C17" s="284"/>
      <c r="D17" s="284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281"/>
    </row>
    <row r="18" spans="1:26" ht="17.25" customHeight="1">
      <c r="A18" s="284"/>
      <c r="B18" s="284"/>
      <c r="C18" s="284"/>
      <c r="D18" s="284"/>
      <c r="E18" s="285"/>
      <c r="F18" s="285"/>
      <c r="G18" s="286"/>
      <c r="H18" s="286"/>
      <c r="I18" s="286"/>
      <c r="J18" s="286"/>
      <c r="K18" s="286"/>
      <c r="L18" s="286"/>
      <c r="M18" s="281"/>
      <c r="N18" s="281"/>
      <c r="O18" s="281"/>
      <c r="P18" s="281"/>
      <c r="Q18" s="281"/>
      <c r="R18" s="281"/>
      <c r="S18" s="281"/>
      <c r="T18" s="281"/>
      <c r="U18" s="281"/>
      <c r="V18" s="281"/>
      <c r="W18" s="281"/>
      <c r="X18" s="281"/>
      <c r="Y18" s="281"/>
      <c r="Z18" s="281"/>
    </row>
    <row r="19" spans="1:26" ht="17.25" customHeight="1">
      <c r="A19" s="287" t="s">
        <v>2950</v>
      </c>
      <c r="B19" s="298" t="s">
        <v>2961</v>
      </c>
      <c r="C19" s="298"/>
      <c r="D19" s="298"/>
      <c r="E19" s="288"/>
      <c r="F19" s="288"/>
      <c r="G19" s="289"/>
      <c r="H19" s="289"/>
      <c r="I19" s="289"/>
      <c r="J19" s="289"/>
      <c r="K19" s="289"/>
      <c r="L19" s="289"/>
      <c r="M19" s="281"/>
      <c r="N19" s="281"/>
      <c r="O19" s="281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281"/>
    </row>
    <row r="20" spans="1:26" ht="17.25" customHeight="1">
      <c r="A20" s="287" t="s">
        <v>2951</v>
      </c>
      <c r="B20" s="298" t="s">
        <v>2962</v>
      </c>
      <c r="C20" s="298"/>
      <c r="D20" s="298"/>
      <c r="E20" s="288"/>
      <c r="F20" s="288"/>
      <c r="G20" s="289"/>
      <c r="H20" s="289"/>
      <c r="I20" s="289"/>
      <c r="J20" s="289"/>
      <c r="K20" s="289"/>
      <c r="L20" s="289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</row>
    <row r="21" spans="1:26" ht="17.25" customHeight="1">
      <c r="A21" s="287" t="s">
        <v>2952</v>
      </c>
      <c r="B21" s="290" t="s">
        <v>2963</v>
      </c>
      <c r="C21" s="290"/>
      <c r="D21" s="290"/>
      <c r="E21" s="288"/>
      <c r="F21" s="288"/>
      <c r="G21" s="289"/>
      <c r="H21" s="289"/>
      <c r="I21" s="289"/>
      <c r="J21" s="289"/>
      <c r="K21" s="289"/>
      <c r="L21" s="289"/>
      <c r="M21" s="281"/>
      <c r="N21" s="281"/>
      <c r="O21" s="281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</row>
    <row r="22" spans="1:26" ht="17.25" customHeight="1">
      <c r="A22" s="287"/>
      <c r="B22" s="290"/>
      <c r="C22" s="290"/>
      <c r="D22" s="290"/>
      <c r="E22" s="288"/>
      <c r="F22" s="288"/>
      <c r="G22" s="289"/>
      <c r="H22" s="289"/>
      <c r="I22" s="289"/>
      <c r="J22" s="289"/>
      <c r="K22" s="289"/>
      <c r="L22" s="289"/>
      <c r="M22" s="281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</row>
    <row r="23" spans="1:26" ht="17.25" customHeight="1">
      <c r="A23" s="287" t="s">
        <v>2953</v>
      </c>
      <c r="B23" s="298" t="s">
        <v>2964</v>
      </c>
      <c r="C23" s="298"/>
      <c r="D23" s="298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1"/>
      <c r="R23" s="281"/>
      <c r="S23" s="281"/>
      <c r="T23" s="281"/>
      <c r="U23" s="281"/>
      <c r="V23" s="281"/>
      <c r="W23" s="281"/>
      <c r="X23" s="281"/>
      <c r="Y23" s="281"/>
      <c r="Z23" s="281"/>
    </row>
    <row r="24" spans="1:26" ht="17.25" customHeight="1">
      <c r="A24" s="287"/>
      <c r="B24" s="290" t="s">
        <v>2966</v>
      </c>
      <c r="C24" s="290"/>
      <c r="D24" s="290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</row>
    <row r="25" spans="1:26" ht="17.25" customHeight="1">
      <c r="A25" s="287"/>
      <c r="B25" s="290"/>
      <c r="C25" s="290"/>
      <c r="D25" s="290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</row>
    <row r="26" spans="1:26" ht="17.25" customHeight="1">
      <c r="A26" s="287" t="s">
        <v>2954</v>
      </c>
      <c r="B26" s="298" t="s">
        <v>2965</v>
      </c>
      <c r="C26" s="298"/>
      <c r="D26" s="298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1"/>
      <c r="R26" s="281"/>
      <c r="S26" s="281"/>
      <c r="T26" s="281"/>
      <c r="U26" s="281"/>
      <c r="V26" s="281"/>
      <c r="W26" s="281"/>
      <c r="X26" s="281"/>
      <c r="Y26" s="281"/>
      <c r="Z26" s="281"/>
    </row>
    <row r="27" spans="1:26" ht="17.25" customHeight="1">
      <c r="A27" s="287"/>
      <c r="B27" s="290"/>
      <c r="C27" s="290"/>
      <c r="D27" s="290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</row>
    <row r="28" spans="1:26" ht="17.25" customHeight="1">
      <c r="A28" s="287"/>
      <c r="B28" s="290"/>
      <c r="C28" s="290"/>
      <c r="D28" s="290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1"/>
      <c r="R28" s="281"/>
      <c r="S28" s="281"/>
      <c r="T28" s="281"/>
      <c r="U28" s="281"/>
      <c r="V28" s="281"/>
      <c r="W28" s="281"/>
      <c r="X28" s="281"/>
      <c r="Y28" s="281"/>
      <c r="Z28" s="281"/>
    </row>
    <row r="29" spans="1:26" ht="17.25" customHeight="1">
      <c r="A29" s="287" t="s">
        <v>2955</v>
      </c>
      <c r="B29" s="291">
        <v>1</v>
      </c>
      <c r="C29" s="290"/>
      <c r="D29" s="290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W29" s="281"/>
      <c r="X29" s="281"/>
      <c r="Y29" s="281"/>
      <c r="Z29" s="281"/>
    </row>
    <row r="30" spans="1:26" ht="17.25" customHeight="1">
      <c r="A30" s="287" t="s">
        <v>2956</v>
      </c>
      <c r="B30" s="300" t="s">
        <v>2957</v>
      </c>
      <c r="C30" s="298"/>
      <c r="D30" s="298"/>
      <c r="E30" s="292"/>
      <c r="F30" s="292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</row>
    <row r="31" spans="1:26" ht="17.25" customHeight="1">
      <c r="A31" s="287" t="s">
        <v>2958</v>
      </c>
      <c r="B31" s="298" t="s">
        <v>2959</v>
      </c>
      <c r="C31" s="298"/>
      <c r="D31" s="298"/>
      <c r="E31" s="292"/>
      <c r="F31" s="292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Y31" s="281"/>
      <c r="Z31" s="281"/>
    </row>
    <row r="32" spans="1:26" ht="17.25" customHeight="1">
      <c r="A32" s="293"/>
      <c r="B32" s="294" t="s">
        <v>2960</v>
      </c>
      <c r="C32" s="293"/>
      <c r="D32" s="293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</row>
    <row r="33" spans="1:26">
      <c r="A33" s="280"/>
      <c r="B33" s="280"/>
      <c r="C33" s="280"/>
      <c r="D33" s="280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</row>
    <row r="34" spans="1:26">
      <c r="A34" s="280"/>
      <c r="B34" s="280"/>
      <c r="C34" s="280"/>
      <c r="D34" s="280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1"/>
      <c r="R34" s="281"/>
      <c r="S34" s="281"/>
      <c r="T34" s="281"/>
      <c r="U34" s="281"/>
      <c r="V34" s="281"/>
      <c r="W34" s="281"/>
      <c r="X34" s="281"/>
      <c r="Y34" s="281"/>
      <c r="Z34" s="281"/>
    </row>
    <row r="35" spans="1:26">
      <c r="A35" s="280"/>
      <c r="B35" s="280"/>
      <c r="C35" s="280"/>
      <c r="D35" s="280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</row>
    <row r="36" spans="1:26">
      <c r="A36" s="280"/>
      <c r="B36" s="280"/>
      <c r="C36" s="280"/>
      <c r="D36" s="280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1"/>
      <c r="R36" s="281"/>
      <c r="S36" s="281"/>
      <c r="T36" s="281"/>
      <c r="U36" s="281"/>
      <c r="V36" s="281"/>
      <c r="W36" s="281"/>
      <c r="X36" s="281"/>
      <c r="Y36" s="281"/>
      <c r="Z36" s="281"/>
    </row>
    <row r="37" spans="1:26">
      <c r="A37" s="280"/>
      <c r="B37" s="280"/>
      <c r="C37" s="280"/>
      <c r="D37" s="280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1"/>
      <c r="R37" s="281"/>
      <c r="S37" s="281"/>
      <c r="T37" s="281"/>
      <c r="U37" s="281"/>
      <c r="V37" s="281"/>
      <c r="W37" s="281"/>
      <c r="X37" s="281"/>
      <c r="Y37" s="281"/>
      <c r="Z37" s="281"/>
    </row>
    <row r="38" spans="1:26">
      <c r="A38" s="280"/>
      <c r="B38" s="280"/>
      <c r="C38" s="280"/>
      <c r="D38" s="280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281"/>
      <c r="Y38" s="281"/>
      <c r="Z38" s="281"/>
    </row>
    <row r="39" spans="1:26">
      <c r="A39" s="280"/>
      <c r="B39" s="280"/>
      <c r="C39" s="280"/>
      <c r="D39" s="280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</row>
    <row r="40" spans="1:26">
      <c r="A40" s="280"/>
      <c r="B40" s="280"/>
      <c r="C40" s="280"/>
      <c r="D40" s="280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1"/>
      <c r="R40" s="281"/>
      <c r="S40" s="281"/>
      <c r="T40" s="281"/>
      <c r="U40" s="281"/>
      <c r="V40" s="281"/>
      <c r="W40" s="281"/>
      <c r="X40" s="281"/>
      <c r="Y40" s="281"/>
      <c r="Z40" s="281"/>
    </row>
    <row r="41" spans="1:26">
      <c r="A41" s="280"/>
      <c r="B41" s="280"/>
      <c r="C41" s="280"/>
      <c r="D41" s="280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1"/>
      <c r="R41" s="281"/>
      <c r="S41" s="281"/>
      <c r="T41" s="281"/>
      <c r="U41" s="281"/>
      <c r="V41" s="281"/>
      <c r="W41" s="281"/>
      <c r="X41" s="281"/>
      <c r="Y41" s="281"/>
      <c r="Z41" s="281"/>
    </row>
    <row r="42" spans="1:26">
      <c r="A42" s="280"/>
      <c r="B42" s="280"/>
      <c r="C42" s="280"/>
      <c r="D42" s="280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1"/>
      <c r="R42" s="281"/>
      <c r="S42" s="281"/>
      <c r="T42" s="281"/>
      <c r="U42" s="281"/>
      <c r="V42" s="281"/>
      <c r="W42" s="281"/>
      <c r="X42" s="281"/>
      <c r="Y42" s="281"/>
      <c r="Z42" s="281"/>
    </row>
    <row r="43" spans="1:26">
      <c r="A43" s="281"/>
      <c r="B43" s="281"/>
      <c r="C43" s="281"/>
      <c r="D43" s="281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W43" s="281"/>
      <c r="X43" s="281"/>
      <c r="Y43" s="281"/>
      <c r="Z43" s="281"/>
    </row>
    <row r="44" spans="1:26">
      <c r="A44" s="281"/>
      <c r="B44" s="281"/>
      <c r="C44" s="281"/>
      <c r="D44" s="281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</row>
    <row r="45" spans="1:26">
      <c r="A45" s="281"/>
      <c r="B45" s="281"/>
      <c r="C45" s="281"/>
      <c r="D45" s="281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1"/>
      <c r="R45" s="281"/>
      <c r="S45" s="281"/>
      <c r="T45" s="281"/>
      <c r="U45" s="281"/>
      <c r="V45" s="281"/>
      <c r="W45" s="281"/>
      <c r="X45" s="281"/>
      <c r="Y45" s="281"/>
      <c r="Z45" s="281"/>
    </row>
    <row r="46" spans="1:26">
      <c r="A46" s="281"/>
      <c r="B46" s="281"/>
      <c r="C46" s="281"/>
      <c r="D46" s="281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</row>
    <row r="47" spans="1:26">
      <c r="A47" s="281"/>
      <c r="B47" s="281"/>
      <c r="C47" s="281"/>
      <c r="D47" s="281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1"/>
      <c r="R47" s="281"/>
      <c r="S47" s="281"/>
      <c r="T47" s="281"/>
      <c r="U47" s="281"/>
      <c r="V47" s="281"/>
      <c r="W47" s="281"/>
      <c r="X47" s="281"/>
      <c r="Y47" s="281"/>
      <c r="Z47" s="281"/>
    </row>
    <row r="48" spans="1:26">
      <c r="A48" s="281"/>
      <c r="B48" s="281"/>
      <c r="C48" s="281"/>
      <c r="D48" s="281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</row>
    <row r="49" spans="1:26">
      <c r="A49" s="281"/>
      <c r="B49" s="281"/>
      <c r="C49" s="281"/>
      <c r="D49" s="281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1"/>
      <c r="R49" s="281"/>
      <c r="S49" s="281"/>
      <c r="T49" s="281"/>
      <c r="U49" s="281"/>
      <c r="V49" s="281"/>
      <c r="W49" s="281"/>
      <c r="X49" s="281"/>
      <c r="Y49" s="281"/>
      <c r="Z49" s="281"/>
    </row>
    <row r="50" spans="1:26">
      <c r="A50" s="281"/>
      <c r="B50" s="281"/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</row>
    <row r="51" spans="1:26">
      <c r="A51" s="281"/>
      <c r="B51" s="281"/>
      <c r="C51" s="281"/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1"/>
      <c r="Y51" s="281"/>
      <c r="Z51" s="281"/>
    </row>
    <row r="52" spans="1:26">
      <c r="A52" s="281"/>
      <c r="B52" s="281"/>
      <c r="C52" s="281"/>
      <c r="D52" s="281"/>
      <c r="E52" s="281"/>
      <c r="F52" s="281"/>
      <c r="G52" s="281"/>
      <c r="H52" s="281"/>
      <c r="I52" s="281"/>
      <c r="J52" s="281"/>
      <c r="K52" s="281"/>
      <c r="L52" s="281"/>
      <c r="M52" s="281"/>
      <c r="N52" s="281"/>
      <c r="O52" s="281"/>
      <c r="P52" s="281"/>
      <c r="Q52" s="281"/>
      <c r="R52" s="281"/>
      <c r="S52" s="281"/>
      <c r="T52" s="281"/>
      <c r="U52" s="281"/>
      <c r="V52" s="281"/>
      <c r="W52" s="281"/>
      <c r="X52" s="281"/>
      <c r="Y52" s="281"/>
      <c r="Z52" s="281"/>
    </row>
    <row r="53" spans="1:26">
      <c r="A53" s="281"/>
      <c r="B53" s="281"/>
      <c r="C53" s="281"/>
      <c r="D53" s="281"/>
      <c r="E53" s="281"/>
      <c r="F53" s="281"/>
      <c r="G53" s="281"/>
      <c r="H53" s="281"/>
      <c r="I53" s="281"/>
      <c r="J53" s="281"/>
      <c r="K53" s="281"/>
      <c r="L53" s="281"/>
      <c r="M53" s="28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</row>
    <row r="54" spans="1:26">
      <c r="A54" s="281"/>
      <c r="B54" s="281"/>
      <c r="C54" s="281"/>
      <c r="D54" s="281"/>
      <c r="E54" s="281"/>
      <c r="F54" s="281"/>
      <c r="G54" s="281"/>
      <c r="H54" s="281"/>
      <c r="I54" s="281"/>
      <c r="J54" s="281"/>
      <c r="K54" s="281"/>
      <c r="L54" s="281"/>
      <c r="M54" s="281"/>
      <c r="N54" s="281"/>
      <c r="O54" s="281"/>
      <c r="P54" s="281"/>
      <c r="Q54" s="281"/>
      <c r="R54" s="281"/>
      <c r="S54" s="281"/>
      <c r="T54" s="281"/>
      <c r="U54" s="281"/>
      <c r="V54" s="281"/>
      <c r="W54" s="281"/>
      <c r="X54" s="281"/>
      <c r="Y54" s="281"/>
      <c r="Z54" s="281"/>
    </row>
    <row r="55" spans="1:26">
      <c r="A55" s="281"/>
      <c r="B55" s="281"/>
      <c r="C55" s="281"/>
      <c r="D55" s="281"/>
      <c r="E55" s="281"/>
      <c r="F55" s="281"/>
      <c r="G55" s="281"/>
      <c r="H55" s="281"/>
      <c r="I55" s="281"/>
      <c r="J55" s="281"/>
      <c r="K55" s="281"/>
      <c r="L55" s="281"/>
      <c r="M55" s="28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</row>
    <row r="56" spans="1:26">
      <c r="A56" s="281"/>
      <c r="B56" s="281"/>
      <c r="C56" s="281"/>
      <c r="D56" s="281"/>
      <c r="E56" s="281"/>
      <c r="F56" s="281"/>
      <c r="G56" s="281"/>
      <c r="H56" s="281"/>
      <c r="I56" s="281"/>
      <c r="J56" s="281"/>
      <c r="K56" s="281"/>
      <c r="L56" s="281"/>
      <c r="M56" s="281"/>
      <c r="N56" s="281"/>
      <c r="O56" s="281"/>
      <c r="P56" s="281"/>
      <c r="Q56" s="281"/>
      <c r="R56" s="281"/>
      <c r="S56" s="281"/>
      <c r="T56" s="281"/>
      <c r="U56" s="281"/>
      <c r="V56" s="281"/>
      <c r="W56" s="281"/>
      <c r="X56" s="281"/>
      <c r="Y56" s="281"/>
      <c r="Z56" s="281"/>
    </row>
    <row r="57" spans="1:26">
      <c r="A57" s="281"/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</row>
    <row r="58" spans="1:26">
      <c r="A58" s="281"/>
      <c r="B58" s="281"/>
      <c r="C58" s="281"/>
      <c r="D58" s="281"/>
      <c r="E58" s="281"/>
      <c r="F58" s="281"/>
      <c r="G58" s="281"/>
      <c r="H58" s="281"/>
      <c r="I58" s="281"/>
      <c r="J58" s="281"/>
      <c r="K58" s="281"/>
      <c r="L58" s="281"/>
      <c r="M58" s="28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</row>
    <row r="59" spans="1:26">
      <c r="A59" s="281"/>
      <c r="B59" s="281"/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81"/>
      <c r="O59" s="281"/>
      <c r="P59" s="281"/>
      <c r="Q59" s="281"/>
      <c r="R59" s="281"/>
      <c r="S59" s="281"/>
      <c r="T59" s="281"/>
      <c r="U59" s="281"/>
      <c r="V59" s="281"/>
      <c r="W59" s="281"/>
      <c r="X59" s="281"/>
      <c r="Y59" s="281"/>
      <c r="Z59" s="281"/>
    </row>
    <row r="60" spans="1:26">
      <c r="A60" s="281"/>
      <c r="B60" s="281"/>
      <c r="C60" s="281"/>
      <c r="D60" s="281"/>
      <c r="E60" s="281"/>
      <c r="F60" s="281"/>
      <c r="G60" s="281"/>
      <c r="H60" s="281"/>
      <c r="I60" s="281"/>
      <c r="J60" s="281"/>
      <c r="K60" s="281"/>
      <c r="L60" s="281"/>
      <c r="M60" s="28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</row>
    <row r="61" spans="1:26">
      <c r="A61" s="281"/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</row>
    <row r="62" spans="1:26">
      <c r="A62" s="281"/>
      <c r="B62" s="281"/>
      <c r="C62" s="281"/>
      <c r="D62" s="281"/>
      <c r="E62" s="281"/>
      <c r="F62" s="281"/>
      <c r="G62" s="281"/>
      <c r="H62" s="281"/>
      <c r="I62" s="281"/>
      <c r="J62" s="281"/>
      <c r="K62" s="281"/>
      <c r="L62" s="281"/>
      <c r="M62" s="281"/>
      <c r="N62" s="281"/>
      <c r="O62" s="281"/>
      <c r="P62" s="281"/>
      <c r="Q62" s="281"/>
      <c r="R62" s="281"/>
      <c r="S62" s="281"/>
      <c r="T62" s="281"/>
      <c r="U62" s="281"/>
      <c r="V62" s="281"/>
      <c r="W62" s="281"/>
      <c r="X62" s="281"/>
      <c r="Y62" s="281"/>
      <c r="Z62" s="281"/>
    </row>
    <row r="63" spans="1:26">
      <c r="A63" s="281"/>
      <c r="B63" s="281"/>
      <c r="C63" s="281"/>
      <c r="D63" s="281"/>
      <c r="E63" s="281"/>
      <c r="F63" s="281"/>
      <c r="G63" s="281"/>
      <c r="H63" s="281"/>
      <c r="I63" s="281"/>
      <c r="J63" s="281"/>
      <c r="K63" s="281"/>
      <c r="L63" s="281"/>
      <c r="M63" s="28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</row>
    <row r="64" spans="1:26">
      <c r="A64" s="281"/>
      <c r="B64" s="281"/>
      <c r="C64" s="281"/>
      <c r="D64" s="281"/>
      <c r="E64" s="281"/>
      <c r="F64" s="281"/>
      <c r="G64" s="281"/>
      <c r="H64" s="281"/>
      <c r="I64" s="281"/>
      <c r="J64" s="281"/>
      <c r="K64" s="281"/>
      <c r="L64" s="281"/>
      <c r="M64" s="28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</row>
    <row r="65" spans="1:26">
      <c r="A65" s="281"/>
      <c r="B65" s="281"/>
      <c r="C65" s="281"/>
      <c r="D65" s="281"/>
      <c r="E65" s="281"/>
      <c r="F65" s="281"/>
      <c r="G65" s="281"/>
      <c r="H65" s="281"/>
      <c r="I65" s="281"/>
      <c r="J65" s="281"/>
      <c r="K65" s="281"/>
      <c r="L65" s="281"/>
      <c r="M65" s="28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81"/>
    </row>
    <row r="66" spans="1:26">
      <c r="A66" s="281"/>
      <c r="B66" s="281"/>
      <c r="C66" s="281"/>
      <c r="D66" s="281"/>
      <c r="E66" s="281"/>
      <c r="F66" s="281"/>
      <c r="G66" s="281"/>
      <c r="H66" s="281"/>
      <c r="I66" s="281"/>
      <c r="J66" s="281"/>
      <c r="K66" s="281"/>
      <c r="L66" s="281"/>
      <c r="M66" s="28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</row>
    <row r="67" spans="1:26">
      <c r="A67" s="281"/>
      <c r="B67" s="281"/>
      <c r="C67" s="281"/>
      <c r="D67" s="281"/>
      <c r="E67" s="281"/>
      <c r="F67" s="281"/>
      <c r="G67" s="281"/>
      <c r="H67" s="281"/>
      <c r="I67" s="281"/>
      <c r="J67" s="281"/>
      <c r="K67" s="281"/>
      <c r="L67" s="281"/>
      <c r="M67" s="28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</row>
    <row r="68" spans="1:26">
      <c r="A68" s="281"/>
      <c r="B68" s="281"/>
      <c r="C68" s="281"/>
      <c r="D68" s="281"/>
      <c r="E68" s="281"/>
      <c r="F68" s="281"/>
      <c r="G68" s="281"/>
      <c r="H68" s="281"/>
      <c r="I68" s="281"/>
      <c r="J68" s="281"/>
      <c r="K68" s="281"/>
      <c r="L68" s="281"/>
      <c r="M68" s="28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</row>
    <row r="69" spans="1:26">
      <c r="A69" s="281"/>
      <c r="B69" s="281"/>
      <c r="C69" s="281"/>
      <c r="D69" s="281"/>
      <c r="E69" s="281"/>
      <c r="F69" s="281"/>
      <c r="G69" s="281"/>
      <c r="H69" s="281"/>
      <c r="I69" s="281"/>
      <c r="J69" s="281"/>
      <c r="K69" s="281"/>
      <c r="L69" s="281"/>
      <c r="M69" s="28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</row>
    <row r="70" spans="1:26">
      <c r="A70" s="281"/>
      <c r="B70" s="281"/>
      <c r="C70" s="281"/>
      <c r="D70" s="281"/>
      <c r="E70" s="281"/>
      <c r="F70" s="281"/>
      <c r="G70" s="281"/>
      <c r="H70" s="281"/>
      <c r="I70" s="281"/>
      <c r="J70" s="281"/>
      <c r="K70" s="281"/>
      <c r="L70" s="281"/>
      <c r="M70" s="28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</row>
    <row r="71" spans="1:26">
      <c r="A71" s="281"/>
      <c r="B71" s="281"/>
      <c r="C71" s="281"/>
      <c r="D71" s="281"/>
      <c r="E71" s="281"/>
      <c r="F71" s="281"/>
      <c r="G71" s="281"/>
      <c r="H71" s="281"/>
      <c r="I71" s="281"/>
      <c r="J71" s="281"/>
      <c r="K71" s="281"/>
      <c r="L71" s="281"/>
      <c r="M71" s="281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</row>
    <row r="72" spans="1:26">
      <c r="A72" s="281"/>
      <c r="B72" s="281"/>
      <c r="C72" s="281"/>
      <c r="D72" s="281"/>
      <c r="E72" s="281"/>
      <c r="F72" s="281"/>
      <c r="G72" s="281"/>
      <c r="H72" s="281"/>
      <c r="I72" s="281"/>
      <c r="J72" s="281"/>
      <c r="K72" s="281"/>
      <c r="L72" s="281"/>
      <c r="M72" s="281"/>
      <c r="N72" s="281"/>
      <c r="O72" s="281"/>
      <c r="P72" s="281"/>
      <c r="Q72" s="281"/>
      <c r="R72" s="281"/>
      <c r="S72" s="281"/>
      <c r="T72" s="281"/>
      <c r="U72" s="281"/>
      <c r="V72" s="281"/>
      <c r="W72" s="281"/>
      <c r="X72" s="281"/>
      <c r="Y72" s="281"/>
      <c r="Z72" s="281"/>
    </row>
    <row r="73" spans="1:26">
      <c r="A73" s="281"/>
      <c r="B73" s="281"/>
      <c r="C73" s="281"/>
      <c r="D73" s="281"/>
      <c r="E73" s="281"/>
      <c r="F73" s="281"/>
      <c r="G73" s="281"/>
      <c r="H73" s="281"/>
      <c r="I73" s="281"/>
      <c r="J73" s="281"/>
      <c r="K73" s="281"/>
      <c r="L73" s="281"/>
      <c r="M73" s="281"/>
      <c r="N73" s="281"/>
      <c r="O73" s="281"/>
      <c r="P73" s="281"/>
      <c r="Q73" s="281"/>
      <c r="R73" s="281"/>
      <c r="S73" s="281"/>
      <c r="T73" s="281"/>
      <c r="U73" s="281"/>
      <c r="V73" s="281"/>
      <c r="W73" s="281"/>
      <c r="X73" s="281"/>
      <c r="Y73" s="281"/>
      <c r="Z73" s="281"/>
    </row>
    <row r="74" spans="1:26">
      <c r="A74" s="281"/>
      <c r="B74" s="281"/>
      <c r="C74" s="281"/>
      <c r="D74" s="281"/>
      <c r="E74" s="281"/>
      <c r="F74" s="281"/>
      <c r="G74" s="281"/>
      <c r="H74" s="281"/>
      <c r="I74" s="281"/>
      <c r="J74" s="281"/>
      <c r="K74" s="281"/>
      <c r="L74" s="281"/>
      <c r="M74" s="281"/>
      <c r="N74" s="281"/>
      <c r="O74" s="281"/>
      <c r="P74" s="281"/>
      <c r="Q74" s="281"/>
      <c r="R74" s="281"/>
      <c r="S74" s="281"/>
      <c r="T74" s="281"/>
      <c r="U74" s="281"/>
      <c r="V74" s="281"/>
      <c r="W74" s="281"/>
      <c r="X74" s="281"/>
      <c r="Y74" s="281"/>
      <c r="Z74" s="281"/>
    </row>
    <row r="75" spans="1:26">
      <c r="A75" s="281"/>
      <c r="B75" s="281"/>
      <c r="C75" s="281"/>
      <c r="D75" s="281"/>
      <c r="E75" s="281"/>
      <c r="F75" s="281"/>
      <c r="G75" s="281"/>
      <c r="H75" s="281"/>
      <c r="I75" s="281"/>
      <c r="J75" s="281"/>
      <c r="K75" s="281"/>
      <c r="L75" s="281"/>
      <c r="M75" s="281"/>
      <c r="N75" s="281"/>
      <c r="O75" s="281"/>
      <c r="P75" s="281"/>
      <c r="Q75" s="281"/>
      <c r="R75" s="281"/>
      <c r="S75" s="281"/>
      <c r="T75" s="281"/>
      <c r="U75" s="281"/>
      <c r="V75" s="281"/>
      <c r="W75" s="281"/>
      <c r="X75" s="281"/>
      <c r="Y75" s="281"/>
      <c r="Z75" s="281"/>
    </row>
    <row r="76" spans="1:26">
      <c r="A76" s="281"/>
      <c r="B76" s="281"/>
      <c r="C76" s="281"/>
      <c r="D76" s="281"/>
      <c r="E76" s="281"/>
      <c r="F76" s="281"/>
      <c r="G76" s="281"/>
      <c r="H76" s="281"/>
      <c r="I76" s="281"/>
      <c r="J76" s="281"/>
      <c r="K76" s="281"/>
      <c r="L76" s="281"/>
      <c r="M76" s="281"/>
      <c r="N76" s="281"/>
      <c r="O76" s="281"/>
      <c r="P76" s="281"/>
      <c r="Q76" s="281"/>
      <c r="R76" s="281"/>
      <c r="S76" s="281"/>
      <c r="T76" s="281"/>
      <c r="U76" s="281"/>
      <c r="V76" s="281"/>
      <c r="W76" s="281"/>
      <c r="X76" s="281"/>
      <c r="Y76" s="281"/>
      <c r="Z76" s="281"/>
    </row>
    <row r="77" spans="1:26">
      <c r="A77" s="281"/>
      <c r="B77" s="281"/>
      <c r="C77" s="281"/>
      <c r="D77" s="281"/>
      <c r="E77" s="281"/>
      <c r="F77" s="281"/>
      <c r="G77" s="281"/>
      <c r="H77" s="281"/>
      <c r="I77" s="281"/>
      <c r="J77" s="281"/>
      <c r="K77" s="281"/>
      <c r="L77" s="281"/>
      <c r="M77" s="281"/>
      <c r="N77" s="281"/>
      <c r="O77" s="281"/>
      <c r="P77" s="281"/>
      <c r="Q77" s="281"/>
      <c r="R77" s="281"/>
      <c r="S77" s="281"/>
      <c r="T77" s="281"/>
      <c r="U77" s="281"/>
      <c r="V77" s="281"/>
      <c r="W77" s="281"/>
      <c r="X77" s="281"/>
      <c r="Y77" s="281"/>
      <c r="Z77" s="281"/>
    </row>
    <row r="78" spans="1:26">
      <c r="A78" s="281"/>
      <c r="B78" s="281"/>
      <c r="C78" s="281"/>
      <c r="D78" s="281"/>
      <c r="E78" s="281"/>
      <c r="F78" s="281"/>
      <c r="G78" s="281"/>
      <c r="H78" s="281"/>
      <c r="I78" s="281"/>
      <c r="J78" s="281"/>
      <c r="K78" s="281"/>
      <c r="L78" s="281"/>
      <c r="M78" s="281"/>
      <c r="N78" s="281"/>
      <c r="O78" s="281"/>
      <c r="P78" s="281"/>
      <c r="Q78" s="281"/>
      <c r="R78" s="281"/>
      <c r="S78" s="281"/>
      <c r="T78" s="281"/>
      <c r="U78" s="281"/>
      <c r="V78" s="281"/>
      <c r="W78" s="281"/>
      <c r="X78" s="281"/>
      <c r="Y78" s="281"/>
      <c r="Z78" s="281"/>
    </row>
    <row r="79" spans="1:26">
      <c r="A79" s="281"/>
      <c r="B79" s="281"/>
      <c r="C79" s="281"/>
      <c r="D79" s="281"/>
      <c r="E79" s="281"/>
      <c r="F79" s="281"/>
      <c r="G79" s="281"/>
      <c r="H79" s="281"/>
      <c r="I79" s="281"/>
      <c r="J79" s="281"/>
      <c r="K79" s="281"/>
      <c r="L79" s="281"/>
      <c r="M79" s="281"/>
      <c r="N79" s="281"/>
      <c r="O79" s="281"/>
      <c r="P79" s="281"/>
      <c r="Q79" s="281"/>
      <c r="R79" s="281"/>
      <c r="S79" s="281"/>
      <c r="T79" s="281"/>
      <c r="U79" s="281"/>
      <c r="V79" s="281"/>
      <c r="W79" s="281"/>
      <c r="X79" s="281"/>
      <c r="Y79" s="281"/>
      <c r="Z79" s="281"/>
    </row>
    <row r="80" spans="1:26">
      <c r="A80" s="281"/>
      <c r="B80" s="281"/>
      <c r="C80" s="281"/>
      <c r="D80" s="281"/>
      <c r="E80" s="281"/>
      <c r="F80" s="281"/>
      <c r="G80" s="281"/>
      <c r="H80" s="281"/>
      <c r="I80" s="281"/>
      <c r="J80" s="281"/>
      <c r="K80" s="281"/>
      <c r="L80" s="281"/>
      <c r="M80" s="281"/>
      <c r="N80" s="281"/>
      <c r="O80" s="281"/>
      <c r="P80" s="281"/>
      <c r="Q80" s="281"/>
      <c r="R80" s="281"/>
      <c r="S80" s="281"/>
      <c r="T80" s="281"/>
      <c r="U80" s="281"/>
      <c r="V80" s="281"/>
      <c r="W80" s="281"/>
      <c r="X80" s="281"/>
      <c r="Y80" s="281"/>
      <c r="Z80" s="281"/>
    </row>
    <row r="81" spans="1:26">
      <c r="A81" s="281"/>
      <c r="B81" s="281"/>
      <c r="C81" s="281"/>
      <c r="D81" s="281"/>
      <c r="E81" s="281"/>
      <c r="F81" s="281"/>
      <c r="G81" s="281"/>
      <c r="H81" s="281"/>
      <c r="I81" s="281"/>
      <c r="J81" s="281"/>
      <c r="K81" s="281"/>
      <c r="L81" s="281"/>
      <c r="M81" s="281"/>
      <c r="N81" s="281"/>
      <c r="O81" s="281"/>
      <c r="P81" s="281"/>
      <c r="Q81" s="281"/>
      <c r="R81" s="281"/>
      <c r="S81" s="281"/>
      <c r="T81" s="281"/>
      <c r="U81" s="281"/>
      <c r="V81" s="281"/>
      <c r="W81" s="281"/>
      <c r="X81" s="281"/>
      <c r="Y81" s="281"/>
      <c r="Z81" s="281"/>
    </row>
    <row r="82" spans="1:26">
      <c r="A82" s="281"/>
      <c r="B82" s="281"/>
      <c r="C82" s="281"/>
      <c r="D82" s="281"/>
      <c r="E82" s="281"/>
      <c r="F82" s="281"/>
      <c r="G82" s="281"/>
      <c r="H82" s="281"/>
      <c r="I82" s="281"/>
      <c r="J82" s="281"/>
      <c r="K82" s="281"/>
      <c r="L82" s="281"/>
      <c r="M82" s="281"/>
      <c r="N82" s="281"/>
      <c r="O82" s="281"/>
      <c r="P82" s="281"/>
      <c r="Q82" s="281"/>
      <c r="R82" s="281"/>
      <c r="S82" s="281"/>
      <c r="T82" s="281"/>
      <c r="U82" s="281"/>
      <c r="V82" s="281"/>
      <c r="W82" s="281"/>
      <c r="X82" s="281"/>
      <c r="Y82" s="281"/>
      <c r="Z82" s="281"/>
    </row>
    <row r="83" spans="1:26">
      <c r="A83" s="281"/>
      <c r="B83" s="281"/>
      <c r="C83" s="281"/>
      <c r="D83" s="281"/>
      <c r="E83" s="281"/>
      <c r="F83" s="281"/>
      <c r="G83" s="281"/>
      <c r="H83" s="281"/>
      <c r="I83" s="281"/>
      <c r="J83" s="281"/>
      <c r="K83" s="281"/>
      <c r="L83" s="281"/>
      <c r="M83" s="281"/>
      <c r="N83" s="281"/>
      <c r="O83" s="281"/>
      <c r="P83" s="281"/>
      <c r="Q83" s="281"/>
      <c r="R83" s="281"/>
      <c r="S83" s="281"/>
      <c r="T83" s="281"/>
      <c r="U83" s="281"/>
      <c r="V83" s="281"/>
      <c r="W83" s="281"/>
      <c r="X83" s="281"/>
      <c r="Y83" s="281"/>
      <c r="Z83" s="281"/>
    </row>
    <row r="84" spans="1:26">
      <c r="A84" s="281"/>
      <c r="B84" s="281"/>
      <c r="C84" s="281"/>
      <c r="D84" s="281"/>
      <c r="E84" s="281"/>
      <c r="F84" s="281"/>
      <c r="G84" s="281"/>
      <c r="H84" s="281"/>
      <c r="I84" s="281"/>
      <c r="J84" s="281"/>
      <c r="K84" s="281"/>
      <c r="L84" s="281"/>
      <c r="M84" s="281"/>
      <c r="N84" s="281"/>
      <c r="O84" s="281"/>
      <c r="P84" s="281"/>
      <c r="Q84" s="281"/>
      <c r="R84" s="281"/>
      <c r="S84" s="281"/>
      <c r="T84" s="281"/>
      <c r="U84" s="281"/>
      <c r="V84" s="281"/>
      <c r="W84" s="281"/>
      <c r="X84" s="281"/>
      <c r="Y84" s="281"/>
      <c r="Z84" s="281"/>
    </row>
    <row r="85" spans="1:26">
      <c r="A85" s="281"/>
      <c r="B85" s="281"/>
      <c r="C85" s="281"/>
      <c r="D85" s="281"/>
      <c r="E85" s="281"/>
      <c r="F85" s="281"/>
      <c r="G85" s="281"/>
      <c r="H85" s="281"/>
      <c r="I85" s="281"/>
      <c r="J85" s="281"/>
      <c r="K85" s="281"/>
      <c r="L85" s="281"/>
      <c r="M85" s="281"/>
      <c r="N85" s="281"/>
      <c r="O85" s="281"/>
      <c r="P85" s="281"/>
      <c r="Q85" s="281"/>
      <c r="R85" s="281"/>
      <c r="S85" s="281"/>
      <c r="T85" s="281"/>
      <c r="U85" s="281"/>
      <c r="V85" s="281"/>
      <c r="W85" s="281"/>
      <c r="X85" s="281"/>
      <c r="Y85" s="281"/>
      <c r="Z85" s="281"/>
    </row>
    <row r="86" spans="1:26">
      <c r="A86" s="281"/>
      <c r="B86" s="281"/>
      <c r="C86" s="281"/>
      <c r="D86" s="281"/>
      <c r="E86" s="281"/>
      <c r="F86" s="281"/>
      <c r="G86" s="281"/>
      <c r="H86" s="281"/>
      <c r="I86" s="281"/>
      <c r="J86" s="281"/>
      <c r="K86" s="281"/>
      <c r="L86" s="281"/>
      <c r="M86" s="281"/>
      <c r="N86" s="281"/>
      <c r="O86" s="281"/>
      <c r="P86" s="281"/>
      <c r="Q86" s="281"/>
      <c r="R86" s="281"/>
      <c r="S86" s="281"/>
      <c r="T86" s="281"/>
      <c r="U86" s="281"/>
      <c r="V86" s="281"/>
      <c r="W86" s="281"/>
      <c r="X86" s="281"/>
      <c r="Y86" s="281"/>
      <c r="Z86" s="281"/>
    </row>
    <row r="87" spans="1:26">
      <c r="A87" s="281"/>
      <c r="B87" s="281"/>
      <c r="C87" s="281"/>
      <c r="D87" s="281"/>
      <c r="E87" s="281"/>
      <c r="F87" s="281"/>
      <c r="G87" s="281"/>
      <c r="H87" s="281"/>
      <c r="I87" s="281"/>
      <c r="J87" s="281"/>
      <c r="K87" s="281"/>
      <c r="L87" s="281"/>
      <c r="M87" s="281"/>
      <c r="N87" s="281"/>
      <c r="O87" s="281"/>
      <c r="P87" s="281"/>
      <c r="Q87" s="281"/>
      <c r="R87" s="281"/>
      <c r="S87" s="281"/>
      <c r="T87" s="281"/>
      <c r="U87" s="281"/>
      <c r="V87" s="281"/>
      <c r="W87" s="281"/>
      <c r="X87" s="281"/>
      <c r="Y87" s="281"/>
      <c r="Z87" s="281"/>
    </row>
    <row r="88" spans="1:26">
      <c r="A88" s="281"/>
      <c r="B88" s="281"/>
      <c r="C88" s="281"/>
      <c r="D88" s="281"/>
      <c r="E88" s="281"/>
      <c r="F88" s="281"/>
      <c r="G88" s="281"/>
      <c r="H88" s="281"/>
      <c r="I88" s="281"/>
      <c r="J88" s="281"/>
      <c r="K88" s="281"/>
      <c r="L88" s="281"/>
      <c r="M88" s="281"/>
      <c r="N88" s="281"/>
      <c r="O88" s="281"/>
      <c r="P88" s="281"/>
      <c r="Q88" s="281"/>
      <c r="R88" s="281"/>
      <c r="S88" s="281"/>
      <c r="T88" s="281"/>
      <c r="U88" s="281"/>
      <c r="V88" s="281"/>
      <c r="W88" s="281"/>
      <c r="X88" s="281"/>
      <c r="Y88" s="281"/>
      <c r="Z88" s="281"/>
    </row>
    <row r="89" spans="1:26">
      <c r="A89" s="281"/>
      <c r="B89" s="281"/>
      <c r="C89" s="281"/>
      <c r="D89" s="281"/>
      <c r="E89" s="281"/>
      <c r="F89" s="281"/>
      <c r="G89" s="281"/>
      <c r="H89" s="281"/>
      <c r="I89" s="281"/>
      <c r="J89" s="281"/>
      <c r="K89" s="281"/>
      <c r="L89" s="281"/>
      <c r="M89" s="281"/>
      <c r="N89" s="281"/>
      <c r="O89" s="281"/>
      <c r="P89" s="281"/>
      <c r="Q89" s="281"/>
      <c r="R89" s="281"/>
      <c r="S89" s="281"/>
      <c r="T89" s="281"/>
      <c r="U89" s="281"/>
      <c r="V89" s="281"/>
      <c r="W89" s="281"/>
      <c r="X89" s="281"/>
      <c r="Y89" s="281"/>
      <c r="Z89" s="281"/>
    </row>
    <row r="90" spans="1:26">
      <c r="A90" s="281"/>
      <c r="B90" s="281"/>
      <c r="C90" s="281"/>
      <c r="D90" s="281"/>
      <c r="E90" s="281"/>
      <c r="F90" s="281"/>
      <c r="G90" s="281"/>
      <c r="H90" s="281"/>
      <c r="I90" s="281"/>
      <c r="J90" s="281"/>
      <c r="K90" s="281"/>
      <c r="L90" s="281"/>
      <c r="M90" s="281"/>
      <c r="N90" s="281"/>
      <c r="O90" s="281"/>
      <c r="P90" s="281"/>
      <c r="Q90" s="281"/>
      <c r="R90" s="281"/>
      <c r="S90" s="281"/>
      <c r="T90" s="281"/>
      <c r="U90" s="281"/>
      <c r="V90" s="281"/>
      <c r="W90" s="281"/>
      <c r="X90" s="281"/>
      <c r="Y90" s="281"/>
      <c r="Z90" s="281"/>
    </row>
    <row r="91" spans="1:26">
      <c r="A91" s="281"/>
      <c r="B91" s="281"/>
      <c r="C91" s="281"/>
      <c r="D91" s="281"/>
      <c r="E91" s="281"/>
      <c r="F91" s="281"/>
      <c r="G91" s="281"/>
      <c r="H91" s="281"/>
      <c r="I91" s="281"/>
      <c r="J91" s="281"/>
      <c r="K91" s="281"/>
      <c r="L91" s="281"/>
      <c r="M91" s="281"/>
      <c r="N91" s="281"/>
      <c r="O91" s="281"/>
      <c r="P91" s="281"/>
      <c r="Q91" s="281"/>
      <c r="R91" s="281"/>
      <c r="S91" s="281"/>
      <c r="T91" s="281"/>
      <c r="U91" s="281"/>
      <c r="V91" s="281"/>
      <c r="W91" s="281"/>
      <c r="X91" s="281"/>
      <c r="Y91" s="281"/>
      <c r="Z91" s="281"/>
    </row>
    <row r="92" spans="1:26">
      <c r="A92" s="281"/>
      <c r="B92" s="281"/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281"/>
      <c r="P92" s="281"/>
      <c r="Q92" s="281"/>
      <c r="R92" s="281"/>
      <c r="S92" s="281"/>
      <c r="T92" s="281"/>
      <c r="U92" s="281"/>
      <c r="V92" s="281"/>
      <c r="W92" s="281"/>
      <c r="X92" s="281"/>
      <c r="Y92" s="281"/>
      <c r="Z92" s="281"/>
    </row>
    <row r="93" spans="1:26">
      <c r="A93" s="281"/>
      <c r="B93" s="281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281"/>
      <c r="P93" s="281"/>
      <c r="Q93" s="281"/>
      <c r="R93" s="281"/>
      <c r="S93" s="281"/>
      <c r="T93" s="281"/>
      <c r="U93" s="281"/>
      <c r="V93" s="281"/>
      <c r="W93" s="281"/>
      <c r="X93" s="281"/>
      <c r="Y93" s="281"/>
      <c r="Z93" s="281"/>
    </row>
    <row r="94" spans="1:26">
      <c r="A94" s="281"/>
      <c r="B94" s="281"/>
      <c r="C94" s="281"/>
      <c r="D94" s="281"/>
      <c r="E94" s="281"/>
      <c r="F94" s="281"/>
      <c r="G94" s="281"/>
      <c r="H94" s="281"/>
      <c r="I94" s="281"/>
      <c r="J94" s="281"/>
      <c r="K94" s="281"/>
      <c r="L94" s="281"/>
      <c r="M94" s="281"/>
      <c r="N94" s="281"/>
      <c r="O94" s="281"/>
      <c r="P94" s="281"/>
      <c r="Q94" s="281"/>
      <c r="R94" s="281"/>
      <c r="S94" s="281"/>
      <c r="T94" s="281"/>
      <c r="U94" s="281"/>
      <c r="V94" s="281"/>
      <c r="W94" s="281"/>
      <c r="X94" s="281"/>
      <c r="Y94" s="281"/>
      <c r="Z94" s="281"/>
    </row>
    <row r="95" spans="1:26">
      <c r="A95" s="281"/>
      <c r="B95" s="281"/>
      <c r="C95" s="281"/>
      <c r="D95" s="281"/>
      <c r="E95" s="281"/>
      <c r="F95" s="281"/>
      <c r="G95" s="281"/>
      <c r="H95" s="281"/>
      <c r="I95" s="281"/>
      <c r="J95" s="281"/>
      <c r="K95" s="281"/>
      <c r="L95" s="281"/>
      <c r="M95" s="281"/>
      <c r="N95" s="281"/>
      <c r="O95" s="281"/>
      <c r="P95" s="281"/>
      <c r="Q95" s="281"/>
      <c r="R95" s="281"/>
      <c r="S95" s="281"/>
      <c r="T95" s="281"/>
      <c r="U95" s="281"/>
      <c r="V95" s="281"/>
      <c r="W95" s="281"/>
      <c r="X95" s="281"/>
      <c r="Y95" s="281"/>
      <c r="Z95" s="281"/>
    </row>
    <row r="96" spans="1:26">
      <c r="A96" s="281"/>
      <c r="B96" s="281"/>
      <c r="C96" s="281"/>
      <c r="D96" s="281"/>
      <c r="E96" s="281"/>
      <c r="F96" s="281"/>
      <c r="G96" s="281"/>
      <c r="H96" s="281"/>
      <c r="I96" s="281"/>
      <c r="J96" s="281"/>
      <c r="K96" s="281"/>
      <c r="L96" s="281"/>
      <c r="M96" s="281"/>
      <c r="N96" s="281"/>
      <c r="O96" s="281"/>
      <c r="P96" s="281"/>
      <c r="Q96" s="281"/>
      <c r="R96" s="281"/>
      <c r="S96" s="281"/>
      <c r="T96" s="281"/>
      <c r="U96" s="281"/>
      <c r="V96" s="281"/>
      <c r="W96" s="281"/>
      <c r="X96" s="281"/>
      <c r="Y96" s="281"/>
      <c r="Z96" s="281"/>
    </row>
    <row r="97" spans="1:26">
      <c r="A97" s="281"/>
      <c r="B97" s="281"/>
      <c r="C97" s="281"/>
      <c r="D97" s="281"/>
      <c r="E97" s="281"/>
      <c r="F97" s="281"/>
      <c r="G97" s="281"/>
      <c r="H97" s="281"/>
      <c r="I97" s="281"/>
      <c r="J97" s="281"/>
      <c r="K97" s="281"/>
      <c r="L97" s="281"/>
      <c r="M97" s="281"/>
      <c r="N97" s="281"/>
      <c r="O97" s="281"/>
      <c r="P97" s="281"/>
      <c r="Q97" s="281"/>
      <c r="R97" s="281"/>
      <c r="S97" s="281"/>
      <c r="T97" s="281"/>
      <c r="U97" s="281"/>
      <c r="V97" s="281"/>
      <c r="W97" s="281"/>
      <c r="X97" s="281"/>
      <c r="Y97" s="281"/>
      <c r="Z97" s="281"/>
    </row>
    <row r="98" spans="1:26">
      <c r="A98" s="281"/>
      <c r="B98" s="281"/>
      <c r="C98" s="281"/>
      <c r="D98" s="281"/>
      <c r="E98" s="281"/>
      <c r="F98" s="281"/>
      <c r="G98" s="281"/>
      <c r="H98" s="281"/>
      <c r="I98" s="281"/>
      <c r="J98" s="281"/>
      <c r="K98" s="281"/>
      <c r="L98" s="281"/>
      <c r="M98" s="281"/>
      <c r="N98" s="281"/>
      <c r="O98" s="281"/>
      <c r="P98" s="281"/>
      <c r="Q98" s="281"/>
      <c r="R98" s="281"/>
      <c r="S98" s="281"/>
      <c r="T98" s="281"/>
      <c r="U98" s="281"/>
      <c r="V98" s="281"/>
      <c r="W98" s="281"/>
      <c r="X98" s="281"/>
      <c r="Y98" s="281"/>
      <c r="Z98" s="281"/>
    </row>
    <row r="99" spans="1:26">
      <c r="A99" s="281"/>
      <c r="B99" s="281"/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281"/>
      <c r="P99" s="281"/>
      <c r="Q99" s="281"/>
      <c r="R99" s="281"/>
      <c r="S99" s="281"/>
      <c r="T99" s="281"/>
      <c r="U99" s="281"/>
      <c r="V99" s="281"/>
      <c r="W99" s="281"/>
      <c r="X99" s="281"/>
      <c r="Y99" s="281"/>
      <c r="Z99" s="281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CAAC325B-15AF-44B1-AFCC-31E5072758B3}"/>
    <hyperlink ref="B32" r:id="rId2" xr:uid="{F2F18DD0-5FD7-45D7-9B8D-E910CE8FEBAC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AW46"/>
  <sheetViews>
    <sheetView tabSelected="1" topLeftCell="D1" zoomScale="89" zoomScaleNormal="10" workbookViewId="0">
      <selection activeCell="O7" sqref="O7"/>
    </sheetView>
  </sheetViews>
  <sheetFormatPr defaultColWidth="9.140625" defaultRowHeight="15"/>
  <cols>
    <col min="1" max="1" width="22.42578125" customWidth="1"/>
    <col min="2" max="2" width="19.140625" customWidth="1"/>
    <col min="3" max="3" width="11.140625" customWidth="1"/>
    <col min="4" max="4" width="84.42578125" bestFit="1" customWidth="1"/>
    <col min="6" max="6" width="12" bestFit="1" customWidth="1"/>
    <col min="8" max="10" width="8.85546875" bestFit="1" customWidth="1"/>
    <col min="11" max="11" width="20.140625" bestFit="1" customWidth="1"/>
    <col min="35" max="35" width="4.85546875" bestFit="1" customWidth="1"/>
    <col min="36" max="36" width="12.42578125" bestFit="1" customWidth="1"/>
    <col min="37" max="37" width="21.140625" bestFit="1" customWidth="1"/>
    <col min="38" max="38" width="26.5703125" customWidth="1"/>
    <col min="41" max="41" width="12.140625" bestFit="1" customWidth="1"/>
    <col min="42" max="42" width="10.140625" bestFit="1" customWidth="1"/>
  </cols>
  <sheetData>
    <row r="1" spans="1:49" ht="23.25">
      <c r="A1" s="14" t="s">
        <v>86</v>
      </c>
      <c r="B1" s="15"/>
    </row>
    <row r="2" spans="1:49">
      <c r="A2" s="1" t="s">
        <v>125</v>
      </c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  <c r="Q2" s="1"/>
      <c r="R2" s="1"/>
      <c r="S2" s="1"/>
      <c r="U2" s="1"/>
      <c r="V2" s="1"/>
      <c r="W2" s="1"/>
      <c r="Y2" s="1"/>
      <c r="Z2" s="1"/>
    </row>
    <row r="3" spans="1:49">
      <c r="A3" s="1"/>
      <c r="B3" s="1"/>
      <c r="C3" s="1"/>
      <c r="D3" s="1"/>
      <c r="E3" s="1"/>
      <c r="F3" s="3" t="s">
        <v>2967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"/>
      <c r="S3" s="1"/>
      <c r="T3" s="1"/>
      <c r="U3" s="1"/>
      <c r="W3" s="1"/>
      <c r="X3" s="1"/>
      <c r="Y3" s="1"/>
      <c r="AA3" s="1"/>
      <c r="AB3" s="1"/>
      <c r="AL3" s="3" t="s">
        <v>37</v>
      </c>
      <c r="AM3" s="8"/>
      <c r="AN3" s="9"/>
      <c r="AO3" s="9"/>
      <c r="AP3" s="9"/>
      <c r="AQ3" s="9"/>
      <c r="AR3" s="9"/>
      <c r="AS3" s="9"/>
    </row>
    <row r="4" spans="1:49" ht="38.25">
      <c r="A4" s="4" t="s">
        <v>17</v>
      </c>
      <c r="B4" s="71" t="s">
        <v>2943</v>
      </c>
      <c r="C4" s="71" t="s">
        <v>2944</v>
      </c>
      <c r="D4" s="5" t="s">
        <v>18</v>
      </c>
      <c r="E4" s="4" t="s">
        <v>19</v>
      </c>
      <c r="F4" s="4" t="s">
        <v>20</v>
      </c>
      <c r="G4" s="6" t="s">
        <v>75</v>
      </c>
      <c r="H4" s="6" t="s">
        <v>76</v>
      </c>
      <c r="I4" s="6" t="s">
        <v>77</v>
      </c>
      <c r="J4" s="6" t="s">
        <v>78</v>
      </c>
      <c r="K4" s="6" t="s">
        <v>79</v>
      </c>
      <c r="L4" s="7" t="s">
        <v>31</v>
      </c>
      <c r="M4" s="7" t="s">
        <v>2946</v>
      </c>
      <c r="N4" s="7" t="s">
        <v>22</v>
      </c>
      <c r="O4" s="7" t="s">
        <v>23</v>
      </c>
      <c r="P4" s="7" t="s">
        <v>66</v>
      </c>
      <c r="Q4" s="7" t="s">
        <v>67</v>
      </c>
      <c r="R4" s="7" t="s">
        <v>24</v>
      </c>
      <c r="S4" s="7" t="s">
        <v>25</v>
      </c>
      <c r="T4" s="7" t="s">
        <v>26</v>
      </c>
      <c r="U4" s="7" t="s">
        <v>68</v>
      </c>
      <c r="V4" s="7" t="s">
        <v>69</v>
      </c>
      <c r="W4" s="7" t="s">
        <v>27</v>
      </c>
      <c r="X4" s="7" t="s">
        <v>28</v>
      </c>
      <c r="Y4" s="7" t="s">
        <v>29</v>
      </c>
      <c r="Z4" s="7" t="s">
        <v>70</v>
      </c>
      <c r="AA4" s="7" t="s">
        <v>71</v>
      </c>
      <c r="AB4" s="7" t="s">
        <v>30</v>
      </c>
      <c r="AC4" s="7" t="s">
        <v>72</v>
      </c>
      <c r="AD4" s="7" t="s">
        <v>73</v>
      </c>
      <c r="AE4" s="7" t="s">
        <v>32</v>
      </c>
      <c r="AF4" s="7" t="s">
        <v>128</v>
      </c>
      <c r="AG4" s="7" t="s">
        <v>129</v>
      </c>
      <c r="AH4" s="7" t="s">
        <v>130</v>
      </c>
      <c r="AI4" s="7" t="s">
        <v>131</v>
      </c>
      <c r="AJ4" s="7" t="s">
        <v>132</v>
      </c>
      <c r="AL4" s="5" t="s">
        <v>38</v>
      </c>
      <c r="AM4" s="5" t="s">
        <v>17</v>
      </c>
      <c r="AN4" s="5" t="s">
        <v>39</v>
      </c>
      <c r="AO4" s="5" t="s">
        <v>40</v>
      </c>
      <c r="AP4" s="5" t="s">
        <v>41</v>
      </c>
      <c r="AQ4" s="5" t="s">
        <v>42</v>
      </c>
      <c r="AR4" s="5" t="s">
        <v>43</v>
      </c>
      <c r="AS4" s="5" t="s">
        <v>44</v>
      </c>
    </row>
    <row r="5" spans="1:49" ht="38.25" customHeight="1">
      <c r="A5" s="21" t="s">
        <v>33</v>
      </c>
      <c r="B5" s="38"/>
      <c r="C5" s="38"/>
      <c r="D5" s="21" t="s">
        <v>34</v>
      </c>
      <c r="E5" s="21" t="s">
        <v>35</v>
      </c>
      <c r="F5" s="21" t="s">
        <v>36</v>
      </c>
      <c r="G5" s="22" t="s">
        <v>80</v>
      </c>
      <c r="H5" s="22"/>
      <c r="I5" s="22"/>
      <c r="J5" s="22"/>
      <c r="K5" s="22"/>
      <c r="L5" s="23"/>
      <c r="M5" s="16" t="s">
        <v>88</v>
      </c>
      <c r="N5" s="23"/>
      <c r="O5" s="23"/>
      <c r="P5" s="23"/>
      <c r="Q5" s="23"/>
      <c r="R5" s="16" t="s">
        <v>89</v>
      </c>
      <c r="S5" s="23"/>
      <c r="T5" s="23"/>
      <c r="U5" s="23"/>
      <c r="V5" s="23"/>
      <c r="W5" s="31" t="s">
        <v>90</v>
      </c>
      <c r="X5" s="31"/>
      <c r="Y5" s="31"/>
      <c r="Z5" s="31"/>
      <c r="AA5" s="31"/>
      <c r="AB5" s="301" t="s">
        <v>74</v>
      </c>
      <c r="AC5" s="301"/>
      <c r="AD5" s="301"/>
      <c r="AE5" s="23"/>
      <c r="AF5" s="30" t="s">
        <v>1</v>
      </c>
      <c r="AG5" s="30"/>
      <c r="AH5" s="30"/>
      <c r="AI5" s="30"/>
      <c r="AJ5" s="30"/>
      <c r="AL5" s="10" t="s">
        <v>45</v>
      </c>
      <c r="AM5" s="10" t="s">
        <v>46</v>
      </c>
      <c r="AN5" s="10" t="s">
        <v>34</v>
      </c>
      <c r="AO5" s="10" t="s">
        <v>47</v>
      </c>
      <c r="AP5" s="10" t="s">
        <v>48</v>
      </c>
      <c r="AQ5" s="10" t="s">
        <v>85</v>
      </c>
      <c r="AR5" s="10" t="s">
        <v>49</v>
      </c>
      <c r="AS5" s="10" t="s">
        <v>50</v>
      </c>
    </row>
    <row r="6" spans="1:49">
      <c r="A6" s="24" t="s">
        <v>2988</v>
      </c>
      <c r="B6" s="24" t="s">
        <v>2941</v>
      </c>
      <c r="C6" s="24"/>
      <c r="D6" s="25" t="str">
        <f>"PWR "&amp;AW6&amp;" new"</f>
        <v>PWR Offshore wind new</v>
      </c>
      <c r="E6" s="25" t="s">
        <v>2814</v>
      </c>
      <c r="F6" s="24" t="s">
        <v>82</v>
      </c>
      <c r="G6" s="26">
        <v>1</v>
      </c>
      <c r="H6" s="26"/>
      <c r="I6" s="26"/>
      <c r="J6" s="26"/>
      <c r="K6" s="26"/>
      <c r="L6" s="24">
        <v>2019</v>
      </c>
      <c r="M6" s="28">
        <f>3118</f>
        <v>3118</v>
      </c>
      <c r="O6" s="28"/>
      <c r="Q6" s="28">
        <v>2827</v>
      </c>
      <c r="R6" s="32">
        <v>128.38999999999999</v>
      </c>
      <c r="S6" s="32">
        <v>92.16</v>
      </c>
      <c r="T6" s="32">
        <v>77.400000000000006</v>
      </c>
      <c r="U6" s="32">
        <v>66.64</v>
      </c>
      <c r="V6" s="32">
        <v>52.44</v>
      </c>
      <c r="W6" s="44"/>
      <c r="X6" s="44"/>
      <c r="Y6" s="44"/>
      <c r="Z6" s="44"/>
      <c r="AA6" s="44"/>
      <c r="AB6" s="24">
        <v>20</v>
      </c>
      <c r="AC6" s="24">
        <v>25</v>
      </c>
      <c r="AD6" s="24">
        <v>30</v>
      </c>
      <c r="AE6" s="27">
        <v>31.536000000000001</v>
      </c>
      <c r="AF6" s="26"/>
      <c r="AG6" s="26"/>
      <c r="AH6" s="26"/>
      <c r="AI6" s="26"/>
      <c r="AJ6" s="26"/>
      <c r="AL6" t="s">
        <v>83</v>
      </c>
      <c r="AM6" t="s">
        <v>2882</v>
      </c>
      <c r="AN6" t="str">
        <f t="shared" ref="AN6:AN33" si="0">D6</f>
        <v>PWR Offshore wind new</v>
      </c>
      <c r="AO6" t="s">
        <v>84</v>
      </c>
      <c r="AP6" t="s">
        <v>2</v>
      </c>
      <c r="AQ6" t="s">
        <v>91</v>
      </c>
      <c r="AR6" s="1"/>
      <c r="AW6" s="24" t="s">
        <v>87</v>
      </c>
    </row>
    <row r="7" spans="1:49">
      <c r="A7" s="24" t="s">
        <v>2770</v>
      </c>
      <c r="B7" s="24" t="s">
        <v>2941</v>
      </c>
      <c r="C7" s="24"/>
      <c r="D7" s="25" t="str">
        <f t="shared" ref="D7:D38" si="1">"PWR "&amp;AW7&amp;" new"</f>
        <v>PWR Commercial solar PV system 0.1-2 MW new</v>
      </c>
      <c r="E7" s="29" t="s">
        <v>2815</v>
      </c>
      <c r="F7" s="24" t="s">
        <v>82</v>
      </c>
      <c r="G7" s="26">
        <v>1</v>
      </c>
      <c r="H7" s="26"/>
      <c r="I7" s="26"/>
      <c r="J7" s="26"/>
      <c r="K7" s="26"/>
      <c r="L7" s="24">
        <v>2019</v>
      </c>
      <c r="M7" s="28">
        <v>500</v>
      </c>
      <c r="N7" s="28"/>
      <c r="O7" s="28"/>
      <c r="Q7" s="28">
        <v>670</v>
      </c>
      <c r="R7" s="32">
        <v>27.5</v>
      </c>
      <c r="S7" s="32">
        <v>22.5</v>
      </c>
      <c r="T7" s="32">
        <v>20.25</v>
      </c>
      <c r="U7" s="32">
        <v>19</v>
      </c>
      <c r="V7" s="32">
        <v>18</v>
      </c>
      <c r="W7" s="44"/>
      <c r="X7" s="44"/>
      <c r="Y7" s="44"/>
      <c r="Z7" s="44"/>
      <c r="AA7" s="44"/>
      <c r="AB7" s="24">
        <v>25</v>
      </c>
      <c r="AC7" s="24"/>
      <c r="AD7" s="24"/>
      <c r="AE7" s="27">
        <v>31.536000000000001</v>
      </c>
      <c r="AF7" s="26"/>
      <c r="AG7" s="26"/>
      <c r="AH7" s="26"/>
      <c r="AI7" s="26"/>
      <c r="AJ7" s="26"/>
      <c r="AL7" t="s">
        <v>83</v>
      </c>
      <c r="AM7" t="str">
        <f t="shared" ref="AM7:AM38" si="2">A7</f>
        <v>P-RNW-SOL-PV01</v>
      </c>
      <c r="AN7" t="str">
        <f t="shared" si="0"/>
        <v>PWR Commercial solar PV system 0.1-2 MW new</v>
      </c>
      <c r="AO7" t="s">
        <v>84</v>
      </c>
      <c r="AP7" t="s">
        <v>2</v>
      </c>
      <c r="AQ7" t="s">
        <v>91</v>
      </c>
      <c r="AR7" s="1"/>
      <c r="AW7" s="24" t="s">
        <v>3</v>
      </c>
    </row>
    <row r="8" spans="1:49">
      <c r="A8" s="24" t="s">
        <v>2769</v>
      </c>
      <c r="B8" s="24" t="s">
        <v>2941</v>
      </c>
      <c r="C8" s="24"/>
      <c r="D8" s="25" t="str">
        <f t="shared" si="1"/>
        <v>PWR Commercial solar PV &gt;2 MW without tracking new</v>
      </c>
      <c r="E8" s="29" t="s">
        <v>2815</v>
      </c>
      <c r="F8" s="24" t="s">
        <v>82</v>
      </c>
      <c r="G8" s="26">
        <v>1</v>
      </c>
      <c r="H8" s="26"/>
      <c r="I8" s="26"/>
      <c r="J8" s="26"/>
      <c r="K8" s="26"/>
      <c r="L8" s="24">
        <v>2019</v>
      </c>
      <c r="M8" s="28">
        <f>+M7</f>
        <v>500</v>
      </c>
      <c r="N8" s="28"/>
      <c r="O8" s="28"/>
      <c r="P8" s="28"/>
      <c r="Q8" s="28">
        <f t="shared" ref="Q8:Q9" si="3">+Q7</f>
        <v>670</v>
      </c>
      <c r="R8" s="32">
        <v>16.66</v>
      </c>
      <c r="S8" s="32">
        <v>13.6</v>
      </c>
      <c r="T8" s="32">
        <v>10.88</v>
      </c>
      <c r="U8" s="32">
        <v>9.86</v>
      </c>
      <c r="V8" s="32">
        <v>8.84</v>
      </c>
      <c r="W8" s="44"/>
      <c r="X8" s="44"/>
      <c r="Y8" s="44"/>
      <c r="Z8" s="44"/>
      <c r="AA8" s="44"/>
      <c r="AB8" s="24">
        <v>25</v>
      </c>
      <c r="AC8" s="24"/>
      <c r="AD8" s="24"/>
      <c r="AE8" s="27">
        <v>31.536000000000001</v>
      </c>
      <c r="AF8" s="26"/>
      <c r="AG8" s="26"/>
      <c r="AH8" s="26"/>
      <c r="AI8" s="26"/>
      <c r="AJ8" s="26"/>
      <c r="AL8" t="s">
        <v>83</v>
      </c>
      <c r="AM8" t="str">
        <f t="shared" si="2"/>
        <v>P-RNW-SOL-PV02</v>
      </c>
      <c r="AN8" t="str">
        <f t="shared" si="0"/>
        <v>PWR Commercial solar PV &gt;2 MW without tracking new</v>
      </c>
      <c r="AO8" t="s">
        <v>84</v>
      </c>
      <c r="AP8" t="s">
        <v>2</v>
      </c>
      <c r="AQ8" t="s">
        <v>91</v>
      </c>
      <c r="AR8" s="1"/>
      <c r="AW8" s="24" t="s">
        <v>4</v>
      </c>
    </row>
    <row r="9" spans="1:49">
      <c r="A9" s="24" t="s">
        <v>2771</v>
      </c>
      <c r="B9" s="24" t="s">
        <v>2941</v>
      </c>
      <c r="C9" s="24"/>
      <c r="D9" s="25" t="str">
        <f t="shared" si="1"/>
        <v>PWR Commercial solar PV &gt;2 MW with tracking new</v>
      </c>
      <c r="E9" s="29" t="s">
        <v>2815</v>
      </c>
      <c r="F9" s="24" t="s">
        <v>82</v>
      </c>
      <c r="G9" s="26">
        <v>1</v>
      </c>
      <c r="H9" s="26"/>
      <c r="I9" s="26"/>
      <c r="J9" s="26"/>
      <c r="K9" s="26"/>
      <c r="L9" s="24">
        <v>2019</v>
      </c>
      <c r="M9" s="28">
        <f>+M8</f>
        <v>500</v>
      </c>
      <c r="N9" s="28"/>
      <c r="O9" s="28"/>
      <c r="P9" s="28"/>
      <c r="Q9" s="28">
        <f t="shared" si="3"/>
        <v>670</v>
      </c>
      <c r="R9" s="32">
        <v>21.75</v>
      </c>
      <c r="S9" s="32">
        <v>16.5</v>
      </c>
      <c r="T9" s="32">
        <v>13.35</v>
      </c>
      <c r="U9" s="32">
        <v>11.85</v>
      </c>
      <c r="V9" s="32">
        <v>10.65</v>
      </c>
      <c r="W9" s="44"/>
      <c r="X9" s="44"/>
      <c r="Y9" s="44"/>
      <c r="Z9" s="44"/>
      <c r="AA9" s="44"/>
      <c r="AB9" s="24">
        <v>25</v>
      </c>
      <c r="AC9" s="24"/>
      <c r="AD9" s="24"/>
      <c r="AE9" s="27">
        <v>31.536000000000001</v>
      </c>
      <c r="AF9" s="26"/>
      <c r="AG9" s="26"/>
      <c r="AH9" s="26"/>
      <c r="AI9" s="26"/>
      <c r="AJ9" s="26"/>
      <c r="AL9" t="s">
        <v>83</v>
      </c>
      <c r="AM9" t="str">
        <f t="shared" si="2"/>
        <v>P-RNW-SOL-PV03</v>
      </c>
      <c r="AN9" t="str">
        <f t="shared" si="0"/>
        <v>PWR Commercial solar PV &gt;2 MW with tracking new</v>
      </c>
      <c r="AO9" t="s">
        <v>84</v>
      </c>
      <c r="AP9" t="s">
        <v>2</v>
      </c>
      <c r="AQ9" t="s">
        <v>91</v>
      </c>
      <c r="AR9" s="1"/>
      <c r="AW9" s="24" t="s">
        <v>5</v>
      </c>
    </row>
    <row r="10" spans="1:49">
      <c r="A10" s="24" t="s">
        <v>2772</v>
      </c>
      <c r="B10" s="24" t="s">
        <v>2942</v>
      </c>
      <c r="C10" s="24"/>
      <c r="D10" s="25" t="str">
        <f t="shared" si="1"/>
        <v>PWR Solar thermal electricity power plants without thermal storage (power/heat=0.38) new</v>
      </c>
      <c r="E10" s="29" t="s">
        <v>2815</v>
      </c>
      <c r="F10" s="24" t="s">
        <v>82</v>
      </c>
      <c r="G10" s="26">
        <v>0.36</v>
      </c>
      <c r="H10" s="26"/>
      <c r="I10" s="26"/>
      <c r="J10" s="26"/>
      <c r="K10" s="26"/>
      <c r="L10" s="24">
        <v>2019</v>
      </c>
      <c r="M10" s="28">
        <v>5600</v>
      </c>
      <c r="N10" s="28">
        <v>4500</v>
      </c>
      <c r="O10" s="28">
        <v>3800</v>
      </c>
      <c r="P10" s="28">
        <v>3500</v>
      </c>
      <c r="Q10" s="24">
        <v>3400</v>
      </c>
      <c r="R10" s="32">
        <v>224</v>
      </c>
      <c r="S10" s="32">
        <v>180</v>
      </c>
      <c r="T10" s="32">
        <v>152</v>
      </c>
      <c r="U10" s="32">
        <v>140</v>
      </c>
      <c r="V10" s="32">
        <v>136</v>
      </c>
      <c r="W10" s="44">
        <v>0.44800000000000001</v>
      </c>
      <c r="X10" s="44">
        <v>0.36</v>
      </c>
      <c r="Y10" s="44">
        <v>0.30399999999999999</v>
      </c>
      <c r="Z10" s="44">
        <v>0.28000000000000003</v>
      </c>
      <c r="AA10" s="44">
        <v>0.27200000000000002</v>
      </c>
      <c r="AB10" s="24">
        <v>30</v>
      </c>
      <c r="AC10" s="24"/>
      <c r="AD10" s="24"/>
      <c r="AE10" s="27">
        <v>31.536000000000001</v>
      </c>
      <c r="AF10" s="26">
        <v>0.42</v>
      </c>
      <c r="AG10" s="26"/>
      <c r="AH10" s="26"/>
      <c r="AI10" s="26"/>
      <c r="AJ10" s="26"/>
      <c r="AL10" t="s">
        <v>83</v>
      </c>
      <c r="AM10" t="str">
        <f t="shared" si="2"/>
        <v>P-RNW-SOL-CSP04</v>
      </c>
      <c r="AN10" t="str">
        <f t="shared" si="0"/>
        <v>PWR Solar thermal electricity power plants without thermal storage (power/heat=0.38) new</v>
      </c>
      <c r="AO10" t="s">
        <v>84</v>
      </c>
      <c r="AP10" t="s">
        <v>2</v>
      </c>
      <c r="AQ10" t="s">
        <v>91</v>
      </c>
      <c r="AR10" s="1"/>
      <c r="AW10" s="24" t="s">
        <v>81</v>
      </c>
    </row>
    <row r="11" spans="1:49">
      <c r="A11" s="24" t="s">
        <v>2773</v>
      </c>
      <c r="B11" s="24" t="s">
        <v>2941</v>
      </c>
      <c r="C11" s="24"/>
      <c r="D11" s="25" t="str">
        <f t="shared" si="1"/>
        <v>PWR Hydropower dam and reservoir, &gt;100 MW new</v>
      </c>
      <c r="E11" s="25" t="s">
        <v>2816</v>
      </c>
      <c r="F11" s="24" t="s">
        <v>82</v>
      </c>
      <c r="G11" s="26">
        <v>1</v>
      </c>
      <c r="H11" s="26"/>
      <c r="I11" s="26"/>
      <c r="J11" s="26"/>
      <c r="K11" s="26"/>
      <c r="L11" s="24">
        <v>2019</v>
      </c>
      <c r="M11" s="28">
        <f>VLOOKUP($A11,ETRI_Cost!$A:$I,5,FALSE)</f>
        <v>3500</v>
      </c>
      <c r="N11" s="28">
        <f>VLOOKUP($A11,ETRI_Cost!$A:$I,6,FALSE)</f>
        <v>3500</v>
      </c>
      <c r="O11" s="28">
        <f>VLOOKUP($A11,ETRI_Cost!$A:$I,7,FALSE)</f>
        <v>3490</v>
      </c>
      <c r="P11" s="28">
        <f>VLOOKUP($A11,ETRI_Cost!$A:$I,8,FALSE)</f>
        <v>3480</v>
      </c>
      <c r="Q11" s="28">
        <f>VLOOKUP($A11,ETRI_Cost!$A:$I,9,FALSE)</f>
        <v>3470</v>
      </c>
      <c r="R11" s="32">
        <v>22</v>
      </c>
      <c r="S11" s="32">
        <v>22</v>
      </c>
      <c r="T11" s="32">
        <v>22</v>
      </c>
      <c r="U11" s="32">
        <v>22</v>
      </c>
      <c r="V11" s="32">
        <v>22</v>
      </c>
      <c r="W11" s="44">
        <v>6.6000000000000003E-2</v>
      </c>
      <c r="X11" s="44">
        <v>6.6000000000000003E-2</v>
      </c>
      <c r="Y11" s="44">
        <v>6.6000000000000003E-2</v>
      </c>
      <c r="Z11" s="44">
        <v>6.6000000000000003E-2</v>
      </c>
      <c r="AA11" s="44">
        <v>6.6000000000000003E-2</v>
      </c>
      <c r="AB11" s="24">
        <v>60</v>
      </c>
      <c r="AC11" s="24"/>
      <c r="AD11" s="24"/>
      <c r="AE11" s="27">
        <v>31.536000000000001</v>
      </c>
      <c r="AF11" s="26">
        <v>0.35</v>
      </c>
      <c r="AG11" s="26"/>
      <c r="AH11" s="26"/>
      <c r="AI11" s="26"/>
      <c r="AJ11" s="26"/>
      <c r="AL11" t="s">
        <v>83</v>
      </c>
      <c r="AM11" t="str">
        <f t="shared" si="2"/>
        <v>P-RNW-HYD-DAM01</v>
      </c>
      <c r="AN11" t="str">
        <f t="shared" si="0"/>
        <v>PWR Hydropower dam and reservoir, &gt;100 MW new</v>
      </c>
      <c r="AO11" t="s">
        <v>84</v>
      </c>
      <c r="AP11" t="s">
        <v>2</v>
      </c>
      <c r="AQ11" t="s">
        <v>91</v>
      </c>
      <c r="AR11" s="1"/>
      <c r="AW11" s="24" t="s">
        <v>6</v>
      </c>
    </row>
    <row r="12" spans="1:49">
      <c r="A12" s="24" t="s">
        <v>2774</v>
      </c>
      <c r="B12" s="24" t="s">
        <v>2941</v>
      </c>
      <c r="C12" s="24"/>
      <c r="D12" s="25" t="str">
        <f t="shared" si="1"/>
        <v>PWR Hydropower dam and reservoir, 10-100 MW new</v>
      </c>
      <c r="E12" s="25" t="s">
        <v>2816</v>
      </c>
      <c r="F12" s="24" t="s">
        <v>82</v>
      </c>
      <c r="G12" s="26">
        <v>1</v>
      </c>
      <c r="H12" s="26"/>
      <c r="I12" s="26"/>
      <c r="J12" s="26"/>
      <c r="K12" s="26"/>
      <c r="L12" s="24">
        <v>2019</v>
      </c>
      <c r="M12" s="28">
        <f>VLOOKUP($A12,ETRI_Cost!$A:$I,5,FALSE)</f>
        <v>4000</v>
      </c>
      <c r="N12" s="28">
        <f>VLOOKUP($A12,ETRI_Cost!$A:$I,6,FALSE)</f>
        <v>4000</v>
      </c>
      <c r="O12" s="28">
        <f>VLOOKUP($A12,ETRI_Cost!$A:$I,7,FALSE)</f>
        <v>3980</v>
      </c>
      <c r="P12" s="28">
        <f>VLOOKUP($A12,ETRI_Cost!$A:$I,8,FALSE)</f>
        <v>3970</v>
      </c>
      <c r="Q12" s="28">
        <f>VLOOKUP($A12,ETRI_Cost!$A:$I,9,FALSE)</f>
        <v>3970</v>
      </c>
      <c r="R12" s="32">
        <v>49.5</v>
      </c>
      <c r="S12" s="32">
        <v>50.4</v>
      </c>
      <c r="T12" s="32">
        <v>50.55</v>
      </c>
      <c r="U12" s="32">
        <v>50.55</v>
      </c>
      <c r="V12" s="32">
        <v>50.55</v>
      </c>
      <c r="W12" s="44">
        <v>0.16500000000000001</v>
      </c>
      <c r="X12" s="44">
        <v>0.16800000000000001</v>
      </c>
      <c r="Y12" s="44">
        <v>0.16850000000000001</v>
      </c>
      <c r="Z12" s="44">
        <v>0.16850000000000001</v>
      </c>
      <c r="AA12" s="44">
        <v>0.16850000000000001</v>
      </c>
      <c r="AB12" s="24">
        <v>60</v>
      </c>
      <c r="AC12" s="24"/>
      <c r="AD12" s="24"/>
      <c r="AE12" s="27">
        <v>31.536000000000001</v>
      </c>
      <c r="AF12" s="26">
        <v>0.4</v>
      </c>
      <c r="AG12" s="26"/>
      <c r="AH12" s="26"/>
      <c r="AI12" s="26"/>
      <c r="AJ12" s="26"/>
      <c r="AL12" t="s">
        <v>83</v>
      </c>
      <c r="AM12" t="str">
        <f t="shared" si="2"/>
        <v>P-RNW-HYD-DAM02</v>
      </c>
      <c r="AN12" t="str">
        <f t="shared" si="0"/>
        <v>PWR Hydropower dam and reservoir, 10-100 MW new</v>
      </c>
      <c r="AO12" t="s">
        <v>84</v>
      </c>
      <c r="AP12" t="s">
        <v>2</v>
      </c>
      <c r="AQ12" t="s">
        <v>91</v>
      </c>
      <c r="AR12" s="1"/>
      <c r="AW12" s="24" t="s">
        <v>7</v>
      </c>
    </row>
    <row r="13" spans="1:49">
      <c r="A13" s="24" t="s">
        <v>2775</v>
      </c>
      <c r="B13" s="24" t="s">
        <v>2941</v>
      </c>
      <c r="C13" s="24"/>
      <c r="D13" s="25" t="str">
        <f t="shared" si="1"/>
        <v>PWR Hydropower dam and reservoir, &lt;10 MW new</v>
      </c>
      <c r="E13" s="25" t="s">
        <v>2816</v>
      </c>
      <c r="F13" s="24" t="s">
        <v>82</v>
      </c>
      <c r="G13" s="26">
        <v>1</v>
      </c>
      <c r="H13" s="26"/>
      <c r="I13" s="26"/>
      <c r="J13" s="26"/>
      <c r="K13" s="26"/>
      <c r="L13" s="24">
        <v>2019</v>
      </c>
      <c r="M13" s="28">
        <f>VLOOKUP($A13,ETRI_Cost!$A:$I,5,FALSE)</f>
        <v>5000</v>
      </c>
      <c r="N13" s="28">
        <f>VLOOKUP($A13,ETRI_Cost!$A:$I,6,FALSE)</f>
        <v>5000</v>
      </c>
      <c r="O13" s="28">
        <f>VLOOKUP($A13,ETRI_Cost!$A:$I,7,FALSE)</f>
        <v>4980</v>
      </c>
      <c r="P13" s="28">
        <f>VLOOKUP($A13,ETRI_Cost!$A:$I,8,FALSE)</f>
        <v>4970</v>
      </c>
      <c r="Q13" s="28">
        <f>VLOOKUP($A13,ETRI_Cost!$A:$I,9,FALSE)</f>
        <v>4960</v>
      </c>
      <c r="R13" s="32">
        <v>66</v>
      </c>
      <c r="S13" s="32">
        <v>67.2</v>
      </c>
      <c r="T13" s="32">
        <v>67.5</v>
      </c>
      <c r="U13" s="32">
        <v>67.5</v>
      </c>
      <c r="V13" s="32">
        <v>67.5</v>
      </c>
      <c r="W13" s="44">
        <v>0.22</v>
      </c>
      <c r="X13" s="44">
        <v>0.224</v>
      </c>
      <c r="Y13" s="44">
        <v>0.22500000000000001</v>
      </c>
      <c r="Z13" s="44">
        <v>0.22500000000000001</v>
      </c>
      <c r="AA13" s="44">
        <v>0.22500000000000001</v>
      </c>
      <c r="AB13" s="24">
        <v>60</v>
      </c>
      <c r="AC13" s="24"/>
      <c r="AD13" s="24"/>
      <c r="AE13" s="27">
        <v>31.536000000000001</v>
      </c>
      <c r="AF13" s="26">
        <v>0.37</v>
      </c>
      <c r="AG13" s="26"/>
      <c r="AH13" s="26"/>
      <c r="AI13" s="26"/>
      <c r="AJ13" s="26"/>
      <c r="AL13" t="s">
        <v>83</v>
      </c>
      <c r="AM13" t="str">
        <f t="shared" si="2"/>
        <v>P-RNW-HYD-DAM03</v>
      </c>
      <c r="AN13" t="str">
        <f t="shared" si="0"/>
        <v>PWR Hydropower dam and reservoir, &lt;10 MW new</v>
      </c>
      <c r="AO13" t="s">
        <v>84</v>
      </c>
      <c r="AP13" t="s">
        <v>2</v>
      </c>
      <c r="AQ13" t="s">
        <v>91</v>
      </c>
      <c r="AR13" s="1"/>
      <c r="AW13" s="24" t="s">
        <v>8</v>
      </c>
    </row>
    <row r="14" spans="1:49">
      <c r="A14" s="24" t="s">
        <v>2776</v>
      </c>
      <c r="B14" s="24" t="s">
        <v>2941</v>
      </c>
      <c r="C14" s="24"/>
      <c r="D14" s="25" t="str">
        <f t="shared" si="1"/>
        <v>PWR Hydropower run-of-a-river new</v>
      </c>
      <c r="E14" s="25" t="s">
        <v>2816</v>
      </c>
      <c r="F14" s="24" t="s">
        <v>82</v>
      </c>
      <c r="G14" s="26">
        <v>1</v>
      </c>
      <c r="H14" s="26"/>
      <c r="I14" s="26"/>
      <c r="J14" s="26"/>
      <c r="K14" s="26"/>
      <c r="L14" s="24">
        <v>2019</v>
      </c>
      <c r="M14" s="28">
        <f>VLOOKUP($A14,ETRI_Cost!$A:$I,5,FALSE)</f>
        <v>3000</v>
      </c>
      <c r="N14" s="28">
        <f>VLOOKUP($A14,ETRI_Cost!$A:$I,6,FALSE)</f>
        <v>3000</v>
      </c>
      <c r="O14" s="28">
        <f>VLOOKUP($A14,ETRI_Cost!$A:$I,7,FALSE)</f>
        <v>2990</v>
      </c>
      <c r="P14" s="28">
        <f>VLOOKUP($A14,ETRI_Cost!$A:$I,8,FALSE)</f>
        <v>2980</v>
      </c>
      <c r="Q14" s="28">
        <f>VLOOKUP($A14,ETRI_Cost!$A:$I,9,FALSE)</f>
        <v>2970</v>
      </c>
      <c r="R14" s="32">
        <v>82.5</v>
      </c>
      <c r="S14" s="32">
        <v>84</v>
      </c>
      <c r="T14" s="32">
        <v>84.3</v>
      </c>
      <c r="U14" s="32">
        <v>84.3</v>
      </c>
      <c r="V14" s="32">
        <v>84.3</v>
      </c>
      <c r="W14" s="44">
        <v>0.27500000000000002</v>
      </c>
      <c r="X14" s="44">
        <v>0.28000000000000003</v>
      </c>
      <c r="Y14" s="44">
        <v>0.28100000000000003</v>
      </c>
      <c r="Z14" s="44">
        <v>0.28100000000000003</v>
      </c>
      <c r="AA14" s="44">
        <v>0.28100000000000003</v>
      </c>
      <c r="AB14" s="24">
        <v>60</v>
      </c>
      <c r="AC14" s="24"/>
      <c r="AD14" s="24"/>
      <c r="AE14" s="27">
        <v>31.536000000000001</v>
      </c>
      <c r="AF14" s="26">
        <v>0.37</v>
      </c>
      <c r="AG14" s="26"/>
      <c r="AH14" s="26"/>
      <c r="AI14" s="26"/>
      <c r="AJ14" s="26"/>
      <c r="AL14" t="s">
        <v>83</v>
      </c>
      <c r="AM14" t="str">
        <f t="shared" si="2"/>
        <v>P-RNW-HYD-ROR04</v>
      </c>
      <c r="AN14" t="str">
        <f t="shared" si="0"/>
        <v>PWR Hydropower run-of-a-river new</v>
      </c>
      <c r="AO14" t="s">
        <v>84</v>
      </c>
      <c r="AP14" t="s">
        <v>2</v>
      </c>
      <c r="AQ14" t="s">
        <v>91</v>
      </c>
      <c r="AR14" s="1"/>
      <c r="AW14" s="24" t="s">
        <v>9</v>
      </c>
    </row>
    <row r="15" spans="1:49">
      <c r="A15" s="24" t="s">
        <v>2777</v>
      </c>
      <c r="B15" s="24" t="s">
        <v>2941</v>
      </c>
      <c r="C15" s="24" t="s">
        <v>2942</v>
      </c>
      <c r="D15" s="25" t="str">
        <f t="shared" si="1"/>
        <v>PWR Flash power plant extracting fluid from hydrothermal system at 2.5 km depth new</v>
      </c>
      <c r="E15" s="25" t="s">
        <v>2817</v>
      </c>
      <c r="F15" s="24" t="s">
        <v>82</v>
      </c>
      <c r="G15" s="26">
        <v>0.1</v>
      </c>
      <c r="H15" s="26">
        <v>0.1</v>
      </c>
      <c r="I15" s="26">
        <v>0.1</v>
      </c>
      <c r="J15" s="26">
        <v>0.1</v>
      </c>
      <c r="K15" s="26">
        <v>0.1</v>
      </c>
      <c r="L15" s="24">
        <v>2019</v>
      </c>
      <c r="M15" s="28">
        <f>VLOOKUP($A15,ETRI_Cost!$A:$I,5,FALSE)</f>
        <v>3540</v>
      </c>
      <c r="N15" s="28">
        <f>VLOOKUP($A15,ETRI_Cost!$A:$I,6,FALSE)</f>
        <v>3350</v>
      </c>
      <c r="O15" s="28">
        <f>VLOOKUP($A15,ETRI_Cost!$A:$I,7,FALSE)</f>
        <v>3150</v>
      </c>
      <c r="P15" s="28">
        <f>VLOOKUP($A15,ETRI_Cost!$A:$I,8,FALSE)</f>
        <v>3020</v>
      </c>
      <c r="Q15" s="28">
        <f>VLOOKUP($A15,ETRI_Cost!$A:$I,9,FALSE)</f>
        <v>2910</v>
      </c>
      <c r="R15" s="32">
        <v>77.419999999999987</v>
      </c>
      <c r="S15" s="32">
        <v>79.52</v>
      </c>
      <c r="T15" s="32">
        <v>80.459999999999994</v>
      </c>
      <c r="U15" s="32">
        <v>80.400000000000006</v>
      </c>
      <c r="V15" s="32">
        <v>79.420000000000016</v>
      </c>
      <c r="W15" s="44"/>
      <c r="X15" s="44"/>
      <c r="Y15" s="44"/>
      <c r="Z15" s="44"/>
      <c r="AA15" s="44"/>
      <c r="AB15" s="24">
        <v>30</v>
      </c>
      <c r="AC15" s="24"/>
      <c r="AD15" s="24"/>
      <c r="AE15" s="27">
        <v>31.536000000000001</v>
      </c>
      <c r="AF15" s="26">
        <v>0.95</v>
      </c>
      <c r="AG15" s="26"/>
      <c r="AH15" s="26"/>
      <c r="AI15" s="26"/>
      <c r="AJ15" s="26"/>
      <c r="AL15" t="s">
        <v>83</v>
      </c>
      <c r="AM15" t="str">
        <f t="shared" si="2"/>
        <v>P-RNW-GEO01</v>
      </c>
      <c r="AN15" t="str">
        <f t="shared" si="0"/>
        <v>PWR Flash power plant extracting fluid from hydrothermal system at 2.5 km depth new</v>
      </c>
      <c r="AO15" t="s">
        <v>84</v>
      </c>
      <c r="AP15" t="s">
        <v>2</v>
      </c>
      <c r="AQ15" t="s">
        <v>91</v>
      </c>
      <c r="AR15" s="1"/>
      <c r="AW15" s="24" t="s">
        <v>10</v>
      </c>
    </row>
    <row r="16" spans="1:49">
      <c r="A16" s="24" t="s">
        <v>2778</v>
      </c>
      <c r="B16" s="24" t="s">
        <v>2941</v>
      </c>
      <c r="C16" s="24" t="s">
        <v>2942</v>
      </c>
      <c r="D16" s="25" t="str">
        <f t="shared" si="1"/>
        <v>PWR Organic Rankine Cycle hydrothermal system. new</v>
      </c>
      <c r="E16" s="25" t="s">
        <v>2817</v>
      </c>
      <c r="F16" s="24" t="s">
        <v>82</v>
      </c>
      <c r="G16" s="26">
        <v>0.1</v>
      </c>
      <c r="H16" s="26">
        <v>0.1</v>
      </c>
      <c r="I16" s="26">
        <v>0.1</v>
      </c>
      <c r="J16" s="26">
        <v>0.1</v>
      </c>
      <c r="K16" s="26">
        <v>0.1</v>
      </c>
      <c r="L16" s="24">
        <v>2019</v>
      </c>
      <c r="M16" s="28">
        <f>VLOOKUP($A16,ETRI_Cost!$A:$I,5,FALSE)</f>
        <v>6970</v>
      </c>
      <c r="N16" s="28">
        <f>VLOOKUP($A16,ETRI_Cost!$A:$I,6,FALSE)</f>
        <v>6600</v>
      </c>
      <c r="O16" s="28">
        <f>VLOOKUP($A16,ETRI_Cost!$A:$I,7,FALSE)</f>
        <v>6190</v>
      </c>
      <c r="P16" s="28">
        <f>VLOOKUP($A16,ETRI_Cost!$A:$I,8,FALSE)</f>
        <v>5950</v>
      </c>
      <c r="Q16" s="28">
        <f>VLOOKUP($A16,ETRI_Cost!$A:$I,9,FALSE)</f>
        <v>5720</v>
      </c>
      <c r="R16" s="32">
        <v>146.37</v>
      </c>
      <c r="S16" s="32">
        <v>145.20000000000002</v>
      </c>
      <c r="T16" s="32">
        <v>143.51999999999998</v>
      </c>
      <c r="U16" s="32">
        <v>146.75</v>
      </c>
      <c r="V16" s="32">
        <v>148.77000000000001</v>
      </c>
      <c r="W16" s="44"/>
      <c r="X16" s="44"/>
      <c r="Y16" s="44"/>
      <c r="Z16" s="44"/>
      <c r="AA16" s="44"/>
      <c r="AB16" s="24">
        <v>30</v>
      </c>
      <c r="AC16" s="24"/>
      <c r="AD16" s="24"/>
      <c r="AE16" s="27">
        <v>31.536000000000001</v>
      </c>
      <c r="AF16" s="26">
        <v>0.95</v>
      </c>
      <c r="AG16" s="26"/>
      <c r="AH16" s="26"/>
      <c r="AI16" s="26"/>
      <c r="AJ16" s="26"/>
      <c r="AL16" t="s">
        <v>83</v>
      </c>
      <c r="AM16" t="str">
        <f t="shared" si="2"/>
        <v>P-RNW-GEO02</v>
      </c>
      <c r="AN16" t="str">
        <f t="shared" si="0"/>
        <v>PWR Organic Rankine Cycle hydrothermal system. new</v>
      </c>
      <c r="AO16" t="s">
        <v>84</v>
      </c>
      <c r="AP16" t="s">
        <v>2</v>
      </c>
      <c r="AQ16" t="s">
        <v>91</v>
      </c>
      <c r="AR16" s="1"/>
      <c r="AW16" s="24" t="s">
        <v>11</v>
      </c>
    </row>
    <row r="17" spans="1:49">
      <c r="A17" s="24" t="s">
        <v>2779</v>
      </c>
      <c r="B17" s="24" t="s">
        <v>2942</v>
      </c>
      <c r="C17" s="24" t="s">
        <v>2942</v>
      </c>
      <c r="D17" s="25" t="str">
        <f t="shared" si="1"/>
        <v>PWR Organic Rankine Cycle Enhanced Geothermal System at 5.5 km depth new</v>
      </c>
      <c r="E17" s="25" t="s">
        <v>2817</v>
      </c>
      <c r="F17" s="24" t="s">
        <v>82</v>
      </c>
      <c r="G17" s="26">
        <v>0.1</v>
      </c>
      <c r="H17" s="26">
        <v>0.1</v>
      </c>
      <c r="I17" s="26">
        <v>0.1</v>
      </c>
      <c r="J17" s="26">
        <v>0.1</v>
      </c>
      <c r="K17" s="26">
        <v>0.1</v>
      </c>
      <c r="L17" s="24">
        <v>2019</v>
      </c>
      <c r="M17" s="24">
        <v>12600</v>
      </c>
      <c r="N17" s="24">
        <v>10300</v>
      </c>
      <c r="O17" s="24">
        <v>9000</v>
      </c>
      <c r="P17" s="24">
        <v>8600</v>
      </c>
      <c r="Q17" s="24">
        <v>8200</v>
      </c>
      <c r="R17" s="32">
        <v>226.8</v>
      </c>
      <c r="S17" s="32">
        <v>185.4</v>
      </c>
      <c r="T17" s="32">
        <v>171</v>
      </c>
      <c r="U17" s="32">
        <v>163.4</v>
      </c>
      <c r="V17" s="32">
        <v>155.80000000000001</v>
      </c>
      <c r="W17" s="44"/>
      <c r="X17" s="44"/>
      <c r="Y17" s="44"/>
      <c r="Z17" s="44"/>
      <c r="AA17" s="44"/>
      <c r="AB17" s="24">
        <v>30</v>
      </c>
      <c r="AC17" s="24"/>
      <c r="AD17" s="24"/>
      <c r="AE17" s="27">
        <v>31.536000000000001</v>
      </c>
      <c r="AF17" s="26">
        <v>0.95</v>
      </c>
      <c r="AG17" s="26"/>
      <c r="AH17" s="26"/>
      <c r="AI17" s="26"/>
      <c r="AJ17" s="26"/>
      <c r="AL17" t="s">
        <v>83</v>
      </c>
      <c r="AM17" t="str">
        <f t="shared" si="2"/>
        <v>P-RNW-GEO03</v>
      </c>
      <c r="AN17" t="str">
        <f t="shared" si="0"/>
        <v>PWR Organic Rankine Cycle Enhanced Geothermal System at 5.5 km depth new</v>
      </c>
      <c r="AO17" t="s">
        <v>84</v>
      </c>
      <c r="AP17" t="s">
        <v>2</v>
      </c>
      <c r="AQ17" t="s">
        <v>91</v>
      </c>
      <c r="AR17" s="1"/>
      <c r="AW17" s="24" t="s">
        <v>12</v>
      </c>
    </row>
    <row r="18" spans="1:49">
      <c r="A18" s="24" t="s">
        <v>2780</v>
      </c>
      <c r="B18" s="24" t="s">
        <v>2941</v>
      </c>
      <c r="C18" s="24"/>
      <c r="D18" s="25" t="str">
        <f t="shared" si="1"/>
        <v>PWR Wave energy new</v>
      </c>
      <c r="E18" s="25" t="s">
        <v>2818</v>
      </c>
      <c r="F18" s="24" t="s">
        <v>133</v>
      </c>
      <c r="G18" s="26">
        <v>1</v>
      </c>
      <c r="H18" s="26"/>
      <c r="I18" s="26"/>
      <c r="J18" s="26"/>
      <c r="K18" s="26"/>
      <c r="L18" s="24">
        <v>2019</v>
      </c>
      <c r="M18" s="28">
        <f>VLOOKUP($A18,ETRI_Cost!$A:$I,5,FALSE)</f>
        <v>7910</v>
      </c>
      <c r="N18" s="28">
        <f>VLOOKUP($A18,ETRI_Cost!$A:$I,6,FALSE)</f>
        <v>6310</v>
      </c>
      <c r="O18" s="28">
        <f>VLOOKUP($A18,ETRI_Cost!$A:$I,7,FALSE)</f>
        <v>5320</v>
      </c>
      <c r="P18" s="28">
        <f>VLOOKUP($A18,ETRI_Cost!$A:$I,8,FALSE)</f>
        <v>4040</v>
      </c>
      <c r="Q18" s="28">
        <f>VLOOKUP($A18,ETRI_Cost!$A:$I,9,FALSE)</f>
        <v>3240</v>
      </c>
      <c r="R18" s="32">
        <v>326.88</v>
      </c>
      <c r="S18" s="32">
        <v>237.38999999999996</v>
      </c>
      <c r="T18" s="32">
        <v>210.56</v>
      </c>
      <c r="U18" s="32">
        <v>153.69999999999999</v>
      </c>
      <c r="V18" s="32">
        <v>133.4</v>
      </c>
      <c r="W18" s="44"/>
      <c r="X18" s="44"/>
      <c r="Y18" s="44"/>
      <c r="Z18" s="44"/>
      <c r="AA18" s="44"/>
      <c r="AB18" s="24">
        <v>20</v>
      </c>
      <c r="AC18" s="24"/>
      <c r="AD18" s="24"/>
      <c r="AE18" s="27">
        <v>31.536000000000001</v>
      </c>
      <c r="AF18" s="26">
        <v>0.36</v>
      </c>
      <c r="AG18" s="26"/>
      <c r="AH18" s="26"/>
      <c r="AI18" s="26"/>
      <c r="AJ18" s="26"/>
      <c r="AL18" t="s">
        <v>83</v>
      </c>
      <c r="AM18" t="str">
        <f t="shared" si="2"/>
        <v>P-RNW-OCE-WAV01</v>
      </c>
      <c r="AN18" t="str">
        <f t="shared" si="0"/>
        <v>PWR Wave energy new</v>
      </c>
      <c r="AO18" t="s">
        <v>84</v>
      </c>
      <c r="AP18" t="s">
        <v>2</v>
      </c>
      <c r="AQ18" t="s">
        <v>91</v>
      </c>
      <c r="AR18" s="1"/>
      <c r="AW18" s="24" t="s">
        <v>13</v>
      </c>
    </row>
    <row r="19" spans="1:49">
      <c r="A19" s="24" t="s">
        <v>2781</v>
      </c>
      <c r="B19" s="24" t="s">
        <v>2941</v>
      </c>
      <c r="C19" s="24"/>
      <c r="D19" s="25" t="str">
        <f t="shared" si="1"/>
        <v>PWR Tidal energy new</v>
      </c>
      <c r="E19" s="25" t="s">
        <v>2818</v>
      </c>
      <c r="F19" s="24" t="s">
        <v>133</v>
      </c>
      <c r="G19" s="26">
        <v>1</v>
      </c>
      <c r="H19" s="26"/>
      <c r="I19" s="26"/>
      <c r="J19" s="26"/>
      <c r="K19" s="26"/>
      <c r="L19" s="24">
        <v>2019</v>
      </c>
      <c r="M19" s="28">
        <f>VLOOKUP($A19,ETRI_Cost!$A:$I,5,FALSE)</f>
        <v>7840</v>
      </c>
      <c r="N19" s="28">
        <f>VLOOKUP($A19,ETRI_Cost!$A:$I,6,FALSE)</f>
        <v>6260</v>
      </c>
      <c r="O19" s="28">
        <f>VLOOKUP($A19,ETRI_Cost!$A:$I,7,FALSE)</f>
        <v>5270</v>
      </c>
      <c r="P19" s="28">
        <f>VLOOKUP($A19,ETRI_Cost!$A:$I,8,FALSE)</f>
        <v>4000</v>
      </c>
      <c r="Q19" s="28">
        <f>VLOOKUP($A19,ETRI_Cost!$A:$I,9,FALSE)</f>
        <v>3210</v>
      </c>
      <c r="R19" s="32">
        <v>363.8</v>
      </c>
      <c r="S19" s="32">
        <v>158.4</v>
      </c>
      <c r="T19" s="32">
        <v>117.8</v>
      </c>
      <c r="U19" s="32">
        <v>90.3</v>
      </c>
      <c r="V19" s="32">
        <v>93.1</v>
      </c>
      <c r="W19" s="44"/>
      <c r="X19" s="44"/>
      <c r="Y19" s="44"/>
      <c r="Z19" s="44"/>
      <c r="AA19" s="44"/>
      <c r="AB19" s="24">
        <v>20</v>
      </c>
      <c r="AC19" s="24"/>
      <c r="AD19" s="24"/>
      <c r="AE19" s="27">
        <v>31.536000000000001</v>
      </c>
      <c r="AF19" s="26">
        <v>0.36</v>
      </c>
      <c r="AG19" s="26"/>
      <c r="AH19" s="26"/>
      <c r="AI19" s="26"/>
      <c r="AJ19" s="26"/>
      <c r="AL19" t="s">
        <v>83</v>
      </c>
      <c r="AM19" t="str">
        <f t="shared" si="2"/>
        <v>P-RNW-OCE-TID02</v>
      </c>
      <c r="AN19" t="str">
        <f t="shared" si="0"/>
        <v>PWR Tidal energy new</v>
      </c>
      <c r="AO19" t="s">
        <v>84</v>
      </c>
      <c r="AP19" t="s">
        <v>2</v>
      </c>
      <c r="AQ19" t="s">
        <v>91</v>
      </c>
      <c r="AR19" s="1"/>
      <c r="AW19" s="24" t="s">
        <v>14</v>
      </c>
    </row>
    <row r="20" spans="1:49">
      <c r="A20" s="24" t="s">
        <v>2766</v>
      </c>
      <c r="B20" s="24" t="s">
        <v>2942</v>
      </c>
      <c r="C20" s="24"/>
      <c r="D20" s="25" t="str">
        <f t="shared" si="1"/>
        <v>PWR Open-Cycle Gas Turbine conventional new</v>
      </c>
      <c r="E20" s="25" t="s">
        <v>2819</v>
      </c>
      <c r="F20" s="24" t="s">
        <v>82</v>
      </c>
      <c r="G20" s="26">
        <v>0.38</v>
      </c>
      <c r="H20" s="26"/>
      <c r="I20" s="26"/>
      <c r="J20" s="26"/>
      <c r="K20" s="26"/>
      <c r="L20" s="24">
        <v>2019</v>
      </c>
      <c r="M20" s="24">
        <v>770</v>
      </c>
      <c r="N20" s="24"/>
      <c r="O20" s="24"/>
      <c r="P20" s="24"/>
      <c r="Q20" s="24"/>
      <c r="R20" s="32">
        <v>7.7</v>
      </c>
      <c r="S20" s="32"/>
      <c r="T20" s="32"/>
      <c r="U20" s="32"/>
      <c r="V20" s="32"/>
      <c r="W20" s="44"/>
      <c r="X20" s="44"/>
      <c r="Y20" s="44"/>
      <c r="Z20" s="44"/>
      <c r="AA20" s="44"/>
      <c r="AB20" s="24">
        <v>30</v>
      </c>
      <c r="AC20" s="24"/>
      <c r="AD20" s="24"/>
      <c r="AE20" s="27">
        <v>31.536000000000001</v>
      </c>
      <c r="AF20" s="26">
        <v>0.95</v>
      </c>
      <c r="AG20" s="26"/>
      <c r="AH20" s="26"/>
      <c r="AI20" s="26"/>
      <c r="AJ20" s="26"/>
      <c r="AL20" t="s">
        <v>83</v>
      </c>
      <c r="AM20" t="str">
        <f t="shared" si="2"/>
        <v>P-TH-OCGT-GAS01</v>
      </c>
      <c r="AN20" t="str">
        <f t="shared" si="0"/>
        <v>PWR Open-Cycle Gas Turbine conventional new</v>
      </c>
      <c r="AO20" t="s">
        <v>84</v>
      </c>
      <c r="AP20" t="s">
        <v>2</v>
      </c>
      <c r="AQ20" t="s">
        <v>91</v>
      </c>
      <c r="AR20" s="1"/>
      <c r="AW20" s="24" t="s">
        <v>15</v>
      </c>
    </row>
    <row r="21" spans="1:49">
      <c r="A21" s="24" t="s">
        <v>2767</v>
      </c>
      <c r="B21" s="24" t="s">
        <v>2942</v>
      </c>
      <c r="C21" s="24"/>
      <c r="D21" s="25" t="str">
        <f t="shared" si="1"/>
        <v>PWR Open Cycle Gas Turbine advanced new</v>
      </c>
      <c r="E21" s="25" t="s">
        <v>2819</v>
      </c>
      <c r="F21" s="24" t="s">
        <v>82</v>
      </c>
      <c r="G21" s="26">
        <v>0.4</v>
      </c>
      <c r="H21" s="26">
        <v>0.4</v>
      </c>
      <c r="I21" s="26">
        <v>0.43</v>
      </c>
      <c r="J21" s="26">
        <v>0.44</v>
      </c>
      <c r="K21" s="26">
        <v>0.45</v>
      </c>
      <c r="L21" s="24">
        <v>2019</v>
      </c>
      <c r="M21" s="24">
        <v>550</v>
      </c>
      <c r="N21" s="24">
        <v>550</v>
      </c>
      <c r="O21" s="24">
        <v>550</v>
      </c>
      <c r="P21" s="24">
        <v>550</v>
      </c>
      <c r="Q21" s="24">
        <v>550</v>
      </c>
      <c r="R21" s="32">
        <v>16.5</v>
      </c>
      <c r="S21" s="32">
        <v>16.5</v>
      </c>
      <c r="T21" s="32">
        <v>16.5</v>
      </c>
      <c r="U21" s="32">
        <v>16.5</v>
      </c>
      <c r="V21" s="32">
        <v>16.5</v>
      </c>
      <c r="W21" s="44">
        <v>6.0499999999999998E-2</v>
      </c>
      <c r="X21" s="44">
        <v>6.0499999999999998E-2</v>
      </c>
      <c r="Y21" s="44">
        <v>6.0499999999999998E-2</v>
      </c>
      <c r="Z21" s="44">
        <v>6.0499999999999998E-2</v>
      </c>
      <c r="AA21" s="44">
        <v>6.0499999999999998E-2</v>
      </c>
      <c r="AB21" s="24">
        <v>30</v>
      </c>
      <c r="AC21" s="24"/>
      <c r="AD21" s="24"/>
      <c r="AE21" s="27">
        <v>31.536000000000001</v>
      </c>
      <c r="AF21" s="26">
        <v>0.95</v>
      </c>
      <c r="AG21" s="26"/>
      <c r="AH21" s="26"/>
      <c r="AI21" s="26"/>
      <c r="AJ21" s="26"/>
      <c r="AL21" t="s">
        <v>83</v>
      </c>
      <c r="AM21" t="str">
        <f t="shared" si="2"/>
        <v>P-TH-OCGT-GAS02</v>
      </c>
      <c r="AN21" t="str">
        <f t="shared" si="0"/>
        <v>PWR Open Cycle Gas Turbine advanced new</v>
      </c>
      <c r="AO21" t="s">
        <v>84</v>
      </c>
      <c r="AP21" t="s">
        <v>2</v>
      </c>
      <c r="AQ21" t="s">
        <v>91</v>
      </c>
      <c r="AR21" s="1"/>
      <c r="AW21" s="24" t="s">
        <v>16</v>
      </c>
    </row>
    <row r="22" spans="1:49">
      <c r="A22" s="24" t="s">
        <v>2768</v>
      </c>
      <c r="B22" s="24" t="s">
        <v>2942</v>
      </c>
      <c r="C22" s="24" t="s">
        <v>2942</v>
      </c>
      <c r="D22" s="25" t="str">
        <f t="shared" si="1"/>
        <v>PWR Combined Cycle Gas Turbine advanced new</v>
      </c>
      <c r="E22" s="25" t="s">
        <v>2819</v>
      </c>
      <c r="F22" s="24" t="s">
        <v>82</v>
      </c>
      <c r="G22" s="26">
        <v>0.57999999999999996</v>
      </c>
      <c r="H22" s="26">
        <v>0.6</v>
      </c>
      <c r="I22" s="26">
        <v>0.62</v>
      </c>
      <c r="J22" s="26">
        <v>0.62</v>
      </c>
      <c r="K22" s="26">
        <v>0.63</v>
      </c>
      <c r="L22" s="24">
        <v>2019</v>
      </c>
      <c r="M22" s="24">
        <v>850</v>
      </c>
      <c r="N22" s="24">
        <v>850</v>
      </c>
      <c r="O22" s="24">
        <v>850</v>
      </c>
      <c r="P22" s="24">
        <v>850</v>
      </c>
      <c r="Q22" s="24">
        <v>850</v>
      </c>
      <c r="R22" s="32">
        <v>21.25</v>
      </c>
      <c r="S22" s="32">
        <v>21.25</v>
      </c>
      <c r="T22" s="32">
        <v>21.25</v>
      </c>
      <c r="U22" s="32">
        <v>21.25</v>
      </c>
      <c r="V22" s="32">
        <v>21.25</v>
      </c>
      <c r="W22" s="44">
        <v>1.7000000000000001E-2</v>
      </c>
      <c r="X22" s="44">
        <v>1.7000000000000001E-2</v>
      </c>
      <c r="Y22" s="44">
        <v>1.7000000000000001E-2</v>
      </c>
      <c r="Z22" s="44">
        <v>1.7000000000000001E-2</v>
      </c>
      <c r="AA22" s="44">
        <v>1.7000000000000001E-2</v>
      </c>
      <c r="AB22" s="24">
        <v>30</v>
      </c>
      <c r="AC22" s="24"/>
      <c r="AD22" s="24"/>
      <c r="AE22" s="27">
        <v>31.536000000000001</v>
      </c>
      <c r="AF22" s="26">
        <v>0.9</v>
      </c>
      <c r="AG22" s="26"/>
      <c r="AH22" s="26"/>
      <c r="AI22" s="26"/>
      <c r="AJ22" s="26"/>
      <c r="AL22" t="s">
        <v>83</v>
      </c>
      <c r="AM22" t="str">
        <f t="shared" si="2"/>
        <v>P-TH-CCGT-GAS03</v>
      </c>
      <c r="AN22" t="str">
        <f t="shared" si="0"/>
        <v>PWR Combined Cycle Gas Turbine advanced new</v>
      </c>
      <c r="AO22" t="s">
        <v>84</v>
      </c>
      <c r="AP22" t="s">
        <v>2</v>
      </c>
      <c r="AQ22" t="s">
        <v>91</v>
      </c>
      <c r="AR22" s="1"/>
      <c r="AW22" s="24" t="s">
        <v>117</v>
      </c>
    </row>
    <row r="23" spans="1:49">
      <c r="A23" s="24" t="s">
        <v>2782</v>
      </c>
      <c r="B23" s="24" t="s">
        <v>2942</v>
      </c>
      <c r="C23" s="24" t="s">
        <v>2942</v>
      </c>
      <c r="D23" s="25" t="str">
        <f t="shared" si="1"/>
        <v>PWR Pulverised coal supercritical new</v>
      </c>
      <c r="E23" s="25" t="s">
        <v>2820</v>
      </c>
      <c r="F23" s="24" t="s">
        <v>82</v>
      </c>
      <c r="G23" s="26">
        <v>0.45</v>
      </c>
      <c r="H23" s="26">
        <v>0.46</v>
      </c>
      <c r="I23" s="26">
        <v>0.48</v>
      </c>
      <c r="J23" s="26">
        <v>0.48</v>
      </c>
      <c r="K23" s="26">
        <v>0.48</v>
      </c>
      <c r="L23" s="24">
        <v>2019</v>
      </c>
      <c r="M23" s="24">
        <v>1600</v>
      </c>
      <c r="N23" s="24">
        <v>1600</v>
      </c>
      <c r="O23" s="24">
        <v>1600</v>
      </c>
      <c r="P23" s="24">
        <v>1600</v>
      </c>
      <c r="Q23" s="24">
        <v>1600</v>
      </c>
      <c r="R23" s="32">
        <v>40</v>
      </c>
      <c r="S23" s="32">
        <v>40</v>
      </c>
      <c r="T23" s="32">
        <v>40</v>
      </c>
      <c r="U23" s="32">
        <v>40</v>
      </c>
      <c r="V23" s="32">
        <v>40</v>
      </c>
      <c r="W23" s="44">
        <v>5.7599999999999998E-2</v>
      </c>
      <c r="X23" s="44">
        <v>5.7599999999999998E-2</v>
      </c>
      <c r="Y23" s="44">
        <v>5.7599999999999998E-2</v>
      </c>
      <c r="Z23" s="44">
        <v>5.7599999999999998E-2</v>
      </c>
      <c r="AA23" s="44">
        <v>5.7599999999999998E-2</v>
      </c>
      <c r="AB23" s="24">
        <v>40</v>
      </c>
      <c r="AC23" s="24"/>
      <c r="AD23" s="24"/>
      <c r="AE23" s="27">
        <v>31.536000000000001</v>
      </c>
      <c r="AF23" s="26">
        <v>0.9</v>
      </c>
      <c r="AG23" s="26"/>
      <c r="AH23" s="26"/>
      <c r="AI23" s="26"/>
      <c r="AJ23" s="26"/>
      <c r="AL23" t="s">
        <v>83</v>
      </c>
      <c r="AM23" t="str">
        <f t="shared" si="2"/>
        <v>P-TH-SC-COA01</v>
      </c>
      <c r="AN23" t="str">
        <f t="shared" si="0"/>
        <v>PWR Pulverised coal supercritical new</v>
      </c>
      <c r="AO23" t="s">
        <v>84</v>
      </c>
      <c r="AP23" t="s">
        <v>2</v>
      </c>
      <c r="AQ23" t="s">
        <v>91</v>
      </c>
      <c r="AR23" s="1"/>
      <c r="AW23" s="24" t="s">
        <v>2755</v>
      </c>
    </row>
    <row r="24" spans="1:49">
      <c r="A24" s="24" t="s">
        <v>2784</v>
      </c>
      <c r="B24" s="24" t="s">
        <v>2942</v>
      </c>
      <c r="C24" s="24" t="s">
        <v>2942</v>
      </c>
      <c r="D24" s="25" t="str">
        <f t="shared" si="1"/>
        <v>PWR Pulverised peat supercritical new</v>
      </c>
      <c r="E24" s="25" t="s">
        <v>2821</v>
      </c>
      <c r="F24" s="24" t="s">
        <v>82</v>
      </c>
      <c r="G24" s="26">
        <v>0.42</v>
      </c>
      <c r="H24" s="26">
        <v>0.45</v>
      </c>
      <c r="I24" s="26">
        <v>0.47</v>
      </c>
      <c r="J24" s="26">
        <v>0.47</v>
      </c>
      <c r="K24" s="26">
        <v>0.47</v>
      </c>
      <c r="L24" s="24">
        <v>2019</v>
      </c>
      <c r="M24" s="24">
        <v>2000</v>
      </c>
      <c r="N24" s="24">
        <v>2000</v>
      </c>
      <c r="O24" s="24">
        <v>2000</v>
      </c>
      <c r="P24" s="24">
        <v>2000</v>
      </c>
      <c r="Q24" s="24">
        <v>2000</v>
      </c>
      <c r="R24" s="32">
        <v>50</v>
      </c>
      <c r="S24" s="32">
        <v>50</v>
      </c>
      <c r="T24" s="32">
        <v>50</v>
      </c>
      <c r="U24" s="32">
        <v>50</v>
      </c>
      <c r="V24" s="32">
        <v>50</v>
      </c>
      <c r="W24" s="44">
        <v>0.09</v>
      </c>
      <c r="X24" s="44">
        <v>0.09</v>
      </c>
      <c r="Y24" s="44">
        <v>0.09</v>
      </c>
      <c r="Z24" s="44">
        <v>0.09</v>
      </c>
      <c r="AA24" s="44">
        <v>0.09</v>
      </c>
      <c r="AB24" s="24">
        <v>40</v>
      </c>
      <c r="AC24" s="24"/>
      <c r="AD24" s="24"/>
      <c r="AE24" s="27">
        <v>31.536000000000001</v>
      </c>
      <c r="AF24" s="26">
        <v>0.9</v>
      </c>
      <c r="AG24" s="26"/>
      <c r="AH24" s="26"/>
      <c r="AI24" s="26"/>
      <c r="AJ24" s="26"/>
      <c r="AL24" t="s">
        <v>83</v>
      </c>
      <c r="AM24" t="str">
        <f t="shared" si="2"/>
        <v>P-TH-FB-PEA01</v>
      </c>
      <c r="AN24" t="str">
        <f t="shared" si="0"/>
        <v>PWR Pulverised peat supercritical new</v>
      </c>
      <c r="AO24" t="s">
        <v>84</v>
      </c>
      <c r="AP24" t="s">
        <v>2</v>
      </c>
      <c r="AQ24" t="s">
        <v>91</v>
      </c>
      <c r="AR24" s="1"/>
      <c r="AW24" s="24" t="s">
        <v>2756</v>
      </c>
    </row>
    <row r="25" spans="1:49">
      <c r="A25" s="24" t="s">
        <v>2783</v>
      </c>
      <c r="B25" s="24" t="s">
        <v>2942</v>
      </c>
      <c r="C25" s="24" t="s">
        <v>2942</v>
      </c>
      <c r="D25" s="25" t="str">
        <f t="shared" si="1"/>
        <v>PWR Supercritical fluidized bed peat new</v>
      </c>
      <c r="E25" s="25" t="s">
        <v>2821</v>
      </c>
      <c r="F25" s="24" t="s">
        <v>82</v>
      </c>
      <c r="G25" s="26">
        <v>0.42</v>
      </c>
      <c r="H25" s="26">
        <v>0.43</v>
      </c>
      <c r="I25" s="26">
        <v>0.45</v>
      </c>
      <c r="J25" s="26">
        <v>0.45</v>
      </c>
      <c r="K25" s="26">
        <v>0.45</v>
      </c>
      <c r="L25" s="24">
        <v>2019</v>
      </c>
      <c r="M25" s="24">
        <v>1900</v>
      </c>
      <c r="N25" s="24">
        <v>1900</v>
      </c>
      <c r="O25" s="24">
        <v>1900</v>
      </c>
      <c r="P25" s="24">
        <v>1900</v>
      </c>
      <c r="Q25" s="24">
        <v>1900</v>
      </c>
      <c r="R25" s="32">
        <v>38</v>
      </c>
      <c r="S25" s="32">
        <v>38</v>
      </c>
      <c r="T25" s="32">
        <v>38</v>
      </c>
      <c r="U25" s="32">
        <v>38</v>
      </c>
      <c r="V25" s="32">
        <v>38</v>
      </c>
      <c r="W25" s="44">
        <v>0.114</v>
      </c>
      <c r="X25" s="44">
        <v>0.114</v>
      </c>
      <c r="Y25" s="44">
        <v>0.114</v>
      </c>
      <c r="Z25" s="44">
        <v>0.114</v>
      </c>
      <c r="AA25" s="44">
        <v>0.114</v>
      </c>
      <c r="AB25" s="24">
        <v>40</v>
      </c>
      <c r="AC25" s="24"/>
      <c r="AD25" s="24"/>
      <c r="AE25" s="27">
        <v>31.536000000000001</v>
      </c>
      <c r="AF25" s="26">
        <v>0.85</v>
      </c>
      <c r="AG25" s="26"/>
      <c r="AH25" s="26"/>
      <c r="AI25" s="26"/>
      <c r="AJ25" s="26"/>
      <c r="AL25" t="s">
        <v>83</v>
      </c>
      <c r="AM25" t="str">
        <f t="shared" si="2"/>
        <v>P-TH-SC-PEA02</v>
      </c>
      <c r="AN25" t="str">
        <f t="shared" si="0"/>
        <v>PWR Supercritical fluidized bed peat new</v>
      </c>
      <c r="AO25" t="s">
        <v>84</v>
      </c>
      <c r="AP25" t="s">
        <v>2</v>
      </c>
      <c r="AQ25" t="s">
        <v>91</v>
      </c>
      <c r="AR25" s="1"/>
      <c r="AW25" s="24" t="s">
        <v>2757</v>
      </c>
    </row>
    <row r="26" spans="1:49">
      <c r="A26" s="24" t="s">
        <v>2785</v>
      </c>
      <c r="B26" s="24" t="s">
        <v>2942</v>
      </c>
      <c r="C26" s="24" t="s">
        <v>2942</v>
      </c>
      <c r="D26" s="25" t="str">
        <f t="shared" si="1"/>
        <v>PWR Integrated Gasification Combined Cycle coal new</v>
      </c>
      <c r="E26" s="25" t="s">
        <v>2820</v>
      </c>
      <c r="F26" s="24" t="s">
        <v>82</v>
      </c>
      <c r="G26" s="26">
        <v>0.45</v>
      </c>
      <c r="H26" s="26">
        <v>0.46</v>
      </c>
      <c r="I26" s="26">
        <v>0.46</v>
      </c>
      <c r="J26" s="26">
        <v>0.47</v>
      </c>
      <c r="K26" s="26">
        <v>0.5</v>
      </c>
      <c r="L26" s="24">
        <v>2019</v>
      </c>
      <c r="M26" s="24">
        <v>2500</v>
      </c>
      <c r="N26" s="24">
        <v>2300</v>
      </c>
      <c r="O26" s="24">
        <v>2300</v>
      </c>
      <c r="P26" s="24">
        <v>2300</v>
      </c>
      <c r="Q26" s="24">
        <v>2200</v>
      </c>
      <c r="R26" s="32">
        <v>62.5</v>
      </c>
      <c r="S26" s="32">
        <v>57.5</v>
      </c>
      <c r="T26" s="32">
        <v>57.5</v>
      </c>
      <c r="U26" s="32">
        <v>57.5</v>
      </c>
      <c r="V26" s="32">
        <v>55</v>
      </c>
      <c r="W26" s="44">
        <v>0.125</v>
      </c>
      <c r="X26" s="44">
        <v>0.115</v>
      </c>
      <c r="Y26" s="44">
        <v>0.115</v>
      </c>
      <c r="Z26" s="44">
        <v>0.115</v>
      </c>
      <c r="AA26" s="44">
        <v>0.11</v>
      </c>
      <c r="AB26" s="24">
        <v>35</v>
      </c>
      <c r="AC26" s="24"/>
      <c r="AD26" s="24"/>
      <c r="AE26" s="27">
        <v>31.536000000000001</v>
      </c>
      <c r="AF26" s="26">
        <v>0.9</v>
      </c>
      <c r="AG26" s="26"/>
      <c r="AH26" s="26"/>
      <c r="AI26" s="26"/>
      <c r="AJ26" s="26"/>
      <c r="AL26" t="s">
        <v>83</v>
      </c>
      <c r="AM26" t="str">
        <f t="shared" si="2"/>
        <v>P-TH-IGCC-COA03</v>
      </c>
      <c r="AN26" t="str">
        <f t="shared" si="0"/>
        <v>PWR Integrated Gasification Combined Cycle coal new</v>
      </c>
      <c r="AO26" t="s">
        <v>84</v>
      </c>
      <c r="AP26" t="s">
        <v>2</v>
      </c>
      <c r="AQ26" t="s">
        <v>91</v>
      </c>
      <c r="AR26" s="1"/>
      <c r="AW26" s="24" t="s">
        <v>2758</v>
      </c>
    </row>
    <row r="27" spans="1:49">
      <c r="A27" s="24" t="s">
        <v>2786</v>
      </c>
      <c r="B27" s="24" t="s">
        <v>2942</v>
      </c>
      <c r="C27" s="24" t="s">
        <v>2942</v>
      </c>
      <c r="D27" s="25" t="str">
        <f t="shared" si="1"/>
        <v>PWR Integrated Gasification Combined Cycle peat new</v>
      </c>
      <c r="E27" s="25" t="s">
        <v>2821</v>
      </c>
      <c r="F27" s="24" t="s">
        <v>82</v>
      </c>
      <c r="G27" s="26">
        <v>0.43</v>
      </c>
      <c r="H27" s="26">
        <v>0.45</v>
      </c>
      <c r="I27" s="26">
        <v>0.46</v>
      </c>
      <c r="J27" s="26">
        <v>0.47</v>
      </c>
      <c r="K27" s="26">
        <v>0.47</v>
      </c>
      <c r="L27" s="24">
        <v>2019</v>
      </c>
      <c r="M27" s="24">
        <v>3100</v>
      </c>
      <c r="N27" s="24">
        <v>3000</v>
      </c>
      <c r="O27" s="24">
        <v>3000</v>
      </c>
      <c r="P27" s="24">
        <v>3000</v>
      </c>
      <c r="Q27" s="24">
        <v>3000</v>
      </c>
      <c r="R27" s="32">
        <v>93</v>
      </c>
      <c r="S27" s="32">
        <v>90</v>
      </c>
      <c r="T27" s="32">
        <v>90</v>
      </c>
      <c r="U27" s="32">
        <v>90</v>
      </c>
      <c r="V27" s="32">
        <v>90</v>
      </c>
      <c r="W27" s="44">
        <v>0.217</v>
      </c>
      <c r="X27" s="44">
        <v>0.21</v>
      </c>
      <c r="Y27" s="44">
        <v>0.21</v>
      </c>
      <c r="Z27" s="44">
        <v>0.21</v>
      </c>
      <c r="AA27" s="44">
        <v>0.21</v>
      </c>
      <c r="AB27" s="24">
        <v>35</v>
      </c>
      <c r="AC27" s="24"/>
      <c r="AD27" s="24"/>
      <c r="AE27" s="27">
        <v>31.536000000000001</v>
      </c>
      <c r="AF27" s="26">
        <v>0.9</v>
      </c>
      <c r="AG27" s="26"/>
      <c r="AH27" s="26"/>
      <c r="AI27" s="26"/>
      <c r="AJ27" s="26"/>
      <c r="AL27" t="s">
        <v>83</v>
      </c>
      <c r="AM27" t="str">
        <f t="shared" si="2"/>
        <v>P-TH-IGCC-PEA03</v>
      </c>
      <c r="AN27" t="str">
        <f t="shared" si="0"/>
        <v>PWR Integrated Gasification Combined Cycle peat new</v>
      </c>
      <c r="AO27" t="s">
        <v>84</v>
      </c>
      <c r="AP27" t="s">
        <v>2</v>
      </c>
      <c r="AQ27" t="s">
        <v>91</v>
      </c>
      <c r="AR27" s="1"/>
      <c r="AW27" s="24" t="s">
        <v>2759</v>
      </c>
    </row>
    <row r="28" spans="1:49">
      <c r="A28" s="108" t="s">
        <v>2797</v>
      </c>
      <c r="B28" s="24" t="s">
        <v>2941</v>
      </c>
      <c r="C28" s="24" t="s">
        <v>2942</v>
      </c>
      <c r="D28" s="108" t="str">
        <f t="shared" si="1"/>
        <v>PWR CCGT advanced CCS post combustion new</v>
      </c>
      <c r="E28" s="109" t="s">
        <v>2819</v>
      </c>
      <c r="F28" s="108" t="s">
        <v>82</v>
      </c>
      <c r="G28" s="110">
        <v>0.5</v>
      </c>
      <c r="H28" s="110">
        <v>0.52</v>
      </c>
      <c r="I28" s="110">
        <v>0.55000000000000004</v>
      </c>
      <c r="J28" s="110">
        <v>0.55000000000000004</v>
      </c>
      <c r="K28" s="110">
        <v>0.55000000000000004</v>
      </c>
      <c r="L28" s="108">
        <v>2030</v>
      </c>
      <c r="M28" s="28"/>
      <c r="N28" s="28"/>
      <c r="O28" s="28">
        <f>VLOOKUP($A28,ETRI_Cost!$A:$I,7,FALSE)</f>
        <v>1390</v>
      </c>
      <c r="P28" s="28">
        <f>VLOOKUP($A28,ETRI_Cost!$A:$I,8,FALSE)</f>
        <v>1310</v>
      </c>
      <c r="Q28" s="28">
        <f>VLOOKUP($A28,ETRI_Cost!$A:$I,9,FALSE)</f>
        <v>1280</v>
      </c>
      <c r="R28" s="111">
        <v>37.5</v>
      </c>
      <c r="S28" s="111">
        <v>37.5</v>
      </c>
      <c r="T28" s="111">
        <v>37.5</v>
      </c>
      <c r="U28" s="111">
        <v>37.5</v>
      </c>
      <c r="V28" s="111">
        <v>37.5</v>
      </c>
      <c r="W28" s="112">
        <v>0.06</v>
      </c>
      <c r="X28" s="112">
        <v>0.06</v>
      </c>
      <c r="Y28" s="112">
        <v>0.06</v>
      </c>
      <c r="Z28" s="112">
        <v>0.06</v>
      </c>
      <c r="AA28" s="112">
        <v>0.06</v>
      </c>
      <c r="AB28" s="108">
        <v>30</v>
      </c>
      <c r="AC28" s="108"/>
      <c r="AD28" s="108"/>
      <c r="AE28" s="113">
        <v>31.536000000000001</v>
      </c>
      <c r="AF28" s="110">
        <v>0.9</v>
      </c>
      <c r="AG28" s="110"/>
      <c r="AH28" s="110"/>
      <c r="AI28" s="110"/>
      <c r="AJ28" s="110"/>
      <c r="AL28" t="s">
        <v>83</v>
      </c>
      <c r="AM28" t="str">
        <f t="shared" si="2"/>
        <v>*P-TH-CCGT-GAS-CCS04</v>
      </c>
      <c r="AN28" t="str">
        <f t="shared" si="0"/>
        <v>PWR CCGT advanced CCS post combustion new</v>
      </c>
      <c r="AO28" t="s">
        <v>84</v>
      </c>
      <c r="AP28" t="s">
        <v>2</v>
      </c>
      <c r="AQ28" t="s">
        <v>91</v>
      </c>
      <c r="AR28" s="1"/>
      <c r="AW28" s="24" t="s">
        <v>2760</v>
      </c>
    </row>
    <row r="29" spans="1:49">
      <c r="A29" s="108" t="s">
        <v>2798</v>
      </c>
      <c r="B29" s="24" t="s">
        <v>2941</v>
      </c>
      <c r="C29" s="24" t="s">
        <v>2942</v>
      </c>
      <c r="D29" s="108" t="str">
        <f t="shared" si="1"/>
        <v>PWR Pulverised coal supercritical CCS post-combustion new</v>
      </c>
      <c r="E29" s="109" t="s">
        <v>2820</v>
      </c>
      <c r="F29" s="108" t="s">
        <v>82</v>
      </c>
      <c r="G29" s="110">
        <v>0.34</v>
      </c>
      <c r="H29" s="110">
        <v>0.35</v>
      </c>
      <c r="I29" s="110">
        <v>0.35</v>
      </c>
      <c r="J29" s="110">
        <v>0.38</v>
      </c>
      <c r="K29" s="110">
        <v>0.38</v>
      </c>
      <c r="L29" s="108">
        <v>2030</v>
      </c>
      <c r="M29" s="28"/>
      <c r="N29" s="28"/>
      <c r="O29" s="28">
        <f>VLOOKUP($A29,ETRI_Cost!$A:$I,7,FALSE)</f>
        <v>2740</v>
      </c>
      <c r="P29" s="28">
        <f>VLOOKUP($A29,ETRI_Cost!$A:$I,8,FALSE)</f>
        <v>2590</v>
      </c>
      <c r="Q29" s="28">
        <f>VLOOKUP($A29,ETRI_Cost!$A:$I,9,FALSE)</f>
        <v>2570</v>
      </c>
      <c r="R29" s="111">
        <v>75</v>
      </c>
      <c r="S29" s="111">
        <v>67.5</v>
      </c>
      <c r="T29" s="111">
        <v>63.75</v>
      </c>
      <c r="U29" s="111">
        <v>63.75</v>
      </c>
      <c r="V29" s="111">
        <v>63.75</v>
      </c>
      <c r="W29" s="112">
        <v>0.16500000000000001</v>
      </c>
      <c r="X29" s="112">
        <v>0.14849999999999999</v>
      </c>
      <c r="Y29" s="112">
        <v>0.14025000000000001</v>
      </c>
      <c r="Z29" s="112">
        <v>0.14025000000000001</v>
      </c>
      <c r="AA29" s="112">
        <v>0.14025000000000001</v>
      </c>
      <c r="AB29" s="108">
        <v>40</v>
      </c>
      <c r="AC29" s="108"/>
      <c r="AD29" s="108"/>
      <c r="AE29" s="113">
        <v>31.536000000000001</v>
      </c>
      <c r="AF29" s="110">
        <v>0.9</v>
      </c>
      <c r="AG29" s="110"/>
      <c r="AH29" s="110"/>
      <c r="AI29" s="110"/>
      <c r="AJ29" s="110"/>
      <c r="AL29" t="s">
        <v>83</v>
      </c>
      <c r="AM29" t="str">
        <f t="shared" si="2"/>
        <v>*P-TH-SC-COA-CCS04</v>
      </c>
      <c r="AN29" t="str">
        <f t="shared" si="0"/>
        <v>PWR Pulverised coal supercritical CCS post-combustion new</v>
      </c>
      <c r="AO29" t="s">
        <v>84</v>
      </c>
      <c r="AP29" t="s">
        <v>2</v>
      </c>
      <c r="AQ29" t="s">
        <v>91</v>
      </c>
      <c r="AR29" s="1"/>
      <c r="AW29" s="24" t="s">
        <v>2761</v>
      </c>
    </row>
    <row r="30" spans="1:49">
      <c r="A30" s="108" t="s">
        <v>2799</v>
      </c>
      <c r="B30" s="24" t="s">
        <v>2942</v>
      </c>
      <c r="C30" s="24" t="s">
        <v>2942</v>
      </c>
      <c r="D30" s="108" t="str">
        <f t="shared" si="1"/>
        <v>PWR Fluidised bed peat CCS post combustion new</v>
      </c>
      <c r="E30" s="109" t="s">
        <v>2821</v>
      </c>
      <c r="F30" s="108" t="s">
        <v>82</v>
      </c>
      <c r="G30" s="110">
        <v>0.31</v>
      </c>
      <c r="H30" s="110">
        <v>0.32</v>
      </c>
      <c r="I30" s="110">
        <v>0.34</v>
      </c>
      <c r="J30" s="110">
        <v>0.34</v>
      </c>
      <c r="K30" s="110">
        <v>0.34</v>
      </c>
      <c r="L30" s="108">
        <v>2030</v>
      </c>
      <c r="M30" s="108">
        <v>3500</v>
      </c>
      <c r="N30" s="108">
        <v>3500</v>
      </c>
      <c r="O30" s="108">
        <v>3500</v>
      </c>
      <c r="P30" s="108">
        <v>3500</v>
      </c>
      <c r="Q30" s="108">
        <v>3500</v>
      </c>
      <c r="R30" s="111">
        <v>87.5</v>
      </c>
      <c r="S30" s="111">
        <v>87.5</v>
      </c>
      <c r="T30" s="111">
        <v>87.5</v>
      </c>
      <c r="U30" s="111">
        <v>87.5</v>
      </c>
      <c r="V30" s="111">
        <v>87.5</v>
      </c>
      <c r="W30" s="112">
        <v>0.35</v>
      </c>
      <c r="X30" s="112">
        <v>0.35</v>
      </c>
      <c r="Y30" s="112">
        <v>0.35</v>
      </c>
      <c r="Z30" s="112">
        <v>0.35</v>
      </c>
      <c r="AA30" s="112">
        <v>0.35</v>
      </c>
      <c r="AB30" s="108">
        <v>40</v>
      </c>
      <c r="AC30" s="108"/>
      <c r="AD30" s="108"/>
      <c r="AE30" s="113">
        <v>31.536000000000001</v>
      </c>
      <c r="AF30" s="110">
        <v>0.85</v>
      </c>
      <c r="AG30" s="110"/>
      <c r="AH30" s="110"/>
      <c r="AI30" s="110"/>
      <c r="AJ30" s="110"/>
      <c r="AL30" t="s">
        <v>83</v>
      </c>
      <c r="AM30" t="str">
        <f t="shared" si="2"/>
        <v>*P-TH-FB-PEA-CCS04</v>
      </c>
      <c r="AN30" t="str">
        <f t="shared" si="0"/>
        <v>PWR Fluidised bed peat CCS post combustion new</v>
      </c>
      <c r="AO30" t="s">
        <v>84</v>
      </c>
      <c r="AP30" t="s">
        <v>2</v>
      </c>
      <c r="AQ30" t="s">
        <v>91</v>
      </c>
      <c r="AR30" s="1"/>
      <c r="AW30" s="24" t="s">
        <v>2762</v>
      </c>
    </row>
    <row r="31" spans="1:49">
      <c r="A31" s="108" t="s">
        <v>2800</v>
      </c>
      <c r="B31" s="24" t="s">
        <v>2941</v>
      </c>
      <c r="C31" s="24" t="s">
        <v>2942</v>
      </c>
      <c r="D31" s="108" t="str">
        <f t="shared" si="1"/>
        <v>PWR Pulverised coal supercritical CCS oxyfuel new</v>
      </c>
      <c r="E31" s="109" t="s">
        <v>2820</v>
      </c>
      <c r="F31" s="108" t="s">
        <v>82</v>
      </c>
      <c r="G31" s="110">
        <v>0.36</v>
      </c>
      <c r="H31" s="110">
        <v>0.37</v>
      </c>
      <c r="I31" s="110">
        <v>0.39</v>
      </c>
      <c r="J31" s="110">
        <v>0.4</v>
      </c>
      <c r="K31" s="110">
        <v>0.4</v>
      </c>
      <c r="L31" s="108">
        <v>2030</v>
      </c>
      <c r="M31" s="28"/>
      <c r="N31" s="28"/>
      <c r="O31" s="28">
        <f>VLOOKUP($A31,ETRI_Cost!$A:$I,7,FALSE)</f>
        <v>2690</v>
      </c>
      <c r="P31" s="28">
        <f>VLOOKUP($A31,ETRI_Cost!$A:$I,8,FALSE)</f>
        <v>2490</v>
      </c>
      <c r="Q31" s="28">
        <f>VLOOKUP($A31,ETRI_Cost!$A:$I,9,FALSE)</f>
        <v>2470</v>
      </c>
      <c r="R31" s="111">
        <v>75</v>
      </c>
      <c r="S31" s="111">
        <v>67.5</v>
      </c>
      <c r="T31" s="111">
        <v>63.75</v>
      </c>
      <c r="U31" s="111">
        <v>63.75</v>
      </c>
      <c r="V31" s="111">
        <v>63.75</v>
      </c>
      <c r="W31" s="112">
        <v>0.09</v>
      </c>
      <c r="X31" s="112">
        <v>8.1000000000000003E-2</v>
      </c>
      <c r="Y31" s="112">
        <v>7.6499999999999999E-2</v>
      </c>
      <c r="Z31" s="112">
        <v>7.6499999999999999E-2</v>
      </c>
      <c r="AA31" s="112">
        <v>7.6499999999999999E-2</v>
      </c>
      <c r="AB31" s="108">
        <v>40</v>
      </c>
      <c r="AC31" s="108"/>
      <c r="AD31" s="108"/>
      <c r="AE31" s="113">
        <v>31.536000000000001</v>
      </c>
      <c r="AF31" s="110">
        <v>0.9</v>
      </c>
      <c r="AG31" s="110"/>
      <c r="AH31" s="110"/>
      <c r="AI31" s="110"/>
      <c r="AJ31" s="110"/>
      <c r="AL31" t="s">
        <v>83</v>
      </c>
      <c r="AM31" t="str">
        <f t="shared" si="2"/>
        <v>*P-TH-SC-COA-CCS05</v>
      </c>
      <c r="AN31" t="str">
        <f t="shared" si="0"/>
        <v>PWR Pulverised coal supercritical CCS oxyfuel new</v>
      </c>
      <c r="AO31" t="s">
        <v>84</v>
      </c>
      <c r="AP31" t="s">
        <v>2</v>
      </c>
      <c r="AQ31" t="s">
        <v>91</v>
      </c>
      <c r="AR31" s="1"/>
      <c r="AW31" s="24" t="s">
        <v>2763</v>
      </c>
    </row>
    <row r="32" spans="1:49">
      <c r="A32" s="108" t="s">
        <v>2801</v>
      </c>
      <c r="B32" s="24" t="s">
        <v>2941</v>
      </c>
      <c r="C32" s="24" t="s">
        <v>2942</v>
      </c>
      <c r="D32" s="108" t="str">
        <f t="shared" si="1"/>
        <v>PWR IGCC coal CCS pre-combustion new</v>
      </c>
      <c r="E32" s="109" t="s">
        <v>2820</v>
      </c>
      <c r="F32" s="108" t="s">
        <v>82</v>
      </c>
      <c r="G32" s="110">
        <v>0.35</v>
      </c>
      <c r="H32" s="110">
        <v>0.37</v>
      </c>
      <c r="I32" s="110">
        <v>0.4</v>
      </c>
      <c r="J32" s="110">
        <v>0.41</v>
      </c>
      <c r="K32" s="110">
        <v>0.44</v>
      </c>
      <c r="L32" s="108">
        <v>2030</v>
      </c>
      <c r="M32" s="28"/>
      <c r="N32" s="28"/>
      <c r="O32" s="28">
        <f>VLOOKUP($A32,ETRI_Cost!$A:$I,7,FALSE)</f>
        <v>2540</v>
      </c>
      <c r="P32" s="28">
        <f>VLOOKUP($A32,ETRI_Cost!$A:$I,8,FALSE)</f>
        <v>2220</v>
      </c>
      <c r="Q32" s="28">
        <f>VLOOKUP($A32,ETRI_Cost!$A:$I,9,FALSE)</f>
        <v>2180</v>
      </c>
      <c r="R32" s="111">
        <v>93</v>
      </c>
      <c r="S32" s="111">
        <v>86.55</v>
      </c>
      <c r="T32" s="111">
        <v>84.75</v>
      </c>
      <c r="U32" s="111">
        <v>84.75</v>
      </c>
      <c r="V32" s="111">
        <v>84.75</v>
      </c>
      <c r="W32" s="112">
        <v>0.186</v>
      </c>
      <c r="X32" s="112">
        <v>0.1731</v>
      </c>
      <c r="Y32" s="112">
        <v>0.16950000000000001</v>
      </c>
      <c r="Z32" s="112">
        <v>0.16950000000000001</v>
      </c>
      <c r="AA32" s="112">
        <v>0.16950000000000001</v>
      </c>
      <c r="AB32" s="108">
        <v>35</v>
      </c>
      <c r="AC32" s="108"/>
      <c r="AD32" s="108"/>
      <c r="AE32" s="113">
        <v>31.536000000000001</v>
      </c>
      <c r="AF32" s="110">
        <v>0.9</v>
      </c>
      <c r="AG32" s="110"/>
      <c r="AH32" s="110"/>
      <c r="AI32" s="110"/>
      <c r="AJ32" s="110"/>
      <c r="AL32" t="s">
        <v>83</v>
      </c>
      <c r="AM32" t="str">
        <f t="shared" si="2"/>
        <v>*P-TH-IGCC-COA-CCS06</v>
      </c>
      <c r="AN32" t="str">
        <f t="shared" si="0"/>
        <v>PWR IGCC coal CCS pre-combustion new</v>
      </c>
      <c r="AO32" t="s">
        <v>84</v>
      </c>
      <c r="AP32" t="s">
        <v>2</v>
      </c>
      <c r="AQ32" t="s">
        <v>91</v>
      </c>
      <c r="AR32" s="1"/>
      <c r="AW32" s="24" t="s">
        <v>2764</v>
      </c>
    </row>
    <row r="33" spans="1:49">
      <c r="A33" s="108" t="s">
        <v>2802</v>
      </c>
      <c r="B33" s="24" t="s">
        <v>2941</v>
      </c>
      <c r="C33" s="24" t="s">
        <v>2942</v>
      </c>
      <c r="D33" s="108" t="str">
        <f t="shared" si="1"/>
        <v>PWR IGCC peat CCS pre combustion new</v>
      </c>
      <c r="E33" s="109" t="s">
        <v>2821</v>
      </c>
      <c r="F33" s="108" t="s">
        <v>82</v>
      </c>
      <c r="G33" s="110">
        <v>0.35</v>
      </c>
      <c r="H33" s="110">
        <v>0.37</v>
      </c>
      <c r="I33" s="110">
        <v>0.4</v>
      </c>
      <c r="J33" s="110">
        <v>0.41</v>
      </c>
      <c r="K33" s="110">
        <v>0.41</v>
      </c>
      <c r="L33" s="108">
        <v>2030</v>
      </c>
      <c r="M33" s="28"/>
      <c r="N33" s="28"/>
      <c r="O33" s="28">
        <f>VLOOKUP($A33,ETRI_Cost!$A:$I,7,FALSE)</f>
        <v>3870</v>
      </c>
      <c r="P33" s="28">
        <f>VLOOKUP($A33,ETRI_Cost!$A:$I,8,FALSE)</f>
        <v>3380</v>
      </c>
      <c r="Q33" s="28">
        <f>VLOOKUP($A33,ETRI_Cost!$A:$I,9,FALSE)</f>
        <v>3310</v>
      </c>
      <c r="R33" s="111">
        <v>103.5</v>
      </c>
      <c r="S33" s="111">
        <v>100.51</v>
      </c>
      <c r="T33" s="111">
        <v>100.51</v>
      </c>
      <c r="U33" s="111">
        <v>100.51</v>
      </c>
      <c r="V33" s="111">
        <v>100.51</v>
      </c>
      <c r="W33" s="112">
        <v>0.36</v>
      </c>
      <c r="X33" s="112">
        <v>0.34960000000000002</v>
      </c>
      <c r="Y33" s="112">
        <v>0.34960000000000002</v>
      </c>
      <c r="Z33" s="112">
        <v>0.34960000000000002</v>
      </c>
      <c r="AA33" s="112">
        <v>0.34960000000000002</v>
      </c>
      <c r="AB33" s="108">
        <v>35</v>
      </c>
      <c r="AC33" s="108"/>
      <c r="AD33" s="108"/>
      <c r="AE33" s="113">
        <v>31.536000000000001</v>
      </c>
      <c r="AF33" s="110">
        <v>0.9</v>
      </c>
      <c r="AG33" s="110"/>
      <c r="AH33" s="110"/>
      <c r="AI33" s="110"/>
      <c r="AJ33" s="110"/>
      <c r="AL33" t="s">
        <v>83</v>
      </c>
      <c r="AM33" t="str">
        <f t="shared" si="2"/>
        <v>*P-TH-IGCC-PEA-CCS05</v>
      </c>
      <c r="AN33" t="str">
        <f t="shared" si="0"/>
        <v>PWR IGCC peat CCS pre combustion new</v>
      </c>
      <c r="AO33" t="s">
        <v>84</v>
      </c>
      <c r="AP33" t="s">
        <v>2</v>
      </c>
      <c r="AQ33" t="s">
        <v>91</v>
      </c>
      <c r="AR33" s="1"/>
      <c r="AW33" s="24" t="s">
        <v>2765</v>
      </c>
    </row>
    <row r="34" spans="1:49">
      <c r="A34" s="24" t="s">
        <v>2788</v>
      </c>
      <c r="B34" s="24" t="s">
        <v>2942</v>
      </c>
      <c r="C34" s="24" t="s">
        <v>2942</v>
      </c>
      <c r="D34" s="25" t="str">
        <f t="shared" si="1"/>
        <v>PWR Biomass grate furnace steam turbine new</v>
      </c>
      <c r="E34" s="25" t="s">
        <v>2822</v>
      </c>
      <c r="F34" s="24" t="s">
        <v>82</v>
      </c>
      <c r="G34" s="26">
        <v>0.34</v>
      </c>
      <c r="H34" s="26">
        <v>0.35</v>
      </c>
      <c r="I34" s="26">
        <v>0.36</v>
      </c>
      <c r="J34" s="26">
        <v>0.38</v>
      </c>
      <c r="K34" s="26">
        <v>0.38</v>
      </c>
      <c r="L34" s="24">
        <v>2019</v>
      </c>
      <c r="M34" s="24">
        <v>2890</v>
      </c>
      <c r="N34" s="24">
        <v>2620</v>
      </c>
      <c r="O34" s="24">
        <v>2370</v>
      </c>
      <c r="P34" s="24">
        <v>2150</v>
      </c>
      <c r="Q34" s="24">
        <v>1950</v>
      </c>
      <c r="R34" s="32">
        <v>63.580000000000013</v>
      </c>
      <c r="S34" s="32">
        <v>57.640000000000008</v>
      </c>
      <c r="T34" s="32">
        <v>52.14</v>
      </c>
      <c r="U34" s="32">
        <v>47.3</v>
      </c>
      <c r="V34" s="32">
        <v>42.9</v>
      </c>
      <c r="W34" s="44">
        <v>0.10115</v>
      </c>
      <c r="X34" s="44">
        <v>9.1700000000000004E-2</v>
      </c>
      <c r="Y34" s="44">
        <v>8.2949999999999996E-2</v>
      </c>
      <c r="Z34" s="44">
        <v>7.5249999999999997E-2</v>
      </c>
      <c r="AA34" s="44">
        <v>6.8250000000000005E-2</v>
      </c>
      <c r="AB34" s="24">
        <v>25</v>
      </c>
      <c r="AC34" s="24"/>
      <c r="AD34" s="24"/>
      <c r="AE34" s="27">
        <v>31.536000000000001</v>
      </c>
      <c r="AF34" s="26">
        <v>0.9</v>
      </c>
      <c r="AG34" s="26"/>
      <c r="AH34" s="26"/>
      <c r="AI34" s="26"/>
      <c r="AJ34" s="26"/>
      <c r="AL34" t="s">
        <v>83</v>
      </c>
      <c r="AM34" t="str">
        <f t="shared" si="2"/>
        <v>P-RNW-FB-BIO01</v>
      </c>
      <c r="AN34" t="s">
        <v>134</v>
      </c>
      <c r="AO34" t="s">
        <v>84</v>
      </c>
      <c r="AP34" t="s">
        <v>2</v>
      </c>
      <c r="AQ34" t="s">
        <v>91</v>
      </c>
      <c r="AR34" s="1"/>
      <c r="AW34" s="24" t="s">
        <v>135</v>
      </c>
    </row>
    <row r="35" spans="1:49">
      <c r="A35" s="24" t="s">
        <v>2787</v>
      </c>
      <c r="B35" s="24" t="s">
        <v>2942</v>
      </c>
      <c r="C35" s="24" t="s">
        <v>2942</v>
      </c>
      <c r="D35" s="25" t="str">
        <f t="shared" si="1"/>
        <v>PWR Fluidised bed boiler (circulating or bubbling) plus steam turbine new</v>
      </c>
      <c r="E35" s="25" t="s">
        <v>2822</v>
      </c>
      <c r="F35" s="24" t="s">
        <v>82</v>
      </c>
      <c r="G35" s="26">
        <v>0.35</v>
      </c>
      <c r="H35" s="26">
        <v>0.36</v>
      </c>
      <c r="I35" s="26">
        <v>0.37</v>
      </c>
      <c r="J35" s="26">
        <v>0.38</v>
      </c>
      <c r="K35" s="26">
        <v>0.39</v>
      </c>
      <c r="L35" s="24">
        <v>2019</v>
      </c>
      <c r="M35" s="24">
        <v>2960</v>
      </c>
      <c r="N35" s="24">
        <v>2620</v>
      </c>
      <c r="O35" s="24">
        <v>2330</v>
      </c>
      <c r="P35" s="24">
        <v>2060</v>
      </c>
      <c r="Q35" s="24">
        <v>1830</v>
      </c>
      <c r="R35" s="32">
        <v>53.28</v>
      </c>
      <c r="S35" s="32">
        <v>47.16</v>
      </c>
      <c r="T35" s="32">
        <v>41.94</v>
      </c>
      <c r="U35" s="32">
        <v>37.08</v>
      </c>
      <c r="V35" s="32">
        <v>32.94</v>
      </c>
      <c r="W35" s="44">
        <v>0.11248000000000001</v>
      </c>
      <c r="X35" s="44">
        <v>9.9559999999999996E-2</v>
      </c>
      <c r="Y35" s="44">
        <v>8.8540000000000008E-2</v>
      </c>
      <c r="Z35" s="44">
        <v>7.8280000000000002E-2</v>
      </c>
      <c r="AA35" s="44">
        <v>6.9540000000000005E-2</v>
      </c>
      <c r="AB35" s="24">
        <v>25</v>
      </c>
      <c r="AC35" s="24"/>
      <c r="AD35" s="24"/>
      <c r="AE35" s="27">
        <v>31.536000000000001</v>
      </c>
      <c r="AF35" s="26">
        <v>0.9</v>
      </c>
      <c r="AG35" s="26"/>
      <c r="AH35" s="26"/>
      <c r="AI35" s="26"/>
      <c r="AJ35" s="26"/>
      <c r="AL35" t="s">
        <v>83</v>
      </c>
      <c r="AM35" t="str">
        <f t="shared" si="2"/>
        <v>P-RNW-ST-BIO02</v>
      </c>
      <c r="AN35" t="s">
        <v>136</v>
      </c>
      <c r="AO35" t="s">
        <v>84</v>
      </c>
      <c r="AP35" t="s">
        <v>2</v>
      </c>
      <c r="AQ35" t="s">
        <v>91</v>
      </c>
      <c r="AR35" s="1"/>
      <c r="AW35" s="24" t="s">
        <v>137</v>
      </c>
    </row>
    <row r="36" spans="1:49">
      <c r="A36" s="24" t="s">
        <v>2789</v>
      </c>
      <c r="B36" s="24" t="s">
        <v>2942</v>
      </c>
      <c r="C36" s="24" t="s">
        <v>2942</v>
      </c>
      <c r="D36" s="25" t="str">
        <f t="shared" si="1"/>
        <v>PWR Biomass IGCC new</v>
      </c>
      <c r="E36" s="25" t="s">
        <v>2822</v>
      </c>
      <c r="F36" s="24" t="s">
        <v>82</v>
      </c>
      <c r="G36" s="26">
        <v>0.35</v>
      </c>
      <c r="H36" s="26">
        <v>0.37</v>
      </c>
      <c r="I36" s="26">
        <v>0.43</v>
      </c>
      <c r="J36" s="26">
        <v>0.47</v>
      </c>
      <c r="K36" s="26">
        <v>0.48</v>
      </c>
      <c r="L36" s="24">
        <v>2019</v>
      </c>
      <c r="M36" s="24">
        <v>4810</v>
      </c>
      <c r="N36" s="24">
        <v>3810</v>
      </c>
      <c r="O36" s="24">
        <v>3140</v>
      </c>
      <c r="P36" s="24">
        <v>2840</v>
      </c>
      <c r="Q36" s="24">
        <v>2560</v>
      </c>
      <c r="R36" s="32">
        <v>105.82</v>
      </c>
      <c r="S36" s="32">
        <v>83.82</v>
      </c>
      <c r="T36" s="32">
        <v>69.080000000000013</v>
      </c>
      <c r="U36" s="32">
        <v>62.480000000000011</v>
      </c>
      <c r="V36" s="32">
        <v>56.32</v>
      </c>
      <c r="W36" s="44">
        <v>0.39441999999999999</v>
      </c>
      <c r="X36" s="44">
        <v>0.31241999999999998</v>
      </c>
      <c r="Y36" s="44">
        <v>0.25747999999999999</v>
      </c>
      <c r="Z36" s="44">
        <v>0.23287999999999998</v>
      </c>
      <c r="AA36" s="44">
        <v>0.20992</v>
      </c>
      <c r="AB36" s="24">
        <v>25</v>
      </c>
      <c r="AC36" s="24"/>
      <c r="AD36" s="24"/>
      <c r="AE36" s="27">
        <v>31.536000000000001</v>
      </c>
      <c r="AF36" s="26">
        <v>0.9</v>
      </c>
      <c r="AG36" s="26"/>
      <c r="AH36" s="26"/>
      <c r="AI36" s="26"/>
      <c r="AJ36" s="26"/>
      <c r="AL36" t="s">
        <v>83</v>
      </c>
      <c r="AM36" t="str">
        <f t="shared" si="2"/>
        <v>P-RNW-IGCC-BIO03</v>
      </c>
      <c r="AN36" t="s">
        <v>138</v>
      </c>
      <c r="AO36" t="s">
        <v>84</v>
      </c>
      <c r="AP36" t="s">
        <v>2</v>
      </c>
      <c r="AQ36" t="s">
        <v>91</v>
      </c>
      <c r="AR36" s="1"/>
      <c r="AW36" s="24" t="s">
        <v>139</v>
      </c>
    </row>
    <row r="37" spans="1:49">
      <c r="A37" s="24" t="s">
        <v>2790</v>
      </c>
      <c r="B37" s="24" t="s">
        <v>2941</v>
      </c>
      <c r="C37" s="24" t="s">
        <v>2942</v>
      </c>
      <c r="D37" s="25" t="str">
        <f t="shared" si="1"/>
        <v>PWR Anaerobic digestion new</v>
      </c>
      <c r="E37" s="25" t="s">
        <v>2822</v>
      </c>
      <c r="F37" s="24" t="s">
        <v>82</v>
      </c>
      <c r="G37" s="26">
        <v>0.36</v>
      </c>
      <c r="H37" s="26">
        <v>0.38</v>
      </c>
      <c r="I37" s="26">
        <v>0.4</v>
      </c>
      <c r="J37" s="26">
        <v>0.42</v>
      </c>
      <c r="K37" s="26">
        <v>0.45</v>
      </c>
      <c r="L37" s="24">
        <v>2019</v>
      </c>
      <c r="M37" s="28">
        <f>VLOOKUP($A37,ETRI_Cost!$A:$I,5,FALSE)</f>
        <v>3100</v>
      </c>
      <c r="N37" s="28">
        <f>VLOOKUP($A37,ETRI_Cost!$A:$I,6,FALSE)</f>
        <v>2860</v>
      </c>
      <c r="O37" s="28">
        <f>VLOOKUP($A37,ETRI_Cost!$A:$I,7,FALSE)</f>
        <v>2740</v>
      </c>
      <c r="P37" s="28">
        <f>VLOOKUP($A37,ETRI_Cost!$A:$I,8,FALSE)</f>
        <v>2630</v>
      </c>
      <c r="Q37" s="28">
        <f>VLOOKUP($A37,ETRI_Cost!$A:$I,9,FALSE)</f>
        <v>2510</v>
      </c>
      <c r="R37" s="32">
        <v>159.07999999999998</v>
      </c>
      <c r="S37" s="32">
        <v>130.38</v>
      </c>
      <c r="T37" s="32">
        <v>113.15999999999998</v>
      </c>
      <c r="U37" s="32">
        <v>103.32</v>
      </c>
      <c r="V37" s="32">
        <v>94.3</v>
      </c>
      <c r="W37" s="44">
        <v>0.12028</v>
      </c>
      <c r="X37" s="44">
        <v>9.8580000000000001E-2</v>
      </c>
      <c r="Y37" s="44">
        <v>8.5559999999999997E-2</v>
      </c>
      <c r="Z37" s="44">
        <v>7.8120000000000009E-2</v>
      </c>
      <c r="AA37" s="44">
        <v>7.1300000000000002E-2</v>
      </c>
      <c r="AB37" s="24">
        <v>20</v>
      </c>
      <c r="AC37" s="24"/>
      <c r="AD37" s="24"/>
      <c r="AE37" s="27">
        <v>31.536000000000001</v>
      </c>
      <c r="AF37" s="26">
        <v>0.9</v>
      </c>
      <c r="AG37" s="26"/>
      <c r="AH37" s="26"/>
      <c r="AI37" s="26"/>
      <c r="AJ37" s="26"/>
      <c r="AL37" t="s">
        <v>83</v>
      </c>
      <c r="AM37" t="str">
        <f t="shared" si="2"/>
        <v>P-RNW-AB-BIO04</v>
      </c>
      <c r="AN37" t="s">
        <v>140</v>
      </c>
      <c r="AO37" t="s">
        <v>84</v>
      </c>
      <c r="AP37" t="s">
        <v>2</v>
      </c>
      <c r="AQ37" t="s">
        <v>91</v>
      </c>
      <c r="AR37" s="1"/>
      <c r="AW37" s="24" t="s">
        <v>141</v>
      </c>
    </row>
    <row r="38" spans="1:49">
      <c r="A38" s="24" t="s">
        <v>2791</v>
      </c>
      <c r="B38" s="24" t="s">
        <v>2942</v>
      </c>
      <c r="C38" s="24" t="s">
        <v>2942</v>
      </c>
      <c r="D38" s="25" t="str">
        <f t="shared" si="1"/>
        <v>PWR Municipal solid waste incinerator new</v>
      </c>
      <c r="E38" s="25" t="s">
        <v>2823</v>
      </c>
      <c r="F38" s="24" t="s">
        <v>82</v>
      </c>
      <c r="G38" s="26">
        <v>0.27</v>
      </c>
      <c r="H38" s="26">
        <v>0.31</v>
      </c>
      <c r="I38" s="26">
        <v>0.34</v>
      </c>
      <c r="J38" s="26">
        <v>0.37</v>
      </c>
      <c r="K38" s="26">
        <v>0.42</v>
      </c>
      <c r="L38" s="24">
        <v>2019</v>
      </c>
      <c r="M38" s="24">
        <v>6080</v>
      </c>
      <c r="N38" s="24">
        <v>5630</v>
      </c>
      <c r="O38" s="24">
        <v>5240</v>
      </c>
      <c r="P38" s="24">
        <v>4870</v>
      </c>
      <c r="Q38" s="24">
        <v>4540</v>
      </c>
      <c r="R38" s="32">
        <v>182.4</v>
      </c>
      <c r="S38" s="32">
        <v>168.9</v>
      </c>
      <c r="T38" s="32">
        <v>157.19999999999999</v>
      </c>
      <c r="U38" s="32">
        <v>146.1</v>
      </c>
      <c r="V38" s="32">
        <v>136.19999999999999</v>
      </c>
      <c r="W38" s="44">
        <v>0.41952</v>
      </c>
      <c r="X38" s="44">
        <v>0.38847000000000004</v>
      </c>
      <c r="Y38" s="44">
        <v>0.36155999999999999</v>
      </c>
      <c r="Z38" s="44">
        <v>0.33603</v>
      </c>
      <c r="AA38" s="44">
        <v>0.31325999999999998</v>
      </c>
      <c r="AB38" s="24">
        <v>25</v>
      </c>
      <c r="AC38" s="24"/>
      <c r="AD38" s="24"/>
      <c r="AE38" s="27">
        <v>31.536000000000001</v>
      </c>
      <c r="AF38" s="26">
        <v>0.9</v>
      </c>
      <c r="AG38" s="26"/>
      <c r="AH38" s="26"/>
      <c r="AI38" s="26"/>
      <c r="AJ38" s="26"/>
      <c r="AL38" t="s">
        <v>83</v>
      </c>
      <c r="AM38" t="str">
        <f t="shared" si="2"/>
        <v>P-RNW-ST-MSW04</v>
      </c>
      <c r="AN38" t="s">
        <v>142</v>
      </c>
      <c r="AO38" t="s">
        <v>84</v>
      </c>
      <c r="AP38" t="s">
        <v>2</v>
      </c>
      <c r="AQ38" t="s">
        <v>91</v>
      </c>
      <c r="AR38" s="1"/>
      <c r="AW38" s="24" t="s">
        <v>143</v>
      </c>
    </row>
    <row r="39" spans="1:49">
      <c r="A39" s="24"/>
      <c r="B39" s="25"/>
      <c r="C39" s="25"/>
      <c r="D39" s="24"/>
      <c r="E39" s="26"/>
      <c r="F39" s="26"/>
      <c r="G39" s="26"/>
      <c r="H39" s="26"/>
      <c r="I39" s="26"/>
      <c r="J39" s="24"/>
      <c r="K39" s="24"/>
      <c r="L39" s="24"/>
      <c r="M39" s="24"/>
      <c r="N39" s="24"/>
      <c r="O39" s="24"/>
      <c r="P39" s="32"/>
      <c r="Q39" s="32"/>
      <c r="R39" s="32"/>
      <c r="S39" s="32"/>
      <c r="T39" s="32"/>
      <c r="U39" s="44"/>
      <c r="V39" s="44"/>
      <c r="W39" s="44"/>
      <c r="X39" s="44"/>
      <c r="Y39" s="44"/>
      <c r="Z39" s="24"/>
      <c r="AA39" s="24"/>
      <c r="AB39" s="24"/>
      <c r="AC39" s="27"/>
      <c r="AD39" s="26"/>
      <c r="AE39" s="26"/>
      <c r="AF39" s="26"/>
      <c r="AG39" s="26"/>
      <c r="AH39" s="26"/>
      <c r="AP39" s="1"/>
      <c r="AU39" s="24"/>
    </row>
    <row r="40" spans="1:49">
      <c r="A40" s="52"/>
      <c r="B40" s="53"/>
      <c r="C40" s="53"/>
      <c r="D40" s="52"/>
      <c r="E40" s="54"/>
      <c r="F40" s="54"/>
      <c r="G40" s="54"/>
      <c r="H40" s="54"/>
      <c r="I40" s="54"/>
      <c r="J40" s="52"/>
      <c r="K40" s="52"/>
      <c r="L40" s="52"/>
      <c r="M40" s="52"/>
      <c r="N40" s="52"/>
      <c r="O40" s="52"/>
      <c r="P40" s="55"/>
      <c r="Q40" s="55"/>
      <c r="R40" s="55"/>
      <c r="S40" s="55"/>
      <c r="T40" s="55"/>
      <c r="U40" s="56"/>
      <c r="V40" s="56"/>
      <c r="W40" s="56"/>
      <c r="X40" s="56"/>
      <c r="Y40" s="56"/>
      <c r="Z40" s="52"/>
      <c r="AA40" s="52"/>
      <c r="AB40" s="52"/>
      <c r="AC40" s="57"/>
      <c r="AD40" s="54"/>
      <c r="AE40" s="54"/>
      <c r="AF40" s="54"/>
      <c r="AG40" s="54"/>
      <c r="AH40" s="54"/>
    </row>
    <row r="41" spans="1:49">
      <c r="A41" t="s">
        <v>126</v>
      </c>
      <c r="B41" s="18"/>
      <c r="C41" s="18"/>
      <c r="E41" s="17"/>
      <c r="F41" s="17"/>
      <c r="G41" s="17"/>
      <c r="H41" s="17"/>
      <c r="I41" s="17"/>
      <c r="P41" s="58"/>
      <c r="Q41" s="58"/>
      <c r="R41" s="58"/>
      <c r="S41" s="58"/>
      <c r="T41" s="58"/>
      <c r="U41" s="59"/>
      <c r="V41" s="59"/>
      <c r="W41" s="59"/>
      <c r="X41" s="59"/>
      <c r="Y41" s="59"/>
      <c r="AC41" s="60"/>
      <c r="AD41" s="17"/>
      <c r="AE41" s="17"/>
      <c r="AF41" s="17"/>
      <c r="AG41" s="17"/>
      <c r="AH41" s="17"/>
    </row>
    <row r="42" spans="1:49">
      <c r="A42" s="1"/>
      <c r="B42" s="1"/>
      <c r="C42" s="1"/>
      <c r="D42" s="3" t="s">
        <v>2968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1"/>
      <c r="Q42" s="1"/>
      <c r="R42" s="1"/>
      <c r="S42" s="1"/>
      <c r="U42" s="1"/>
      <c r="V42" s="1"/>
      <c r="W42" s="1"/>
      <c r="Y42" s="1"/>
      <c r="Z42" s="1"/>
      <c r="AJ42" s="3" t="s">
        <v>37</v>
      </c>
      <c r="AK42" s="8"/>
      <c r="AL42" s="9"/>
      <c r="AM42" s="9"/>
      <c r="AN42" s="9"/>
      <c r="AO42" s="9"/>
      <c r="AP42" s="9"/>
      <c r="AQ42" s="9"/>
    </row>
    <row r="43" spans="1:49" ht="25.5">
      <c r="A43" s="4" t="s">
        <v>17</v>
      </c>
      <c r="B43" s="5" t="s">
        <v>18</v>
      </c>
      <c r="C43" s="4" t="s">
        <v>19</v>
      </c>
      <c r="D43" s="4" t="s">
        <v>20</v>
      </c>
      <c r="E43" s="6" t="s">
        <v>75</v>
      </c>
      <c r="F43" s="6" t="s">
        <v>76</v>
      </c>
      <c r="G43" s="6" t="s">
        <v>77</v>
      </c>
      <c r="H43" s="6" t="s">
        <v>78</v>
      </c>
      <c r="I43" s="6" t="s">
        <v>79</v>
      </c>
      <c r="J43" s="7" t="s">
        <v>31</v>
      </c>
      <c r="K43" s="7" t="s">
        <v>21</v>
      </c>
      <c r="L43" s="7" t="s">
        <v>22</v>
      </c>
      <c r="M43" s="7" t="s">
        <v>23</v>
      </c>
      <c r="N43" s="7" t="s">
        <v>66</v>
      </c>
      <c r="O43" s="7" t="s">
        <v>67</v>
      </c>
      <c r="P43" s="7" t="s">
        <v>24</v>
      </c>
      <c r="Q43" s="7" t="s">
        <v>25</v>
      </c>
      <c r="R43" s="7" t="s">
        <v>26</v>
      </c>
      <c r="S43" s="7" t="s">
        <v>68</v>
      </c>
      <c r="T43" s="7" t="s">
        <v>69</v>
      </c>
      <c r="U43" s="7" t="s">
        <v>27</v>
      </c>
      <c r="V43" s="7" t="s">
        <v>28</v>
      </c>
      <c r="W43" s="7" t="s">
        <v>29</v>
      </c>
      <c r="X43" s="7" t="s">
        <v>70</v>
      </c>
      <c r="Y43" s="7" t="s">
        <v>71</v>
      </c>
      <c r="Z43" s="7" t="s">
        <v>30</v>
      </c>
      <c r="AA43" s="7" t="s">
        <v>72</v>
      </c>
      <c r="AB43" s="7" t="s">
        <v>73</v>
      </c>
      <c r="AC43" s="7" t="s">
        <v>32</v>
      </c>
      <c r="AD43" s="7" t="s">
        <v>128</v>
      </c>
      <c r="AE43" s="7" t="s">
        <v>129</v>
      </c>
      <c r="AF43" s="7" t="s">
        <v>130</v>
      </c>
      <c r="AG43" s="7" t="s">
        <v>131</v>
      </c>
      <c r="AH43" s="7" t="s">
        <v>132</v>
      </c>
      <c r="AJ43" s="5" t="s">
        <v>38</v>
      </c>
      <c r="AK43" s="5" t="s">
        <v>17</v>
      </c>
      <c r="AL43" s="5" t="s">
        <v>39</v>
      </c>
      <c r="AM43" s="5" t="s">
        <v>40</v>
      </c>
      <c r="AN43" s="5" t="s">
        <v>41</v>
      </c>
      <c r="AO43" s="5" t="s">
        <v>42</v>
      </c>
      <c r="AP43" s="5" t="s">
        <v>43</v>
      </c>
      <c r="AQ43" s="5" t="s">
        <v>44</v>
      </c>
    </row>
    <row r="44" spans="1:49" ht="25.5">
      <c r="A44" s="67" t="s">
        <v>33</v>
      </c>
      <c r="B44" s="67" t="s">
        <v>34</v>
      </c>
      <c r="C44" s="67" t="s">
        <v>35</v>
      </c>
      <c r="D44" s="67" t="s">
        <v>36</v>
      </c>
      <c r="E44" s="68" t="s">
        <v>80</v>
      </c>
      <c r="F44" s="68"/>
      <c r="G44" s="68"/>
      <c r="H44" s="68"/>
      <c r="I44" s="68"/>
      <c r="J44" s="69"/>
      <c r="K44" s="30" t="s">
        <v>127</v>
      </c>
      <c r="L44" s="69"/>
      <c r="M44" s="69"/>
      <c r="N44" s="69"/>
      <c r="O44" s="69"/>
      <c r="P44" s="30" t="s">
        <v>89</v>
      </c>
      <c r="Q44" s="69"/>
      <c r="R44" s="69"/>
      <c r="S44" s="69"/>
      <c r="T44" s="69"/>
      <c r="U44" s="31" t="s">
        <v>90</v>
      </c>
      <c r="V44" s="31"/>
      <c r="W44" s="31"/>
      <c r="X44" s="31"/>
      <c r="Y44" s="31"/>
      <c r="Z44" s="302" t="s">
        <v>74</v>
      </c>
      <c r="AA44" s="302"/>
      <c r="AB44" s="302"/>
      <c r="AC44" s="69"/>
      <c r="AD44" s="30" t="s">
        <v>1</v>
      </c>
      <c r="AE44" s="30"/>
      <c r="AF44" s="30"/>
      <c r="AG44" s="30"/>
      <c r="AH44" s="30"/>
      <c r="AJ44" s="10" t="s">
        <v>45</v>
      </c>
      <c r="AK44" s="10" t="s">
        <v>46</v>
      </c>
      <c r="AL44" s="10" t="s">
        <v>34</v>
      </c>
      <c r="AM44" s="10" t="s">
        <v>47</v>
      </c>
      <c r="AN44" s="10" t="s">
        <v>48</v>
      </c>
      <c r="AO44" s="10" t="s">
        <v>85</v>
      </c>
      <c r="AP44" s="10" t="s">
        <v>49</v>
      </c>
      <c r="AQ44" s="10" t="s">
        <v>50</v>
      </c>
    </row>
    <row r="45" spans="1:49">
      <c r="A45" s="61" t="s">
        <v>2826</v>
      </c>
      <c r="B45" s="62" t="s">
        <v>124</v>
      </c>
      <c r="C45" s="62" t="s">
        <v>2824</v>
      </c>
      <c r="D45" s="61" t="s">
        <v>82</v>
      </c>
      <c r="E45" s="63"/>
      <c r="F45" s="63">
        <v>0.42735000000000001</v>
      </c>
      <c r="G45" s="63"/>
      <c r="H45" s="63"/>
      <c r="I45" s="63"/>
      <c r="J45" s="61">
        <v>2030</v>
      </c>
      <c r="K45" s="64">
        <v>520.82330184680677</v>
      </c>
      <c r="L45" s="64">
        <v>515.50765998241911</v>
      </c>
      <c r="M45" s="64">
        <v>509.75361466529853</v>
      </c>
      <c r="N45" s="64">
        <v>504.71197495886901</v>
      </c>
      <c r="O45" s="61"/>
      <c r="P45" s="64"/>
      <c r="Q45" s="64"/>
      <c r="R45" s="64"/>
      <c r="S45" s="64"/>
      <c r="T45" s="64"/>
      <c r="U45" s="65"/>
      <c r="V45" s="65"/>
      <c r="W45" s="65"/>
      <c r="X45" s="65"/>
      <c r="Y45" s="65"/>
      <c r="Z45" s="61">
        <v>30</v>
      </c>
      <c r="AA45" s="61"/>
      <c r="AB45" s="61"/>
      <c r="AC45" s="66">
        <v>31.536000000000001</v>
      </c>
      <c r="AD45" s="63">
        <v>0.91200000000000003</v>
      </c>
      <c r="AE45" s="63"/>
      <c r="AF45" s="63"/>
      <c r="AG45" s="63"/>
      <c r="AH45" s="63"/>
      <c r="AJ45" t="s">
        <v>83</v>
      </c>
      <c r="AK45" t="str">
        <f>A45</f>
        <v>P-TH-OCGT-H2-01</v>
      </c>
      <c r="AL45" t="str">
        <f t="shared" ref="AL45:AL46" si="4">B45</f>
        <v>New Power Plant - Hydrogen Open Cycle Gas Turbine</v>
      </c>
      <c r="AM45" t="s">
        <v>84</v>
      </c>
      <c r="AN45" t="s">
        <v>2</v>
      </c>
      <c r="AO45" t="s">
        <v>91</v>
      </c>
      <c r="AP45" s="1"/>
    </row>
    <row r="46" spans="1:49">
      <c r="A46" s="61" t="s">
        <v>2827</v>
      </c>
      <c r="B46" s="47" t="s">
        <v>123</v>
      </c>
      <c r="C46" s="47" t="s">
        <v>2824</v>
      </c>
      <c r="D46" s="46" t="s">
        <v>82</v>
      </c>
      <c r="E46" s="48"/>
      <c r="F46" s="48">
        <v>0.59</v>
      </c>
      <c r="G46" s="48"/>
      <c r="H46" s="48"/>
      <c r="I46" s="48"/>
      <c r="J46" s="46">
        <v>2030</v>
      </c>
      <c r="K46" s="49">
        <v>700.29671746046984</v>
      </c>
      <c r="L46" s="49">
        <v>690.76686594620696</v>
      </c>
      <c r="M46" s="49">
        <v>680.45104729674722</v>
      </c>
      <c r="N46" s="49">
        <v>671.41242524198253</v>
      </c>
      <c r="O46" s="46"/>
      <c r="P46" s="49"/>
      <c r="Q46" s="49"/>
      <c r="R46" s="49"/>
      <c r="S46" s="49"/>
      <c r="T46" s="49"/>
      <c r="U46" s="45"/>
      <c r="V46" s="45"/>
      <c r="W46" s="45"/>
      <c r="X46" s="45"/>
      <c r="Y46" s="45"/>
      <c r="Z46" s="46">
        <v>35</v>
      </c>
      <c r="AA46" s="46"/>
      <c r="AB46" s="46"/>
      <c r="AC46" s="50">
        <v>31.536000000000001</v>
      </c>
      <c r="AD46" s="48">
        <v>0.91200000000000003</v>
      </c>
      <c r="AE46" s="48"/>
      <c r="AF46" s="48"/>
      <c r="AG46" s="48"/>
      <c r="AH46" s="48"/>
      <c r="AK46" t="str">
        <f>A46</f>
        <v>P-TH-CCGT-H2-02</v>
      </c>
      <c r="AL46" t="str">
        <f t="shared" si="4"/>
        <v>New Power Plant - Hydrogen Combined Cycle Gas Turbine</v>
      </c>
      <c r="AM46" t="s">
        <v>84</v>
      </c>
      <c r="AN46" t="s">
        <v>2</v>
      </c>
      <c r="AO46" t="s">
        <v>91</v>
      </c>
      <c r="AP46" s="1"/>
    </row>
  </sheetData>
  <mergeCells count="2">
    <mergeCell ref="AB5:AD5"/>
    <mergeCell ref="Z44:AB44"/>
  </mergeCells>
  <phoneticPr fontId="15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44F8-CE07-4512-B3E1-98625EE6EA5C}">
  <sheetPr codeName="Sheet6"/>
  <dimension ref="A1:AS16"/>
  <sheetViews>
    <sheetView zoomScaleNormal="100" workbookViewId="0">
      <selection activeCell="A7" sqref="A7"/>
    </sheetView>
  </sheetViews>
  <sheetFormatPr defaultColWidth="9.140625" defaultRowHeight="15"/>
  <cols>
    <col min="1" max="1" width="12.140625" bestFit="1" customWidth="1"/>
    <col min="2" max="2" width="14.85546875" bestFit="1" customWidth="1"/>
    <col min="3" max="3" width="46" bestFit="1" customWidth="1"/>
    <col min="4" max="4" width="8.42578125" bestFit="1" customWidth="1"/>
    <col min="5" max="5" width="10.140625" bestFit="1" customWidth="1"/>
    <col min="6" max="6" width="5" bestFit="1" customWidth="1"/>
    <col min="7" max="7" width="7.85546875" customWidth="1"/>
    <col min="8" max="8" width="11" bestFit="1" customWidth="1"/>
    <col min="9" max="9" width="10.140625" bestFit="1" customWidth="1"/>
    <col min="10" max="10" width="11" bestFit="1" customWidth="1"/>
    <col min="11" max="11" width="12.85546875" bestFit="1" customWidth="1"/>
    <col min="12" max="12" width="13.85546875" customWidth="1"/>
    <col min="13" max="13" width="10" bestFit="1" customWidth="1"/>
    <col min="14" max="14" width="11.140625" customWidth="1"/>
    <col min="15" max="15" width="13.140625" customWidth="1"/>
    <col min="16" max="16" width="8.42578125" bestFit="1" customWidth="1"/>
    <col min="17" max="17" width="10.85546875" customWidth="1"/>
    <col min="19" max="19" width="11.42578125" customWidth="1"/>
    <col min="20" max="20" width="10.85546875" bestFit="1" customWidth="1"/>
    <col min="21" max="21" width="15" bestFit="1" customWidth="1"/>
    <col min="22" max="22" width="46" bestFit="1" customWidth="1"/>
    <col min="23" max="23" width="6.85546875" bestFit="1" customWidth="1"/>
    <col min="24" max="24" width="7.5703125" bestFit="1" customWidth="1"/>
    <col min="25" max="25" width="15.85546875" customWidth="1"/>
    <col min="26" max="26" width="16.140625" customWidth="1"/>
    <col min="27" max="27" width="25.85546875" bestFit="1" customWidth="1"/>
  </cols>
  <sheetData>
    <row r="1" spans="1:45" ht="18">
      <c r="S1" s="135"/>
      <c r="T1" s="135"/>
      <c r="U1" s="136"/>
      <c r="V1" s="136"/>
      <c r="W1" s="137"/>
      <c r="X1" s="137"/>
      <c r="Y1" s="137"/>
      <c r="Z1" s="137"/>
      <c r="AA1" s="137"/>
    </row>
    <row r="2" spans="1:45" ht="19.5" thickBot="1">
      <c r="A2" s="138" t="s">
        <v>2841</v>
      </c>
      <c r="B2" s="139"/>
      <c r="C2" s="139"/>
      <c r="D2" s="1"/>
      <c r="G2" s="2" t="s">
        <v>2969</v>
      </c>
      <c r="H2" s="140"/>
      <c r="I2" s="140"/>
      <c r="J2" s="140"/>
      <c r="K2" s="140"/>
      <c r="L2" s="140"/>
      <c r="M2" s="140"/>
      <c r="N2" s="1"/>
      <c r="O2" s="1"/>
      <c r="P2" s="1"/>
      <c r="Q2" s="1"/>
      <c r="S2" s="137" t="s">
        <v>37</v>
      </c>
      <c r="T2" s="137"/>
      <c r="U2" s="137"/>
      <c r="V2" s="137"/>
      <c r="W2" s="137"/>
      <c r="X2" s="137"/>
      <c r="Y2" s="137"/>
      <c r="Z2" s="137"/>
      <c r="AA2" s="137"/>
    </row>
    <row r="3" spans="1:45">
      <c r="A3" s="141" t="s">
        <v>2842</v>
      </c>
      <c r="B3" s="141" t="s">
        <v>17</v>
      </c>
      <c r="C3" s="141" t="s">
        <v>18</v>
      </c>
      <c r="D3" s="70" t="s">
        <v>19</v>
      </c>
      <c r="E3" s="70" t="s">
        <v>20</v>
      </c>
      <c r="F3" s="70" t="s">
        <v>2830</v>
      </c>
      <c r="G3" s="70" t="s">
        <v>54</v>
      </c>
      <c r="H3" s="70" t="s">
        <v>2972</v>
      </c>
      <c r="I3" s="70" t="s">
        <v>2971</v>
      </c>
      <c r="J3" s="70" t="s">
        <v>2970</v>
      </c>
      <c r="K3" s="142" t="s">
        <v>2843</v>
      </c>
      <c r="L3" s="142" t="s">
        <v>2844</v>
      </c>
      <c r="M3" s="142" t="s">
        <v>2845</v>
      </c>
      <c r="N3" s="142" t="s">
        <v>2846</v>
      </c>
      <c r="O3" s="142" t="s">
        <v>2847</v>
      </c>
      <c r="P3" s="142" t="s">
        <v>2978</v>
      </c>
      <c r="Q3" s="142" t="s">
        <v>2979</v>
      </c>
      <c r="S3" s="295" t="s">
        <v>38</v>
      </c>
      <c r="T3" s="296" t="s">
        <v>2842</v>
      </c>
      <c r="U3" s="143" t="s">
        <v>17</v>
      </c>
      <c r="V3" s="143" t="s">
        <v>39</v>
      </c>
      <c r="W3" s="143" t="s">
        <v>40</v>
      </c>
      <c r="X3" s="143" t="s">
        <v>41</v>
      </c>
      <c r="Y3" s="143" t="s">
        <v>42</v>
      </c>
      <c r="Z3" s="143" t="s">
        <v>43</v>
      </c>
      <c r="AA3" s="144" t="s">
        <v>44</v>
      </c>
    </row>
    <row r="4" spans="1:45" ht="26.25" thickBot="1">
      <c r="A4" s="145" t="s">
        <v>2848</v>
      </c>
      <c r="B4" s="145" t="s">
        <v>46</v>
      </c>
      <c r="C4" s="146" t="s">
        <v>34</v>
      </c>
      <c r="D4" s="146"/>
      <c r="E4" s="146"/>
      <c r="F4" s="146"/>
      <c r="G4" s="146"/>
      <c r="H4" s="146"/>
      <c r="I4" s="146"/>
      <c r="J4" s="146"/>
      <c r="K4" s="147" t="s">
        <v>2849</v>
      </c>
      <c r="L4" s="147" t="s">
        <v>2849</v>
      </c>
      <c r="M4" s="147" t="s">
        <v>2849</v>
      </c>
      <c r="N4" s="147" t="s">
        <v>2849</v>
      </c>
      <c r="O4" s="147" t="s">
        <v>2849</v>
      </c>
      <c r="P4" s="147" t="s">
        <v>2</v>
      </c>
      <c r="Q4" s="147" t="s">
        <v>2</v>
      </c>
      <c r="S4" s="141" t="s">
        <v>45</v>
      </c>
      <c r="T4" s="141" t="s">
        <v>2850</v>
      </c>
      <c r="U4" s="141" t="s">
        <v>46</v>
      </c>
      <c r="V4" s="141" t="s">
        <v>34</v>
      </c>
      <c r="W4" s="141" t="s">
        <v>47</v>
      </c>
      <c r="X4" s="141" t="s">
        <v>48</v>
      </c>
      <c r="Y4" s="141" t="s">
        <v>2851</v>
      </c>
      <c r="Z4" s="141" t="s">
        <v>2852</v>
      </c>
      <c r="AA4" s="141" t="s">
        <v>50</v>
      </c>
    </row>
    <row r="5" spans="1:45">
      <c r="A5" s="1" t="str">
        <f t="shared" ref="A5:C8" si="0">T5</f>
        <v>IE,National</v>
      </c>
      <c r="B5" s="1" t="str">
        <f t="shared" si="0"/>
        <v>IMPELC_FR-CI</v>
      </c>
      <c r="C5" s="1" t="str">
        <f t="shared" si="0"/>
        <v>Import of Electricity - France Celtic Interconnector</v>
      </c>
      <c r="D5" s="1"/>
      <c r="E5" s="1" t="s">
        <v>82</v>
      </c>
      <c r="F5" s="1">
        <v>2026</v>
      </c>
      <c r="G5" s="1" t="s">
        <v>2973</v>
      </c>
      <c r="H5" s="1">
        <v>2026</v>
      </c>
      <c r="I5" s="1">
        <v>100</v>
      </c>
      <c r="J5" s="1">
        <v>31.536000000000001</v>
      </c>
      <c r="K5" s="148">
        <v>12.775231427006712</v>
      </c>
      <c r="L5" s="148">
        <v>13.844655136887908</v>
      </c>
      <c r="M5" s="148">
        <v>20.699646648446279</v>
      </c>
      <c r="N5" s="148">
        <v>24.100186765447592</v>
      </c>
      <c r="O5" s="148">
        <v>27.970361406895258</v>
      </c>
      <c r="P5" s="60">
        <v>0.7</v>
      </c>
      <c r="Q5" s="60">
        <v>5</v>
      </c>
      <c r="S5" s="1" t="s">
        <v>2947</v>
      </c>
      <c r="T5" s="1" t="s">
        <v>2853</v>
      </c>
      <c r="U5" s="1" t="s">
        <v>2974</v>
      </c>
      <c r="V5" s="1" t="s">
        <v>2977</v>
      </c>
      <c r="W5" s="1" t="s">
        <v>84</v>
      </c>
      <c r="X5" s="1" t="s">
        <v>2</v>
      </c>
      <c r="Y5" s="1" t="s">
        <v>91</v>
      </c>
      <c r="Z5" s="1"/>
      <c r="AA5" s="1"/>
    </row>
    <row r="6" spans="1:45">
      <c r="A6" s="19" t="str">
        <f t="shared" si="0"/>
        <v>IE,National</v>
      </c>
      <c r="B6" s="19" t="str">
        <f t="shared" si="0"/>
        <v>EXPELC_FR-CI</v>
      </c>
      <c r="C6" s="19" t="str">
        <f t="shared" si="0"/>
        <v>Export of Electricity - France Celtic Interconnector</v>
      </c>
      <c r="D6" s="19" t="s">
        <v>82</v>
      </c>
      <c r="E6" s="19"/>
      <c r="F6" s="19">
        <v>2026</v>
      </c>
      <c r="G6" s="19" t="s">
        <v>2973</v>
      </c>
      <c r="H6" s="19">
        <v>2026</v>
      </c>
      <c r="I6" s="19">
        <v>100</v>
      </c>
      <c r="J6" s="19">
        <v>31.536000000000001</v>
      </c>
      <c r="K6" s="149">
        <v>8.9426619989046987</v>
      </c>
      <c r="L6" s="149">
        <v>9.6912585958215356</v>
      </c>
      <c r="M6" s="149">
        <v>14.489752653912394</v>
      </c>
      <c r="N6" s="149">
        <v>16.870130735813312</v>
      </c>
      <c r="O6" s="149">
        <v>19.579252984826677</v>
      </c>
      <c r="P6" s="124">
        <v>0.7</v>
      </c>
      <c r="Q6" s="124">
        <v>5</v>
      </c>
      <c r="S6" s="1" t="s">
        <v>2948</v>
      </c>
      <c r="T6" s="1" t="s">
        <v>2853</v>
      </c>
      <c r="U6" s="1" t="s">
        <v>2975</v>
      </c>
      <c r="V6" s="1" t="s">
        <v>2976</v>
      </c>
      <c r="W6" s="1" t="s">
        <v>84</v>
      </c>
      <c r="X6" s="1" t="s">
        <v>2</v>
      </c>
      <c r="Y6" s="1" t="s">
        <v>91</v>
      </c>
      <c r="Z6" s="1"/>
      <c r="AA6" s="1"/>
    </row>
    <row r="7" spans="1:45">
      <c r="A7" t="str">
        <f t="shared" si="0"/>
        <v>IE,National</v>
      </c>
      <c r="B7" t="str">
        <f t="shared" si="0"/>
        <v>IMPELC_UK-GL</v>
      </c>
      <c r="C7" t="str">
        <f t="shared" si="0"/>
        <v>Import of Electricity - UK Greenlink</v>
      </c>
      <c r="E7" t="s">
        <v>82</v>
      </c>
      <c r="F7">
        <v>2024</v>
      </c>
      <c r="G7" t="s">
        <v>2973</v>
      </c>
      <c r="H7">
        <v>2024</v>
      </c>
      <c r="I7">
        <v>100</v>
      </c>
      <c r="J7">
        <v>31.536000000000001</v>
      </c>
      <c r="K7" s="148">
        <v>12.775231427006712</v>
      </c>
      <c r="L7" s="148">
        <v>13.844655136887908</v>
      </c>
      <c r="M7" s="148">
        <v>20.699646648446279</v>
      </c>
      <c r="N7" s="148">
        <v>24.100186765447592</v>
      </c>
      <c r="O7" s="148">
        <v>27.970361406895258</v>
      </c>
      <c r="P7" s="60">
        <v>0.5</v>
      </c>
      <c r="Q7" s="60">
        <v>5</v>
      </c>
      <c r="S7" s="1" t="s">
        <v>2947</v>
      </c>
      <c r="T7" s="1" t="s">
        <v>2853</v>
      </c>
      <c r="U7" s="1" t="s">
        <v>2980</v>
      </c>
      <c r="V7" s="1" t="s">
        <v>2982</v>
      </c>
      <c r="W7" s="1" t="s">
        <v>84</v>
      </c>
      <c r="X7" s="1" t="s">
        <v>2</v>
      </c>
      <c r="Y7" s="1" t="s">
        <v>91</v>
      </c>
      <c r="Z7" s="1"/>
      <c r="AA7" s="1"/>
    </row>
    <row r="8" spans="1:45">
      <c r="A8" s="118" t="str">
        <f t="shared" si="0"/>
        <v>IE,National</v>
      </c>
      <c r="B8" s="118" t="str">
        <f t="shared" si="0"/>
        <v>EXPELC_UK-GL</v>
      </c>
      <c r="C8" s="118" t="str">
        <f t="shared" si="0"/>
        <v>Export of Electricity - UK Greenlink</v>
      </c>
      <c r="D8" s="118" t="s">
        <v>82</v>
      </c>
      <c r="E8" s="118"/>
      <c r="F8" s="118">
        <v>2024</v>
      </c>
      <c r="G8" s="118" t="s">
        <v>2973</v>
      </c>
      <c r="H8" s="118">
        <v>2024</v>
      </c>
      <c r="I8" s="118">
        <v>100</v>
      </c>
      <c r="J8" s="118">
        <v>31.536000000000001</v>
      </c>
      <c r="K8" s="149">
        <v>8.9426619989046987</v>
      </c>
      <c r="L8" s="149">
        <v>9.6912585958215356</v>
      </c>
      <c r="M8" s="149">
        <v>14.489752653912394</v>
      </c>
      <c r="N8" s="149">
        <v>16.870130735813312</v>
      </c>
      <c r="O8" s="149">
        <v>19.579252984826677</v>
      </c>
      <c r="P8" s="124">
        <v>0.5</v>
      </c>
      <c r="Q8" s="124">
        <v>5</v>
      </c>
      <c r="S8" s="1" t="s">
        <v>2948</v>
      </c>
      <c r="T8" s="1" t="s">
        <v>2853</v>
      </c>
      <c r="U8" s="1" t="s">
        <v>2981</v>
      </c>
      <c r="V8" s="1" t="s">
        <v>2983</v>
      </c>
      <c r="W8" s="1" t="s">
        <v>84</v>
      </c>
      <c r="X8" s="1" t="s">
        <v>2</v>
      </c>
      <c r="Y8" s="1" t="s">
        <v>91</v>
      </c>
      <c r="Z8" s="1"/>
      <c r="AA8" s="1"/>
    </row>
    <row r="10" spans="1:45">
      <c r="AL10" s="150"/>
      <c r="AM10" s="150"/>
      <c r="AN10" s="150"/>
      <c r="AO10" s="150"/>
      <c r="AP10" s="150"/>
      <c r="AQ10" s="150"/>
      <c r="AR10" s="150"/>
      <c r="AS10" s="150"/>
    </row>
    <row r="11" spans="1:45">
      <c r="AL11" s="151"/>
      <c r="AM11" s="151"/>
      <c r="AN11" s="151"/>
      <c r="AO11" s="151"/>
      <c r="AP11" s="151"/>
      <c r="AQ11" s="151"/>
      <c r="AR11" s="151"/>
      <c r="AS11" s="151"/>
    </row>
    <row r="12" spans="1:45">
      <c r="AL12" s="150"/>
      <c r="AM12" s="150"/>
      <c r="AN12" s="150"/>
      <c r="AO12" s="150"/>
      <c r="AP12" s="150"/>
      <c r="AQ12" s="150"/>
      <c r="AR12" s="150"/>
      <c r="AS12" s="150"/>
    </row>
    <row r="13" spans="1:45">
      <c r="AL13" s="150"/>
      <c r="AM13" s="150"/>
      <c r="AN13" s="150"/>
      <c r="AO13" s="150"/>
      <c r="AP13" s="150"/>
      <c r="AQ13" s="150"/>
      <c r="AR13" s="150"/>
      <c r="AS13" s="150"/>
    </row>
    <row r="14" spans="1:45">
      <c r="B14" s="150"/>
      <c r="C14" s="150"/>
      <c r="D14" s="150"/>
      <c r="E14" s="152"/>
      <c r="F14" s="152"/>
      <c r="G14" s="152"/>
      <c r="H14" s="152"/>
      <c r="I14" s="152"/>
      <c r="AL14" s="153"/>
      <c r="AM14" s="153"/>
      <c r="AN14" s="153"/>
      <c r="AO14" s="153"/>
      <c r="AP14" s="153"/>
      <c r="AQ14" s="153"/>
      <c r="AR14" s="153"/>
      <c r="AS14" s="153"/>
    </row>
    <row r="15" spans="1:45">
      <c r="B15" s="150"/>
      <c r="C15" s="150"/>
      <c r="D15" s="150"/>
      <c r="E15" s="152"/>
      <c r="F15" s="152"/>
      <c r="G15" s="152"/>
      <c r="H15" s="152"/>
      <c r="I15" s="152"/>
      <c r="AL15" s="153"/>
      <c r="AM15" s="153"/>
      <c r="AN15" s="153"/>
      <c r="AO15" s="153"/>
      <c r="AP15" s="153"/>
      <c r="AQ15" s="153"/>
      <c r="AR15" s="153"/>
      <c r="AS15" s="153"/>
    </row>
    <row r="16" spans="1:45">
      <c r="AL16" s="150"/>
      <c r="AM16" s="150"/>
      <c r="AN16" s="150"/>
      <c r="AO16" s="150"/>
      <c r="AP16" s="150"/>
      <c r="AQ16" s="150"/>
      <c r="AR16" s="150"/>
      <c r="AS16" s="15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23896-D2FC-4AFC-BD8E-F06AF6C56E4C}">
  <sheetPr codeName="Sheet3"/>
  <dimension ref="A1:AQ9"/>
  <sheetViews>
    <sheetView workbookViewId="0">
      <selection activeCell="T9" sqref="T9"/>
    </sheetView>
  </sheetViews>
  <sheetFormatPr defaultRowHeight="15"/>
  <cols>
    <col min="1" max="1" width="18.42578125" customWidth="1"/>
    <col min="2" max="2" width="43.140625" customWidth="1"/>
  </cols>
  <sheetData>
    <row r="1" spans="1:43">
      <c r="A1" s="1"/>
      <c r="B1" s="1"/>
      <c r="C1" s="1"/>
      <c r="D1" s="3" t="s">
        <v>2985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  <c r="Q1" s="1"/>
      <c r="R1" s="1"/>
      <c r="S1" s="1"/>
      <c r="U1" s="1"/>
      <c r="V1" s="1"/>
      <c r="W1" s="1"/>
      <c r="Y1" s="1"/>
      <c r="Z1" s="1"/>
      <c r="AJ1" s="3" t="s">
        <v>37</v>
      </c>
      <c r="AK1" s="8"/>
      <c r="AL1" s="9"/>
      <c r="AM1" s="9"/>
      <c r="AN1" s="9"/>
      <c r="AO1" s="9"/>
      <c r="AP1" s="9"/>
      <c r="AQ1" s="9"/>
    </row>
    <row r="2" spans="1:43" ht="25.5">
      <c r="A2" s="70" t="s">
        <v>17</v>
      </c>
      <c r="B2" s="71" t="s">
        <v>18</v>
      </c>
      <c r="C2" s="70" t="s">
        <v>19</v>
      </c>
      <c r="D2" s="70" t="s">
        <v>20</v>
      </c>
      <c r="E2" s="72" t="s">
        <v>75</v>
      </c>
      <c r="F2" s="72" t="s">
        <v>76</v>
      </c>
      <c r="G2" s="72" t="s">
        <v>77</v>
      </c>
      <c r="H2" s="72" t="s">
        <v>78</v>
      </c>
      <c r="I2" s="72" t="s">
        <v>79</v>
      </c>
      <c r="J2" s="43" t="s">
        <v>31</v>
      </c>
      <c r="K2" s="43" t="s">
        <v>21</v>
      </c>
      <c r="L2" s="43" t="s">
        <v>2984</v>
      </c>
      <c r="M2" s="43" t="s">
        <v>23</v>
      </c>
      <c r="N2" s="43" t="s">
        <v>66</v>
      </c>
      <c r="O2" s="43" t="s">
        <v>67</v>
      </c>
      <c r="P2" s="43" t="s">
        <v>2987</v>
      </c>
      <c r="Q2" s="43" t="s">
        <v>25</v>
      </c>
      <c r="R2" s="43" t="s">
        <v>26</v>
      </c>
      <c r="S2" s="43" t="s">
        <v>68</v>
      </c>
      <c r="T2" s="43" t="s">
        <v>69</v>
      </c>
      <c r="U2" s="43" t="s">
        <v>27</v>
      </c>
      <c r="V2" s="43" t="s">
        <v>28</v>
      </c>
      <c r="W2" s="43" t="s">
        <v>29</v>
      </c>
      <c r="X2" s="43" t="s">
        <v>70</v>
      </c>
      <c r="Y2" s="43" t="s">
        <v>71</v>
      </c>
      <c r="Z2" s="43" t="s">
        <v>30</v>
      </c>
      <c r="AA2" s="43" t="s">
        <v>72</v>
      </c>
      <c r="AB2" s="43" t="s">
        <v>73</v>
      </c>
      <c r="AC2" s="43" t="s">
        <v>32</v>
      </c>
      <c r="AD2" s="43" t="s">
        <v>144</v>
      </c>
      <c r="AE2" s="43" t="s">
        <v>145</v>
      </c>
      <c r="AF2" s="43" t="s">
        <v>146</v>
      </c>
      <c r="AG2" s="43" t="s">
        <v>147</v>
      </c>
      <c r="AH2" s="43" t="s">
        <v>148</v>
      </c>
      <c r="AJ2" s="71" t="s">
        <v>38</v>
      </c>
      <c r="AK2" s="71" t="s">
        <v>17</v>
      </c>
      <c r="AL2" s="71" t="s">
        <v>39</v>
      </c>
      <c r="AM2" s="71" t="s">
        <v>40</v>
      </c>
      <c r="AN2" s="71" t="s">
        <v>41</v>
      </c>
      <c r="AO2" s="71" t="s">
        <v>42</v>
      </c>
      <c r="AP2" s="71" t="s">
        <v>43</v>
      </c>
      <c r="AQ2" s="71" t="s">
        <v>44</v>
      </c>
    </row>
    <row r="3" spans="1:43" ht="51">
      <c r="A3" s="38" t="s">
        <v>33</v>
      </c>
      <c r="B3" s="38" t="s">
        <v>34</v>
      </c>
      <c r="C3" s="38" t="s">
        <v>35</v>
      </c>
      <c r="D3" s="38" t="s">
        <v>36</v>
      </c>
      <c r="E3" s="39" t="s">
        <v>80</v>
      </c>
      <c r="F3" s="39"/>
      <c r="G3" s="39"/>
      <c r="H3" s="39"/>
      <c r="I3" s="39"/>
      <c r="J3" s="40"/>
      <c r="K3" s="16" t="s">
        <v>88</v>
      </c>
      <c r="L3" s="40"/>
      <c r="M3" s="40"/>
      <c r="N3" s="40"/>
      <c r="O3" s="40"/>
      <c r="P3" s="16" t="s">
        <v>89</v>
      </c>
      <c r="Q3" s="40"/>
      <c r="R3" s="40"/>
      <c r="S3" s="40"/>
      <c r="T3" s="40"/>
      <c r="U3" s="31" t="s">
        <v>90</v>
      </c>
      <c r="V3" s="31"/>
      <c r="W3" s="31"/>
      <c r="X3" s="31"/>
      <c r="Y3" s="31"/>
      <c r="Z3" s="297" t="s">
        <v>74</v>
      </c>
      <c r="AA3" s="297"/>
      <c r="AB3" s="297"/>
      <c r="AC3" s="40"/>
      <c r="AD3" s="30" t="s">
        <v>1</v>
      </c>
      <c r="AE3" s="30"/>
      <c r="AF3" s="30"/>
      <c r="AG3" s="30"/>
      <c r="AH3" s="30"/>
      <c r="AJ3" s="73" t="s">
        <v>45</v>
      </c>
      <c r="AK3" s="73" t="s">
        <v>46</v>
      </c>
      <c r="AL3" s="73" t="s">
        <v>34</v>
      </c>
      <c r="AM3" s="73" t="s">
        <v>47</v>
      </c>
      <c r="AN3" s="73" t="s">
        <v>48</v>
      </c>
      <c r="AO3" s="73" t="s">
        <v>85</v>
      </c>
      <c r="AP3" s="73" t="s">
        <v>49</v>
      </c>
      <c r="AQ3" s="73" t="s">
        <v>50</v>
      </c>
    </row>
    <row r="4" spans="1:43">
      <c r="A4" s="1" t="s">
        <v>2792</v>
      </c>
      <c r="B4" t="s">
        <v>149</v>
      </c>
      <c r="C4" t="s">
        <v>2825</v>
      </c>
      <c r="D4" t="s">
        <v>82</v>
      </c>
      <c r="E4">
        <v>1</v>
      </c>
      <c r="J4">
        <v>2019</v>
      </c>
      <c r="L4">
        <v>1526</v>
      </c>
      <c r="O4">
        <v>1317</v>
      </c>
      <c r="P4">
        <v>37.800000000000004</v>
      </c>
      <c r="T4">
        <f>P4*O4/L4</f>
        <v>32.622935779816515</v>
      </c>
      <c r="Z4">
        <v>20</v>
      </c>
      <c r="AA4">
        <v>22</v>
      </c>
      <c r="AB4">
        <v>25</v>
      </c>
      <c r="AC4">
        <v>31.536000000000001</v>
      </c>
      <c r="AJ4" t="s">
        <v>83</v>
      </c>
      <c r="AK4" s="1" t="s">
        <v>2792</v>
      </c>
      <c r="AL4" t="s">
        <v>149</v>
      </c>
      <c r="AM4" t="s">
        <v>84</v>
      </c>
      <c r="AN4" t="s">
        <v>2</v>
      </c>
      <c r="AO4" t="s">
        <v>91</v>
      </c>
      <c r="AP4" s="1"/>
    </row>
    <row r="5" spans="1:43">
      <c r="A5" s="1" t="s">
        <v>2793</v>
      </c>
      <c r="B5" t="s">
        <v>150</v>
      </c>
      <c r="C5" t="s">
        <v>2825</v>
      </c>
      <c r="D5" t="s">
        <v>82</v>
      </c>
      <c r="E5">
        <v>1</v>
      </c>
      <c r="J5">
        <v>2019</v>
      </c>
      <c r="L5">
        <v>1575</v>
      </c>
      <c r="O5">
        <v>1366</v>
      </c>
      <c r="P5">
        <v>37.800000000000004</v>
      </c>
      <c r="T5">
        <f t="shared" ref="T5:T8" si="0">P5*O5/L5</f>
        <v>32.783999999999999</v>
      </c>
      <c r="Z5">
        <v>20</v>
      </c>
      <c r="AA5">
        <v>22</v>
      </c>
      <c r="AB5">
        <v>25</v>
      </c>
      <c r="AC5">
        <v>31.536000000000001</v>
      </c>
      <c r="AJ5" t="s">
        <v>83</v>
      </c>
      <c r="AK5" s="1" t="s">
        <v>2793</v>
      </c>
      <c r="AL5" t="s">
        <v>150</v>
      </c>
      <c r="AM5" t="s">
        <v>84</v>
      </c>
      <c r="AN5" t="s">
        <v>2</v>
      </c>
      <c r="AO5" t="s">
        <v>91</v>
      </c>
      <c r="AP5" s="1"/>
    </row>
    <row r="6" spans="1:43">
      <c r="A6" s="1" t="s">
        <v>2794</v>
      </c>
      <c r="B6" t="s">
        <v>151</v>
      </c>
      <c r="C6" t="s">
        <v>2825</v>
      </c>
      <c r="D6" t="s">
        <v>82</v>
      </c>
      <c r="E6">
        <v>1</v>
      </c>
      <c r="J6">
        <v>2019</v>
      </c>
      <c r="L6">
        <v>1662</v>
      </c>
      <c r="O6">
        <v>1451</v>
      </c>
      <c r="P6">
        <v>37.800000000000004</v>
      </c>
      <c r="T6">
        <f t="shared" si="0"/>
        <v>33.001083032490975</v>
      </c>
      <c r="Z6">
        <v>20</v>
      </c>
      <c r="AA6">
        <v>22</v>
      </c>
      <c r="AB6">
        <v>25</v>
      </c>
      <c r="AC6">
        <v>31.536000000000001</v>
      </c>
      <c r="AJ6" t="s">
        <v>83</v>
      </c>
      <c r="AK6" s="1" t="s">
        <v>2794</v>
      </c>
      <c r="AL6" t="s">
        <v>151</v>
      </c>
      <c r="AM6" t="s">
        <v>84</v>
      </c>
      <c r="AN6" t="s">
        <v>2</v>
      </c>
      <c r="AO6" t="s">
        <v>91</v>
      </c>
      <c r="AP6" s="1"/>
    </row>
    <row r="7" spans="1:43">
      <c r="A7" s="1" t="s">
        <v>2795</v>
      </c>
      <c r="B7" t="s">
        <v>152</v>
      </c>
      <c r="C7" t="s">
        <v>2825</v>
      </c>
      <c r="D7" t="s">
        <v>82</v>
      </c>
      <c r="E7">
        <v>1</v>
      </c>
      <c r="J7">
        <v>2019</v>
      </c>
      <c r="L7">
        <v>1853</v>
      </c>
      <c r="O7">
        <v>1641</v>
      </c>
      <c r="P7">
        <v>37.800000000000004</v>
      </c>
      <c r="T7">
        <f t="shared" si="0"/>
        <v>33.475337290879658</v>
      </c>
      <c r="Z7">
        <v>20</v>
      </c>
      <c r="AA7">
        <v>22</v>
      </c>
      <c r="AB7">
        <v>25</v>
      </c>
      <c r="AC7">
        <v>31.536000000000001</v>
      </c>
      <c r="AJ7" t="s">
        <v>83</v>
      </c>
      <c r="AK7" s="1" t="s">
        <v>2795</v>
      </c>
      <c r="AL7" t="s">
        <v>152</v>
      </c>
      <c r="AM7" t="s">
        <v>84</v>
      </c>
      <c r="AN7" t="s">
        <v>2</v>
      </c>
      <c r="AO7" t="s">
        <v>91</v>
      </c>
      <c r="AP7" s="1"/>
    </row>
    <row r="8" spans="1:43">
      <c r="A8" s="1" t="s">
        <v>2796</v>
      </c>
      <c r="B8" t="s">
        <v>153</v>
      </c>
      <c r="C8" t="s">
        <v>2825</v>
      </c>
      <c r="D8" t="s">
        <v>82</v>
      </c>
      <c r="E8">
        <v>1</v>
      </c>
      <c r="J8">
        <v>2019</v>
      </c>
      <c r="L8">
        <v>2303</v>
      </c>
      <c r="O8">
        <v>2088</v>
      </c>
      <c r="P8">
        <v>37.800000000000004</v>
      </c>
      <c r="T8">
        <f t="shared" si="0"/>
        <v>34.271124620060796</v>
      </c>
      <c r="Z8">
        <v>20</v>
      </c>
      <c r="AA8">
        <v>22</v>
      </c>
      <c r="AB8">
        <v>25</v>
      </c>
      <c r="AC8">
        <v>31.536000000000001</v>
      </c>
      <c r="AJ8" t="s">
        <v>83</v>
      </c>
      <c r="AK8" s="1" t="s">
        <v>2796</v>
      </c>
      <c r="AL8" t="s">
        <v>153</v>
      </c>
      <c r="AM8" t="s">
        <v>84</v>
      </c>
      <c r="AN8" t="s">
        <v>2</v>
      </c>
      <c r="AO8" t="s">
        <v>91</v>
      </c>
      <c r="AP8" s="1"/>
    </row>
    <row r="9" spans="1:43">
      <c r="A9" t="s">
        <v>2882</v>
      </c>
      <c r="B9" t="s">
        <v>2986</v>
      </c>
      <c r="C9" t="s">
        <v>2814</v>
      </c>
      <c r="D9" t="s">
        <v>82</v>
      </c>
      <c r="E9">
        <v>1</v>
      </c>
      <c r="J9">
        <v>2019</v>
      </c>
      <c r="L9" s="28">
        <f>3118</f>
        <v>3118</v>
      </c>
      <c r="N9" s="28"/>
      <c r="O9" s="28">
        <v>2827</v>
      </c>
      <c r="P9">
        <v>128.38999999999999</v>
      </c>
      <c r="Q9">
        <f>+P9</f>
        <v>128.38999999999999</v>
      </c>
      <c r="T9">
        <f>+Q9*O9/L9</f>
        <v>116.40748236048748</v>
      </c>
      <c r="Z9">
        <v>20</v>
      </c>
      <c r="AA9">
        <v>25</v>
      </c>
      <c r="AB9">
        <v>30</v>
      </c>
      <c r="AC9">
        <v>31.536000000000001</v>
      </c>
    </row>
  </sheetData>
  <mergeCells count="1">
    <mergeCell ref="Z3:AB3"/>
  </mergeCells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14F4B-CACA-4597-95EE-C23E6F08AF0F}">
  <sheetPr codeName="Sheet4"/>
  <dimension ref="A1:AK1938"/>
  <sheetViews>
    <sheetView zoomScaleNormal="100" workbookViewId="0">
      <selection activeCell="U14" sqref="U14"/>
    </sheetView>
  </sheetViews>
  <sheetFormatPr defaultRowHeight="15"/>
  <cols>
    <col min="16" max="16" width="16.85546875" customWidth="1"/>
    <col min="17" max="17" width="14.85546875" customWidth="1"/>
    <col min="18" max="18" width="19" customWidth="1"/>
    <col min="19" max="19" width="11.140625" bestFit="1" customWidth="1"/>
    <col min="24" max="24" width="20.85546875" customWidth="1"/>
    <col min="25" max="25" width="16.140625" customWidth="1"/>
    <col min="31" max="31" width="25.85546875" customWidth="1"/>
  </cols>
  <sheetData>
    <row r="1" spans="1:37" ht="47.25">
      <c r="A1" s="58" t="s">
        <v>154</v>
      </c>
      <c r="B1" s="58" t="s">
        <v>155</v>
      </c>
      <c r="C1" s="58" t="s">
        <v>156</v>
      </c>
      <c r="D1" s="58" t="s">
        <v>157</v>
      </c>
      <c r="E1" s="58" t="s">
        <v>158</v>
      </c>
      <c r="F1" s="58" t="s">
        <v>159</v>
      </c>
      <c r="G1" s="58" t="s">
        <v>160</v>
      </c>
      <c r="H1" s="58" t="s">
        <v>161</v>
      </c>
      <c r="I1" s="58" t="s">
        <v>162</v>
      </c>
      <c r="J1" s="58" t="s">
        <v>163</v>
      </c>
      <c r="K1" s="58" t="s">
        <v>164</v>
      </c>
      <c r="L1" s="74" t="s">
        <v>165</v>
      </c>
      <c r="M1" s="75" t="s">
        <v>166</v>
      </c>
      <c r="N1" s="74" t="s">
        <v>167</v>
      </c>
      <c r="O1" s="58" t="s">
        <v>168</v>
      </c>
      <c r="P1" s="76" t="s">
        <v>169</v>
      </c>
      <c r="Q1" s="77" t="s">
        <v>170</v>
      </c>
      <c r="R1" s="78" t="s">
        <v>170</v>
      </c>
      <c r="S1" s="79" t="s">
        <v>171</v>
      </c>
      <c r="T1" s="80" t="s">
        <v>172</v>
      </c>
      <c r="U1" s="79" t="s">
        <v>173</v>
      </c>
      <c r="V1" s="81" t="s">
        <v>174</v>
      </c>
      <c r="AG1" s="104" t="s">
        <v>2754</v>
      </c>
    </row>
    <row r="2" spans="1:37" ht="30">
      <c r="A2" s="82">
        <v>1</v>
      </c>
      <c r="B2" s="82">
        <v>1</v>
      </c>
      <c r="C2" s="82" t="s">
        <v>175</v>
      </c>
      <c r="D2" s="58" t="s">
        <v>176</v>
      </c>
      <c r="E2" s="58" t="s">
        <v>176</v>
      </c>
      <c r="F2" s="82" t="s">
        <v>177</v>
      </c>
      <c r="G2" s="82" t="s">
        <v>178</v>
      </c>
      <c r="H2" s="82" t="s">
        <v>179</v>
      </c>
      <c r="I2" s="82">
        <v>38000</v>
      </c>
      <c r="J2" s="83">
        <v>38000</v>
      </c>
      <c r="K2" s="83">
        <v>20000</v>
      </c>
      <c r="L2" s="84">
        <v>15.861000000000001</v>
      </c>
      <c r="M2" s="85">
        <v>16</v>
      </c>
      <c r="N2" s="84">
        <v>0.122</v>
      </c>
      <c r="O2" s="83">
        <v>1</v>
      </c>
      <c r="P2" s="84">
        <v>0.122</v>
      </c>
      <c r="Q2" s="86">
        <v>3.45</v>
      </c>
      <c r="R2" s="85">
        <v>3.45</v>
      </c>
      <c r="S2" s="87">
        <v>1703340</v>
      </c>
      <c r="T2" s="1">
        <v>1</v>
      </c>
      <c r="U2" s="88">
        <v>493721.73913043475</v>
      </c>
      <c r="V2" s="59">
        <v>2.0254323857832257</v>
      </c>
      <c r="X2" s="99" t="s">
        <v>170</v>
      </c>
      <c r="Y2" s="100" t="s">
        <v>2749</v>
      </c>
      <c r="AG2">
        <v>2015</v>
      </c>
      <c r="AH2" s="104">
        <v>2020</v>
      </c>
      <c r="AI2">
        <v>2030</v>
      </c>
      <c r="AJ2">
        <v>2040</v>
      </c>
      <c r="AK2">
        <v>2050</v>
      </c>
    </row>
    <row r="3" spans="1:37">
      <c r="A3" s="58">
        <v>2</v>
      </c>
      <c r="B3" s="58">
        <v>2</v>
      </c>
      <c r="C3" s="58" t="s">
        <v>180</v>
      </c>
      <c r="D3" s="58" t="s">
        <v>176</v>
      </c>
      <c r="E3" s="58" t="s">
        <v>176</v>
      </c>
      <c r="F3" s="58" t="s">
        <v>177</v>
      </c>
      <c r="G3" s="58" t="s">
        <v>178</v>
      </c>
      <c r="H3" s="58" t="s">
        <v>179</v>
      </c>
      <c r="I3">
        <v>38000</v>
      </c>
      <c r="J3">
        <v>38000</v>
      </c>
      <c r="K3">
        <v>20000</v>
      </c>
      <c r="L3" s="74">
        <v>5.42</v>
      </c>
      <c r="M3" s="85">
        <v>6</v>
      </c>
      <c r="N3" s="74">
        <v>0.26300000000000001</v>
      </c>
      <c r="O3">
        <v>1</v>
      </c>
      <c r="P3" s="84">
        <v>0.26300000000000001</v>
      </c>
      <c r="Q3" s="86">
        <v>3.45</v>
      </c>
      <c r="R3" s="85">
        <v>3.45</v>
      </c>
      <c r="S3" s="87">
        <v>769410</v>
      </c>
      <c r="T3" s="1">
        <v>4</v>
      </c>
      <c r="U3" s="88">
        <v>223017.39130434781</v>
      </c>
      <c r="V3" s="59">
        <v>4.4839552384294459</v>
      </c>
      <c r="X3" s="98">
        <v>3.45</v>
      </c>
      <c r="Y3" s="97">
        <v>493.72173913043474</v>
      </c>
      <c r="AA3" s="101" t="s">
        <v>2750</v>
      </c>
      <c r="AB3" s="102" t="s">
        <v>2751</v>
      </c>
      <c r="AC3" s="303" t="s">
        <v>2752</v>
      </c>
      <c r="AD3" s="303"/>
      <c r="AE3" s="103" t="s">
        <v>2753</v>
      </c>
      <c r="AG3" s="106">
        <f>ETRI_Cost!E43</f>
        <v>1350</v>
      </c>
      <c r="AH3" s="107">
        <f>ETRI_Cost!F45</f>
        <v>1290</v>
      </c>
      <c r="AI3" s="107">
        <f>ETRI_Cost!G45</f>
        <v>1190</v>
      </c>
      <c r="AJ3" s="107">
        <f>ETRI_Cost!H45</f>
        <v>1140</v>
      </c>
      <c r="AK3" s="107">
        <f>ETRI_Cost!I45</f>
        <v>1110</v>
      </c>
    </row>
    <row r="4" spans="1:37">
      <c r="A4" s="58">
        <v>3</v>
      </c>
      <c r="B4" s="58">
        <v>3</v>
      </c>
      <c r="C4" s="58" t="s">
        <v>181</v>
      </c>
      <c r="D4" s="58" t="s">
        <v>182</v>
      </c>
      <c r="E4" s="58" t="s">
        <v>182</v>
      </c>
      <c r="F4" s="58" t="s">
        <v>183</v>
      </c>
      <c r="G4" s="58" t="s">
        <v>184</v>
      </c>
      <c r="H4" s="58" t="s">
        <v>179</v>
      </c>
      <c r="I4">
        <v>38000</v>
      </c>
      <c r="J4">
        <v>38000</v>
      </c>
      <c r="K4" s="58" t="s">
        <v>185</v>
      </c>
      <c r="L4" s="74">
        <v>11.691000000000001</v>
      </c>
      <c r="M4" s="85">
        <v>12</v>
      </c>
      <c r="N4" s="74">
        <v>0.13300000000000001</v>
      </c>
      <c r="O4">
        <v>1</v>
      </c>
      <c r="P4" s="84">
        <v>0.13300000000000001</v>
      </c>
      <c r="Q4" s="86">
        <v>3.45</v>
      </c>
      <c r="R4" s="85">
        <v>3.45</v>
      </c>
      <c r="S4" s="87">
        <v>1492540</v>
      </c>
      <c r="T4" s="1">
        <v>1</v>
      </c>
      <c r="U4" s="88">
        <v>432620.28985507245</v>
      </c>
      <c r="V4" s="59">
        <v>2.3114958393074891</v>
      </c>
      <c r="X4" s="98">
        <v>3.45</v>
      </c>
      <c r="Y4" s="97">
        <v>223.0173913043478</v>
      </c>
      <c r="AA4">
        <f>SUMIFS(X:X,Y:Y,"&gt;"&amp;AC4,Y:Y,"&lt;"&amp;AD4)/1000</f>
        <v>8.1111000000000004</v>
      </c>
      <c r="AB4" cm="1">
        <f t="array" ref="AB4">SUMPRODUCT(X:X,Y:Y,--(Y:Y&gt;AC4),--(Y:Y&lt;AD4))</f>
        <v>199028.82999999996</v>
      </c>
      <c r="AC4">
        <v>0</v>
      </c>
      <c r="AD4">
        <v>30</v>
      </c>
      <c r="AE4" cm="1">
        <f t="array" ref="AE4">SUMPRODUCT(X:X,Y:Y,--(Y:Y&gt;AC4),--(Y:Y&lt;AD4))/SUMIFS(X:X,Y:Y,"&gt;"&amp;AC4,Y:Y,"&lt;"&amp;AD4)</f>
        <v>24.53783457237612</v>
      </c>
      <c r="AG4" s="105">
        <f>AG3+$AE4</f>
        <v>1374.5378345723761</v>
      </c>
      <c r="AH4" s="105">
        <f t="shared" ref="AH4:AK4" si="0">AH3+$AE4</f>
        <v>1314.5378345723761</v>
      </c>
      <c r="AI4" s="105">
        <f t="shared" si="0"/>
        <v>1214.5378345723761</v>
      </c>
      <c r="AJ4" s="105">
        <f t="shared" si="0"/>
        <v>1164.5378345723761</v>
      </c>
      <c r="AK4" s="105">
        <f t="shared" si="0"/>
        <v>1134.5378345723761</v>
      </c>
    </row>
    <row r="5" spans="1:37">
      <c r="A5" s="58">
        <v>4</v>
      </c>
      <c r="B5" s="58">
        <v>4</v>
      </c>
      <c r="C5" s="58" t="s">
        <v>186</v>
      </c>
      <c r="D5" s="58" t="s">
        <v>187</v>
      </c>
      <c r="E5" s="58" t="s">
        <v>187</v>
      </c>
      <c r="F5" s="58" t="s">
        <v>188</v>
      </c>
      <c r="G5" s="58" t="s">
        <v>189</v>
      </c>
      <c r="H5" s="58" t="s">
        <v>179</v>
      </c>
      <c r="I5">
        <v>38000</v>
      </c>
      <c r="J5">
        <v>38000</v>
      </c>
      <c r="K5">
        <v>10000</v>
      </c>
      <c r="L5" s="74">
        <v>13.24</v>
      </c>
      <c r="M5" s="85">
        <v>14</v>
      </c>
      <c r="N5" s="74">
        <v>0.13300000000000001</v>
      </c>
      <c r="O5">
        <v>1</v>
      </c>
      <c r="P5" s="84">
        <v>0.13300000000000001</v>
      </c>
      <c r="Q5" s="86">
        <v>3.45</v>
      </c>
      <c r="R5" s="85">
        <v>3.45</v>
      </c>
      <c r="S5" s="87">
        <v>1597940</v>
      </c>
      <c r="T5" s="1">
        <v>1</v>
      </c>
      <c r="U5" s="88">
        <v>463171.0144927536</v>
      </c>
      <c r="V5" s="59">
        <v>2.1590297508041605</v>
      </c>
      <c r="X5" s="98">
        <v>3.45</v>
      </c>
      <c r="Y5" s="97">
        <v>432.62028985507243</v>
      </c>
      <c r="AA5">
        <f t="shared" ref="AA5:AA8" si="1">SUMIFS(X:X,Y:Y,"&gt;"&amp;AC5,Y:Y,"&lt;"&amp;AD5)/1000</f>
        <v>8.7322499999999987</v>
      </c>
      <c r="AB5" cm="1">
        <f t="array" ref="AB5">SUMPRODUCT(X:X,Y:Y,--(Y:Y&gt;AC5),--(Y:Y&lt;AD5))</f>
        <v>338735.63999999996</v>
      </c>
      <c r="AC5">
        <v>30</v>
      </c>
      <c r="AD5">
        <v>50</v>
      </c>
      <c r="AE5" cm="1">
        <f t="array" ref="AE5">SUMPRODUCT(X:X,Y:Y,--(Y:Y&gt;AC5),--(Y:Y&lt;AD5))/SUMIFS(X:X,Y:Y,"&gt;"&amp;AC5,Y:Y,"&lt;"&amp;AD5)</f>
        <v>38.791335566434768</v>
      </c>
      <c r="AG5" s="105">
        <f t="shared" ref="AG5:AG8" si="2">AG4+$AE5</f>
        <v>1413.3291701388109</v>
      </c>
      <c r="AH5" s="105">
        <f t="shared" ref="AH5:AH8" si="3">AH4+$AE5</f>
        <v>1353.3291701388109</v>
      </c>
      <c r="AI5" s="105">
        <f t="shared" ref="AI5:AI8" si="4">AI4+$AE5</f>
        <v>1253.3291701388109</v>
      </c>
      <c r="AJ5" s="105">
        <f t="shared" ref="AJ5:AJ8" si="5">AJ4+$AE5</f>
        <v>1203.3291701388109</v>
      </c>
      <c r="AK5" s="105">
        <f t="shared" ref="AK5:AK8" si="6">AK4+$AE5</f>
        <v>1173.3291701388109</v>
      </c>
    </row>
    <row r="6" spans="1:37">
      <c r="A6" s="58">
        <v>5</v>
      </c>
      <c r="B6" s="58">
        <v>5</v>
      </c>
      <c r="C6" s="58" t="s">
        <v>190</v>
      </c>
      <c r="D6" s="58" t="s">
        <v>187</v>
      </c>
      <c r="E6" s="58" t="s">
        <v>187</v>
      </c>
      <c r="F6" s="58" t="s">
        <v>191</v>
      </c>
      <c r="G6" s="58" t="s">
        <v>192</v>
      </c>
      <c r="H6" s="58" t="s">
        <v>179</v>
      </c>
      <c r="I6">
        <v>38000</v>
      </c>
      <c r="J6">
        <v>38000</v>
      </c>
      <c r="K6" s="58" t="s">
        <v>185</v>
      </c>
      <c r="L6" s="74">
        <v>9.9619999999999997</v>
      </c>
      <c r="M6" s="85">
        <v>10</v>
      </c>
      <c r="N6" s="74">
        <v>0.157</v>
      </c>
      <c r="O6">
        <v>1</v>
      </c>
      <c r="P6" s="84">
        <v>0.157</v>
      </c>
      <c r="Q6" s="86">
        <v>3.45</v>
      </c>
      <c r="R6" s="85">
        <v>3.45</v>
      </c>
      <c r="S6" s="87">
        <v>1387140</v>
      </c>
      <c r="T6" s="1">
        <v>1</v>
      </c>
      <c r="U6" s="88">
        <v>402069.5652173913</v>
      </c>
      <c r="V6" s="59">
        <v>2.487131796357974</v>
      </c>
      <c r="X6" s="98">
        <v>3.45</v>
      </c>
      <c r="Y6" s="97">
        <v>463.17101449275361</v>
      </c>
      <c r="AA6">
        <f t="shared" si="1"/>
        <v>5.7896999999999919</v>
      </c>
      <c r="AB6" cm="1">
        <f t="array" ref="AB6">SUMPRODUCT(X:X,Y:Y,--(Y:Y&gt;AC6),--(Y:Y&lt;AD6))</f>
        <v>399230.18999999971</v>
      </c>
      <c r="AC6">
        <v>50</v>
      </c>
      <c r="AD6">
        <v>100</v>
      </c>
      <c r="AE6" cm="1">
        <f t="array" ref="AE6">SUMPRODUCT(X:X,Y:Y,--(Y:Y&gt;AC6),--(Y:Y&lt;AD6))/SUMIFS(X:X,Y:Y,"&gt;"&amp;AC6,Y:Y,"&lt;"&amp;AD6)</f>
        <v>68.955246385823145</v>
      </c>
      <c r="AG6" s="105">
        <f t="shared" si="2"/>
        <v>1482.284416524634</v>
      </c>
      <c r="AH6" s="105">
        <f t="shared" si="3"/>
        <v>1422.284416524634</v>
      </c>
      <c r="AI6" s="105">
        <f t="shared" si="4"/>
        <v>1322.284416524634</v>
      </c>
      <c r="AJ6" s="105">
        <f t="shared" si="5"/>
        <v>1272.284416524634</v>
      </c>
      <c r="AK6" s="105">
        <f t="shared" si="6"/>
        <v>1242.284416524634</v>
      </c>
    </row>
    <row r="7" spans="1:37">
      <c r="A7" s="58">
        <v>6</v>
      </c>
      <c r="B7" s="58">
        <v>6</v>
      </c>
      <c r="C7" s="58" t="s">
        <v>193</v>
      </c>
      <c r="D7" s="58" t="s">
        <v>187</v>
      </c>
      <c r="E7" s="58" t="s">
        <v>187</v>
      </c>
      <c r="F7" s="58" t="s">
        <v>194</v>
      </c>
      <c r="G7" s="58" t="s">
        <v>195</v>
      </c>
      <c r="H7" s="58" t="s">
        <v>179</v>
      </c>
      <c r="I7">
        <v>38000</v>
      </c>
      <c r="J7" s="58" t="s">
        <v>185</v>
      </c>
      <c r="K7">
        <v>38000</v>
      </c>
      <c r="L7" s="74">
        <v>10.638999999999999</v>
      </c>
      <c r="M7" s="85">
        <v>11</v>
      </c>
      <c r="N7" s="74">
        <v>9.2999999999999999E-2</v>
      </c>
      <c r="O7">
        <v>1</v>
      </c>
      <c r="P7" s="84">
        <v>9.2999999999999999E-2</v>
      </c>
      <c r="Q7" s="86">
        <v>3.45</v>
      </c>
      <c r="R7" s="85">
        <v>3.45</v>
      </c>
      <c r="S7" s="87">
        <v>1439840</v>
      </c>
      <c r="T7" s="1">
        <v>1</v>
      </c>
      <c r="U7" s="88">
        <v>417344.92753623187</v>
      </c>
      <c r="V7" s="59">
        <v>2.396099566618513</v>
      </c>
      <c r="X7" s="98">
        <v>3.45</v>
      </c>
      <c r="Y7" s="97">
        <v>402.0695652173913</v>
      </c>
      <c r="AA7">
        <f t="shared" si="1"/>
        <v>3.9776999999999654</v>
      </c>
      <c r="AB7" cm="1">
        <f t="array" ref="AB7">SUMPRODUCT(X:X,Y:Y,--(Y:Y&gt;AC7),--(Y:Y&lt;AD7))</f>
        <v>606529.78999999992</v>
      </c>
      <c r="AC7">
        <v>100</v>
      </c>
      <c r="AD7">
        <v>200</v>
      </c>
      <c r="AE7" cm="1">
        <f t="array" ref="AE7">SUMPRODUCT(X:X,Y:Y,--(Y:Y&gt;AC7),--(Y:Y&lt;AD7))/SUMIFS(X:X,Y:Y,"&gt;"&amp;AC7,Y:Y,"&lt;"&amp;AD7)</f>
        <v>152.48253764738547</v>
      </c>
      <c r="AG7" s="105">
        <f t="shared" si="2"/>
        <v>1634.7669541720195</v>
      </c>
      <c r="AH7" s="105">
        <f t="shared" si="3"/>
        <v>1574.7669541720195</v>
      </c>
      <c r="AI7" s="105">
        <f t="shared" si="4"/>
        <v>1474.7669541720195</v>
      </c>
      <c r="AJ7" s="105">
        <f t="shared" si="5"/>
        <v>1424.7669541720195</v>
      </c>
      <c r="AK7" s="105">
        <f t="shared" si="6"/>
        <v>1394.7669541720195</v>
      </c>
    </row>
    <row r="8" spans="1:37">
      <c r="A8" s="58">
        <v>7</v>
      </c>
      <c r="B8" s="58">
        <v>7</v>
      </c>
      <c r="C8" s="58" t="s">
        <v>196</v>
      </c>
      <c r="D8" s="58" t="s">
        <v>197</v>
      </c>
      <c r="E8" s="58" t="s">
        <v>197</v>
      </c>
      <c r="F8" s="58" t="s">
        <v>198</v>
      </c>
      <c r="H8" s="58" t="s">
        <v>199</v>
      </c>
      <c r="I8">
        <v>110000</v>
      </c>
      <c r="J8" s="58" t="s">
        <v>200</v>
      </c>
      <c r="K8">
        <v>110000</v>
      </c>
      <c r="L8" s="74">
        <v>1.526</v>
      </c>
      <c r="M8" s="85">
        <v>2</v>
      </c>
      <c r="N8" s="74">
        <v>0.126</v>
      </c>
      <c r="O8">
        <v>1</v>
      </c>
      <c r="P8" s="84">
        <v>0.126</v>
      </c>
      <c r="Q8" s="86">
        <v>3.45</v>
      </c>
      <c r="R8" s="85">
        <v>3.45</v>
      </c>
      <c r="S8" s="87">
        <v>1340080</v>
      </c>
      <c r="T8" s="1">
        <v>11</v>
      </c>
      <c r="U8" s="88">
        <v>388428.98550724634</v>
      </c>
      <c r="V8" s="59">
        <v>2.5744731657811473</v>
      </c>
      <c r="X8" s="98">
        <v>3.45</v>
      </c>
      <c r="Y8" s="97">
        <v>417.34492753623186</v>
      </c>
      <c r="AA8">
        <f t="shared" si="1"/>
        <v>3.9907499999999358</v>
      </c>
      <c r="AB8" cm="1">
        <f t="array" ref="AB8">SUMPRODUCT(X:X,Y:Y,--(Y:Y&gt;AC8),--(Y:Y&lt;AD8))</f>
        <v>1427308.2299999953</v>
      </c>
      <c r="AC8">
        <v>200</v>
      </c>
      <c r="AD8">
        <v>1000</v>
      </c>
      <c r="AE8" cm="1">
        <f t="array" ref="AE8">SUMPRODUCT(X:X,Y:Y,--(Y:Y&gt;AC8),--(Y:Y&lt;AD8))/SUMIFS(X:X,Y:Y,"&gt;"&amp;AC8,Y:Y,"&lt;"&amp;AD8)</f>
        <v>357.6541326818313</v>
      </c>
      <c r="AG8" s="105">
        <f t="shared" si="2"/>
        <v>1992.4210868538507</v>
      </c>
      <c r="AH8" s="105">
        <f t="shared" si="3"/>
        <v>1932.4210868538507</v>
      </c>
      <c r="AI8" s="105">
        <f t="shared" si="4"/>
        <v>1832.4210868538507</v>
      </c>
      <c r="AJ8" s="105">
        <f t="shared" si="5"/>
        <v>1782.4210868538507</v>
      </c>
      <c r="AK8" s="105">
        <f t="shared" si="6"/>
        <v>1752.4210868538507</v>
      </c>
    </row>
    <row r="9" spans="1:37">
      <c r="A9" s="58">
        <v>8</v>
      </c>
      <c r="B9" s="58">
        <v>8</v>
      </c>
      <c r="C9" s="58" t="s">
        <v>201</v>
      </c>
      <c r="D9" s="58" t="s">
        <v>202</v>
      </c>
      <c r="E9" s="58" t="s">
        <v>202</v>
      </c>
      <c r="F9" s="58" t="s">
        <v>203</v>
      </c>
      <c r="G9" s="58" t="s">
        <v>204</v>
      </c>
      <c r="H9" s="58" t="s">
        <v>179</v>
      </c>
      <c r="I9">
        <v>38000</v>
      </c>
      <c r="J9">
        <v>38000</v>
      </c>
      <c r="K9">
        <v>10000</v>
      </c>
      <c r="L9" s="74">
        <v>6.0090000000000003</v>
      </c>
      <c r="M9" s="85">
        <v>7</v>
      </c>
      <c r="N9" s="74">
        <v>0.28000000000000003</v>
      </c>
      <c r="O9">
        <v>1</v>
      </c>
      <c r="P9" s="84">
        <v>0.28000000000000003</v>
      </c>
      <c r="Q9" s="86">
        <v>3.45</v>
      </c>
      <c r="R9" s="85">
        <v>3.45</v>
      </c>
      <c r="S9" s="87">
        <v>839680</v>
      </c>
      <c r="T9" s="1">
        <v>4</v>
      </c>
      <c r="U9" s="88">
        <v>243385.5072463768</v>
      </c>
      <c r="V9" s="59">
        <v>4.1087080792682924</v>
      </c>
      <c r="X9" s="98">
        <v>3.45</v>
      </c>
      <c r="Y9" s="97">
        <v>388.42898550724635</v>
      </c>
    </row>
    <row r="10" spans="1:37">
      <c r="A10" s="58">
        <v>9</v>
      </c>
      <c r="B10" s="58">
        <v>9</v>
      </c>
      <c r="C10" s="58" t="s">
        <v>205</v>
      </c>
      <c r="D10" s="58" t="s">
        <v>202</v>
      </c>
      <c r="E10" s="58" t="s">
        <v>202</v>
      </c>
      <c r="F10" s="58" t="s">
        <v>203</v>
      </c>
      <c r="G10" s="58" t="s">
        <v>204</v>
      </c>
      <c r="H10" s="58" t="s">
        <v>179</v>
      </c>
      <c r="I10">
        <v>38000</v>
      </c>
      <c r="J10">
        <v>38000</v>
      </c>
      <c r="K10">
        <v>10000</v>
      </c>
      <c r="L10" s="74">
        <v>5.282</v>
      </c>
      <c r="M10" s="85">
        <v>6</v>
      </c>
      <c r="N10" s="74">
        <v>0.17799999999999999</v>
      </c>
      <c r="O10">
        <v>1</v>
      </c>
      <c r="P10" s="84">
        <v>0.17799999999999999</v>
      </c>
      <c r="Q10" s="86">
        <v>3.45</v>
      </c>
      <c r="R10" s="85">
        <v>3.45</v>
      </c>
      <c r="S10" s="87">
        <v>769410</v>
      </c>
      <c r="T10" s="1">
        <v>4</v>
      </c>
      <c r="U10" s="88">
        <v>223017.39130434781</v>
      </c>
      <c r="V10" s="59">
        <v>4.4839552384294459</v>
      </c>
      <c r="X10" s="98">
        <v>3.45</v>
      </c>
      <c r="Y10" s="97">
        <v>243.38550724637682</v>
      </c>
    </row>
    <row r="11" spans="1:37">
      <c r="A11" s="58">
        <v>10</v>
      </c>
      <c r="B11" s="58">
        <v>10</v>
      </c>
      <c r="C11" s="58" t="s">
        <v>206</v>
      </c>
      <c r="D11" s="58" t="s">
        <v>207</v>
      </c>
      <c r="E11" s="58" t="s">
        <v>207</v>
      </c>
      <c r="F11" s="58" t="s">
        <v>208</v>
      </c>
      <c r="G11" s="58" t="s">
        <v>209</v>
      </c>
      <c r="H11" s="58" t="s">
        <v>199</v>
      </c>
      <c r="I11">
        <v>110000</v>
      </c>
      <c r="J11">
        <v>110000</v>
      </c>
      <c r="K11">
        <v>38000</v>
      </c>
      <c r="L11" s="74">
        <v>4.6950000000000003</v>
      </c>
      <c r="M11" s="85">
        <v>5</v>
      </c>
      <c r="N11" s="74">
        <v>0.2</v>
      </c>
      <c r="O11">
        <v>1</v>
      </c>
      <c r="P11" s="84">
        <v>0.2</v>
      </c>
      <c r="Q11" s="86">
        <v>3.45</v>
      </c>
      <c r="R11" s="85">
        <v>3.45</v>
      </c>
      <c r="S11" s="87">
        <v>1679970</v>
      </c>
      <c r="T11" s="1">
        <v>7</v>
      </c>
      <c r="U11" s="88">
        <v>486947.82608695648</v>
      </c>
      <c r="V11" s="59">
        <v>2.0536081001446456</v>
      </c>
      <c r="X11" s="98">
        <v>3.45</v>
      </c>
      <c r="Y11" s="97">
        <v>223.0173913043478</v>
      </c>
    </row>
    <row r="12" spans="1:37">
      <c r="A12" s="58">
        <v>11</v>
      </c>
      <c r="B12" s="58">
        <v>11</v>
      </c>
      <c r="C12" s="58" t="s">
        <v>210</v>
      </c>
      <c r="D12" s="58" t="s">
        <v>207</v>
      </c>
      <c r="E12" s="58" t="s">
        <v>207</v>
      </c>
      <c r="F12" s="58" t="s">
        <v>208</v>
      </c>
      <c r="G12" s="58" t="s">
        <v>209</v>
      </c>
      <c r="H12" s="58" t="s">
        <v>199</v>
      </c>
      <c r="I12">
        <v>110000</v>
      </c>
      <c r="J12">
        <v>110000</v>
      </c>
      <c r="K12">
        <v>38000</v>
      </c>
      <c r="L12" s="74">
        <v>5.6079999999999997</v>
      </c>
      <c r="M12" s="85">
        <v>6</v>
      </c>
      <c r="N12" s="74">
        <v>0.11600000000000001</v>
      </c>
      <c r="O12">
        <v>1</v>
      </c>
      <c r="P12" s="84">
        <v>0.11600000000000001</v>
      </c>
      <c r="Q12" s="86">
        <v>3.45</v>
      </c>
      <c r="R12" s="85">
        <v>3.45</v>
      </c>
      <c r="S12" s="87">
        <v>1732670</v>
      </c>
      <c r="T12" s="1">
        <v>7</v>
      </c>
      <c r="U12" s="88">
        <v>502223.18840579706</v>
      </c>
      <c r="V12" s="59">
        <v>1.991146611876468</v>
      </c>
      <c r="X12" s="98">
        <v>3.45</v>
      </c>
      <c r="Y12" s="97">
        <v>486.94782608695647</v>
      </c>
    </row>
    <row r="13" spans="1:37">
      <c r="A13" s="58">
        <v>12</v>
      </c>
      <c r="B13" s="58">
        <v>12</v>
      </c>
      <c r="C13" s="58" t="s">
        <v>211</v>
      </c>
      <c r="D13" s="58" t="s">
        <v>207</v>
      </c>
      <c r="E13" s="58" t="s">
        <v>207</v>
      </c>
      <c r="F13" s="58" t="s">
        <v>212</v>
      </c>
      <c r="G13" s="58" t="s">
        <v>213</v>
      </c>
      <c r="H13" s="58" t="s">
        <v>179</v>
      </c>
      <c r="I13">
        <v>38000</v>
      </c>
      <c r="J13">
        <v>38000</v>
      </c>
      <c r="K13" s="58" t="s">
        <v>185</v>
      </c>
      <c r="L13" s="74">
        <v>5.9240000000000004</v>
      </c>
      <c r="M13" s="85">
        <v>6</v>
      </c>
      <c r="N13" s="74">
        <v>0.13400000000000001</v>
      </c>
      <c r="O13">
        <v>1</v>
      </c>
      <c r="P13" s="84">
        <v>0.13400000000000001</v>
      </c>
      <c r="Q13" s="86">
        <v>3.45</v>
      </c>
      <c r="R13" s="85">
        <v>3.45</v>
      </c>
      <c r="S13" s="87">
        <v>769410</v>
      </c>
      <c r="T13" s="1">
        <v>4</v>
      </c>
      <c r="U13" s="88">
        <v>223017.39130434781</v>
      </c>
      <c r="V13" s="59">
        <v>4.4839552384294459</v>
      </c>
      <c r="X13" s="98">
        <v>3.45</v>
      </c>
      <c r="Y13" s="97">
        <v>502.22318840579703</v>
      </c>
    </row>
    <row r="14" spans="1:37">
      <c r="A14" s="58">
        <v>13</v>
      </c>
      <c r="B14" s="58">
        <v>13</v>
      </c>
      <c r="C14" s="58" t="s">
        <v>214</v>
      </c>
      <c r="D14" s="58" t="s">
        <v>215</v>
      </c>
      <c r="E14" s="58" t="s">
        <v>215</v>
      </c>
      <c r="F14" s="58" t="s">
        <v>216</v>
      </c>
      <c r="G14" s="58" t="s">
        <v>217</v>
      </c>
      <c r="H14" s="58" t="s">
        <v>179</v>
      </c>
      <c r="I14">
        <v>38000</v>
      </c>
      <c r="J14">
        <v>38000</v>
      </c>
      <c r="K14" s="58" t="s">
        <v>185</v>
      </c>
      <c r="L14" s="74">
        <v>8.843</v>
      </c>
      <c r="M14" s="85">
        <v>9</v>
      </c>
      <c r="N14" s="74">
        <v>0.13900000000000001</v>
      </c>
      <c r="O14">
        <v>1</v>
      </c>
      <c r="P14" s="84">
        <v>0.13900000000000001</v>
      </c>
      <c r="Q14" s="86">
        <v>3.45</v>
      </c>
      <c r="R14" s="85">
        <v>3.45</v>
      </c>
      <c r="S14" s="87">
        <v>1334440</v>
      </c>
      <c r="T14" s="1">
        <v>1</v>
      </c>
      <c r="U14" s="88">
        <v>386794.20289855072</v>
      </c>
      <c r="V14" s="59">
        <v>2.585354156050478</v>
      </c>
      <c r="X14" s="98">
        <v>3.45</v>
      </c>
      <c r="Y14" s="97">
        <v>223.0173913043478</v>
      </c>
    </row>
    <row r="15" spans="1:37">
      <c r="A15" s="58">
        <v>14</v>
      </c>
      <c r="B15" s="58">
        <v>14</v>
      </c>
      <c r="C15" s="58" t="s">
        <v>218</v>
      </c>
      <c r="D15" s="58" t="s">
        <v>207</v>
      </c>
      <c r="E15" s="58" t="s">
        <v>207</v>
      </c>
      <c r="F15" s="58" t="s">
        <v>219</v>
      </c>
      <c r="G15" s="58" t="s">
        <v>220</v>
      </c>
      <c r="H15" s="58" t="s">
        <v>199</v>
      </c>
      <c r="I15">
        <v>110000</v>
      </c>
      <c r="J15">
        <v>110000</v>
      </c>
      <c r="K15">
        <v>38000</v>
      </c>
      <c r="L15" s="74">
        <v>4.5419999999999998</v>
      </c>
      <c r="M15" s="85">
        <v>5</v>
      </c>
      <c r="N15" s="74">
        <v>0.154</v>
      </c>
      <c r="O15">
        <v>1</v>
      </c>
      <c r="P15" s="84">
        <v>0.154</v>
      </c>
      <c r="Q15" s="86">
        <v>3.45</v>
      </c>
      <c r="R15" s="85">
        <v>3.45</v>
      </c>
      <c r="S15" s="87">
        <v>1679970</v>
      </c>
      <c r="T15" s="1">
        <v>7</v>
      </c>
      <c r="U15" s="88">
        <v>486947.82608695648</v>
      </c>
      <c r="V15" s="59">
        <v>2.0536081001446456</v>
      </c>
      <c r="X15" s="98">
        <v>3.45</v>
      </c>
      <c r="Y15" s="97">
        <v>386.79420289855074</v>
      </c>
    </row>
    <row r="16" spans="1:37">
      <c r="A16" s="58">
        <v>15</v>
      </c>
      <c r="B16" s="58">
        <v>15</v>
      </c>
      <c r="C16" s="58" t="s">
        <v>221</v>
      </c>
      <c r="D16" s="58" t="s">
        <v>176</v>
      </c>
      <c r="E16" s="58" t="s">
        <v>176</v>
      </c>
      <c r="F16" s="58" t="s">
        <v>222</v>
      </c>
      <c r="G16" s="58" t="s">
        <v>223</v>
      </c>
      <c r="H16" s="58" t="s">
        <v>179</v>
      </c>
      <c r="I16">
        <v>38000</v>
      </c>
      <c r="J16">
        <v>38000</v>
      </c>
      <c r="K16">
        <v>20000</v>
      </c>
      <c r="L16" s="74">
        <v>11.994999999999999</v>
      </c>
      <c r="M16" s="85">
        <v>12</v>
      </c>
      <c r="N16" s="74">
        <v>0.155</v>
      </c>
      <c r="O16">
        <v>1</v>
      </c>
      <c r="P16" s="84">
        <v>0.155</v>
      </c>
      <c r="Q16" s="86">
        <v>3.45</v>
      </c>
      <c r="R16" s="85">
        <v>3.45</v>
      </c>
      <c r="S16" s="87">
        <v>1492540</v>
      </c>
      <c r="T16" s="1">
        <v>1</v>
      </c>
      <c r="U16" s="88">
        <v>432620.28985507245</v>
      </c>
      <c r="V16" s="59">
        <v>2.3114958393074891</v>
      </c>
      <c r="X16" s="98">
        <v>3.45</v>
      </c>
      <c r="Y16" s="97">
        <v>486.94782608695647</v>
      </c>
    </row>
    <row r="17" spans="1:25">
      <c r="A17" s="58">
        <v>16</v>
      </c>
      <c r="B17" s="58">
        <v>16</v>
      </c>
      <c r="C17" s="58" t="s">
        <v>224</v>
      </c>
      <c r="D17" s="58" t="s">
        <v>215</v>
      </c>
      <c r="E17" s="58" t="s">
        <v>215</v>
      </c>
      <c r="F17" s="58" t="s">
        <v>225</v>
      </c>
      <c r="G17" s="58" t="s">
        <v>226</v>
      </c>
      <c r="H17" s="58" t="s">
        <v>179</v>
      </c>
      <c r="I17">
        <v>38000</v>
      </c>
      <c r="J17">
        <v>38000</v>
      </c>
      <c r="K17">
        <v>20000</v>
      </c>
      <c r="L17" s="74">
        <v>11.179</v>
      </c>
      <c r="M17" s="85">
        <v>12</v>
      </c>
      <c r="N17" s="74">
        <v>0.10100000000000001</v>
      </c>
      <c r="O17">
        <v>1</v>
      </c>
      <c r="P17" s="84">
        <v>0.10100000000000001</v>
      </c>
      <c r="Q17" s="86">
        <v>3.45</v>
      </c>
      <c r="R17" s="85">
        <v>3.45</v>
      </c>
      <c r="S17" s="87">
        <v>1492540</v>
      </c>
      <c r="T17" s="1">
        <v>1</v>
      </c>
      <c r="U17" s="88">
        <v>432620.28985507245</v>
      </c>
      <c r="V17" s="59">
        <v>2.3114958393074891</v>
      </c>
      <c r="X17" s="98">
        <v>3.45</v>
      </c>
      <c r="Y17" s="97">
        <v>432.62028985507243</v>
      </c>
    </row>
    <row r="18" spans="1:25">
      <c r="A18" s="58">
        <v>17</v>
      </c>
      <c r="B18" s="58">
        <v>17</v>
      </c>
      <c r="C18" s="58" t="s">
        <v>227</v>
      </c>
      <c r="D18" s="58" t="s">
        <v>187</v>
      </c>
      <c r="E18" s="58" t="s">
        <v>187</v>
      </c>
      <c r="F18" s="58" t="s">
        <v>228</v>
      </c>
      <c r="G18" s="58" t="s">
        <v>229</v>
      </c>
      <c r="H18" s="58" t="s">
        <v>179</v>
      </c>
      <c r="I18">
        <v>38000</v>
      </c>
      <c r="J18">
        <v>38000</v>
      </c>
      <c r="K18" s="58" t="s">
        <v>185</v>
      </c>
      <c r="L18" s="74">
        <v>14.864000000000001</v>
      </c>
      <c r="M18" s="85">
        <v>15</v>
      </c>
      <c r="N18" s="74">
        <v>0.14899999999999999</v>
      </c>
      <c r="O18">
        <v>1</v>
      </c>
      <c r="P18" s="84">
        <v>0.14899999999999999</v>
      </c>
      <c r="Q18" s="86">
        <v>3.45</v>
      </c>
      <c r="R18" s="85">
        <v>3.45</v>
      </c>
      <c r="S18" s="87">
        <v>1650640</v>
      </c>
      <c r="T18" s="1">
        <v>1</v>
      </c>
      <c r="U18" s="88">
        <v>478446.37681159418</v>
      </c>
      <c r="V18" s="59">
        <v>2.0900983860805504</v>
      </c>
      <c r="X18" s="98">
        <v>3.45</v>
      </c>
      <c r="Y18" s="97">
        <v>432.62028985507243</v>
      </c>
    </row>
    <row r="19" spans="1:25">
      <c r="A19" s="58">
        <v>18</v>
      </c>
      <c r="B19" s="58">
        <v>18</v>
      </c>
      <c r="C19" s="58" t="s">
        <v>230</v>
      </c>
      <c r="D19" s="58" t="s">
        <v>187</v>
      </c>
      <c r="E19" s="58" t="s">
        <v>187</v>
      </c>
      <c r="F19" s="58" t="s">
        <v>231</v>
      </c>
      <c r="G19" s="58" t="s">
        <v>232</v>
      </c>
      <c r="H19" s="58" t="s">
        <v>179</v>
      </c>
      <c r="I19">
        <v>38000</v>
      </c>
      <c r="J19" s="58" t="s">
        <v>185</v>
      </c>
      <c r="K19">
        <v>38000</v>
      </c>
      <c r="L19" s="74">
        <v>2.2170000000000001</v>
      </c>
      <c r="M19" s="85">
        <v>3</v>
      </c>
      <c r="N19" s="74">
        <v>0.25900000000000001</v>
      </c>
      <c r="O19">
        <v>1</v>
      </c>
      <c r="P19" s="84">
        <v>0.25900000000000001</v>
      </c>
      <c r="Q19" s="86">
        <v>3.45</v>
      </c>
      <c r="R19" s="85">
        <v>3.45</v>
      </c>
      <c r="S19" s="87">
        <v>558600</v>
      </c>
      <c r="T19" s="1">
        <v>4</v>
      </c>
      <c r="U19" s="88">
        <v>161913.04347826086</v>
      </c>
      <c r="V19" s="59">
        <v>6.176154672395274</v>
      </c>
      <c r="X19" s="98">
        <v>3.45</v>
      </c>
      <c r="Y19" s="97">
        <v>478.44637681159418</v>
      </c>
    </row>
    <row r="20" spans="1:25">
      <c r="A20" s="58">
        <v>19</v>
      </c>
      <c r="B20" s="58">
        <v>19</v>
      </c>
      <c r="C20" s="58" t="s">
        <v>233</v>
      </c>
      <c r="D20" s="58" t="s">
        <v>234</v>
      </c>
      <c r="E20" s="58" t="s">
        <v>234</v>
      </c>
      <c r="F20" s="58" t="s">
        <v>235</v>
      </c>
      <c r="G20" s="58" t="s">
        <v>236</v>
      </c>
      <c r="H20" s="58" t="s">
        <v>179</v>
      </c>
      <c r="I20">
        <v>38000</v>
      </c>
      <c r="J20">
        <v>38000</v>
      </c>
      <c r="K20">
        <v>20000</v>
      </c>
      <c r="L20" s="74">
        <v>7.8869999999999996</v>
      </c>
      <c r="M20" s="85">
        <v>8</v>
      </c>
      <c r="N20" s="74">
        <v>0.33700000000000002</v>
      </c>
      <c r="O20">
        <v>1</v>
      </c>
      <c r="P20" s="84">
        <v>0.33700000000000002</v>
      </c>
      <c r="Q20" s="86">
        <v>3.45</v>
      </c>
      <c r="R20" s="85">
        <v>3.45</v>
      </c>
      <c r="S20" s="87">
        <v>909950</v>
      </c>
      <c r="T20" s="1">
        <v>4</v>
      </c>
      <c r="U20" s="88">
        <v>263753.62318840576</v>
      </c>
      <c r="V20" s="59">
        <v>3.7914171108302654</v>
      </c>
      <c r="X20" s="98">
        <v>3.45</v>
      </c>
      <c r="Y20" s="97">
        <v>161.91304347826085</v>
      </c>
    </row>
    <row r="21" spans="1:25">
      <c r="A21" s="58">
        <v>20</v>
      </c>
      <c r="B21" s="58">
        <v>20</v>
      </c>
      <c r="C21" s="58" t="s">
        <v>237</v>
      </c>
      <c r="D21" s="58" t="s">
        <v>187</v>
      </c>
      <c r="E21" s="58" t="s">
        <v>187</v>
      </c>
      <c r="F21" s="58" t="s">
        <v>238</v>
      </c>
      <c r="G21" s="58" t="s">
        <v>239</v>
      </c>
      <c r="H21" s="58" t="s">
        <v>179</v>
      </c>
      <c r="I21">
        <v>38000</v>
      </c>
      <c r="J21">
        <v>38000</v>
      </c>
      <c r="K21">
        <v>10000</v>
      </c>
      <c r="L21" s="74">
        <v>8.548</v>
      </c>
      <c r="M21" s="85">
        <v>9</v>
      </c>
      <c r="N21" s="74">
        <v>0.52300000000000002</v>
      </c>
      <c r="O21">
        <v>1</v>
      </c>
      <c r="P21" s="84">
        <v>0.52300000000000002</v>
      </c>
      <c r="Q21" s="86">
        <v>3.45</v>
      </c>
      <c r="R21" s="85">
        <v>3.45</v>
      </c>
      <c r="S21" s="87">
        <v>1334440</v>
      </c>
      <c r="T21" s="1">
        <v>1</v>
      </c>
      <c r="U21" s="88">
        <v>386794.20289855072</v>
      </c>
      <c r="V21" s="59">
        <v>2.585354156050478</v>
      </c>
      <c r="X21" s="98">
        <v>3.45</v>
      </c>
      <c r="Y21" s="97">
        <v>263.75362318840581</v>
      </c>
    </row>
    <row r="22" spans="1:25">
      <c r="A22" s="58">
        <v>21</v>
      </c>
      <c r="B22" s="58">
        <v>21</v>
      </c>
      <c r="C22" s="58" t="s">
        <v>240</v>
      </c>
      <c r="D22" s="58" t="s">
        <v>176</v>
      </c>
      <c r="E22" s="58" t="s">
        <v>176</v>
      </c>
      <c r="F22" s="58" t="s">
        <v>177</v>
      </c>
      <c r="G22" s="58" t="s">
        <v>178</v>
      </c>
      <c r="H22" s="58" t="s">
        <v>179</v>
      </c>
      <c r="I22">
        <v>38000</v>
      </c>
      <c r="J22">
        <v>38000</v>
      </c>
      <c r="K22">
        <v>20000</v>
      </c>
      <c r="L22" s="74">
        <v>13.635</v>
      </c>
      <c r="M22" s="85">
        <v>14</v>
      </c>
      <c r="N22" s="74">
        <v>0.28899999999999998</v>
      </c>
      <c r="O22">
        <v>1</v>
      </c>
      <c r="P22" s="84">
        <v>0.28899999999999998</v>
      </c>
      <c r="Q22" s="86">
        <v>3.45</v>
      </c>
      <c r="R22" s="85">
        <v>3.45</v>
      </c>
      <c r="S22" s="87">
        <v>1597940</v>
      </c>
      <c r="T22" s="1">
        <v>1</v>
      </c>
      <c r="U22" s="88">
        <v>463171.0144927536</v>
      </c>
      <c r="V22" s="59">
        <v>2.1590297508041605</v>
      </c>
      <c r="X22" s="98">
        <v>3.45</v>
      </c>
      <c r="Y22" s="97">
        <v>386.79420289855074</v>
      </c>
    </row>
    <row r="23" spans="1:25">
      <c r="A23" s="58">
        <v>22</v>
      </c>
      <c r="B23" s="58">
        <v>22</v>
      </c>
      <c r="C23" s="58" t="s">
        <v>241</v>
      </c>
      <c r="D23" s="58" t="s">
        <v>207</v>
      </c>
      <c r="E23" s="58" t="s">
        <v>207</v>
      </c>
      <c r="F23" s="58" t="s">
        <v>242</v>
      </c>
      <c r="G23" s="58" t="s">
        <v>243</v>
      </c>
      <c r="H23" s="58" t="s">
        <v>179</v>
      </c>
      <c r="I23">
        <v>38000</v>
      </c>
      <c r="J23">
        <v>38000</v>
      </c>
      <c r="K23">
        <v>20000</v>
      </c>
      <c r="L23" s="74">
        <v>7.06</v>
      </c>
      <c r="M23" s="85">
        <v>8</v>
      </c>
      <c r="N23" s="74">
        <v>0.32500000000000001</v>
      </c>
      <c r="O23">
        <v>1</v>
      </c>
      <c r="P23" s="84">
        <v>0.32500000000000001</v>
      </c>
      <c r="Q23" s="86">
        <v>3.45</v>
      </c>
      <c r="R23" s="85">
        <v>3.45</v>
      </c>
      <c r="S23" s="87">
        <v>909950</v>
      </c>
      <c r="T23" s="1">
        <v>4</v>
      </c>
      <c r="U23" s="88">
        <v>263753.62318840576</v>
      </c>
      <c r="V23" s="59">
        <v>3.7914171108302654</v>
      </c>
      <c r="X23" s="98">
        <v>3.45</v>
      </c>
      <c r="Y23" s="97">
        <v>463.17101449275361</v>
      </c>
    </row>
    <row r="24" spans="1:25">
      <c r="A24" s="58">
        <v>23</v>
      </c>
      <c r="B24" s="58">
        <v>23</v>
      </c>
      <c r="C24" s="58" t="s">
        <v>244</v>
      </c>
      <c r="D24" s="58" t="s">
        <v>187</v>
      </c>
      <c r="E24" s="58" t="s">
        <v>187</v>
      </c>
      <c r="F24" s="58" t="s">
        <v>231</v>
      </c>
      <c r="G24" s="58" t="s">
        <v>232</v>
      </c>
      <c r="H24" s="58" t="s">
        <v>179</v>
      </c>
      <c r="I24">
        <v>38000</v>
      </c>
      <c r="J24" s="58" t="s">
        <v>185</v>
      </c>
      <c r="K24">
        <v>38000</v>
      </c>
      <c r="L24" s="74">
        <v>4.8760000000000003</v>
      </c>
      <c r="M24" s="85">
        <v>5</v>
      </c>
      <c r="N24" s="74">
        <v>0.61399999999999999</v>
      </c>
      <c r="O24">
        <v>1</v>
      </c>
      <c r="P24" s="84">
        <v>0.46050000000000002</v>
      </c>
      <c r="Q24" s="86">
        <v>3.45</v>
      </c>
      <c r="R24" s="85">
        <v>3.45</v>
      </c>
      <c r="S24" s="87">
        <v>699140</v>
      </c>
      <c r="T24" s="1">
        <v>4</v>
      </c>
      <c r="U24" s="88">
        <v>202649.27536231882</v>
      </c>
      <c r="V24" s="59">
        <v>4.9346339788883489</v>
      </c>
      <c r="X24" s="98">
        <v>3.45</v>
      </c>
      <c r="Y24" s="97">
        <v>263.75362318840581</v>
      </c>
    </row>
    <row r="25" spans="1:25">
      <c r="A25" s="58">
        <v>24</v>
      </c>
      <c r="B25" s="58">
        <v>24</v>
      </c>
      <c r="C25" s="58" t="s">
        <v>245</v>
      </c>
      <c r="D25" s="58" t="s">
        <v>187</v>
      </c>
      <c r="E25" s="58" t="s">
        <v>187</v>
      </c>
      <c r="F25" s="58" t="s">
        <v>246</v>
      </c>
      <c r="G25" s="58" t="s">
        <v>247</v>
      </c>
      <c r="H25" s="58" t="s">
        <v>199</v>
      </c>
      <c r="I25">
        <v>110000</v>
      </c>
      <c r="J25">
        <v>33000</v>
      </c>
      <c r="K25">
        <v>110000</v>
      </c>
      <c r="L25" s="74">
        <v>12.664</v>
      </c>
      <c r="M25" s="85">
        <v>13</v>
      </c>
      <c r="N25" s="74">
        <v>0.20899999999999999</v>
      </c>
      <c r="O25">
        <v>1</v>
      </c>
      <c r="P25" s="84">
        <v>0.20899999999999999</v>
      </c>
      <c r="Q25" s="86">
        <v>3.45</v>
      </c>
      <c r="R25" s="85">
        <v>3.45</v>
      </c>
      <c r="S25" s="87">
        <v>2101570</v>
      </c>
      <c r="T25" s="1">
        <v>7</v>
      </c>
      <c r="U25" s="88">
        <v>609150.72463768115</v>
      </c>
      <c r="V25" s="59">
        <v>1.6416298291277474</v>
      </c>
      <c r="X25" s="98">
        <v>3.45</v>
      </c>
      <c r="Y25" s="97">
        <v>202.64927536231883</v>
      </c>
    </row>
    <row r="26" spans="1:25">
      <c r="A26" s="58">
        <v>25</v>
      </c>
      <c r="B26" s="58">
        <v>25</v>
      </c>
      <c r="C26" s="58" t="s">
        <v>248</v>
      </c>
      <c r="D26" s="58" t="s">
        <v>249</v>
      </c>
      <c r="E26" s="58" t="s">
        <v>249</v>
      </c>
      <c r="F26" s="58" t="s">
        <v>250</v>
      </c>
      <c r="G26" s="58" t="s">
        <v>251</v>
      </c>
      <c r="H26" s="58" t="s">
        <v>199</v>
      </c>
      <c r="I26">
        <v>110000</v>
      </c>
      <c r="L26" s="74">
        <v>10.904999999999999</v>
      </c>
      <c r="M26" s="85">
        <v>11</v>
      </c>
      <c r="N26" s="74">
        <v>0.78600000000000003</v>
      </c>
      <c r="O26">
        <v>1</v>
      </c>
      <c r="P26" s="84">
        <v>0.58950000000000002</v>
      </c>
      <c r="Q26" s="86">
        <v>3.45</v>
      </c>
      <c r="R26" s="85">
        <v>3.45</v>
      </c>
      <c r="S26" s="87">
        <v>1996170</v>
      </c>
      <c r="T26" s="1">
        <v>7</v>
      </c>
      <c r="U26" s="88">
        <v>578600</v>
      </c>
      <c r="V26" s="59">
        <v>1.7283097131005876</v>
      </c>
      <c r="X26" s="98">
        <v>3.45</v>
      </c>
      <c r="Y26" s="97">
        <v>609.15072463768115</v>
      </c>
    </row>
    <row r="27" spans="1:25">
      <c r="A27" s="58">
        <v>26</v>
      </c>
      <c r="B27" s="58">
        <v>26</v>
      </c>
      <c r="C27" s="58" t="s">
        <v>252</v>
      </c>
      <c r="D27" s="58" t="s">
        <v>253</v>
      </c>
      <c r="E27" s="58" t="s">
        <v>253</v>
      </c>
      <c r="F27" s="58" t="s">
        <v>254</v>
      </c>
      <c r="G27" s="58" t="s">
        <v>255</v>
      </c>
      <c r="H27" s="58" t="s">
        <v>179</v>
      </c>
      <c r="I27">
        <v>38000</v>
      </c>
      <c r="J27">
        <v>38000</v>
      </c>
      <c r="K27" s="58" t="s">
        <v>185</v>
      </c>
      <c r="L27" s="74">
        <v>4.9939999999999998</v>
      </c>
      <c r="M27" s="85">
        <v>5</v>
      </c>
      <c r="N27" s="74">
        <v>0.21099999999999999</v>
      </c>
      <c r="O27">
        <v>1</v>
      </c>
      <c r="P27" s="84">
        <v>0.21099999999999999</v>
      </c>
      <c r="Q27" s="86">
        <v>3.45</v>
      </c>
      <c r="R27" s="85">
        <v>3.45</v>
      </c>
      <c r="S27" s="87">
        <v>699140</v>
      </c>
      <c r="T27" s="1">
        <v>4</v>
      </c>
      <c r="U27" s="88">
        <v>202649.27536231882</v>
      </c>
      <c r="V27" s="59">
        <v>4.9346339788883489</v>
      </c>
      <c r="X27" s="98">
        <v>3.45</v>
      </c>
      <c r="Y27" s="97">
        <v>578.6</v>
      </c>
    </row>
    <row r="28" spans="1:25">
      <c r="A28" s="58">
        <v>27</v>
      </c>
      <c r="B28" s="58">
        <v>27</v>
      </c>
      <c r="C28" s="58" t="s">
        <v>256</v>
      </c>
      <c r="D28" s="58" t="s">
        <v>215</v>
      </c>
      <c r="E28" s="58" t="s">
        <v>215</v>
      </c>
      <c r="F28" s="58" t="s">
        <v>257</v>
      </c>
      <c r="G28" s="58" t="s">
        <v>258</v>
      </c>
      <c r="H28" s="58" t="s">
        <v>179</v>
      </c>
      <c r="I28">
        <v>38000</v>
      </c>
      <c r="J28">
        <v>38000</v>
      </c>
      <c r="K28">
        <v>20000</v>
      </c>
      <c r="L28" s="74">
        <v>12.641</v>
      </c>
      <c r="M28" s="85">
        <v>13</v>
      </c>
      <c r="N28" s="74">
        <v>0.28100000000000003</v>
      </c>
      <c r="O28">
        <v>1</v>
      </c>
      <c r="P28" s="84">
        <v>0.28100000000000003</v>
      </c>
      <c r="Q28" s="86">
        <v>3.45</v>
      </c>
      <c r="R28" s="85">
        <v>3.45</v>
      </c>
      <c r="S28" s="87">
        <v>1545240</v>
      </c>
      <c r="T28" s="1">
        <v>1</v>
      </c>
      <c r="U28" s="88">
        <v>447895.65217391303</v>
      </c>
      <c r="V28" s="59">
        <v>2.2326628873184746</v>
      </c>
      <c r="X28" s="98">
        <v>3.45</v>
      </c>
      <c r="Y28" s="97">
        <v>202.64927536231883</v>
      </c>
    </row>
    <row r="29" spans="1:25">
      <c r="A29" s="58">
        <v>28</v>
      </c>
      <c r="B29" s="58">
        <v>28</v>
      </c>
      <c r="C29" s="58" t="s">
        <v>259</v>
      </c>
      <c r="D29" s="58" t="s">
        <v>176</v>
      </c>
      <c r="E29" s="58" t="s">
        <v>176</v>
      </c>
      <c r="F29" s="58" t="s">
        <v>257</v>
      </c>
      <c r="G29" s="58" t="s">
        <v>258</v>
      </c>
      <c r="H29" s="58" t="s">
        <v>179</v>
      </c>
      <c r="I29">
        <v>38000</v>
      </c>
      <c r="J29">
        <v>38000</v>
      </c>
      <c r="K29">
        <v>20000</v>
      </c>
      <c r="L29" s="74">
        <v>12.848000000000001</v>
      </c>
      <c r="M29" s="85">
        <v>13</v>
      </c>
      <c r="N29" s="74">
        <v>0.13400000000000001</v>
      </c>
      <c r="O29">
        <v>1</v>
      </c>
      <c r="P29" s="84">
        <v>0.13400000000000001</v>
      </c>
      <c r="Q29" s="86">
        <v>3.45</v>
      </c>
      <c r="R29" s="85">
        <v>3.45</v>
      </c>
      <c r="S29" s="87">
        <v>1545240</v>
      </c>
      <c r="T29" s="1">
        <v>1</v>
      </c>
      <c r="U29" s="88">
        <v>447895.65217391303</v>
      </c>
      <c r="V29" s="59">
        <v>2.2326628873184746</v>
      </c>
      <c r="X29" s="98">
        <v>3.45</v>
      </c>
      <c r="Y29" s="97">
        <v>447.89565217391305</v>
      </c>
    </row>
    <row r="30" spans="1:25">
      <c r="A30" s="58">
        <v>29</v>
      </c>
      <c r="B30" s="58">
        <v>29</v>
      </c>
      <c r="C30" s="58" t="s">
        <v>260</v>
      </c>
      <c r="D30" s="58" t="s">
        <v>215</v>
      </c>
      <c r="E30" s="58" t="s">
        <v>215</v>
      </c>
      <c r="F30" s="58" t="s">
        <v>225</v>
      </c>
      <c r="G30" s="58" t="s">
        <v>226</v>
      </c>
      <c r="H30" s="58" t="s">
        <v>179</v>
      </c>
      <c r="I30">
        <v>38000</v>
      </c>
      <c r="J30">
        <v>38000</v>
      </c>
      <c r="K30">
        <v>20000</v>
      </c>
      <c r="L30" s="74">
        <v>12.044</v>
      </c>
      <c r="M30" s="85">
        <v>13</v>
      </c>
      <c r="N30" s="74">
        <v>0.17</v>
      </c>
      <c r="O30">
        <v>1</v>
      </c>
      <c r="P30" s="84">
        <v>0.17</v>
      </c>
      <c r="Q30" s="86">
        <v>3.45</v>
      </c>
      <c r="R30" s="85">
        <v>3.45</v>
      </c>
      <c r="S30" s="87">
        <v>1545240</v>
      </c>
      <c r="T30" s="1">
        <v>1</v>
      </c>
      <c r="U30" s="88">
        <v>447895.65217391303</v>
      </c>
      <c r="V30" s="59">
        <v>2.2326628873184746</v>
      </c>
      <c r="X30" s="98">
        <v>3.45</v>
      </c>
      <c r="Y30" s="97">
        <v>447.89565217391305</v>
      </c>
    </row>
    <row r="31" spans="1:25">
      <c r="A31" s="58">
        <v>30</v>
      </c>
      <c r="B31" s="58">
        <v>30</v>
      </c>
      <c r="C31" s="58" t="s">
        <v>261</v>
      </c>
      <c r="D31" s="58" t="s">
        <v>176</v>
      </c>
      <c r="E31" s="58" t="s">
        <v>176</v>
      </c>
      <c r="F31" s="58" t="s">
        <v>262</v>
      </c>
      <c r="G31" s="58" t="s">
        <v>263</v>
      </c>
      <c r="H31" s="58" t="s">
        <v>179</v>
      </c>
      <c r="I31">
        <v>38000</v>
      </c>
      <c r="J31" s="58" t="s">
        <v>185</v>
      </c>
      <c r="K31">
        <v>38000</v>
      </c>
      <c r="L31" s="74">
        <v>13.637</v>
      </c>
      <c r="M31" s="85">
        <v>14</v>
      </c>
      <c r="N31" s="74">
        <v>0.496</v>
      </c>
      <c r="O31">
        <v>1</v>
      </c>
      <c r="P31" s="84">
        <v>0.496</v>
      </c>
      <c r="Q31" s="86">
        <v>3.45</v>
      </c>
      <c r="R31" s="85">
        <v>3.45</v>
      </c>
      <c r="S31" s="87">
        <v>1597940</v>
      </c>
      <c r="T31" s="1">
        <v>1</v>
      </c>
      <c r="U31" s="88">
        <v>463171.0144927536</v>
      </c>
      <c r="V31" s="59">
        <v>2.1590297508041605</v>
      </c>
      <c r="X31" s="98">
        <v>3.45</v>
      </c>
      <c r="Y31" s="97">
        <v>447.89565217391305</v>
      </c>
    </row>
    <row r="32" spans="1:25">
      <c r="A32" s="58">
        <v>31</v>
      </c>
      <c r="B32" s="58">
        <v>31</v>
      </c>
      <c r="C32" s="58" t="s">
        <v>264</v>
      </c>
      <c r="D32" s="58" t="s">
        <v>176</v>
      </c>
      <c r="E32" s="58" t="s">
        <v>176</v>
      </c>
      <c r="F32" s="58" t="s">
        <v>265</v>
      </c>
      <c r="G32" s="58" t="s">
        <v>266</v>
      </c>
      <c r="H32" s="58" t="s">
        <v>179</v>
      </c>
      <c r="I32">
        <v>38000</v>
      </c>
      <c r="J32">
        <v>38000</v>
      </c>
      <c r="K32" s="58" t="s">
        <v>185</v>
      </c>
      <c r="L32" s="74">
        <v>12.786</v>
      </c>
      <c r="M32" s="85">
        <v>13</v>
      </c>
      <c r="N32" s="74">
        <v>0.35099999999999998</v>
      </c>
      <c r="O32">
        <v>1</v>
      </c>
      <c r="P32" s="84">
        <v>0.35099999999999998</v>
      </c>
      <c r="Q32" s="86">
        <v>3.45</v>
      </c>
      <c r="R32" s="85">
        <v>3.45</v>
      </c>
      <c r="S32" s="87">
        <v>1545240</v>
      </c>
      <c r="T32" s="1">
        <v>1</v>
      </c>
      <c r="U32" s="88">
        <v>447895.65217391303</v>
      </c>
      <c r="V32" s="59">
        <v>2.2326628873184746</v>
      </c>
      <c r="X32" s="98">
        <v>3.45</v>
      </c>
      <c r="Y32" s="97">
        <v>463.17101449275361</v>
      </c>
    </row>
    <row r="33" spans="1:25">
      <c r="A33" s="58">
        <v>32</v>
      </c>
      <c r="B33" s="58">
        <v>32</v>
      </c>
      <c r="C33" s="58" t="s">
        <v>267</v>
      </c>
      <c r="D33" s="58" t="s">
        <v>176</v>
      </c>
      <c r="E33" s="58" t="s">
        <v>176</v>
      </c>
      <c r="F33" s="58" t="s">
        <v>265</v>
      </c>
      <c r="G33" s="58" t="s">
        <v>266</v>
      </c>
      <c r="H33" s="58" t="s">
        <v>179</v>
      </c>
      <c r="I33">
        <v>38000</v>
      </c>
      <c r="J33">
        <v>38000</v>
      </c>
      <c r="K33" s="58" t="s">
        <v>185</v>
      </c>
      <c r="L33" s="74">
        <v>14.48</v>
      </c>
      <c r="M33" s="85">
        <v>15</v>
      </c>
      <c r="N33" s="74">
        <v>0.438</v>
      </c>
      <c r="O33">
        <v>1</v>
      </c>
      <c r="P33" s="84">
        <v>0.438</v>
      </c>
      <c r="Q33" s="86">
        <v>3.45</v>
      </c>
      <c r="R33" s="85">
        <v>3.45</v>
      </c>
      <c r="S33" s="87">
        <v>1650640</v>
      </c>
      <c r="T33" s="1">
        <v>1</v>
      </c>
      <c r="U33" s="88">
        <v>478446.37681159418</v>
      </c>
      <c r="V33" s="59">
        <v>2.0900983860805504</v>
      </c>
      <c r="X33" s="98">
        <v>3.45</v>
      </c>
      <c r="Y33" s="97">
        <v>447.89565217391305</v>
      </c>
    </row>
    <row r="34" spans="1:25">
      <c r="A34" s="58">
        <v>33</v>
      </c>
      <c r="B34" s="58">
        <v>33</v>
      </c>
      <c r="C34" s="58" t="s">
        <v>268</v>
      </c>
      <c r="D34" s="58" t="s">
        <v>176</v>
      </c>
      <c r="E34" s="58" t="s">
        <v>176</v>
      </c>
      <c r="F34" s="58" t="s">
        <v>269</v>
      </c>
      <c r="G34" s="58" t="s">
        <v>270</v>
      </c>
      <c r="H34" s="58" t="s">
        <v>179</v>
      </c>
      <c r="I34">
        <v>38000</v>
      </c>
      <c r="J34">
        <v>38000</v>
      </c>
      <c r="K34">
        <v>20000</v>
      </c>
      <c r="L34" s="74">
        <v>11.712999999999999</v>
      </c>
      <c r="M34" s="85">
        <v>12</v>
      </c>
      <c r="N34" s="74">
        <v>0.121</v>
      </c>
      <c r="O34">
        <v>1</v>
      </c>
      <c r="P34" s="84">
        <v>0.121</v>
      </c>
      <c r="Q34" s="86">
        <v>3.45</v>
      </c>
      <c r="R34" s="85">
        <v>3.45</v>
      </c>
      <c r="S34" s="87">
        <v>1492540</v>
      </c>
      <c r="T34" s="1">
        <v>1</v>
      </c>
      <c r="U34" s="88">
        <v>432620.28985507245</v>
      </c>
      <c r="V34" s="59">
        <v>2.3114958393074891</v>
      </c>
      <c r="X34" s="98">
        <v>3.45</v>
      </c>
      <c r="Y34" s="97">
        <v>478.44637681159418</v>
      </c>
    </row>
    <row r="35" spans="1:25">
      <c r="A35" s="58">
        <v>34</v>
      </c>
      <c r="B35" s="58">
        <v>34</v>
      </c>
      <c r="C35" s="58" t="s">
        <v>271</v>
      </c>
      <c r="D35" s="58" t="s">
        <v>176</v>
      </c>
      <c r="E35" s="58" t="s">
        <v>176</v>
      </c>
      <c r="F35" s="58" t="s">
        <v>272</v>
      </c>
      <c r="G35" s="58" t="s">
        <v>273</v>
      </c>
      <c r="H35" s="58" t="s">
        <v>179</v>
      </c>
      <c r="I35">
        <v>38000</v>
      </c>
      <c r="J35">
        <v>38000</v>
      </c>
      <c r="K35" s="58" t="s">
        <v>185</v>
      </c>
      <c r="L35" s="74">
        <v>11.301</v>
      </c>
      <c r="M35" s="85">
        <v>12</v>
      </c>
      <c r="N35" s="74">
        <v>0.23699999999999999</v>
      </c>
      <c r="O35">
        <v>1</v>
      </c>
      <c r="P35" s="84">
        <v>0.23699999999999999</v>
      </c>
      <c r="Q35" s="86">
        <v>3.45</v>
      </c>
      <c r="R35" s="85">
        <v>3.45</v>
      </c>
      <c r="S35" s="87">
        <v>1492540</v>
      </c>
      <c r="T35" s="1">
        <v>1</v>
      </c>
      <c r="U35" s="88">
        <v>432620.28985507245</v>
      </c>
      <c r="V35" s="59">
        <v>2.3114958393074891</v>
      </c>
      <c r="X35" s="98">
        <v>3.45</v>
      </c>
      <c r="Y35" s="97">
        <v>432.62028985507243</v>
      </c>
    </row>
    <row r="36" spans="1:25">
      <c r="A36" s="58">
        <v>35</v>
      </c>
      <c r="B36" s="58">
        <v>35</v>
      </c>
      <c r="C36" s="58" t="s">
        <v>274</v>
      </c>
      <c r="D36" s="58" t="s">
        <v>176</v>
      </c>
      <c r="E36" s="58" t="s">
        <v>176</v>
      </c>
      <c r="F36" s="58" t="s">
        <v>265</v>
      </c>
      <c r="G36" s="58" t="s">
        <v>266</v>
      </c>
      <c r="H36" s="58" t="s">
        <v>179</v>
      </c>
      <c r="I36">
        <v>38000</v>
      </c>
      <c r="J36">
        <v>38000</v>
      </c>
      <c r="K36" s="58" t="s">
        <v>185</v>
      </c>
      <c r="L36" s="74">
        <v>15.65</v>
      </c>
      <c r="M36" s="85">
        <v>16</v>
      </c>
      <c r="N36" s="74">
        <v>0.26200000000000001</v>
      </c>
      <c r="O36">
        <v>1</v>
      </c>
      <c r="P36" s="84">
        <v>0.26200000000000001</v>
      </c>
      <c r="Q36" s="86">
        <v>3.45</v>
      </c>
      <c r="R36" s="85">
        <v>3.45</v>
      </c>
      <c r="S36" s="87">
        <v>1703340</v>
      </c>
      <c r="T36" s="1">
        <v>1</v>
      </c>
      <c r="U36" s="88">
        <v>493721.73913043475</v>
      </c>
      <c r="V36" s="59">
        <v>2.0254323857832257</v>
      </c>
      <c r="X36" s="98">
        <v>3.45</v>
      </c>
      <c r="Y36" s="97">
        <v>432.62028985507243</v>
      </c>
    </row>
    <row r="37" spans="1:25">
      <c r="A37" s="58">
        <v>36</v>
      </c>
      <c r="B37" s="58">
        <v>36</v>
      </c>
      <c r="C37" s="58" t="s">
        <v>275</v>
      </c>
      <c r="D37" s="58" t="s">
        <v>176</v>
      </c>
      <c r="E37" s="58" t="s">
        <v>176</v>
      </c>
      <c r="F37" s="58" t="s">
        <v>177</v>
      </c>
      <c r="G37" s="58" t="s">
        <v>178</v>
      </c>
      <c r="H37" s="58" t="s">
        <v>179</v>
      </c>
      <c r="I37">
        <v>38000</v>
      </c>
      <c r="J37">
        <v>38000</v>
      </c>
      <c r="K37">
        <v>20000</v>
      </c>
      <c r="L37" s="74">
        <v>4.0910000000000002</v>
      </c>
      <c r="M37" s="85">
        <v>5</v>
      </c>
      <c r="N37" s="74">
        <v>0.56699999999999995</v>
      </c>
      <c r="O37">
        <v>1</v>
      </c>
      <c r="P37" s="84">
        <v>0.56699999999999995</v>
      </c>
      <c r="Q37" s="86">
        <v>3.45</v>
      </c>
      <c r="R37" s="85">
        <v>3.45</v>
      </c>
      <c r="S37" s="87">
        <v>699140</v>
      </c>
      <c r="T37" s="1">
        <v>4</v>
      </c>
      <c r="U37" s="88">
        <v>202649.27536231882</v>
      </c>
      <c r="V37" s="59">
        <v>4.9346339788883489</v>
      </c>
      <c r="X37" s="98">
        <v>3.45</v>
      </c>
      <c r="Y37" s="97">
        <v>493.72173913043474</v>
      </c>
    </row>
    <row r="38" spans="1:25">
      <c r="A38" s="58">
        <v>37</v>
      </c>
      <c r="B38" s="58">
        <v>37</v>
      </c>
      <c r="C38" s="58" t="s">
        <v>276</v>
      </c>
      <c r="D38" s="58" t="s">
        <v>176</v>
      </c>
      <c r="E38" s="58" t="s">
        <v>176</v>
      </c>
      <c r="F38" s="58" t="s">
        <v>262</v>
      </c>
      <c r="G38" s="58" t="s">
        <v>263</v>
      </c>
      <c r="H38" s="58" t="s">
        <v>179</v>
      </c>
      <c r="I38">
        <v>38000</v>
      </c>
      <c r="J38" s="58" t="s">
        <v>185</v>
      </c>
      <c r="K38">
        <v>38000</v>
      </c>
      <c r="L38" s="74">
        <v>2.79</v>
      </c>
      <c r="M38" s="85">
        <v>3</v>
      </c>
      <c r="N38" s="74">
        <v>0.39900000000000002</v>
      </c>
      <c r="O38">
        <v>1</v>
      </c>
      <c r="P38" s="84">
        <v>0.39900000000000002</v>
      </c>
      <c r="Q38" s="86">
        <v>3.45</v>
      </c>
      <c r="R38" s="85">
        <v>3.45</v>
      </c>
      <c r="S38" s="87">
        <v>558600</v>
      </c>
      <c r="T38" s="1">
        <v>4</v>
      </c>
      <c r="U38" s="88">
        <v>161913.04347826086</v>
      </c>
      <c r="V38" s="59">
        <v>6.176154672395274</v>
      </c>
      <c r="X38" s="98">
        <v>3.45</v>
      </c>
      <c r="Y38" s="97">
        <v>202.64927536231883</v>
      </c>
    </row>
    <row r="39" spans="1:25">
      <c r="A39" s="58">
        <v>38</v>
      </c>
      <c r="B39" s="58">
        <v>38</v>
      </c>
      <c r="C39" s="58" t="s">
        <v>277</v>
      </c>
      <c r="D39" s="58" t="s">
        <v>176</v>
      </c>
      <c r="E39" s="58" t="s">
        <v>176</v>
      </c>
      <c r="F39" s="58" t="s">
        <v>262</v>
      </c>
      <c r="G39" s="58" t="s">
        <v>263</v>
      </c>
      <c r="H39" s="58" t="s">
        <v>179</v>
      </c>
      <c r="I39">
        <v>38000</v>
      </c>
      <c r="J39" s="58" t="s">
        <v>185</v>
      </c>
      <c r="K39">
        <v>38000</v>
      </c>
      <c r="L39" s="74">
        <v>14.268000000000001</v>
      </c>
      <c r="M39" s="85">
        <v>15</v>
      </c>
      <c r="N39" s="74">
        <v>0.109</v>
      </c>
      <c r="O39">
        <v>1</v>
      </c>
      <c r="P39" s="84">
        <v>0.109</v>
      </c>
      <c r="Q39" s="86">
        <v>3.45</v>
      </c>
      <c r="R39" s="85">
        <v>3.45</v>
      </c>
      <c r="S39" s="87">
        <v>1650640</v>
      </c>
      <c r="T39" s="1">
        <v>1</v>
      </c>
      <c r="U39" s="88">
        <v>478446.37681159418</v>
      </c>
      <c r="V39" s="59">
        <v>2.0900983860805504</v>
      </c>
      <c r="X39" s="98">
        <v>3.45</v>
      </c>
      <c r="Y39" s="97">
        <v>161.91304347826085</v>
      </c>
    </row>
    <row r="40" spans="1:25">
      <c r="A40" s="58">
        <v>39</v>
      </c>
      <c r="B40" s="58">
        <v>39</v>
      </c>
      <c r="C40" s="58" t="s">
        <v>278</v>
      </c>
      <c r="D40" s="58" t="s">
        <v>176</v>
      </c>
      <c r="E40" s="58" t="s">
        <v>176</v>
      </c>
      <c r="F40" s="58" t="s">
        <v>262</v>
      </c>
      <c r="G40" s="58" t="s">
        <v>263</v>
      </c>
      <c r="H40" s="58" t="s">
        <v>179</v>
      </c>
      <c r="I40">
        <v>38000</v>
      </c>
      <c r="J40" s="58" t="s">
        <v>185</v>
      </c>
      <c r="K40">
        <v>38000</v>
      </c>
      <c r="L40" s="74">
        <v>9.7449999999999992</v>
      </c>
      <c r="M40" s="85">
        <v>10</v>
      </c>
      <c r="N40" s="74">
        <v>0.123</v>
      </c>
      <c r="O40">
        <v>1</v>
      </c>
      <c r="P40" s="84">
        <v>0.123</v>
      </c>
      <c r="Q40" s="86">
        <v>3.45</v>
      </c>
      <c r="R40" s="85">
        <v>3.45</v>
      </c>
      <c r="S40" s="87">
        <v>1387140</v>
      </c>
      <c r="T40" s="1">
        <v>1</v>
      </c>
      <c r="U40" s="88">
        <v>402069.5652173913</v>
      </c>
      <c r="V40" s="59">
        <v>2.487131796357974</v>
      </c>
      <c r="X40" s="98">
        <v>3.45</v>
      </c>
      <c r="Y40" s="97">
        <v>478.44637681159418</v>
      </c>
    </row>
    <row r="41" spans="1:25">
      <c r="A41" s="58">
        <v>40</v>
      </c>
      <c r="B41" s="58">
        <v>40</v>
      </c>
      <c r="C41" s="58" t="s">
        <v>279</v>
      </c>
      <c r="D41" s="58" t="s">
        <v>176</v>
      </c>
      <c r="E41" s="58" t="s">
        <v>176</v>
      </c>
      <c r="F41" s="58" t="s">
        <v>262</v>
      </c>
      <c r="G41" s="58" t="s">
        <v>263</v>
      </c>
      <c r="H41" s="58" t="s">
        <v>179</v>
      </c>
      <c r="I41">
        <v>38000</v>
      </c>
      <c r="J41" s="58" t="s">
        <v>185</v>
      </c>
      <c r="K41">
        <v>38000</v>
      </c>
      <c r="L41" s="74">
        <v>9.6120000000000001</v>
      </c>
      <c r="M41" s="85">
        <v>10</v>
      </c>
      <c r="N41" s="74">
        <v>9.9000000000000005E-2</v>
      </c>
      <c r="O41">
        <v>1</v>
      </c>
      <c r="P41" s="84">
        <v>9.9000000000000005E-2</v>
      </c>
      <c r="Q41" s="86">
        <v>3.45</v>
      </c>
      <c r="R41" s="85">
        <v>3.45</v>
      </c>
      <c r="S41" s="87">
        <v>1387140</v>
      </c>
      <c r="T41" s="1">
        <v>1</v>
      </c>
      <c r="U41" s="88">
        <v>402069.5652173913</v>
      </c>
      <c r="V41" s="59">
        <v>2.487131796357974</v>
      </c>
      <c r="X41" s="98">
        <v>3.45</v>
      </c>
      <c r="Y41" s="97">
        <v>402.0695652173913</v>
      </c>
    </row>
    <row r="42" spans="1:25">
      <c r="A42" s="58">
        <v>41</v>
      </c>
      <c r="B42" s="58">
        <v>41</v>
      </c>
      <c r="C42" s="58" t="s">
        <v>280</v>
      </c>
      <c r="D42" s="58" t="s">
        <v>176</v>
      </c>
      <c r="E42" s="58" t="s">
        <v>176</v>
      </c>
      <c r="F42" s="58" t="s">
        <v>262</v>
      </c>
      <c r="G42" s="58" t="s">
        <v>263</v>
      </c>
      <c r="H42" s="58" t="s">
        <v>179</v>
      </c>
      <c r="I42">
        <v>38000</v>
      </c>
      <c r="J42" s="58" t="s">
        <v>185</v>
      </c>
      <c r="K42">
        <v>38000</v>
      </c>
      <c r="L42" s="74">
        <v>15.118</v>
      </c>
      <c r="M42" s="85">
        <v>16</v>
      </c>
      <c r="N42" s="74">
        <v>0.109</v>
      </c>
      <c r="O42">
        <v>1</v>
      </c>
      <c r="P42" s="84">
        <v>0.109</v>
      </c>
      <c r="Q42" s="86">
        <v>3.45</v>
      </c>
      <c r="R42" s="85">
        <v>3.45</v>
      </c>
      <c r="S42" s="87">
        <v>1703340</v>
      </c>
      <c r="T42" s="1">
        <v>1</v>
      </c>
      <c r="U42" s="88">
        <v>493721.73913043475</v>
      </c>
      <c r="V42" s="59">
        <v>2.0254323857832257</v>
      </c>
      <c r="X42" s="98">
        <v>3.45</v>
      </c>
      <c r="Y42" s="97">
        <v>402.0695652173913</v>
      </c>
    </row>
    <row r="43" spans="1:25">
      <c r="A43" s="58">
        <v>42</v>
      </c>
      <c r="B43" s="58">
        <v>42</v>
      </c>
      <c r="C43" s="58" t="s">
        <v>281</v>
      </c>
      <c r="D43" s="58" t="s">
        <v>215</v>
      </c>
      <c r="E43" s="58" t="s">
        <v>215</v>
      </c>
      <c r="F43" s="58" t="s">
        <v>257</v>
      </c>
      <c r="G43" s="58" t="s">
        <v>258</v>
      </c>
      <c r="H43" s="58" t="s">
        <v>179</v>
      </c>
      <c r="I43">
        <v>38000</v>
      </c>
      <c r="J43">
        <v>38000</v>
      </c>
      <c r="K43">
        <v>20000</v>
      </c>
      <c r="L43" s="74">
        <v>1.996</v>
      </c>
      <c r="M43" s="85">
        <v>2</v>
      </c>
      <c r="N43" s="74">
        <v>0.14000000000000001</v>
      </c>
      <c r="O43">
        <v>1</v>
      </c>
      <c r="P43" s="84">
        <v>0.14000000000000001</v>
      </c>
      <c r="Q43" s="86">
        <v>3.45</v>
      </c>
      <c r="R43" s="85">
        <v>3.45</v>
      </c>
      <c r="S43" s="87">
        <v>488330</v>
      </c>
      <c r="T43" s="1">
        <v>4</v>
      </c>
      <c r="U43" s="88">
        <v>141544.92753623187</v>
      </c>
      <c r="V43" s="59">
        <v>7.0648946409190509</v>
      </c>
      <c r="X43" s="98">
        <v>3.45</v>
      </c>
      <c r="Y43" s="97">
        <v>493.72173913043474</v>
      </c>
    </row>
    <row r="44" spans="1:25">
      <c r="A44" s="58">
        <v>43</v>
      </c>
      <c r="B44" s="58">
        <v>43</v>
      </c>
      <c r="C44" s="58" t="s">
        <v>282</v>
      </c>
      <c r="D44" s="58" t="s">
        <v>215</v>
      </c>
      <c r="E44" s="58" t="s">
        <v>215</v>
      </c>
      <c r="F44" s="58" t="s">
        <v>257</v>
      </c>
      <c r="G44" s="58" t="s">
        <v>258</v>
      </c>
      <c r="H44" s="58" t="s">
        <v>179</v>
      </c>
      <c r="I44">
        <v>38000</v>
      </c>
      <c r="J44">
        <v>38000</v>
      </c>
      <c r="K44">
        <v>20000</v>
      </c>
      <c r="L44" s="74">
        <v>2.3929999999999998</v>
      </c>
      <c r="M44" s="85">
        <v>3</v>
      </c>
      <c r="N44" s="74">
        <v>9.2999999999999999E-2</v>
      </c>
      <c r="O44">
        <v>1</v>
      </c>
      <c r="P44" s="84">
        <v>9.2999999999999999E-2</v>
      </c>
      <c r="Q44" s="86">
        <v>3.45</v>
      </c>
      <c r="R44" s="85">
        <v>3.45</v>
      </c>
      <c r="S44" s="87">
        <v>558600</v>
      </c>
      <c r="T44" s="1">
        <v>4</v>
      </c>
      <c r="U44" s="88">
        <v>161913.04347826086</v>
      </c>
      <c r="V44" s="59">
        <v>6.176154672395274</v>
      </c>
      <c r="X44" s="98">
        <v>3.45</v>
      </c>
      <c r="Y44" s="97">
        <v>141.54492753623188</v>
      </c>
    </row>
    <row r="45" spans="1:25">
      <c r="A45" s="58">
        <v>44</v>
      </c>
      <c r="B45" s="58">
        <v>44</v>
      </c>
      <c r="C45" s="58" t="s">
        <v>283</v>
      </c>
      <c r="D45" s="58" t="s">
        <v>215</v>
      </c>
      <c r="E45" s="58" t="s">
        <v>176</v>
      </c>
      <c r="F45" s="58" t="s">
        <v>257</v>
      </c>
      <c r="G45" s="58" t="s">
        <v>258</v>
      </c>
      <c r="H45" s="58" t="s">
        <v>179</v>
      </c>
      <c r="I45">
        <v>38000</v>
      </c>
      <c r="J45">
        <v>38000</v>
      </c>
      <c r="K45">
        <v>20000</v>
      </c>
      <c r="L45" s="74">
        <v>4.3159999999999998</v>
      </c>
      <c r="M45" s="85">
        <v>5</v>
      </c>
      <c r="N45" s="74">
        <v>0.219</v>
      </c>
      <c r="O45">
        <v>1</v>
      </c>
      <c r="P45" s="84">
        <v>0.219</v>
      </c>
      <c r="Q45" s="86">
        <v>3.45</v>
      </c>
      <c r="R45" s="85">
        <v>3.45</v>
      </c>
      <c r="S45" s="87">
        <v>699140</v>
      </c>
      <c r="T45" s="1">
        <v>4</v>
      </c>
      <c r="U45" s="88">
        <v>202649.27536231882</v>
      </c>
      <c r="V45" s="59">
        <v>4.9346339788883489</v>
      </c>
      <c r="X45" s="98">
        <v>3.45</v>
      </c>
      <c r="Y45" s="97">
        <v>161.91304347826085</v>
      </c>
    </row>
    <row r="46" spans="1:25">
      <c r="A46" s="58">
        <v>45</v>
      </c>
      <c r="B46" s="58">
        <v>45</v>
      </c>
      <c r="C46" s="58" t="s">
        <v>284</v>
      </c>
      <c r="D46" s="58" t="s">
        <v>176</v>
      </c>
      <c r="E46" s="58" t="s">
        <v>176</v>
      </c>
      <c r="F46" s="58" t="s">
        <v>285</v>
      </c>
      <c r="G46" s="58" t="s">
        <v>286</v>
      </c>
      <c r="H46" s="58" t="s">
        <v>179</v>
      </c>
      <c r="I46">
        <v>38000</v>
      </c>
      <c r="J46">
        <v>38000</v>
      </c>
      <c r="K46">
        <v>20000</v>
      </c>
      <c r="L46" s="74">
        <v>4.375</v>
      </c>
      <c r="M46" s="85">
        <v>5</v>
      </c>
      <c r="N46" s="74">
        <v>0.16300000000000001</v>
      </c>
      <c r="O46">
        <v>1</v>
      </c>
      <c r="P46" s="84">
        <v>0.16300000000000001</v>
      </c>
      <c r="Q46" s="86">
        <v>3.45</v>
      </c>
      <c r="R46" s="85">
        <v>3.45</v>
      </c>
      <c r="S46" s="87">
        <v>699140</v>
      </c>
      <c r="T46" s="1">
        <v>4</v>
      </c>
      <c r="U46" s="88">
        <v>202649.27536231882</v>
      </c>
      <c r="V46" s="59">
        <v>4.9346339788883489</v>
      </c>
      <c r="X46" s="98">
        <v>3.45</v>
      </c>
      <c r="Y46" s="97">
        <v>202.64927536231883</v>
      </c>
    </row>
    <row r="47" spans="1:25">
      <c r="A47" s="58">
        <v>46</v>
      </c>
      <c r="B47" s="58">
        <v>46</v>
      </c>
      <c r="C47" s="58" t="s">
        <v>287</v>
      </c>
      <c r="D47" s="58" t="s">
        <v>176</v>
      </c>
      <c r="E47" s="58" t="s">
        <v>176</v>
      </c>
      <c r="F47" s="58" t="s">
        <v>285</v>
      </c>
      <c r="G47" s="58" t="s">
        <v>286</v>
      </c>
      <c r="H47" s="58" t="s">
        <v>179</v>
      </c>
      <c r="I47">
        <v>38000</v>
      </c>
      <c r="J47">
        <v>38000</v>
      </c>
      <c r="K47">
        <v>20000</v>
      </c>
      <c r="L47" s="74">
        <v>5.5890000000000004</v>
      </c>
      <c r="M47" s="85">
        <v>6</v>
      </c>
      <c r="N47" s="74">
        <v>0.25600000000000001</v>
      </c>
      <c r="O47">
        <v>1</v>
      </c>
      <c r="P47" s="84">
        <v>0.25600000000000001</v>
      </c>
      <c r="Q47" s="86">
        <v>3.45</v>
      </c>
      <c r="R47" s="85">
        <v>3.45</v>
      </c>
      <c r="S47" s="87">
        <v>769410</v>
      </c>
      <c r="T47" s="1">
        <v>4</v>
      </c>
      <c r="U47" s="88">
        <v>223017.39130434781</v>
      </c>
      <c r="V47" s="59">
        <v>4.4839552384294459</v>
      </c>
      <c r="X47" s="98">
        <v>3.45</v>
      </c>
      <c r="Y47" s="97">
        <v>202.64927536231883</v>
      </c>
    </row>
    <row r="48" spans="1:25">
      <c r="A48" s="58">
        <v>47</v>
      </c>
      <c r="B48" s="58">
        <v>47</v>
      </c>
      <c r="C48" s="58" t="s">
        <v>288</v>
      </c>
      <c r="D48" s="58" t="s">
        <v>176</v>
      </c>
      <c r="E48" s="58" t="s">
        <v>176</v>
      </c>
      <c r="F48" s="58" t="s">
        <v>222</v>
      </c>
      <c r="G48" s="58" t="s">
        <v>223</v>
      </c>
      <c r="H48" s="58" t="s">
        <v>179</v>
      </c>
      <c r="I48">
        <v>38000</v>
      </c>
      <c r="J48">
        <v>38000</v>
      </c>
      <c r="K48">
        <v>20000</v>
      </c>
      <c r="L48" s="74">
        <v>10.077</v>
      </c>
      <c r="M48" s="85">
        <v>11</v>
      </c>
      <c r="N48" s="74">
        <v>0.34899999999999998</v>
      </c>
      <c r="O48">
        <v>1</v>
      </c>
      <c r="P48" s="84">
        <v>0.34899999999999998</v>
      </c>
      <c r="Q48" s="86">
        <v>3.45</v>
      </c>
      <c r="R48" s="85">
        <v>3.45</v>
      </c>
      <c r="S48" s="87">
        <v>1439840</v>
      </c>
      <c r="T48" s="1">
        <v>1</v>
      </c>
      <c r="U48" s="88">
        <v>417344.92753623187</v>
      </c>
      <c r="V48" s="59">
        <v>2.396099566618513</v>
      </c>
      <c r="X48" s="98">
        <v>3.45</v>
      </c>
      <c r="Y48" s="97">
        <v>223.0173913043478</v>
      </c>
    </row>
    <row r="49" spans="1:25">
      <c r="A49" s="58">
        <v>48</v>
      </c>
      <c r="B49" s="58">
        <v>48</v>
      </c>
      <c r="C49" s="58" t="s">
        <v>289</v>
      </c>
      <c r="D49" s="58" t="s">
        <v>176</v>
      </c>
      <c r="E49" s="58" t="s">
        <v>176</v>
      </c>
      <c r="F49" s="58" t="s">
        <v>290</v>
      </c>
      <c r="G49" s="58" t="s">
        <v>291</v>
      </c>
      <c r="H49" s="58" t="s">
        <v>179</v>
      </c>
      <c r="I49">
        <v>38000</v>
      </c>
      <c r="J49">
        <v>38000</v>
      </c>
      <c r="K49">
        <v>20000</v>
      </c>
      <c r="L49" s="74">
        <v>7.851</v>
      </c>
      <c r="M49" s="85">
        <v>8</v>
      </c>
      <c r="N49" s="74">
        <v>0.59099999999999997</v>
      </c>
      <c r="O49">
        <v>1</v>
      </c>
      <c r="P49" s="84">
        <v>0.59099999999999997</v>
      </c>
      <c r="Q49" s="86">
        <v>3.45</v>
      </c>
      <c r="R49" s="85">
        <v>3.45</v>
      </c>
      <c r="S49" s="87">
        <v>909950</v>
      </c>
      <c r="T49" s="1">
        <v>4</v>
      </c>
      <c r="U49" s="88">
        <v>263753.62318840576</v>
      </c>
      <c r="V49" s="59">
        <v>3.7914171108302654</v>
      </c>
      <c r="X49" s="98">
        <v>3.45</v>
      </c>
      <c r="Y49" s="97">
        <v>417.34492753623186</v>
      </c>
    </row>
    <row r="50" spans="1:25">
      <c r="A50" s="58">
        <v>49</v>
      </c>
      <c r="B50" s="58">
        <v>49</v>
      </c>
      <c r="C50" s="58" t="s">
        <v>292</v>
      </c>
      <c r="D50" s="58" t="s">
        <v>176</v>
      </c>
      <c r="E50" s="58" t="s">
        <v>176</v>
      </c>
      <c r="F50" s="58" t="s">
        <v>293</v>
      </c>
      <c r="G50" s="58" t="s">
        <v>294</v>
      </c>
      <c r="H50" s="58" t="s">
        <v>179</v>
      </c>
      <c r="I50">
        <v>38000</v>
      </c>
      <c r="J50">
        <v>38000</v>
      </c>
      <c r="K50">
        <v>10000</v>
      </c>
      <c r="L50" s="74">
        <v>4.7709999999999999</v>
      </c>
      <c r="M50" s="85">
        <v>5</v>
      </c>
      <c r="N50" s="74">
        <v>0.38100000000000001</v>
      </c>
      <c r="O50">
        <v>1</v>
      </c>
      <c r="P50" s="84">
        <v>0.38100000000000001</v>
      </c>
      <c r="Q50" s="86">
        <v>3.45</v>
      </c>
      <c r="R50" s="85">
        <v>3.45</v>
      </c>
      <c r="S50" s="87">
        <v>699140</v>
      </c>
      <c r="T50" s="1">
        <v>4</v>
      </c>
      <c r="U50" s="88">
        <v>202649.27536231882</v>
      </c>
      <c r="V50" s="59">
        <v>4.9346339788883489</v>
      </c>
      <c r="X50" s="98">
        <v>3.45</v>
      </c>
      <c r="Y50" s="97">
        <v>263.75362318840581</v>
      </c>
    </row>
    <row r="51" spans="1:25">
      <c r="A51" s="58">
        <v>50</v>
      </c>
      <c r="B51" s="58">
        <v>50</v>
      </c>
      <c r="C51" s="58" t="s">
        <v>295</v>
      </c>
      <c r="D51" s="58" t="s">
        <v>197</v>
      </c>
      <c r="E51" s="58" t="s">
        <v>197</v>
      </c>
      <c r="F51" s="58" t="s">
        <v>296</v>
      </c>
      <c r="G51" s="58" t="s">
        <v>297</v>
      </c>
      <c r="H51" s="58" t="s">
        <v>179</v>
      </c>
      <c r="I51">
        <v>38000</v>
      </c>
      <c r="J51">
        <v>38000</v>
      </c>
      <c r="K51" s="58" t="s">
        <v>185</v>
      </c>
      <c r="L51" s="74">
        <v>23.475999999999999</v>
      </c>
      <c r="M51" s="85">
        <v>24</v>
      </c>
      <c r="N51" s="74">
        <v>0.19500000000000001</v>
      </c>
      <c r="O51">
        <v>1</v>
      </c>
      <c r="P51" s="84">
        <v>0.19500000000000001</v>
      </c>
      <c r="Q51" s="86">
        <v>3.45</v>
      </c>
      <c r="R51" s="85">
        <v>3.45</v>
      </c>
      <c r="S51" s="87">
        <v>2124940</v>
      </c>
      <c r="T51" s="1">
        <v>1</v>
      </c>
      <c r="U51" s="88">
        <v>615924.63768115942</v>
      </c>
      <c r="V51" s="59">
        <v>1.6235752538895216</v>
      </c>
      <c r="X51" s="98">
        <v>3.45</v>
      </c>
      <c r="Y51" s="97">
        <v>202.64927536231883</v>
      </c>
    </row>
    <row r="52" spans="1:25">
      <c r="A52" s="58">
        <v>51</v>
      </c>
      <c r="B52" s="58">
        <v>51</v>
      </c>
      <c r="C52" s="58" t="s">
        <v>298</v>
      </c>
      <c r="D52" s="58" t="s">
        <v>197</v>
      </c>
      <c r="E52" s="58" t="s">
        <v>197</v>
      </c>
      <c r="F52" s="58" t="s">
        <v>299</v>
      </c>
      <c r="G52" s="58" t="s">
        <v>300</v>
      </c>
      <c r="H52" s="58" t="s">
        <v>179</v>
      </c>
      <c r="I52">
        <v>38000</v>
      </c>
      <c r="J52">
        <v>38000</v>
      </c>
      <c r="K52" s="58" t="s">
        <v>185</v>
      </c>
      <c r="L52" s="74">
        <v>15.891</v>
      </c>
      <c r="M52" s="85">
        <v>16</v>
      </c>
      <c r="N52" s="74">
        <v>0.111</v>
      </c>
      <c r="O52">
        <v>1</v>
      </c>
      <c r="P52" s="84">
        <v>0.111</v>
      </c>
      <c r="Q52" s="86">
        <v>3.45</v>
      </c>
      <c r="R52" s="85">
        <v>3.45</v>
      </c>
      <c r="S52" s="87">
        <v>1703340</v>
      </c>
      <c r="T52" s="1">
        <v>1</v>
      </c>
      <c r="U52" s="88">
        <v>493721.73913043475</v>
      </c>
      <c r="V52" s="59">
        <v>2.0254323857832257</v>
      </c>
      <c r="X52" s="98">
        <v>3.45</v>
      </c>
      <c r="Y52" s="97">
        <v>615.92463768115942</v>
      </c>
    </row>
    <row r="53" spans="1:25">
      <c r="A53" s="58">
        <v>52</v>
      </c>
      <c r="B53" s="58">
        <v>52</v>
      </c>
      <c r="C53" s="58" t="s">
        <v>301</v>
      </c>
      <c r="D53" s="58" t="s">
        <v>182</v>
      </c>
      <c r="E53" s="58" t="s">
        <v>182</v>
      </c>
      <c r="F53" s="58" t="s">
        <v>302</v>
      </c>
      <c r="G53" s="58" t="s">
        <v>303</v>
      </c>
      <c r="H53" s="58" t="s">
        <v>179</v>
      </c>
      <c r="I53">
        <v>38000</v>
      </c>
      <c r="J53">
        <v>38000</v>
      </c>
      <c r="K53" s="58" t="s">
        <v>185</v>
      </c>
      <c r="L53" s="74">
        <v>15.805999999999999</v>
      </c>
      <c r="M53" s="85">
        <v>16</v>
      </c>
      <c r="N53" s="74">
        <v>0.437</v>
      </c>
      <c r="O53">
        <v>1</v>
      </c>
      <c r="P53" s="84">
        <v>0.437</v>
      </c>
      <c r="Q53" s="86">
        <v>3.45</v>
      </c>
      <c r="R53" s="85">
        <v>3.45</v>
      </c>
      <c r="S53" s="87">
        <v>1703340</v>
      </c>
      <c r="T53" s="1">
        <v>1</v>
      </c>
      <c r="U53" s="88">
        <v>493721.73913043475</v>
      </c>
      <c r="V53" s="59">
        <v>2.0254323857832257</v>
      </c>
      <c r="X53" s="98">
        <v>3.45</v>
      </c>
      <c r="Y53" s="97">
        <v>493.72173913043474</v>
      </c>
    </row>
    <row r="54" spans="1:25">
      <c r="A54" s="58">
        <v>53</v>
      </c>
      <c r="B54" s="58">
        <v>53</v>
      </c>
      <c r="C54" s="58" t="s">
        <v>304</v>
      </c>
      <c r="D54" s="58" t="s">
        <v>182</v>
      </c>
      <c r="E54" s="58" t="s">
        <v>182</v>
      </c>
      <c r="F54" s="58" t="s">
        <v>183</v>
      </c>
      <c r="G54" s="58" t="s">
        <v>184</v>
      </c>
      <c r="H54" s="58" t="s">
        <v>179</v>
      </c>
      <c r="I54">
        <v>38000</v>
      </c>
      <c r="J54">
        <v>38000</v>
      </c>
      <c r="K54" s="58" t="s">
        <v>185</v>
      </c>
      <c r="L54" s="74">
        <v>11.451000000000001</v>
      </c>
      <c r="M54" s="85">
        <v>12</v>
      </c>
      <c r="N54" s="74">
        <v>0.189</v>
      </c>
      <c r="O54">
        <v>1</v>
      </c>
      <c r="P54" s="84">
        <v>0.189</v>
      </c>
      <c r="Q54" s="86">
        <v>3.45</v>
      </c>
      <c r="R54" s="85">
        <v>3.45</v>
      </c>
      <c r="S54" s="87">
        <v>1492540</v>
      </c>
      <c r="T54" s="1">
        <v>1</v>
      </c>
      <c r="U54" s="88">
        <v>432620.28985507245</v>
      </c>
      <c r="V54" s="59">
        <v>2.3114958393074891</v>
      </c>
      <c r="X54" s="98">
        <v>3.45</v>
      </c>
      <c r="Y54" s="97">
        <v>493.72173913043474</v>
      </c>
    </row>
    <row r="55" spans="1:25">
      <c r="A55" s="58">
        <v>54</v>
      </c>
      <c r="B55" s="58">
        <v>54</v>
      </c>
      <c r="C55" s="58" t="s">
        <v>305</v>
      </c>
      <c r="D55" s="58" t="s">
        <v>182</v>
      </c>
      <c r="E55" s="58" t="s">
        <v>182</v>
      </c>
      <c r="F55" s="58" t="s">
        <v>183</v>
      </c>
      <c r="G55" s="58" t="s">
        <v>184</v>
      </c>
      <c r="H55" s="58" t="s">
        <v>179</v>
      </c>
      <c r="I55">
        <v>38000</v>
      </c>
      <c r="J55">
        <v>38000</v>
      </c>
      <c r="K55" s="58" t="s">
        <v>185</v>
      </c>
      <c r="L55" s="74">
        <v>5.7149999999999999</v>
      </c>
      <c r="M55" s="85">
        <v>6</v>
      </c>
      <c r="N55" s="74">
        <v>0.33100000000000002</v>
      </c>
      <c r="O55">
        <v>1</v>
      </c>
      <c r="P55" s="84">
        <v>0.33100000000000002</v>
      </c>
      <c r="Q55" s="86">
        <v>3.45</v>
      </c>
      <c r="R55" s="85">
        <v>3.45</v>
      </c>
      <c r="S55" s="87">
        <v>769410</v>
      </c>
      <c r="T55" s="1">
        <v>4</v>
      </c>
      <c r="U55" s="88">
        <v>223017.39130434781</v>
      </c>
      <c r="V55" s="59">
        <v>4.4839552384294459</v>
      </c>
      <c r="X55" s="98">
        <v>3.45</v>
      </c>
      <c r="Y55" s="97">
        <v>432.62028985507243</v>
      </c>
    </row>
    <row r="56" spans="1:25">
      <c r="A56" s="58">
        <v>55</v>
      </c>
      <c r="B56" s="58">
        <v>55</v>
      </c>
      <c r="C56" s="58" t="s">
        <v>306</v>
      </c>
      <c r="D56" s="58" t="s">
        <v>182</v>
      </c>
      <c r="E56" s="58" t="s">
        <v>182</v>
      </c>
      <c r="F56" s="58" t="s">
        <v>302</v>
      </c>
      <c r="G56" s="58" t="s">
        <v>303</v>
      </c>
      <c r="H56" s="58" t="s">
        <v>179</v>
      </c>
      <c r="I56">
        <v>38000</v>
      </c>
      <c r="J56">
        <v>38000</v>
      </c>
      <c r="K56" s="58" t="s">
        <v>185</v>
      </c>
      <c r="L56" s="74">
        <v>4.7460000000000004</v>
      </c>
      <c r="M56" s="85">
        <v>5</v>
      </c>
      <c r="N56" s="74">
        <v>0.316</v>
      </c>
      <c r="O56">
        <v>1</v>
      </c>
      <c r="P56" s="84">
        <v>0.316</v>
      </c>
      <c r="Q56" s="86">
        <v>3.45</v>
      </c>
      <c r="R56" s="85">
        <v>3.45</v>
      </c>
      <c r="S56" s="87">
        <v>699140</v>
      </c>
      <c r="T56" s="1">
        <v>4</v>
      </c>
      <c r="U56" s="88">
        <v>202649.27536231882</v>
      </c>
      <c r="V56" s="59">
        <v>4.9346339788883489</v>
      </c>
      <c r="X56" s="98">
        <v>3.45</v>
      </c>
      <c r="Y56" s="97">
        <v>223.0173913043478</v>
      </c>
    </row>
    <row r="57" spans="1:25">
      <c r="A57" s="58">
        <v>56</v>
      </c>
      <c r="B57" s="58">
        <v>56</v>
      </c>
      <c r="C57" s="58" t="s">
        <v>307</v>
      </c>
      <c r="D57" s="58" t="s">
        <v>182</v>
      </c>
      <c r="E57" s="58" t="s">
        <v>182</v>
      </c>
      <c r="F57" s="58" t="s">
        <v>302</v>
      </c>
      <c r="G57" s="58" t="s">
        <v>303</v>
      </c>
      <c r="H57" s="58" t="s">
        <v>179</v>
      </c>
      <c r="I57">
        <v>38000</v>
      </c>
      <c r="J57">
        <v>38000</v>
      </c>
      <c r="K57" s="58" t="s">
        <v>185</v>
      </c>
      <c r="L57" s="74">
        <v>14.997999999999999</v>
      </c>
      <c r="M57" s="85">
        <v>15</v>
      </c>
      <c r="N57" s="74">
        <v>0.39400000000000002</v>
      </c>
      <c r="O57">
        <v>1</v>
      </c>
      <c r="P57" s="84">
        <v>0.39400000000000002</v>
      </c>
      <c r="Q57" s="86">
        <v>3.45</v>
      </c>
      <c r="R57" s="85">
        <v>3.45</v>
      </c>
      <c r="S57" s="87">
        <v>1650640</v>
      </c>
      <c r="T57" s="1">
        <v>1</v>
      </c>
      <c r="U57" s="88">
        <v>478446.37681159418</v>
      </c>
      <c r="V57" s="59">
        <v>2.0900983860805504</v>
      </c>
      <c r="X57" s="98">
        <v>3.45</v>
      </c>
      <c r="Y57" s="97">
        <v>202.64927536231883</v>
      </c>
    </row>
    <row r="58" spans="1:25">
      <c r="A58" s="58">
        <v>57</v>
      </c>
      <c r="B58" s="58">
        <v>57</v>
      </c>
      <c r="C58" s="58" t="s">
        <v>308</v>
      </c>
      <c r="D58" s="58" t="s">
        <v>234</v>
      </c>
      <c r="E58" s="58" t="s">
        <v>234</v>
      </c>
      <c r="F58" s="58" t="s">
        <v>309</v>
      </c>
      <c r="G58" s="58" t="s">
        <v>310</v>
      </c>
      <c r="H58" s="58" t="s">
        <v>179</v>
      </c>
      <c r="I58">
        <v>38000</v>
      </c>
      <c r="J58">
        <v>38000</v>
      </c>
      <c r="K58">
        <v>20000</v>
      </c>
      <c r="L58" s="74">
        <v>15.493</v>
      </c>
      <c r="M58" s="85">
        <v>16</v>
      </c>
      <c r="N58" s="74">
        <v>0.104</v>
      </c>
      <c r="O58">
        <v>1</v>
      </c>
      <c r="P58" s="84">
        <v>0.104</v>
      </c>
      <c r="Q58" s="86">
        <v>3.45</v>
      </c>
      <c r="R58" s="85">
        <v>3.45</v>
      </c>
      <c r="S58" s="87">
        <v>1703340</v>
      </c>
      <c r="T58" s="1">
        <v>1</v>
      </c>
      <c r="U58" s="88">
        <v>493721.73913043475</v>
      </c>
      <c r="V58" s="59">
        <v>2.0254323857832257</v>
      </c>
      <c r="X58" s="98">
        <v>3.45</v>
      </c>
      <c r="Y58" s="97">
        <v>478.44637681159418</v>
      </c>
    </row>
    <row r="59" spans="1:25">
      <c r="A59" s="58">
        <v>58</v>
      </c>
      <c r="B59" s="58">
        <v>58</v>
      </c>
      <c r="C59" s="58" t="s">
        <v>311</v>
      </c>
      <c r="D59" s="58" t="s">
        <v>182</v>
      </c>
      <c r="E59" s="58" t="s">
        <v>182</v>
      </c>
      <c r="F59" s="58" t="s">
        <v>312</v>
      </c>
      <c r="G59" s="58" t="s">
        <v>313</v>
      </c>
      <c r="H59" s="58" t="s">
        <v>179</v>
      </c>
      <c r="I59">
        <v>38000</v>
      </c>
      <c r="J59">
        <v>38000</v>
      </c>
      <c r="K59">
        <v>10000</v>
      </c>
      <c r="L59" s="74">
        <v>12.648</v>
      </c>
      <c r="M59" s="85">
        <v>13</v>
      </c>
      <c r="N59" s="74">
        <v>0.377</v>
      </c>
      <c r="O59">
        <v>1</v>
      </c>
      <c r="P59" s="84">
        <v>0.377</v>
      </c>
      <c r="Q59" s="86">
        <v>3.45</v>
      </c>
      <c r="R59" s="85">
        <v>3.45</v>
      </c>
      <c r="S59" s="87">
        <v>1545240</v>
      </c>
      <c r="T59" s="1">
        <v>1</v>
      </c>
      <c r="U59" s="88">
        <v>447895.65217391303</v>
      </c>
      <c r="V59" s="59">
        <v>2.2326628873184746</v>
      </c>
      <c r="X59" s="98">
        <v>3.45</v>
      </c>
      <c r="Y59" s="97">
        <v>493.72173913043474</v>
      </c>
    </row>
    <row r="60" spans="1:25">
      <c r="A60" s="58">
        <v>59</v>
      </c>
      <c r="B60" s="58">
        <v>59</v>
      </c>
      <c r="C60" s="58" t="s">
        <v>314</v>
      </c>
      <c r="D60" s="58" t="s">
        <v>182</v>
      </c>
      <c r="E60" s="58" t="s">
        <v>182</v>
      </c>
      <c r="F60" s="58" t="s">
        <v>312</v>
      </c>
      <c r="G60" s="58" t="s">
        <v>313</v>
      </c>
      <c r="H60" s="58" t="s">
        <v>179</v>
      </c>
      <c r="I60">
        <v>38000</v>
      </c>
      <c r="J60">
        <v>38000</v>
      </c>
      <c r="K60">
        <v>10000</v>
      </c>
      <c r="L60" s="74">
        <v>8.6959999999999997</v>
      </c>
      <c r="M60" s="85">
        <v>9</v>
      </c>
      <c r="N60" s="74">
        <v>0.246</v>
      </c>
      <c r="O60">
        <v>1</v>
      </c>
      <c r="P60" s="84">
        <v>0.246</v>
      </c>
      <c r="Q60" s="86">
        <v>3.45</v>
      </c>
      <c r="R60" s="85">
        <v>3.45</v>
      </c>
      <c r="S60" s="87">
        <v>1334440</v>
      </c>
      <c r="T60" s="1">
        <v>1</v>
      </c>
      <c r="U60" s="88">
        <v>386794.20289855072</v>
      </c>
      <c r="V60" s="59">
        <v>2.585354156050478</v>
      </c>
      <c r="X60" s="98">
        <v>3.45</v>
      </c>
      <c r="Y60" s="97">
        <v>447.89565217391305</v>
      </c>
    </row>
    <row r="61" spans="1:25">
      <c r="A61" s="58">
        <v>60</v>
      </c>
      <c r="B61" s="58">
        <v>60</v>
      </c>
      <c r="C61" s="58" t="s">
        <v>315</v>
      </c>
      <c r="D61" s="58" t="s">
        <v>234</v>
      </c>
      <c r="E61" s="58" t="s">
        <v>234</v>
      </c>
      <c r="F61" s="58" t="s">
        <v>316</v>
      </c>
      <c r="G61" s="58" t="s">
        <v>317</v>
      </c>
      <c r="H61" s="58" t="s">
        <v>199</v>
      </c>
      <c r="I61">
        <v>110000</v>
      </c>
      <c r="J61">
        <v>110000</v>
      </c>
      <c r="K61">
        <v>38000</v>
      </c>
      <c r="L61" s="74">
        <v>23.515999999999998</v>
      </c>
      <c r="M61" s="85">
        <v>24</v>
      </c>
      <c r="N61" s="74">
        <v>0.218</v>
      </c>
      <c r="O61">
        <v>1</v>
      </c>
      <c r="P61" s="84">
        <v>0.218</v>
      </c>
      <c r="Q61" s="86">
        <v>3.45</v>
      </c>
      <c r="R61" s="85">
        <v>3.45</v>
      </c>
      <c r="S61" s="87">
        <v>2681270</v>
      </c>
      <c r="T61" s="1">
        <v>7</v>
      </c>
      <c r="U61" s="88">
        <v>777179.71014492749</v>
      </c>
      <c r="V61" s="59">
        <v>1.2867036889235326</v>
      </c>
      <c r="X61" s="98">
        <v>3.45</v>
      </c>
      <c r="Y61" s="97">
        <v>386.79420289855074</v>
      </c>
    </row>
    <row r="62" spans="1:25">
      <c r="A62" s="58">
        <v>61</v>
      </c>
      <c r="B62" s="58">
        <v>61</v>
      </c>
      <c r="C62" s="58" t="s">
        <v>318</v>
      </c>
      <c r="D62" s="58" t="s">
        <v>234</v>
      </c>
      <c r="E62" s="58" t="s">
        <v>234</v>
      </c>
      <c r="F62" s="58" t="s">
        <v>316</v>
      </c>
      <c r="G62" s="58" t="s">
        <v>317</v>
      </c>
      <c r="H62" s="58" t="s">
        <v>199</v>
      </c>
      <c r="I62">
        <v>110000</v>
      </c>
      <c r="J62">
        <v>110000</v>
      </c>
      <c r="K62">
        <v>38000</v>
      </c>
      <c r="L62" s="74">
        <v>23.132999999999999</v>
      </c>
      <c r="M62" s="85">
        <v>24</v>
      </c>
      <c r="N62" s="74">
        <v>0.191</v>
      </c>
      <c r="O62">
        <v>1</v>
      </c>
      <c r="P62" s="84">
        <v>0.191</v>
      </c>
      <c r="Q62" s="86">
        <v>3.45</v>
      </c>
      <c r="R62" s="85">
        <v>3.45</v>
      </c>
      <c r="S62" s="87">
        <v>2681270</v>
      </c>
      <c r="T62" s="1">
        <v>7</v>
      </c>
      <c r="U62" s="88">
        <v>777179.71014492749</v>
      </c>
      <c r="V62" s="59">
        <v>1.2867036889235326</v>
      </c>
      <c r="X62" s="98">
        <v>3.45</v>
      </c>
      <c r="Y62" s="97">
        <v>777.17971014492753</v>
      </c>
    </row>
    <row r="63" spans="1:25">
      <c r="A63" s="58">
        <v>62</v>
      </c>
      <c r="B63" s="58">
        <v>62</v>
      </c>
      <c r="C63" s="58" t="s">
        <v>319</v>
      </c>
      <c r="D63" s="58" t="s">
        <v>234</v>
      </c>
      <c r="E63" s="58" t="s">
        <v>234</v>
      </c>
      <c r="F63" s="58" t="s">
        <v>316</v>
      </c>
      <c r="G63" s="58" t="s">
        <v>317</v>
      </c>
      <c r="H63" s="58" t="s">
        <v>199</v>
      </c>
      <c r="I63">
        <v>110000</v>
      </c>
      <c r="J63">
        <v>110000</v>
      </c>
      <c r="K63">
        <v>38000</v>
      </c>
      <c r="L63" s="74">
        <v>20.873999999999999</v>
      </c>
      <c r="M63" s="85">
        <v>21</v>
      </c>
      <c r="N63" s="74">
        <v>0.106</v>
      </c>
      <c r="O63">
        <v>1</v>
      </c>
      <c r="P63" s="84">
        <v>0.106</v>
      </c>
      <c r="Q63" s="86">
        <v>3.45</v>
      </c>
      <c r="R63" s="85">
        <v>3.45</v>
      </c>
      <c r="S63" s="87">
        <v>2523170</v>
      </c>
      <c r="T63" s="1">
        <v>7</v>
      </c>
      <c r="U63" s="88">
        <v>731353.62318840576</v>
      </c>
      <c r="V63" s="59">
        <v>1.3673276077315442</v>
      </c>
      <c r="X63" s="98">
        <v>3.45</v>
      </c>
      <c r="Y63" s="97">
        <v>777.17971014492753</v>
      </c>
    </row>
    <row r="64" spans="1:25">
      <c r="A64" s="58">
        <v>63</v>
      </c>
      <c r="B64" s="58">
        <v>63</v>
      </c>
      <c r="C64" s="58" t="s">
        <v>320</v>
      </c>
      <c r="D64" s="58" t="s">
        <v>182</v>
      </c>
      <c r="E64" s="58" t="s">
        <v>182</v>
      </c>
      <c r="F64" s="58" t="s">
        <v>302</v>
      </c>
      <c r="G64" s="58" t="s">
        <v>303</v>
      </c>
      <c r="H64" s="58" t="s">
        <v>179</v>
      </c>
      <c r="I64">
        <v>38000</v>
      </c>
      <c r="J64">
        <v>38000</v>
      </c>
      <c r="K64" s="58" t="s">
        <v>185</v>
      </c>
      <c r="L64" s="74">
        <v>3.98</v>
      </c>
      <c r="M64" s="85">
        <v>4</v>
      </c>
      <c r="N64" s="74">
        <v>0.27900000000000003</v>
      </c>
      <c r="O64">
        <v>1</v>
      </c>
      <c r="P64" s="84">
        <v>0.27900000000000003</v>
      </c>
      <c r="Q64" s="86">
        <v>3.45</v>
      </c>
      <c r="R64" s="85">
        <v>3.45</v>
      </c>
      <c r="S64" s="87">
        <v>628870</v>
      </c>
      <c r="T64" s="1">
        <v>4</v>
      </c>
      <c r="U64" s="88">
        <v>182281.15942028986</v>
      </c>
      <c r="V64" s="59">
        <v>5.4860304991492681</v>
      </c>
      <c r="X64" s="98">
        <v>3.45</v>
      </c>
      <c r="Y64" s="97">
        <v>731.35362318840578</v>
      </c>
    </row>
    <row r="65" spans="1:25">
      <c r="A65" s="58">
        <v>64</v>
      </c>
      <c r="B65" s="58">
        <v>64</v>
      </c>
      <c r="C65" s="58" t="s">
        <v>321</v>
      </c>
      <c r="D65" s="58" t="s">
        <v>182</v>
      </c>
      <c r="E65" s="58" t="s">
        <v>182</v>
      </c>
      <c r="F65" s="58" t="s">
        <v>302</v>
      </c>
      <c r="G65" s="58" t="s">
        <v>303</v>
      </c>
      <c r="H65" s="58" t="s">
        <v>179</v>
      </c>
      <c r="I65">
        <v>38000</v>
      </c>
      <c r="J65">
        <v>38000</v>
      </c>
      <c r="K65" s="58" t="s">
        <v>185</v>
      </c>
      <c r="L65" s="74">
        <v>11.894</v>
      </c>
      <c r="M65" s="85">
        <v>12</v>
      </c>
      <c r="N65" s="74">
        <v>0.27600000000000002</v>
      </c>
      <c r="O65">
        <v>1</v>
      </c>
      <c r="P65" s="84">
        <v>0.27600000000000002</v>
      </c>
      <c r="Q65" s="86">
        <v>3.45</v>
      </c>
      <c r="R65" s="85">
        <v>3.45</v>
      </c>
      <c r="S65" s="87">
        <v>1492540</v>
      </c>
      <c r="T65" s="1">
        <v>1</v>
      </c>
      <c r="U65" s="88">
        <v>432620.28985507245</v>
      </c>
      <c r="V65" s="59">
        <v>2.3114958393074891</v>
      </c>
      <c r="X65" s="98">
        <v>3.45</v>
      </c>
      <c r="Y65" s="97">
        <v>182.28115942028987</v>
      </c>
    </row>
    <row r="66" spans="1:25">
      <c r="A66" s="58">
        <v>65</v>
      </c>
      <c r="B66" s="58">
        <v>65</v>
      </c>
      <c r="C66" s="58" t="s">
        <v>322</v>
      </c>
      <c r="D66" s="58" t="s">
        <v>234</v>
      </c>
      <c r="E66" s="58" t="s">
        <v>234</v>
      </c>
      <c r="F66" s="58" t="s">
        <v>323</v>
      </c>
      <c r="G66" s="58" t="s">
        <v>324</v>
      </c>
      <c r="H66" s="58" t="s">
        <v>179</v>
      </c>
      <c r="I66">
        <v>38000</v>
      </c>
      <c r="J66">
        <v>38000</v>
      </c>
      <c r="K66">
        <v>20000</v>
      </c>
      <c r="L66" s="74">
        <v>11.804</v>
      </c>
      <c r="M66" s="85">
        <v>12</v>
      </c>
      <c r="N66" s="74">
        <v>0.16700000000000001</v>
      </c>
      <c r="O66">
        <v>1</v>
      </c>
      <c r="P66" s="84">
        <v>0.16700000000000001</v>
      </c>
      <c r="Q66" s="86">
        <v>3.45</v>
      </c>
      <c r="R66" s="85">
        <v>3.45</v>
      </c>
      <c r="S66" s="87">
        <v>1492540</v>
      </c>
      <c r="T66" s="1">
        <v>1</v>
      </c>
      <c r="U66" s="88">
        <v>432620.28985507245</v>
      </c>
      <c r="V66" s="59">
        <v>2.3114958393074891</v>
      </c>
      <c r="X66" s="98">
        <v>3.45</v>
      </c>
      <c r="Y66" s="97">
        <v>432.62028985507243</v>
      </c>
    </row>
    <row r="67" spans="1:25">
      <c r="A67" s="58">
        <v>66</v>
      </c>
      <c r="B67" s="58">
        <v>66</v>
      </c>
      <c r="C67" s="58" t="s">
        <v>325</v>
      </c>
      <c r="D67" s="58" t="s">
        <v>234</v>
      </c>
      <c r="E67" s="58" t="s">
        <v>234</v>
      </c>
      <c r="F67" s="58" t="s">
        <v>326</v>
      </c>
      <c r="G67" s="58" t="s">
        <v>327</v>
      </c>
      <c r="H67" s="58" t="s">
        <v>199</v>
      </c>
      <c r="I67">
        <v>110000</v>
      </c>
      <c r="J67">
        <v>110000</v>
      </c>
      <c r="K67">
        <v>38000</v>
      </c>
      <c r="L67" s="74">
        <v>10.284000000000001</v>
      </c>
      <c r="M67" s="85">
        <v>11</v>
      </c>
      <c r="N67" s="74">
        <v>9.4E-2</v>
      </c>
      <c r="O67">
        <v>1</v>
      </c>
      <c r="P67" s="84">
        <v>9.4E-2</v>
      </c>
      <c r="Q67" s="86">
        <v>3.45</v>
      </c>
      <c r="R67" s="85">
        <v>3.45</v>
      </c>
      <c r="S67" s="87">
        <v>1996170</v>
      </c>
      <c r="T67" s="1">
        <v>7</v>
      </c>
      <c r="U67" s="88">
        <v>578600</v>
      </c>
      <c r="V67" s="59">
        <v>1.7283097131005876</v>
      </c>
      <c r="X67" s="98">
        <v>3.45</v>
      </c>
      <c r="Y67" s="97">
        <v>432.62028985507243</v>
      </c>
    </row>
    <row r="68" spans="1:25">
      <c r="A68" s="58">
        <v>67</v>
      </c>
      <c r="B68" s="58">
        <v>67</v>
      </c>
      <c r="C68" s="58" t="s">
        <v>328</v>
      </c>
      <c r="D68" s="58" t="s">
        <v>234</v>
      </c>
      <c r="E68" s="58" t="s">
        <v>234</v>
      </c>
      <c r="F68" s="58" t="s">
        <v>329</v>
      </c>
      <c r="G68" s="58" t="s">
        <v>330</v>
      </c>
      <c r="H68" s="58" t="s">
        <v>179</v>
      </c>
      <c r="I68">
        <v>38000</v>
      </c>
      <c r="J68">
        <v>38000</v>
      </c>
      <c r="K68" s="58" t="s">
        <v>185</v>
      </c>
      <c r="L68" s="74">
        <v>5.5430000000000001</v>
      </c>
      <c r="M68" s="85">
        <v>6</v>
      </c>
      <c r="N68" s="74">
        <v>0.69799999999999995</v>
      </c>
      <c r="O68">
        <v>1</v>
      </c>
      <c r="P68" s="84">
        <v>0.52349999999999997</v>
      </c>
      <c r="Q68" s="86">
        <v>3.45</v>
      </c>
      <c r="R68" s="85">
        <v>3.45</v>
      </c>
      <c r="S68" s="87">
        <v>769410</v>
      </c>
      <c r="T68" s="1">
        <v>4</v>
      </c>
      <c r="U68" s="88">
        <v>223017.39130434781</v>
      </c>
      <c r="V68" s="59">
        <v>4.4839552384294459</v>
      </c>
      <c r="X68" s="98">
        <v>3.45</v>
      </c>
      <c r="Y68" s="97">
        <v>578.6</v>
      </c>
    </row>
    <row r="69" spans="1:25">
      <c r="A69" s="58">
        <v>68</v>
      </c>
      <c r="B69" s="58">
        <v>68</v>
      </c>
      <c r="C69" s="58" t="s">
        <v>331</v>
      </c>
      <c r="D69" s="58" t="s">
        <v>234</v>
      </c>
      <c r="E69" s="58" t="s">
        <v>234</v>
      </c>
      <c r="F69" s="58" t="s">
        <v>329</v>
      </c>
      <c r="G69" s="58" t="s">
        <v>330</v>
      </c>
      <c r="H69" s="58" t="s">
        <v>179</v>
      </c>
      <c r="I69">
        <v>38000</v>
      </c>
      <c r="J69">
        <v>38000</v>
      </c>
      <c r="K69" s="58" t="s">
        <v>185</v>
      </c>
      <c r="L69" s="74">
        <v>14.459</v>
      </c>
      <c r="M69" s="85">
        <v>15</v>
      </c>
      <c r="N69" s="74">
        <v>0.28799999999999998</v>
      </c>
      <c r="O69">
        <v>1</v>
      </c>
      <c r="P69" s="84">
        <v>0.28799999999999998</v>
      </c>
      <c r="Q69" s="86">
        <v>3.45</v>
      </c>
      <c r="R69" s="85">
        <v>3.45</v>
      </c>
      <c r="S69" s="87">
        <v>1650640</v>
      </c>
      <c r="T69" s="1">
        <v>1</v>
      </c>
      <c r="U69" s="88">
        <v>478446.37681159418</v>
      </c>
      <c r="V69" s="59">
        <v>2.0900983860805504</v>
      </c>
      <c r="X69" s="98">
        <v>3.45</v>
      </c>
      <c r="Y69" s="97">
        <v>223.0173913043478</v>
      </c>
    </row>
    <row r="70" spans="1:25">
      <c r="A70" s="58">
        <v>69</v>
      </c>
      <c r="B70" s="58">
        <v>69</v>
      </c>
      <c r="C70" s="58" t="s">
        <v>332</v>
      </c>
      <c r="D70" s="58" t="s">
        <v>234</v>
      </c>
      <c r="E70" s="58" t="s">
        <v>234</v>
      </c>
      <c r="F70" s="58" t="s">
        <v>329</v>
      </c>
      <c r="G70" s="58" t="s">
        <v>330</v>
      </c>
      <c r="H70" s="58" t="s">
        <v>179</v>
      </c>
      <c r="I70">
        <v>38000</v>
      </c>
      <c r="J70">
        <v>38000</v>
      </c>
      <c r="K70" s="58" t="s">
        <v>185</v>
      </c>
      <c r="L70" s="74">
        <v>15.611000000000001</v>
      </c>
      <c r="M70" s="85">
        <v>16</v>
      </c>
      <c r="N70" s="74">
        <v>0.14799999999999999</v>
      </c>
      <c r="O70">
        <v>1</v>
      </c>
      <c r="P70" s="84">
        <v>0.14799999999999999</v>
      </c>
      <c r="Q70" s="86">
        <v>3.45</v>
      </c>
      <c r="R70" s="85">
        <v>3.45</v>
      </c>
      <c r="S70" s="87">
        <v>1703340</v>
      </c>
      <c r="T70" s="1">
        <v>1</v>
      </c>
      <c r="U70" s="88">
        <v>493721.73913043475</v>
      </c>
      <c r="V70" s="59">
        <v>2.0254323857832257</v>
      </c>
      <c r="X70" s="98">
        <v>3.45</v>
      </c>
      <c r="Y70" s="97">
        <v>478.44637681159418</v>
      </c>
    </row>
    <row r="71" spans="1:25">
      <c r="A71" s="58">
        <v>70</v>
      </c>
      <c r="B71" s="58">
        <v>70</v>
      </c>
      <c r="C71" s="58" t="s">
        <v>333</v>
      </c>
      <c r="D71" s="58" t="s">
        <v>234</v>
      </c>
      <c r="E71" s="58" t="s">
        <v>234</v>
      </c>
      <c r="F71" s="58" t="s">
        <v>329</v>
      </c>
      <c r="G71" s="58" t="s">
        <v>330</v>
      </c>
      <c r="H71" s="58" t="s">
        <v>179</v>
      </c>
      <c r="I71">
        <v>38000</v>
      </c>
      <c r="J71">
        <v>38000</v>
      </c>
      <c r="K71" s="58" t="s">
        <v>185</v>
      </c>
      <c r="L71" s="74">
        <v>15.467000000000001</v>
      </c>
      <c r="M71" s="85">
        <v>16</v>
      </c>
      <c r="N71" s="74">
        <v>0.187</v>
      </c>
      <c r="O71">
        <v>1</v>
      </c>
      <c r="P71" s="84">
        <v>0.187</v>
      </c>
      <c r="Q71" s="86">
        <v>3.45</v>
      </c>
      <c r="R71" s="85">
        <v>3.45</v>
      </c>
      <c r="S71" s="87">
        <v>1703340</v>
      </c>
      <c r="T71" s="1">
        <v>1</v>
      </c>
      <c r="U71" s="88">
        <v>493721.73913043475</v>
      </c>
      <c r="V71" s="59">
        <v>2.0254323857832257</v>
      </c>
      <c r="X71" s="98">
        <v>3.45</v>
      </c>
      <c r="Y71" s="97">
        <v>493.72173913043474</v>
      </c>
    </row>
    <row r="72" spans="1:25">
      <c r="A72" s="58">
        <v>71</v>
      </c>
      <c r="B72" s="58">
        <v>71</v>
      </c>
      <c r="C72" s="58" t="s">
        <v>334</v>
      </c>
      <c r="D72" s="58" t="s">
        <v>234</v>
      </c>
      <c r="E72" s="58" t="s">
        <v>234</v>
      </c>
      <c r="F72" s="58" t="s">
        <v>329</v>
      </c>
      <c r="G72" s="58" t="s">
        <v>330</v>
      </c>
      <c r="H72" s="58" t="s">
        <v>179</v>
      </c>
      <c r="I72">
        <v>38000</v>
      </c>
      <c r="J72">
        <v>38000</v>
      </c>
      <c r="K72" s="58" t="s">
        <v>185</v>
      </c>
      <c r="L72" s="74">
        <v>16.38</v>
      </c>
      <c r="M72" s="85">
        <v>17</v>
      </c>
      <c r="N72" s="74">
        <v>0.13100000000000001</v>
      </c>
      <c r="O72">
        <v>1</v>
      </c>
      <c r="P72" s="84">
        <v>0.13100000000000001</v>
      </c>
      <c r="Q72" s="86">
        <v>3.45</v>
      </c>
      <c r="R72" s="85">
        <v>3.45</v>
      </c>
      <c r="S72" s="87">
        <v>1756040</v>
      </c>
      <c r="T72" s="1">
        <v>1</v>
      </c>
      <c r="U72" s="88">
        <v>508997.10144927533</v>
      </c>
      <c r="V72" s="59">
        <v>1.9646477301200429</v>
      </c>
      <c r="X72" s="98">
        <v>3.45</v>
      </c>
      <c r="Y72" s="97">
        <v>493.72173913043474</v>
      </c>
    </row>
    <row r="73" spans="1:25">
      <c r="A73" s="58">
        <v>72</v>
      </c>
      <c r="B73" s="58">
        <v>72</v>
      </c>
      <c r="C73" s="58" t="s">
        <v>335</v>
      </c>
      <c r="D73" s="58" t="s">
        <v>234</v>
      </c>
      <c r="E73" s="58" t="s">
        <v>234</v>
      </c>
      <c r="F73" s="58" t="s">
        <v>329</v>
      </c>
      <c r="G73" s="58" t="s">
        <v>330</v>
      </c>
      <c r="H73" s="58" t="s">
        <v>179</v>
      </c>
      <c r="I73">
        <v>38000</v>
      </c>
      <c r="J73">
        <v>38000</v>
      </c>
      <c r="K73" s="58" t="s">
        <v>185</v>
      </c>
      <c r="L73" s="74">
        <v>1.724</v>
      </c>
      <c r="M73" s="85">
        <v>2</v>
      </c>
      <c r="N73" s="74">
        <v>0.68799999999999994</v>
      </c>
      <c r="O73">
        <v>1</v>
      </c>
      <c r="P73" s="84">
        <v>0.51600000000000001</v>
      </c>
      <c r="Q73" s="86">
        <v>3.45</v>
      </c>
      <c r="R73" s="85">
        <v>3.45</v>
      </c>
      <c r="S73" s="87">
        <v>488330</v>
      </c>
      <c r="T73" s="1">
        <v>4</v>
      </c>
      <c r="U73" s="88">
        <v>141544.92753623187</v>
      </c>
      <c r="V73" s="59">
        <v>7.0648946409190509</v>
      </c>
      <c r="X73" s="98">
        <v>3.45</v>
      </c>
      <c r="Y73" s="97">
        <v>508.99710144927536</v>
      </c>
    </row>
    <row r="74" spans="1:25">
      <c r="A74" s="58">
        <v>73</v>
      </c>
      <c r="B74" s="58">
        <v>73</v>
      </c>
      <c r="C74" s="58" t="s">
        <v>336</v>
      </c>
      <c r="D74" s="58" t="s">
        <v>234</v>
      </c>
      <c r="E74" s="58" t="s">
        <v>234</v>
      </c>
      <c r="F74" s="58" t="s">
        <v>337</v>
      </c>
      <c r="G74" s="58" t="s">
        <v>338</v>
      </c>
      <c r="H74" s="58" t="s">
        <v>179</v>
      </c>
      <c r="I74">
        <v>38000</v>
      </c>
      <c r="J74">
        <v>38000</v>
      </c>
      <c r="K74" s="58" t="s">
        <v>185</v>
      </c>
      <c r="L74" s="74">
        <v>13.238</v>
      </c>
      <c r="M74" s="85">
        <v>14</v>
      </c>
      <c r="N74" s="74">
        <v>0.59599999999999997</v>
      </c>
      <c r="O74">
        <v>1</v>
      </c>
      <c r="P74" s="84">
        <v>0.44699999999999995</v>
      </c>
      <c r="Q74" s="86">
        <v>3.45</v>
      </c>
      <c r="R74" s="85">
        <v>3.45</v>
      </c>
      <c r="S74" s="87">
        <v>1597940</v>
      </c>
      <c r="T74" s="1">
        <v>1</v>
      </c>
      <c r="U74" s="88">
        <v>463171.0144927536</v>
      </c>
      <c r="V74" s="59">
        <v>2.1590297508041605</v>
      </c>
      <c r="X74" s="98">
        <v>3.45</v>
      </c>
      <c r="Y74" s="97">
        <v>141.54492753623188</v>
      </c>
    </row>
    <row r="75" spans="1:25">
      <c r="A75" s="58">
        <v>74</v>
      </c>
      <c r="B75" s="58">
        <v>74</v>
      </c>
      <c r="C75" s="58" t="s">
        <v>339</v>
      </c>
      <c r="D75" s="58" t="s">
        <v>234</v>
      </c>
      <c r="E75" s="58" t="s">
        <v>234</v>
      </c>
      <c r="F75" s="58" t="s">
        <v>326</v>
      </c>
      <c r="G75" s="58" t="s">
        <v>327</v>
      </c>
      <c r="H75" s="58" t="s">
        <v>199</v>
      </c>
      <c r="I75">
        <v>110000</v>
      </c>
      <c r="J75">
        <v>110000</v>
      </c>
      <c r="K75">
        <v>38000</v>
      </c>
      <c r="L75" s="74">
        <v>13.919</v>
      </c>
      <c r="M75" s="85">
        <v>14</v>
      </c>
      <c r="N75" s="74">
        <v>0.61899999999999999</v>
      </c>
      <c r="O75">
        <v>1</v>
      </c>
      <c r="P75" s="84">
        <v>0.46425</v>
      </c>
      <c r="Q75" s="86">
        <v>3.45</v>
      </c>
      <c r="R75" s="85">
        <v>3.45</v>
      </c>
      <c r="S75" s="87">
        <v>2154270</v>
      </c>
      <c r="T75" s="1">
        <v>7</v>
      </c>
      <c r="U75" s="88">
        <v>624426.08695652173</v>
      </c>
      <c r="V75" s="59">
        <v>1.6014705677561309</v>
      </c>
      <c r="X75" s="98">
        <v>3.45</v>
      </c>
      <c r="Y75" s="97">
        <v>463.17101449275361</v>
      </c>
    </row>
    <row r="76" spans="1:25">
      <c r="A76" s="58">
        <v>75</v>
      </c>
      <c r="B76" s="58">
        <v>75</v>
      </c>
      <c r="C76" s="58" t="s">
        <v>340</v>
      </c>
      <c r="D76" s="58" t="s">
        <v>234</v>
      </c>
      <c r="E76" s="58" t="s">
        <v>234</v>
      </c>
      <c r="F76" s="58" t="s">
        <v>341</v>
      </c>
      <c r="G76" s="58" t="s">
        <v>342</v>
      </c>
      <c r="H76" s="58" t="s">
        <v>199</v>
      </c>
      <c r="I76">
        <v>110000</v>
      </c>
      <c r="J76" s="58" t="s">
        <v>185</v>
      </c>
      <c r="K76">
        <v>110000</v>
      </c>
      <c r="L76" s="74">
        <v>14.333</v>
      </c>
      <c r="M76" s="85">
        <v>15</v>
      </c>
      <c r="N76" s="74">
        <v>0.10299999999999999</v>
      </c>
      <c r="O76">
        <v>1</v>
      </c>
      <c r="P76" s="84">
        <v>0.10299999999999999</v>
      </c>
      <c r="Q76" s="86">
        <v>3.45</v>
      </c>
      <c r="R76" s="85">
        <v>3.45</v>
      </c>
      <c r="S76" s="87">
        <v>2206970</v>
      </c>
      <c r="T76" s="1">
        <v>7</v>
      </c>
      <c r="U76" s="88">
        <v>639701.44927536231</v>
      </c>
      <c r="V76" s="59">
        <v>1.5632292237773961</v>
      </c>
      <c r="X76" s="98">
        <v>3.45</v>
      </c>
      <c r="Y76" s="97">
        <v>624.42608695652166</v>
      </c>
    </row>
    <row r="77" spans="1:25">
      <c r="A77" s="58">
        <v>76</v>
      </c>
      <c r="B77" s="58">
        <v>76</v>
      </c>
      <c r="C77" s="58" t="s">
        <v>343</v>
      </c>
      <c r="D77" s="58" t="s">
        <v>234</v>
      </c>
      <c r="E77" s="58" t="s">
        <v>234</v>
      </c>
      <c r="F77" s="58" t="s">
        <v>341</v>
      </c>
      <c r="G77" s="58" t="s">
        <v>342</v>
      </c>
      <c r="H77" s="58" t="s">
        <v>199</v>
      </c>
      <c r="I77">
        <v>110000</v>
      </c>
      <c r="J77" s="58" t="s">
        <v>185</v>
      </c>
      <c r="K77">
        <v>110000</v>
      </c>
      <c r="L77" s="74">
        <v>16.962</v>
      </c>
      <c r="M77" s="85">
        <v>17</v>
      </c>
      <c r="N77" s="74">
        <v>0.32500000000000001</v>
      </c>
      <c r="O77">
        <v>1</v>
      </c>
      <c r="P77" s="84">
        <v>0.32500000000000001</v>
      </c>
      <c r="Q77" s="86">
        <v>3.45</v>
      </c>
      <c r="R77" s="85">
        <v>3.45</v>
      </c>
      <c r="S77" s="87">
        <v>2312370</v>
      </c>
      <c r="T77" s="1">
        <v>7</v>
      </c>
      <c r="U77" s="88">
        <v>670252.17391304346</v>
      </c>
      <c r="V77" s="59">
        <v>1.4919757651240935</v>
      </c>
      <c r="X77" s="98">
        <v>3.45</v>
      </c>
      <c r="Y77" s="97">
        <v>639.70144927536228</v>
      </c>
    </row>
    <row r="78" spans="1:25">
      <c r="A78" s="58">
        <v>77</v>
      </c>
      <c r="B78" s="58">
        <v>77</v>
      </c>
      <c r="C78" s="58" t="s">
        <v>344</v>
      </c>
      <c r="D78" s="58" t="s">
        <v>234</v>
      </c>
      <c r="E78" s="58" t="s">
        <v>234</v>
      </c>
      <c r="F78" s="58" t="s">
        <v>329</v>
      </c>
      <c r="G78" s="58" t="s">
        <v>330</v>
      </c>
      <c r="H78" s="58" t="s">
        <v>179</v>
      </c>
      <c r="I78">
        <v>38000</v>
      </c>
      <c r="J78">
        <v>38000</v>
      </c>
      <c r="K78" s="58" t="s">
        <v>185</v>
      </c>
      <c r="L78" s="74">
        <v>7.99</v>
      </c>
      <c r="M78" s="85">
        <v>8</v>
      </c>
      <c r="N78" s="74">
        <v>0.129</v>
      </c>
      <c r="O78">
        <v>1</v>
      </c>
      <c r="P78" s="84">
        <v>0.129</v>
      </c>
      <c r="Q78" s="86">
        <v>3.45</v>
      </c>
      <c r="R78" s="85">
        <v>3.45</v>
      </c>
      <c r="S78" s="87">
        <v>909950</v>
      </c>
      <c r="T78" s="1">
        <v>4</v>
      </c>
      <c r="U78" s="88">
        <v>263753.62318840576</v>
      </c>
      <c r="V78" s="59">
        <v>3.7914171108302654</v>
      </c>
      <c r="X78" s="98">
        <v>3.45</v>
      </c>
      <c r="Y78" s="97">
        <v>670.25217391304352</v>
      </c>
    </row>
    <row r="79" spans="1:25">
      <c r="A79" s="58">
        <v>78</v>
      </c>
      <c r="B79" s="58">
        <v>78</v>
      </c>
      <c r="C79" s="58" t="s">
        <v>345</v>
      </c>
      <c r="D79" s="58" t="s">
        <v>346</v>
      </c>
      <c r="E79" s="58" t="s">
        <v>346</v>
      </c>
      <c r="F79" s="58" t="s">
        <v>347</v>
      </c>
      <c r="G79" s="58" t="s">
        <v>348</v>
      </c>
      <c r="H79" s="58" t="s">
        <v>199</v>
      </c>
      <c r="I79">
        <v>110000</v>
      </c>
      <c r="J79">
        <v>110000</v>
      </c>
      <c r="K79" s="58" t="s">
        <v>200</v>
      </c>
      <c r="L79" s="74">
        <v>11.375</v>
      </c>
      <c r="M79" s="85">
        <v>12</v>
      </c>
      <c r="N79" s="74">
        <v>0.246</v>
      </c>
      <c r="O79">
        <v>1</v>
      </c>
      <c r="P79" s="84">
        <v>0.246</v>
      </c>
      <c r="Q79" s="86">
        <v>3.45</v>
      </c>
      <c r="R79" s="85">
        <v>3.45</v>
      </c>
      <c r="S79" s="87">
        <v>2048870</v>
      </c>
      <c r="T79" s="1">
        <v>7</v>
      </c>
      <c r="U79" s="88">
        <v>593875.36231884058</v>
      </c>
      <c r="V79" s="59">
        <v>1.6838550030016546</v>
      </c>
      <c r="X79" s="98">
        <v>3.45</v>
      </c>
      <c r="Y79" s="97">
        <v>263.75362318840581</v>
      </c>
    </row>
    <row r="80" spans="1:25">
      <c r="A80" s="58">
        <v>79</v>
      </c>
      <c r="B80" s="58">
        <v>79</v>
      </c>
      <c r="C80" s="58" t="s">
        <v>349</v>
      </c>
      <c r="D80" s="58" t="s">
        <v>346</v>
      </c>
      <c r="E80" s="58" t="s">
        <v>346</v>
      </c>
      <c r="F80" s="58" t="s">
        <v>347</v>
      </c>
      <c r="G80" s="58" t="s">
        <v>348</v>
      </c>
      <c r="H80" s="58" t="s">
        <v>199</v>
      </c>
      <c r="I80">
        <v>110000</v>
      </c>
      <c r="J80">
        <v>110000</v>
      </c>
      <c r="K80" s="58" t="s">
        <v>200</v>
      </c>
      <c r="L80" s="74">
        <v>11.206</v>
      </c>
      <c r="M80" s="85">
        <v>12</v>
      </c>
      <c r="N80" s="74">
        <v>0.24199999999999999</v>
      </c>
      <c r="O80">
        <v>1</v>
      </c>
      <c r="P80" s="84">
        <v>0.24199999999999999</v>
      </c>
      <c r="Q80" s="86">
        <v>3.45</v>
      </c>
      <c r="R80" s="85">
        <v>3.45</v>
      </c>
      <c r="S80" s="87">
        <v>2048870</v>
      </c>
      <c r="T80" s="1">
        <v>7</v>
      </c>
      <c r="U80" s="88">
        <v>593875.36231884058</v>
      </c>
      <c r="V80" s="59">
        <v>1.6838550030016546</v>
      </c>
      <c r="X80" s="98">
        <v>3.45</v>
      </c>
      <c r="Y80" s="97">
        <v>593.87536231884053</v>
      </c>
    </row>
    <row r="81" spans="1:25">
      <c r="A81" s="58">
        <v>80</v>
      </c>
      <c r="B81" s="58">
        <v>80</v>
      </c>
      <c r="C81" s="58" t="s">
        <v>350</v>
      </c>
      <c r="D81" s="58" t="s">
        <v>346</v>
      </c>
      <c r="E81" s="58" t="s">
        <v>351</v>
      </c>
      <c r="F81" s="58" t="s">
        <v>352</v>
      </c>
      <c r="G81" s="58" t="s">
        <v>353</v>
      </c>
      <c r="H81" s="58" t="s">
        <v>179</v>
      </c>
      <c r="I81">
        <v>38000</v>
      </c>
      <c r="J81">
        <v>38000</v>
      </c>
      <c r="K81">
        <v>10000</v>
      </c>
      <c r="L81" s="74">
        <v>10.220000000000001</v>
      </c>
      <c r="M81" s="85">
        <v>11</v>
      </c>
      <c r="N81" s="74">
        <v>0.20599999999999999</v>
      </c>
      <c r="O81">
        <v>1</v>
      </c>
      <c r="P81" s="84">
        <v>0.20599999999999999</v>
      </c>
      <c r="Q81" s="86">
        <v>3.45</v>
      </c>
      <c r="R81" s="85">
        <v>3.45</v>
      </c>
      <c r="S81" s="87">
        <v>1439840</v>
      </c>
      <c r="T81" s="1">
        <v>1</v>
      </c>
      <c r="U81" s="88">
        <v>417344.92753623187</v>
      </c>
      <c r="V81" s="59">
        <v>2.396099566618513</v>
      </c>
      <c r="X81" s="98">
        <v>3.45</v>
      </c>
      <c r="Y81" s="97">
        <v>593.87536231884053</v>
      </c>
    </row>
    <row r="82" spans="1:25">
      <c r="A82" s="58">
        <v>81</v>
      </c>
      <c r="B82" s="58">
        <v>81</v>
      </c>
      <c r="C82" s="58" t="s">
        <v>354</v>
      </c>
      <c r="D82" s="58" t="s">
        <v>346</v>
      </c>
      <c r="E82" s="58" t="s">
        <v>346</v>
      </c>
      <c r="F82" s="58" t="s">
        <v>352</v>
      </c>
      <c r="G82" s="58" t="s">
        <v>353</v>
      </c>
      <c r="H82" s="58" t="s">
        <v>179</v>
      </c>
      <c r="I82">
        <v>38000</v>
      </c>
      <c r="J82">
        <v>38000</v>
      </c>
      <c r="K82">
        <v>10000</v>
      </c>
      <c r="L82" s="74">
        <v>8.6880000000000006</v>
      </c>
      <c r="M82" s="85">
        <v>9</v>
      </c>
      <c r="N82" s="74">
        <v>0.249</v>
      </c>
      <c r="O82">
        <v>1</v>
      </c>
      <c r="P82" s="84">
        <v>0.249</v>
      </c>
      <c r="Q82" s="86">
        <v>3.45</v>
      </c>
      <c r="R82" s="85">
        <v>3.45</v>
      </c>
      <c r="S82" s="87">
        <v>1334440</v>
      </c>
      <c r="T82" s="1">
        <v>1</v>
      </c>
      <c r="U82" s="88">
        <v>386794.20289855072</v>
      </c>
      <c r="V82" s="59">
        <v>2.585354156050478</v>
      </c>
      <c r="X82" s="98">
        <v>3.45</v>
      </c>
      <c r="Y82" s="97">
        <v>417.34492753623186</v>
      </c>
    </row>
    <row r="83" spans="1:25">
      <c r="A83" s="58">
        <v>82</v>
      </c>
      <c r="B83" s="58">
        <v>82</v>
      </c>
      <c r="C83" s="58" t="s">
        <v>355</v>
      </c>
      <c r="D83" s="58" t="s">
        <v>346</v>
      </c>
      <c r="E83" s="58" t="s">
        <v>346</v>
      </c>
      <c r="F83" s="58" t="s">
        <v>352</v>
      </c>
      <c r="G83" s="58" t="s">
        <v>353</v>
      </c>
      <c r="H83" s="58" t="s">
        <v>179</v>
      </c>
      <c r="I83">
        <v>38000</v>
      </c>
      <c r="J83">
        <v>38000</v>
      </c>
      <c r="K83">
        <v>10000</v>
      </c>
      <c r="L83" s="74">
        <v>8.2360000000000007</v>
      </c>
      <c r="M83" s="85">
        <v>9</v>
      </c>
      <c r="N83" s="74">
        <v>0.13200000000000001</v>
      </c>
      <c r="O83">
        <v>1</v>
      </c>
      <c r="P83" s="84">
        <v>0.13200000000000001</v>
      </c>
      <c r="Q83" s="86">
        <v>3.45</v>
      </c>
      <c r="R83" s="85">
        <v>3.45</v>
      </c>
      <c r="S83" s="87">
        <v>1334440</v>
      </c>
      <c r="T83" s="1">
        <v>1</v>
      </c>
      <c r="U83" s="88">
        <v>386794.20289855072</v>
      </c>
      <c r="V83" s="59">
        <v>2.585354156050478</v>
      </c>
      <c r="X83" s="98">
        <v>3.45</v>
      </c>
      <c r="Y83" s="97">
        <v>386.79420289855074</v>
      </c>
    </row>
    <row r="84" spans="1:25">
      <c r="A84" s="58">
        <v>83</v>
      </c>
      <c r="B84" s="58">
        <v>83</v>
      </c>
      <c r="C84" s="58" t="s">
        <v>356</v>
      </c>
      <c r="D84" s="58" t="s">
        <v>187</v>
      </c>
      <c r="E84" s="58" t="s">
        <v>187</v>
      </c>
      <c r="F84" s="58" t="s">
        <v>188</v>
      </c>
      <c r="G84" s="58" t="s">
        <v>189</v>
      </c>
      <c r="H84" s="58" t="s">
        <v>179</v>
      </c>
      <c r="I84">
        <v>38000</v>
      </c>
      <c r="J84">
        <v>38000</v>
      </c>
      <c r="K84">
        <v>10000</v>
      </c>
      <c r="L84" s="74">
        <v>4.9290000000000003</v>
      </c>
      <c r="M84" s="85">
        <v>5</v>
      </c>
      <c r="N84" s="74">
        <v>0.52700000000000002</v>
      </c>
      <c r="O84">
        <v>1</v>
      </c>
      <c r="P84" s="84">
        <v>0.52700000000000002</v>
      </c>
      <c r="Q84" s="86">
        <v>3.45</v>
      </c>
      <c r="R84" s="85">
        <v>3.45</v>
      </c>
      <c r="S84" s="87">
        <v>699140</v>
      </c>
      <c r="T84" s="1">
        <v>4</v>
      </c>
      <c r="U84" s="88">
        <v>202649.27536231882</v>
      </c>
      <c r="V84" s="59">
        <v>4.9346339788883489</v>
      </c>
      <c r="X84" s="98">
        <v>3.45</v>
      </c>
      <c r="Y84" s="97">
        <v>386.79420289855074</v>
      </c>
    </row>
    <row r="85" spans="1:25">
      <c r="A85" s="58">
        <v>84</v>
      </c>
      <c r="B85" s="58">
        <v>84</v>
      </c>
      <c r="C85" s="58" t="s">
        <v>357</v>
      </c>
      <c r="D85" s="58" t="s">
        <v>187</v>
      </c>
      <c r="E85" s="58" t="s">
        <v>187</v>
      </c>
      <c r="F85" s="58" t="s">
        <v>188</v>
      </c>
      <c r="G85" s="58" t="s">
        <v>189</v>
      </c>
      <c r="H85" s="58" t="s">
        <v>179</v>
      </c>
      <c r="I85">
        <v>38000</v>
      </c>
      <c r="J85">
        <v>38000</v>
      </c>
      <c r="K85">
        <v>10000</v>
      </c>
      <c r="L85" s="74">
        <v>13.065</v>
      </c>
      <c r="M85" s="85">
        <v>14</v>
      </c>
      <c r="N85" s="74">
        <v>0.10100000000000001</v>
      </c>
      <c r="O85">
        <v>1</v>
      </c>
      <c r="P85" s="84">
        <v>0.10100000000000001</v>
      </c>
      <c r="Q85" s="86">
        <v>3.45</v>
      </c>
      <c r="R85" s="85">
        <v>3.45</v>
      </c>
      <c r="S85" s="87">
        <v>1597940</v>
      </c>
      <c r="T85" s="1">
        <v>1</v>
      </c>
      <c r="U85" s="88">
        <v>463171.0144927536</v>
      </c>
      <c r="V85" s="59">
        <v>2.1590297508041605</v>
      </c>
      <c r="X85" s="98">
        <v>3.45</v>
      </c>
      <c r="Y85" s="97">
        <v>202.64927536231883</v>
      </c>
    </row>
    <row r="86" spans="1:25">
      <c r="A86" s="58">
        <v>85</v>
      </c>
      <c r="B86" s="58">
        <v>85</v>
      </c>
      <c r="C86" s="58" t="s">
        <v>358</v>
      </c>
      <c r="D86" s="58" t="s">
        <v>187</v>
      </c>
      <c r="E86" s="58" t="s">
        <v>187</v>
      </c>
      <c r="F86" s="58" t="s">
        <v>359</v>
      </c>
      <c r="G86" s="58" t="s">
        <v>360</v>
      </c>
      <c r="H86" s="58" t="s">
        <v>179</v>
      </c>
      <c r="I86">
        <v>38000</v>
      </c>
      <c r="J86" s="58" t="s">
        <v>185</v>
      </c>
      <c r="K86">
        <v>38000</v>
      </c>
      <c r="L86" s="74">
        <v>9.1430000000000007</v>
      </c>
      <c r="M86" s="85">
        <v>10</v>
      </c>
      <c r="N86" s="74">
        <v>0.59899999999999998</v>
      </c>
      <c r="O86">
        <v>1</v>
      </c>
      <c r="P86" s="84">
        <v>0.44924999999999998</v>
      </c>
      <c r="Q86" s="86">
        <v>3.45</v>
      </c>
      <c r="R86" s="85">
        <v>3.45</v>
      </c>
      <c r="S86" s="87">
        <v>1387140</v>
      </c>
      <c r="T86" s="1">
        <v>1</v>
      </c>
      <c r="U86" s="88">
        <v>402069.5652173913</v>
      </c>
      <c r="V86" s="59">
        <v>2.487131796357974</v>
      </c>
      <c r="X86" s="98">
        <v>3.45</v>
      </c>
      <c r="Y86" s="97">
        <v>463.17101449275361</v>
      </c>
    </row>
    <row r="87" spans="1:25">
      <c r="A87" s="58">
        <v>86</v>
      </c>
      <c r="B87" s="58">
        <v>86</v>
      </c>
      <c r="C87" s="58" t="s">
        <v>361</v>
      </c>
      <c r="D87" s="58" t="s">
        <v>187</v>
      </c>
      <c r="E87" s="58" t="s">
        <v>187</v>
      </c>
      <c r="F87" s="58" t="s">
        <v>188</v>
      </c>
      <c r="G87" s="58" t="s">
        <v>189</v>
      </c>
      <c r="H87" s="58" t="s">
        <v>179</v>
      </c>
      <c r="I87">
        <v>38000</v>
      </c>
      <c r="J87">
        <v>38000</v>
      </c>
      <c r="K87">
        <v>10000</v>
      </c>
      <c r="L87" s="74">
        <v>11.022</v>
      </c>
      <c r="M87" s="85">
        <v>12</v>
      </c>
      <c r="N87" s="74">
        <v>0.20499999999999999</v>
      </c>
      <c r="O87">
        <v>1</v>
      </c>
      <c r="P87" s="84">
        <v>0.20499999999999999</v>
      </c>
      <c r="Q87" s="86">
        <v>3.45</v>
      </c>
      <c r="R87" s="85">
        <v>3.45</v>
      </c>
      <c r="S87" s="87">
        <v>1492540</v>
      </c>
      <c r="T87" s="1">
        <v>1</v>
      </c>
      <c r="U87" s="88">
        <v>432620.28985507245</v>
      </c>
      <c r="V87" s="59">
        <v>2.3114958393074891</v>
      </c>
      <c r="X87" s="98">
        <v>3.45</v>
      </c>
      <c r="Y87" s="97">
        <v>402.0695652173913</v>
      </c>
    </row>
    <row r="88" spans="1:25">
      <c r="A88" s="58">
        <v>87</v>
      </c>
      <c r="B88" s="58">
        <v>87</v>
      </c>
      <c r="C88" s="58" t="s">
        <v>362</v>
      </c>
      <c r="D88" s="58" t="s">
        <v>187</v>
      </c>
      <c r="E88" s="58" t="s">
        <v>187</v>
      </c>
      <c r="F88" s="58" t="s">
        <v>188</v>
      </c>
      <c r="G88" s="58" t="s">
        <v>189</v>
      </c>
      <c r="H88" s="58" t="s">
        <v>179</v>
      </c>
      <c r="I88">
        <v>38000</v>
      </c>
      <c r="J88">
        <v>38000</v>
      </c>
      <c r="K88">
        <v>10000</v>
      </c>
      <c r="L88" s="74">
        <v>3.3159999999999998</v>
      </c>
      <c r="M88" s="85">
        <v>4</v>
      </c>
      <c r="N88" s="74">
        <v>0.442</v>
      </c>
      <c r="O88">
        <v>1</v>
      </c>
      <c r="P88" s="84">
        <v>0.442</v>
      </c>
      <c r="Q88" s="86">
        <v>3.45</v>
      </c>
      <c r="R88" s="85">
        <v>3.45</v>
      </c>
      <c r="S88" s="87">
        <v>628870</v>
      </c>
      <c r="T88" s="1">
        <v>4</v>
      </c>
      <c r="U88" s="88">
        <v>182281.15942028986</v>
      </c>
      <c r="V88" s="59">
        <v>5.4860304991492681</v>
      </c>
      <c r="X88" s="98">
        <v>3.45</v>
      </c>
      <c r="Y88" s="97">
        <v>432.62028985507243</v>
      </c>
    </row>
    <row r="89" spans="1:25">
      <c r="A89" s="58">
        <v>88</v>
      </c>
      <c r="B89" s="58">
        <v>88</v>
      </c>
      <c r="C89" s="58" t="s">
        <v>363</v>
      </c>
      <c r="D89" s="58" t="s">
        <v>187</v>
      </c>
      <c r="E89" s="58" t="s">
        <v>187</v>
      </c>
      <c r="F89" s="58" t="s">
        <v>188</v>
      </c>
      <c r="G89" s="58" t="s">
        <v>189</v>
      </c>
      <c r="H89" s="58" t="s">
        <v>179</v>
      </c>
      <c r="I89">
        <v>38000</v>
      </c>
      <c r="J89">
        <v>38000</v>
      </c>
      <c r="K89">
        <v>10000</v>
      </c>
      <c r="L89" s="74">
        <v>2.2429999999999999</v>
      </c>
      <c r="M89" s="85">
        <v>3</v>
      </c>
      <c r="N89" s="74">
        <v>9.7000000000000003E-2</v>
      </c>
      <c r="O89">
        <v>1</v>
      </c>
      <c r="P89" s="84">
        <v>9.7000000000000003E-2</v>
      </c>
      <c r="Q89" s="86">
        <v>3.45</v>
      </c>
      <c r="R89" s="85">
        <v>3.45</v>
      </c>
      <c r="S89" s="87">
        <v>558600</v>
      </c>
      <c r="T89" s="1">
        <v>4</v>
      </c>
      <c r="U89" s="88">
        <v>161913.04347826086</v>
      </c>
      <c r="V89" s="59">
        <v>6.176154672395274</v>
      </c>
      <c r="X89" s="98">
        <v>3.45</v>
      </c>
      <c r="Y89" s="97">
        <v>182.28115942028987</v>
      </c>
    </row>
    <row r="90" spans="1:25">
      <c r="A90" s="58">
        <v>89</v>
      </c>
      <c r="B90" s="58">
        <v>89</v>
      </c>
      <c r="C90" s="58" t="s">
        <v>364</v>
      </c>
      <c r="D90" s="58" t="s">
        <v>187</v>
      </c>
      <c r="E90" s="58" t="s">
        <v>187</v>
      </c>
      <c r="F90" s="58" t="s">
        <v>365</v>
      </c>
      <c r="G90" s="58" t="s">
        <v>366</v>
      </c>
      <c r="H90" s="58" t="s">
        <v>179</v>
      </c>
      <c r="I90">
        <v>38000</v>
      </c>
      <c r="J90">
        <v>38000</v>
      </c>
      <c r="K90">
        <v>10000</v>
      </c>
      <c r="L90" s="74">
        <v>4.306</v>
      </c>
      <c r="M90" s="85">
        <v>5</v>
      </c>
      <c r="N90" s="74">
        <v>0.19700000000000001</v>
      </c>
      <c r="O90">
        <v>1</v>
      </c>
      <c r="P90" s="84">
        <v>0.19700000000000001</v>
      </c>
      <c r="Q90" s="86">
        <v>3.45</v>
      </c>
      <c r="R90" s="85">
        <v>3.45</v>
      </c>
      <c r="S90" s="87">
        <v>699140</v>
      </c>
      <c r="T90" s="1">
        <v>4</v>
      </c>
      <c r="U90" s="88">
        <v>202649.27536231882</v>
      </c>
      <c r="V90" s="59">
        <v>4.9346339788883489</v>
      </c>
      <c r="X90" s="98">
        <v>3.45</v>
      </c>
      <c r="Y90" s="97">
        <v>161.91304347826085</v>
      </c>
    </row>
    <row r="91" spans="1:25">
      <c r="A91" s="58">
        <v>90</v>
      </c>
      <c r="B91" s="58">
        <v>90</v>
      </c>
      <c r="C91" s="58" t="s">
        <v>367</v>
      </c>
      <c r="D91" s="58" t="s">
        <v>187</v>
      </c>
      <c r="E91" s="58" t="s">
        <v>187</v>
      </c>
      <c r="F91" s="58" t="s">
        <v>368</v>
      </c>
      <c r="G91" s="58" t="s">
        <v>369</v>
      </c>
      <c r="H91" s="58" t="s">
        <v>199</v>
      </c>
      <c r="I91">
        <v>110000</v>
      </c>
      <c r="J91">
        <v>110000</v>
      </c>
      <c r="K91">
        <v>38000</v>
      </c>
      <c r="L91" s="74">
        <v>3.7869999999999999</v>
      </c>
      <c r="M91" s="85">
        <v>4</v>
      </c>
      <c r="N91" s="74">
        <v>0.318</v>
      </c>
      <c r="O91">
        <v>1</v>
      </c>
      <c r="P91" s="84">
        <v>0.318</v>
      </c>
      <c r="Q91" s="86">
        <v>3.45</v>
      </c>
      <c r="R91" s="85">
        <v>3.45</v>
      </c>
      <c r="S91" s="87">
        <v>1627270</v>
      </c>
      <c r="T91" s="1">
        <v>7</v>
      </c>
      <c r="U91" s="88">
        <v>471672.46376811591</v>
      </c>
      <c r="V91" s="59">
        <v>2.1201152851094163</v>
      </c>
      <c r="X91" s="98">
        <v>3.45</v>
      </c>
      <c r="Y91" s="97">
        <v>202.64927536231883</v>
      </c>
    </row>
    <row r="92" spans="1:25">
      <c r="A92" s="58">
        <v>91</v>
      </c>
      <c r="B92" s="58">
        <v>91</v>
      </c>
      <c r="C92" s="58" t="s">
        <v>370</v>
      </c>
      <c r="D92" s="58" t="s">
        <v>187</v>
      </c>
      <c r="E92" s="58" t="s">
        <v>187</v>
      </c>
      <c r="F92" s="58" t="s">
        <v>368</v>
      </c>
      <c r="G92" s="58" t="s">
        <v>369</v>
      </c>
      <c r="H92" s="58" t="s">
        <v>199</v>
      </c>
      <c r="I92">
        <v>110000</v>
      </c>
      <c r="J92">
        <v>110000</v>
      </c>
      <c r="K92">
        <v>38000</v>
      </c>
      <c r="L92" s="74">
        <v>3.504</v>
      </c>
      <c r="M92" s="85">
        <v>4</v>
      </c>
      <c r="N92" s="74">
        <v>0.39500000000000002</v>
      </c>
      <c r="O92">
        <v>1</v>
      </c>
      <c r="P92" s="84">
        <v>0.39500000000000002</v>
      </c>
      <c r="Q92" s="86">
        <v>3.45</v>
      </c>
      <c r="R92" s="85">
        <v>3.45</v>
      </c>
      <c r="S92" s="87">
        <v>1627270</v>
      </c>
      <c r="T92" s="1">
        <v>7</v>
      </c>
      <c r="U92" s="88">
        <v>471672.46376811591</v>
      </c>
      <c r="V92" s="59">
        <v>2.1201152851094163</v>
      </c>
      <c r="X92" s="98">
        <v>3.45</v>
      </c>
      <c r="Y92" s="97">
        <v>471.6724637681159</v>
      </c>
    </row>
    <row r="93" spans="1:25">
      <c r="A93" s="58">
        <v>92</v>
      </c>
      <c r="B93" s="58">
        <v>92</v>
      </c>
      <c r="C93" s="58" t="s">
        <v>371</v>
      </c>
      <c r="D93" s="58" t="s">
        <v>187</v>
      </c>
      <c r="E93" s="58" t="s">
        <v>187</v>
      </c>
      <c r="F93" s="58" t="s">
        <v>238</v>
      </c>
      <c r="G93" s="58" t="s">
        <v>239</v>
      </c>
      <c r="H93" s="58" t="s">
        <v>179</v>
      </c>
      <c r="I93">
        <v>38000</v>
      </c>
      <c r="J93">
        <v>38000</v>
      </c>
      <c r="K93">
        <v>10000</v>
      </c>
      <c r="L93" s="74">
        <v>10.189</v>
      </c>
      <c r="M93" s="85">
        <v>11</v>
      </c>
      <c r="N93" s="74">
        <v>0.28599999999999998</v>
      </c>
      <c r="O93">
        <v>1</v>
      </c>
      <c r="P93" s="84">
        <v>0.28599999999999998</v>
      </c>
      <c r="Q93" s="86">
        <v>3.45</v>
      </c>
      <c r="R93" s="85">
        <v>3.45</v>
      </c>
      <c r="S93" s="87">
        <v>1439840</v>
      </c>
      <c r="T93" s="1">
        <v>1</v>
      </c>
      <c r="U93" s="88">
        <v>417344.92753623187</v>
      </c>
      <c r="V93" s="59">
        <v>2.396099566618513</v>
      </c>
      <c r="X93" s="98">
        <v>3.45</v>
      </c>
      <c r="Y93" s="97">
        <v>471.6724637681159</v>
      </c>
    </row>
    <row r="94" spans="1:25">
      <c r="A94" s="58">
        <v>93</v>
      </c>
      <c r="B94" s="58">
        <v>93</v>
      </c>
      <c r="C94" s="58" t="s">
        <v>372</v>
      </c>
      <c r="D94" s="58" t="s">
        <v>187</v>
      </c>
      <c r="E94" s="58" t="s">
        <v>187</v>
      </c>
      <c r="F94" s="58" t="s">
        <v>194</v>
      </c>
      <c r="G94" s="58" t="s">
        <v>195</v>
      </c>
      <c r="H94" s="58" t="s">
        <v>179</v>
      </c>
      <c r="I94">
        <v>38000</v>
      </c>
      <c r="J94" s="58" t="s">
        <v>185</v>
      </c>
      <c r="K94">
        <v>38000</v>
      </c>
      <c r="L94" s="74">
        <v>1.583</v>
      </c>
      <c r="M94" s="85">
        <v>2</v>
      </c>
      <c r="N94" s="74">
        <v>0.16600000000000001</v>
      </c>
      <c r="O94">
        <v>1</v>
      </c>
      <c r="P94" s="84">
        <v>0.16600000000000001</v>
      </c>
      <c r="Q94" s="86">
        <v>3.45</v>
      </c>
      <c r="R94" s="85">
        <v>3.45</v>
      </c>
      <c r="S94" s="87">
        <v>488330</v>
      </c>
      <c r="T94" s="1">
        <v>4</v>
      </c>
      <c r="U94" s="88">
        <v>141544.92753623187</v>
      </c>
      <c r="V94" s="59">
        <v>7.0648946409190509</v>
      </c>
      <c r="X94" s="98">
        <v>3.45</v>
      </c>
      <c r="Y94" s="97">
        <v>417.34492753623186</v>
      </c>
    </row>
    <row r="95" spans="1:25">
      <c r="A95" s="58">
        <v>94</v>
      </c>
      <c r="B95" s="58">
        <v>94</v>
      </c>
      <c r="C95" s="58" t="s">
        <v>373</v>
      </c>
      <c r="D95" s="58" t="s">
        <v>187</v>
      </c>
      <c r="E95" s="58" t="s">
        <v>187</v>
      </c>
      <c r="F95" s="58" t="s">
        <v>374</v>
      </c>
      <c r="G95" s="58" t="s">
        <v>375</v>
      </c>
      <c r="H95" s="58" t="s">
        <v>179</v>
      </c>
      <c r="I95">
        <v>38000</v>
      </c>
      <c r="J95">
        <v>38000</v>
      </c>
      <c r="K95">
        <v>20000</v>
      </c>
      <c r="L95" s="74">
        <v>3.2959999999999998</v>
      </c>
      <c r="M95" s="85">
        <v>4</v>
      </c>
      <c r="N95" s="74">
        <v>0.115</v>
      </c>
      <c r="O95">
        <v>1</v>
      </c>
      <c r="P95" s="84">
        <v>0.115</v>
      </c>
      <c r="Q95" s="86">
        <v>3.45</v>
      </c>
      <c r="R95" s="85">
        <v>3.45</v>
      </c>
      <c r="S95" s="87">
        <v>628870</v>
      </c>
      <c r="T95" s="1">
        <v>4</v>
      </c>
      <c r="U95" s="88">
        <v>182281.15942028986</v>
      </c>
      <c r="V95" s="59">
        <v>5.4860304991492681</v>
      </c>
      <c r="X95" s="98">
        <v>3.45</v>
      </c>
      <c r="Y95" s="97">
        <v>141.54492753623188</v>
      </c>
    </row>
    <row r="96" spans="1:25">
      <c r="A96" s="58">
        <v>95</v>
      </c>
      <c r="B96" s="58">
        <v>95</v>
      </c>
      <c r="C96" s="58" t="s">
        <v>376</v>
      </c>
      <c r="D96" s="58" t="s">
        <v>187</v>
      </c>
      <c r="E96" s="58" t="s">
        <v>187</v>
      </c>
      <c r="F96" s="58" t="s">
        <v>377</v>
      </c>
      <c r="H96" s="58" t="s">
        <v>179</v>
      </c>
      <c r="I96">
        <v>38000</v>
      </c>
      <c r="L96" s="74">
        <v>5.1740000000000004</v>
      </c>
      <c r="M96" s="85">
        <v>6</v>
      </c>
      <c r="N96" s="74">
        <v>0.108</v>
      </c>
      <c r="O96">
        <v>1</v>
      </c>
      <c r="P96" s="84">
        <v>0.108</v>
      </c>
      <c r="Q96" s="86">
        <v>3.45</v>
      </c>
      <c r="R96" s="85">
        <v>3.45</v>
      </c>
      <c r="S96" s="87">
        <v>769410</v>
      </c>
      <c r="T96" s="1">
        <v>4</v>
      </c>
      <c r="U96" s="88">
        <v>223017.39130434781</v>
      </c>
      <c r="V96" s="59">
        <v>4.4839552384294459</v>
      </c>
      <c r="X96" s="98">
        <v>3.45</v>
      </c>
      <c r="Y96" s="97">
        <v>182.28115942028987</v>
      </c>
    </row>
    <row r="97" spans="1:25">
      <c r="A97" s="58">
        <v>96</v>
      </c>
      <c r="B97" s="58">
        <v>96</v>
      </c>
      <c r="C97" s="58" t="s">
        <v>378</v>
      </c>
      <c r="D97" s="58" t="s">
        <v>234</v>
      </c>
      <c r="E97" s="58" t="s">
        <v>234</v>
      </c>
      <c r="F97" s="58" t="s">
        <v>235</v>
      </c>
      <c r="G97" s="58" t="s">
        <v>236</v>
      </c>
      <c r="H97" s="58" t="s">
        <v>179</v>
      </c>
      <c r="I97">
        <v>38000</v>
      </c>
      <c r="J97">
        <v>38000</v>
      </c>
      <c r="K97">
        <v>20000</v>
      </c>
      <c r="L97" s="74">
        <v>10.712999999999999</v>
      </c>
      <c r="M97" s="85">
        <v>11</v>
      </c>
      <c r="N97" s="74">
        <v>0.108</v>
      </c>
      <c r="O97">
        <v>1</v>
      </c>
      <c r="P97" s="84">
        <v>0.108</v>
      </c>
      <c r="Q97" s="86">
        <v>3.45</v>
      </c>
      <c r="R97" s="85">
        <v>3.45</v>
      </c>
      <c r="S97" s="87">
        <v>1439840</v>
      </c>
      <c r="T97" s="1">
        <v>1</v>
      </c>
      <c r="U97" s="88">
        <v>417344.92753623187</v>
      </c>
      <c r="V97" s="59">
        <v>2.396099566618513</v>
      </c>
      <c r="X97" s="98">
        <v>3.45</v>
      </c>
      <c r="Y97" s="97">
        <v>223.0173913043478</v>
      </c>
    </row>
    <row r="98" spans="1:25">
      <c r="A98" s="58">
        <v>97</v>
      </c>
      <c r="B98" s="58">
        <v>97</v>
      </c>
      <c r="C98" s="58" t="s">
        <v>379</v>
      </c>
      <c r="D98" s="58" t="s">
        <v>380</v>
      </c>
      <c r="E98" s="58" t="s">
        <v>380</v>
      </c>
      <c r="F98" s="58" t="s">
        <v>381</v>
      </c>
      <c r="G98" s="58" t="s">
        <v>382</v>
      </c>
      <c r="H98" s="58" t="s">
        <v>199</v>
      </c>
      <c r="I98">
        <v>110000</v>
      </c>
      <c r="J98">
        <v>20000</v>
      </c>
      <c r="K98">
        <v>110000</v>
      </c>
      <c r="L98" s="74">
        <v>10.637</v>
      </c>
      <c r="M98" s="85">
        <v>11</v>
      </c>
      <c r="N98" s="74">
        <v>0.36399999999999999</v>
      </c>
      <c r="O98">
        <v>1</v>
      </c>
      <c r="P98" s="84">
        <v>0.36399999999999999</v>
      </c>
      <c r="Q98" s="86">
        <v>3.45</v>
      </c>
      <c r="R98" s="85">
        <v>3.45</v>
      </c>
      <c r="S98" s="87">
        <v>1996170</v>
      </c>
      <c r="T98" s="1">
        <v>7</v>
      </c>
      <c r="U98" s="88">
        <v>578600</v>
      </c>
      <c r="V98" s="59">
        <v>1.7283097131005876</v>
      </c>
      <c r="X98" s="98">
        <v>3.45</v>
      </c>
      <c r="Y98" s="97">
        <v>417.34492753623186</v>
      </c>
    </row>
    <row r="99" spans="1:25">
      <c r="A99" s="58">
        <v>98</v>
      </c>
      <c r="B99" s="58">
        <v>98</v>
      </c>
      <c r="C99" s="58" t="s">
        <v>383</v>
      </c>
      <c r="D99" s="58" t="s">
        <v>380</v>
      </c>
      <c r="E99" s="58" t="s">
        <v>384</v>
      </c>
      <c r="F99" s="58" t="s">
        <v>381</v>
      </c>
      <c r="G99" s="58" t="s">
        <v>382</v>
      </c>
      <c r="H99" s="58" t="s">
        <v>199</v>
      </c>
      <c r="I99">
        <v>110000</v>
      </c>
      <c r="J99">
        <v>20000</v>
      </c>
      <c r="K99">
        <v>110000</v>
      </c>
      <c r="L99" s="74">
        <v>9.8740000000000006</v>
      </c>
      <c r="M99" s="85">
        <v>10</v>
      </c>
      <c r="N99" s="74">
        <v>0.32800000000000001</v>
      </c>
      <c r="O99">
        <v>1</v>
      </c>
      <c r="P99" s="84">
        <v>0.32800000000000001</v>
      </c>
      <c r="Q99" s="86">
        <v>3.45</v>
      </c>
      <c r="R99" s="85">
        <v>3.45</v>
      </c>
      <c r="S99" s="87">
        <v>1943470</v>
      </c>
      <c r="T99" s="1">
        <v>7</v>
      </c>
      <c r="U99" s="88">
        <v>563324.63768115942</v>
      </c>
      <c r="V99" s="59">
        <v>1.7751753307228824</v>
      </c>
      <c r="X99" s="98">
        <v>3.45</v>
      </c>
      <c r="Y99" s="97">
        <v>578.6</v>
      </c>
    </row>
    <row r="100" spans="1:25">
      <c r="A100" s="58">
        <v>99</v>
      </c>
      <c r="B100" s="58">
        <v>99</v>
      </c>
      <c r="C100" s="58" t="s">
        <v>385</v>
      </c>
      <c r="D100" s="58" t="s">
        <v>380</v>
      </c>
      <c r="E100" s="58" t="s">
        <v>380</v>
      </c>
      <c r="F100" s="58" t="s">
        <v>386</v>
      </c>
      <c r="G100" s="58" t="s">
        <v>387</v>
      </c>
      <c r="H100" s="58" t="s">
        <v>179</v>
      </c>
      <c r="I100">
        <v>38000</v>
      </c>
      <c r="J100">
        <v>38000</v>
      </c>
      <c r="K100">
        <v>20000</v>
      </c>
      <c r="L100" s="74">
        <v>9.9749999999999996</v>
      </c>
      <c r="M100" s="85">
        <v>10</v>
      </c>
      <c r="N100" s="74">
        <v>0.438</v>
      </c>
      <c r="O100">
        <v>1</v>
      </c>
      <c r="P100" s="84">
        <v>0.438</v>
      </c>
      <c r="Q100" s="86">
        <v>3.45</v>
      </c>
      <c r="R100" s="85">
        <v>3.45</v>
      </c>
      <c r="S100" s="87">
        <v>1387140</v>
      </c>
      <c r="T100" s="1">
        <v>1</v>
      </c>
      <c r="U100" s="88">
        <v>402069.5652173913</v>
      </c>
      <c r="V100" s="59">
        <v>2.487131796357974</v>
      </c>
      <c r="X100" s="98">
        <v>3.45</v>
      </c>
      <c r="Y100" s="97">
        <v>563.32463768115952</v>
      </c>
    </row>
    <row r="101" spans="1:25">
      <c r="A101" s="58">
        <v>100</v>
      </c>
      <c r="B101" s="58">
        <v>100</v>
      </c>
      <c r="C101" s="58" t="s">
        <v>388</v>
      </c>
      <c r="D101" s="58" t="s">
        <v>207</v>
      </c>
      <c r="E101" s="58" t="s">
        <v>207</v>
      </c>
      <c r="F101" s="58" t="s">
        <v>389</v>
      </c>
      <c r="G101" s="58" t="s">
        <v>390</v>
      </c>
      <c r="H101" s="58" t="s">
        <v>199</v>
      </c>
      <c r="I101">
        <v>110000</v>
      </c>
      <c r="J101">
        <v>110000</v>
      </c>
      <c r="K101">
        <v>38000</v>
      </c>
      <c r="L101" s="74">
        <v>8.266</v>
      </c>
      <c r="M101" s="85">
        <v>9</v>
      </c>
      <c r="N101" s="74">
        <v>1.0329999999999999</v>
      </c>
      <c r="O101">
        <v>1</v>
      </c>
      <c r="P101" s="84">
        <v>0.77474999999999994</v>
      </c>
      <c r="Q101" s="86">
        <v>6.9</v>
      </c>
      <c r="R101" s="85">
        <v>6.9</v>
      </c>
      <c r="S101" s="87">
        <v>1890770</v>
      </c>
      <c r="T101" s="1">
        <v>7</v>
      </c>
      <c r="U101" s="88">
        <v>274024.63768115942</v>
      </c>
      <c r="V101" s="59">
        <v>3.6493068961322637</v>
      </c>
      <c r="X101" s="98">
        <v>3.45</v>
      </c>
      <c r="Y101" s="97">
        <v>402.0695652173913</v>
      </c>
    </row>
    <row r="102" spans="1:25">
      <c r="A102" s="58">
        <v>101</v>
      </c>
      <c r="B102" s="58">
        <v>101</v>
      </c>
      <c r="C102" s="58" t="s">
        <v>391</v>
      </c>
      <c r="D102" s="58" t="s">
        <v>207</v>
      </c>
      <c r="E102" s="58" t="s">
        <v>207</v>
      </c>
      <c r="F102" s="58" t="s">
        <v>389</v>
      </c>
      <c r="G102" s="58" t="s">
        <v>390</v>
      </c>
      <c r="H102" s="58" t="s">
        <v>199</v>
      </c>
      <c r="I102">
        <v>110000</v>
      </c>
      <c r="J102">
        <v>110000</v>
      </c>
      <c r="K102">
        <v>38000</v>
      </c>
      <c r="L102" s="74">
        <v>10.241</v>
      </c>
      <c r="M102" s="85">
        <v>11</v>
      </c>
      <c r="N102" s="74">
        <v>0.10100000000000001</v>
      </c>
      <c r="O102">
        <v>1</v>
      </c>
      <c r="P102" s="84">
        <v>0.10100000000000001</v>
      </c>
      <c r="Q102" s="86">
        <v>3.45</v>
      </c>
      <c r="R102" s="85">
        <v>3.45</v>
      </c>
      <c r="S102" s="87">
        <v>1996170</v>
      </c>
      <c r="T102" s="1">
        <v>7</v>
      </c>
      <c r="U102" s="88">
        <v>578600</v>
      </c>
      <c r="V102" s="59">
        <v>1.7283097131005876</v>
      </c>
      <c r="X102" s="98">
        <v>6.9</v>
      </c>
      <c r="Y102" s="97">
        <v>274.02463768115945</v>
      </c>
    </row>
    <row r="103" spans="1:25">
      <c r="A103" s="58">
        <v>102</v>
      </c>
      <c r="B103" s="58">
        <v>102</v>
      </c>
      <c r="C103" s="58" t="s">
        <v>392</v>
      </c>
      <c r="D103" s="58" t="s">
        <v>207</v>
      </c>
      <c r="E103" s="58" t="s">
        <v>207</v>
      </c>
      <c r="F103" s="58" t="s">
        <v>393</v>
      </c>
      <c r="G103" s="58" t="s">
        <v>394</v>
      </c>
      <c r="H103" s="58" t="s">
        <v>179</v>
      </c>
      <c r="I103">
        <v>38000</v>
      </c>
      <c r="J103">
        <v>38000</v>
      </c>
      <c r="K103" s="58" t="s">
        <v>185</v>
      </c>
      <c r="L103" s="74">
        <v>9.3130000000000006</v>
      </c>
      <c r="M103" s="85">
        <v>10</v>
      </c>
      <c r="N103" s="74">
        <v>0.157</v>
      </c>
      <c r="O103">
        <v>1</v>
      </c>
      <c r="P103" s="84">
        <v>0.157</v>
      </c>
      <c r="Q103" s="86">
        <v>3.45</v>
      </c>
      <c r="R103" s="85">
        <v>3.45</v>
      </c>
      <c r="S103" s="87">
        <v>1387140</v>
      </c>
      <c r="T103" s="1">
        <v>1</v>
      </c>
      <c r="U103" s="88">
        <v>402069.5652173913</v>
      </c>
      <c r="V103" s="59">
        <v>2.487131796357974</v>
      </c>
      <c r="X103" s="98">
        <v>3.45</v>
      </c>
      <c r="Y103" s="97">
        <v>578.6</v>
      </c>
    </row>
    <row r="104" spans="1:25">
      <c r="A104" s="58">
        <v>103</v>
      </c>
      <c r="B104" s="58">
        <v>103</v>
      </c>
      <c r="C104" s="58" t="s">
        <v>395</v>
      </c>
      <c r="D104" s="58" t="s">
        <v>207</v>
      </c>
      <c r="E104" s="58" t="s">
        <v>207</v>
      </c>
      <c r="F104" s="58" t="s">
        <v>242</v>
      </c>
      <c r="G104" s="58" t="s">
        <v>243</v>
      </c>
      <c r="H104" s="58" t="s">
        <v>179</v>
      </c>
      <c r="I104">
        <v>38000</v>
      </c>
      <c r="J104">
        <v>38000</v>
      </c>
      <c r="K104">
        <v>20000</v>
      </c>
      <c r="L104" s="74">
        <v>6.1760000000000002</v>
      </c>
      <c r="M104" s="85">
        <v>7</v>
      </c>
      <c r="N104" s="74">
        <v>0.40500000000000003</v>
      </c>
      <c r="O104">
        <v>1</v>
      </c>
      <c r="P104" s="84">
        <v>0.40500000000000003</v>
      </c>
      <c r="Q104" s="86">
        <v>3.45</v>
      </c>
      <c r="R104" s="85">
        <v>3.45</v>
      </c>
      <c r="S104" s="87">
        <v>839680</v>
      </c>
      <c r="T104" s="1">
        <v>4</v>
      </c>
      <c r="U104" s="88">
        <v>243385.5072463768</v>
      </c>
      <c r="V104" s="59">
        <v>4.1087080792682924</v>
      </c>
      <c r="X104" s="98">
        <v>3.45</v>
      </c>
      <c r="Y104" s="97">
        <v>402.0695652173913</v>
      </c>
    </row>
    <row r="105" spans="1:25">
      <c r="A105" s="58">
        <v>104</v>
      </c>
      <c r="B105" s="58">
        <v>104</v>
      </c>
      <c r="C105" s="58" t="s">
        <v>396</v>
      </c>
      <c r="D105" s="58" t="s">
        <v>207</v>
      </c>
      <c r="E105" s="58" t="s">
        <v>207</v>
      </c>
      <c r="F105" s="58" t="s">
        <v>242</v>
      </c>
      <c r="G105" s="58" t="s">
        <v>243</v>
      </c>
      <c r="H105" s="58" t="s">
        <v>179</v>
      </c>
      <c r="I105">
        <v>38000</v>
      </c>
      <c r="J105">
        <v>38000</v>
      </c>
      <c r="K105">
        <v>20000</v>
      </c>
      <c r="L105" s="74">
        <v>10.936999999999999</v>
      </c>
      <c r="M105" s="85">
        <v>11</v>
      </c>
      <c r="N105" s="74">
        <v>0.309</v>
      </c>
      <c r="O105">
        <v>1</v>
      </c>
      <c r="P105" s="84">
        <v>0.309</v>
      </c>
      <c r="Q105" s="86">
        <v>3.45</v>
      </c>
      <c r="R105" s="85">
        <v>3.45</v>
      </c>
      <c r="S105" s="87">
        <v>1439840</v>
      </c>
      <c r="T105" s="1">
        <v>1</v>
      </c>
      <c r="U105" s="88">
        <v>417344.92753623187</v>
      </c>
      <c r="V105" s="59">
        <v>2.396099566618513</v>
      </c>
      <c r="X105" s="98">
        <v>3.45</v>
      </c>
      <c r="Y105" s="97">
        <v>243.38550724637682</v>
      </c>
    </row>
    <row r="106" spans="1:25">
      <c r="A106" s="58">
        <v>105</v>
      </c>
      <c r="B106" s="58">
        <v>105</v>
      </c>
      <c r="C106" s="58" t="s">
        <v>397</v>
      </c>
      <c r="D106" s="58" t="s">
        <v>202</v>
      </c>
      <c r="E106" s="58" t="s">
        <v>202</v>
      </c>
      <c r="F106" s="58" t="s">
        <v>398</v>
      </c>
      <c r="G106" s="58" t="s">
        <v>399</v>
      </c>
      <c r="H106" s="58" t="s">
        <v>179</v>
      </c>
      <c r="I106">
        <v>38000</v>
      </c>
      <c r="J106">
        <v>38000</v>
      </c>
      <c r="K106">
        <v>10000</v>
      </c>
      <c r="L106" s="74">
        <v>10.006</v>
      </c>
      <c r="M106" s="85">
        <v>11</v>
      </c>
      <c r="N106" s="74">
        <v>0.442</v>
      </c>
      <c r="O106">
        <v>1</v>
      </c>
      <c r="P106" s="84">
        <v>0.442</v>
      </c>
      <c r="Q106" s="86">
        <v>3.45</v>
      </c>
      <c r="R106" s="85">
        <v>3.45</v>
      </c>
      <c r="S106" s="87">
        <v>1439840</v>
      </c>
      <c r="T106" s="1">
        <v>1</v>
      </c>
      <c r="U106" s="88">
        <v>417344.92753623187</v>
      </c>
      <c r="V106" s="59">
        <v>2.396099566618513</v>
      </c>
      <c r="X106" s="98">
        <v>3.45</v>
      </c>
      <c r="Y106" s="97">
        <v>417.34492753623186</v>
      </c>
    </row>
    <row r="107" spans="1:25">
      <c r="A107" s="58">
        <v>106</v>
      </c>
      <c r="B107" s="58">
        <v>106</v>
      </c>
      <c r="C107" s="58" t="s">
        <v>400</v>
      </c>
      <c r="D107" s="58" t="s">
        <v>202</v>
      </c>
      <c r="E107" s="58" t="s">
        <v>202</v>
      </c>
      <c r="F107" s="58" t="s">
        <v>401</v>
      </c>
      <c r="G107" s="58" t="s">
        <v>402</v>
      </c>
      <c r="H107" s="58" t="s">
        <v>179</v>
      </c>
      <c r="I107">
        <v>38000</v>
      </c>
      <c r="J107">
        <v>38000</v>
      </c>
      <c r="K107" s="58" t="s">
        <v>185</v>
      </c>
      <c r="L107" s="74">
        <v>3.9750000000000001</v>
      </c>
      <c r="M107" s="85">
        <v>4</v>
      </c>
      <c r="N107" s="74">
        <v>0.27900000000000003</v>
      </c>
      <c r="O107">
        <v>1</v>
      </c>
      <c r="P107" s="84">
        <v>0.27900000000000003</v>
      </c>
      <c r="Q107" s="86">
        <v>3.45</v>
      </c>
      <c r="R107" s="85">
        <v>3.45</v>
      </c>
      <c r="S107" s="87">
        <v>628870</v>
      </c>
      <c r="T107" s="1">
        <v>4</v>
      </c>
      <c r="U107" s="88">
        <v>182281.15942028986</v>
      </c>
      <c r="V107" s="59">
        <v>5.4860304991492681</v>
      </c>
      <c r="X107" s="98">
        <v>3.45</v>
      </c>
      <c r="Y107" s="97">
        <v>417.34492753623186</v>
      </c>
    </row>
    <row r="108" spans="1:25">
      <c r="A108" s="58">
        <v>107</v>
      </c>
      <c r="B108" s="58">
        <v>107</v>
      </c>
      <c r="C108" s="58" t="s">
        <v>403</v>
      </c>
      <c r="D108" s="58" t="s">
        <v>202</v>
      </c>
      <c r="E108" s="58" t="s">
        <v>202</v>
      </c>
      <c r="F108" s="58" t="s">
        <v>398</v>
      </c>
      <c r="G108" s="58" t="s">
        <v>399</v>
      </c>
      <c r="H108" s="58" t="s">
        <v>179</v>
      </c>
      <c r="I108">
        <v>38000</v>
      </c>
      <c r="J108">
        <v>38000</v>
      </c>
      <c r="K108">
        <v>10000</v>
      </c>
      <c r="L108" s="74">
        <v>5.83</v>
      </c>
      <c r="M108" s="85">
        <v>6</v>
      </c>
      <c r="N108" s="74">
        <v>0.40500000000000003</v>
      </c>
      <c r="O108">
        <v>1</v>
      </c>
      <c r="P108" s="84">
        <v>0.40500000000000003</v>
      </c>
      <c r="Q108" s="86">
        <v>3.45</v>
      </c>
      <c r="R108" s="85">
        <v>3.45</v>
      </c>
      <c r="S108" s="87">
        <v>769410</v>
      </c>
      <c r="T108" s="1">
        <v>4</v>
      </c>
      <c r="U108" s="88">
        <v>223017.39130434781</v>
      </c>
      <c r="V108" s="59">
        <v>4.4839552384294459</v>
      </c>
      <c r="X108" s="98">
        <v>3.45</v>
      </c>
      <c r="Y108" s="97">
        <v>182.28115942028987</v>
      </c>
    </row>
    <row r="109" spans="1:25">
      <c r="A109" s="58">
        <v>108</v>
      </c>
      <c r="B109" s="58">
        <v>108</v>
      </c>
      <c r="C109" s="58" t="s">
        <v>404</v>
      </c>
      <c r="D109" s="58" t="s">
        <v>176</v>
      </c>
      <c r="E109" s="58" t="s">
        <v>176</v>
      </c>
      <c r="F109" s="58" t="s">
        <v>285</v>
      </c>
      <c r="G109" s="58" t="s">
        <v>286</v>
      </c>
      <c r="H109" s="58" t="s">
        <v>179</v>
      </c>
      <c r="I109">
        <v>38000</v>
      </c>
      <c r="J109">
        <v>38000</v>
      </c>
      <c r="K109">
        <v>20000</v>
      </c>
      <c r="L109" s="74">
        <v>4.2859999999999996</v>
      </c>
      <c r="M109" s="85">
        <v>5</v>
      </c>
      <c r="N109" s="74">
        <v>0.503</v>
      </c>
      <c r="O109">
        <v>1</v>
      </c>
      <c r="P109" s="84">
        <v>0.503</v>
      </c>
      <c r="Q109" s="86">
        <v>3.45</v>
      </c>
      <c r="R109" s="85">
        <v>3.45</v>
      </c>
      <c r="S109" s="87">
        <v>699140</v>
      </c>
      <c r="T109" s="1">
        <v>4</v>
      </c>
      <c r="U109" s="88">
        <v>202649.27536231882</v>
      </c>
      <c r="V109" s="59">
        <v>4.9346339788883489</v>
      </c>
      <c r="X109" s="98">
        <v>3.45</v>
      </c>
      <c r="Y109" s="97">
        <v>223.0173913043478</v>
      </c>
    </row>
    <row r="110" spans="1:25">
      <c r="A110" s="58">
        <v>109</v>
      </c>
      <c r="B110" s="58">
        <v>109</v>
      </c>
      <c r="C110" s="58" t="s">
        <v>405</v>
      </c>
      <c r="D110" s="58" t="s">
        <v>215</v>
      </c>
      <c r="E110" s="58" t="s">
        <v>215</v>
      </c>
      <c r="F110" s="58" t="s">
        <v>406</v>
      </c>
      <c r="G110" s="58" t="s">
        <v>407</v>
      </c>
      <c r="H110" s="58" t="s">
        <v>179</v>
      </c>
      <c r="I110">
        <v>38000</v>
      </c>
      <c r="J110" s="58" t="s">
        <v>185</v>
      </c>
      <c r="K110">
        <v>38000</v>
      </c>
      <c r="L110" s="74">
        <v>3.2879999999999998</v>
      </c>
      <c r="M110" s="85">
        <v>4</v>
      </c>
      <c r="N110" s="74">
        <v>0.49099999999999999</v>
      </c>
      <c r="O110">
        <v>1</v>
      </c>
      <c r="P110" s="84">
        <v>0.49099999999999999</v>
      </c>
      <c r="Q110" s="86">
        <v>3.45</v>
      </c>
      <c r="R110" s="85">
        <v>3.45</v>
      </c>
      <c r="S110" s="87">
        <v>628870</v>
      </c>
      <c r="T110" s="1">
        <v>4</v>
      </c>
      <c r="U110" s="88">
        <v>182281.15942028986</v>
      </c>
      <c r="V110" s="59">
        <v>5.4860304991492681</v>
      </c>
      <c r="X110" s="98">
        <v>3.45</v>
      </c>
      <c r="Y110" s="97">
        <v>202.64927536231883</v>
      </c>
    </row>
    <row r="111" spans="1:25">
      <c r="A111" s="58">
        <v>110</v>
      </c>
      <c r="B111" s="58">
        <v>110</v>
      </c>
      <c r="C111" s="58" t="s">
        <v>408</v>
      </c>
      <c r="D111" s="58" t="s">
        <v>215</v>
      </c>
      <c r="E111" s="58" t="s">
        <v>215</v>
      </c>
      <c r="F111" s="58" t="s">
        <v>406</v>
      </c>
      <c r="G111" s="58" t="s">
        <v>407</v>
      </c>
      <c r="H111" s="58" t="s">
        <v>179</v>
      </c>
      <c r="I111">
        <v>38000</v>
      </c>
      <c r="J111" s="58" t="s">
        <v>185</v>
      </c>
      <c r="K111">
        <v>38000</v>
      </c>
      <c r="L111" s="74">
        <v>2.5339999999999998</v>
      </c>
      <c r="M111" s="85">
        <v>3</v>
      </c>
      <c r="N111" s="74">
        <v>0.27700000000000002</v>
      </c>
      <c r="O111">
        <v>1</v>
      </c>
      <c r="P111" s="84">
        <v>0.27700000000000002</v>
      </c>
      <c r="Q111" s="86">
        <v>3.45</v>
      </c>
      <c r="R111" s="85">
        <v>3.45</v>
      </c>
      <c r="S111" s="87">
        <v>558600</v>
      </c>
      <c r="T111" s="1">
        <v>4</v>
      </c>
      <c r="U111" s="88">
        <v>161913.04347826086</v>
      </c>
      <c r="V111" s="59">
        <v>6.176154672395274</v>
      </c>
      <c r="X111" s="98">
        <v>3.45</v>
      </c>
      <c r="Y111" s="97">
        <v>182.28115942028987</v>
      </c>
    </row>
    <row r="112" spans="1:25">
      <c r="A112" s="58">
        <v>111</v>
      </c>
      <c r="B112" s="58">
        <v>111</v>
      </c>
      <c r="C112" s="58" t="s">
        <v>409</v>
      </c>
      <c r="D112" s="58" t="s">
        <v>410</v>
      </c>
      <c r="E112" s="58" t="s">
        <v>410</v>
      </c>
      <c r="F112" s="58" t="s">
        <v>411</v>
      </c>
      <c r="G112" s="58" t="s">
        <v>412</v>
      </c>
      <c r="H112" s="58" t="s">
        <v>179</v>
      </c>
      <c r="I112">
        <v>38000</v>
      </c>
      <c r="J112">
        <v>38000</v>
      </c>
      <c r="K112" s="58" t="s">
        <v>185</v>
      </c>
      <c r="L112" s="74">
        <v>7.3540000000000001</v>
      </c>
      <c r="M112" s="85">
        <v>8</v>
      </c>
      <c r="N112" s="74">
        <v>0.314</v>
      </c>
      <c r="O112">
        <v>1</v>
      </c>
      <c r="P112" s="84">
        <v>0.314</v>
      </c>
      <c r="Q112" s="86">
        <v>3.45</v>
      </c>
      <c r="R112" s="85">
        <v>3.45</v>
      </c>
      <c r="S112" s="87">
        <v>909950</v>
      </c>
      <c r="T112" s="1">
        <v>4</v>
      </c>
      <c r="U112" s="88">
        <v>263753.62318840576</v>
      </c>
      <c r="V112" s="59">
        <v>3.7914171108302654</v>
      </c>
      <c r="X112" s="98">
        <v>3.45</v>
      </c>
      <c r="Y112" s="97">
        <v>161.91304347826085</v>
      </c>
    </row>
    <row r="113" spans="1:25">
      <c r="A113" s="58">
        <v>112</v>
      </c>
      <c r="B113" s="58">
        <v>112</v>
      </c>
      <c r="C113" s="58" t="s">
        <v>413</v>
      </c>
      <c r="D113" s="58" t="s">
        <v>187</v>
      </c>
      <c r="E113" s="58" t="s">
        <v>187</v>
      </c>
      <c r="F113" s="58" t="s">
        <v>368</v>
      </c>
      <c r="G113" s="58" t="s">
        <v>369</v>
      </c>
      <c r="H113" s="58" t="s">
        <v>199</v>
      </c>
      <c r="I113">
        <v>110000</v>
      </c>
      <c r="J113">
        <v>110000</v>
      </c>
      <c r="K113">
        <v>38000</v>
      </c>
      <c r="L113" s="74">
        <v>4.4960000000000004</v>
      </c>
      <c r="M113" s="85">
        <v>5</v>
      </c>
      <c r="N113" s="74">
        <v>0.154</v>
      </c>
      <c r="O113">
        <v>1</v>
      </c>
      <c r="P113" s="84">
        <v>0.154</v>
      </c>
      <c r="Q113" s="86">
        <v>3.45</v>
      </c>
      <c r="R113" s="85">
        <v>3.45</v>
      </c>
      <c r="S113" s="87">
        <v>1679970</v>
      </c>
      <c r="T113" s="1">
        <v>7</v>
      </c>
      <c r="U113" s="88">
        <v>486947.82608695648</v>
      </c>
      <c r="V113" s="59">
        <v>2.0536081001446456</v>
      </c>
      <c r="X113" s="98">
        <v>3.45</v>
      </c>
      <c r="Y113" s="97">
        <v>263.75362318840581</v>
      </c>
    </row>
    <row r="114" spans="1:25">
      <c r="A114" s="58">
        <v>113</v>
      </c>
      <c r="B114" s="58">
        <v>113</v>
      </c>
      <c r="C114" s="58" t="s">
        <v>414</v>
      </c>
      <c r="D114" s="58" t="s">
        <v>187</v>
      </c>
      <c r="E114" s="58" t="s">
        <v>187</v>
      </c>
      <c r="F114" s="58" t="s">
        <v>415</v>
      </c>
      <c r="G114" s="58" t="s">
        <v>416</v>
      </c>
      <c r="H114" s="58" t="s">
        <v>179</v>
      </c>
      <c r="I114">
        <v>38000</v>
      </c>
      <c r="J114">
        <v>38000</v>
      </c>
      <c r="K114" s="58" t="s">
        <v>185</v>
      </c>
      <c r="L114" s="74">
        <v>8.4250000000000007</v>
      </c>
      <c r="M114" s="85">
        <v>9</v>
      </c>
      <c r="N114" s="74">
        <v>0.89400000000000002</v>
      </c>
      <c r="O114">
        <v>1</v>
      </c>
      <c r="P114" s="84">
        <v>0.67049999999999998</v>
      </c>
      <c r="Q114" s="86">
        <v>6.9</v>
      </c>
      <c r="R114" s="85">
        <v>6.9</v>
      </c>
      <c r="S114" s="87">
        <v>1379800</v>
      </c>
      <c r="T114" s="1">
        <v>2</v>
      </c>
      <c r="U114" s="88">
        <v>199971.0144927536</v>
      </c>
      <c r="V114" s="59">
        <v>5.0007247427163355</v>
      </c>
      <c r="X114" s="98">
        <v>3.45</v>
      </c>
      <c r="Y114" s="97">
        <v>486.94782608695647</v>
      </c>
    </row>
    <row r="115" spans="1:25">
      <c r="A115" s="58">
        <v>114</v>
      </c>
      <c r="B115" s="58">
        <v>114</v>
      </c>
      <c r="C115" s="58" t="s">
        <v>417</v>
      </c>
      <c r="D115" s="58" t="s">
        <v>187</v>
      </c>
      <c r="E115" s="58" t="s">
        <v>187</v>
      </c>
      <c r="F115" s="58" t="s">
        <v>418</v>
      </c>
      <c r="G115" s="58" t="s">
        <v>419</v>
      </c>
      <c r="H115" s="58" t="s">
        <v>199</v>
      </c>
      <c r="I115">
        <v>110000</v>
      </c>
      <c r="J115" s="58" t="s">
        <v>185</v>
      </c>
      <c r="K115">
        <v>110000</v>
      </c>
      <c r="L115" s="74">
        <v>3.157</v>
      </c>
      <c r="M115" s="85">
        <v>4</v>
      </c>
      <c r="N115" s="74">
        <v>0.159</v>
      </c>
      <c r="O115">
        <v>1</v>
      </c>
      <c r="P115" s="84">
        <v>0.159</v>
      </c>
      <c r="Q115" s="86">
        <v>3.45</v>
      </c>
      <c r="R115" s="85">
        <v>3.45</v>
      </c>
      <c r="S115" s="87">
        <v>1627270</v>
      </c>
      <c r="T115" s="1">
        <v>7</v>
      </c>
      <c r="U115" s="88">
        <v>471672.46376811591</v>
      </c>
      <c r="V115" s="59">
        <v>2.1201152851094163</v>
      </c>
      <c r="X115" s="98">
        <v>6.9</v>
      </c>
      <c r="Y115" s="97">
        <v>199.9710144927536</v>
      </c>
    </row>
    <row r="116" spans="1:25">
      <c r="A116" s="58">
        <v>115</v>
      </c>
      <c r="B116" s="58">
        <v>115</v>
      </c>
      <c r="C116" s="58" t="s">
        <v>420</v>
      </c>
      <c r="D116" s="58" t="s">
        <v>249</v>
      </c>
      <c r="E116" s="58" t="s">
        <v>351</v>
      </c>
      <c r="F116" s="58" t="s">
        <v>250</v>
      </c>
      <c r="G116" s="58" t="s">
        <v>251</v>
      </c>
      <c r="H116" s="58" t="s">
        <v>199</v>
      </c>
      <c r="I116">
        <v>110000</v>
      </c>
      <c r="L116" s="74">
        <v>10.141</v>
      </c>
      <c r="M116" s="85">
        <v>11</v>
      </c>
      <c r="N116" s="74">
        <v>0.27300000000000002</v>
      </c>
      <c r="O116">
        <v>1</v>
      </c>
      <c r="P116" s="84">
        <v>0.27300000000000002</v>
      </c>
      <c r="Q116" s="86">
        <v>3.45</v>
      </c>
      <c r="R116" s="85">
        <v>3.45</v>
      </c>
      <c r="S116" s="87">
        <v>1996170</v>
      </c>
      <c r="T116" s="1">
        <v>7</v>
      </c>
      <c r="U116" s="88">
        <v>578600</v>
      </c>
      <c r="V116" s="59">
        <v>1.7283097131005876</v>
      </c>
      <c r="X116" s="98">
        <v>3.45</v>
      </c>
      <c r="Y116" s="97">
        <v>471.6724637681159</v>
      </c>
    </row>
    <row r="117" spans="1:25">
      <c r="A117" s="58">
        <v>116</v>
      </c>
      <c r="B117" s="58">
        <v>116</v>
      </c>
      <c r="C117" s="58" t="s">
        <v>421</v>
      </c>
      <c r="D117" s="58" t="s">
        <v>351</v>
      </c>
      <c r="E117" s="58" t="s">
        <v>351</v>
      </c>
      <c r="F117" s="58" t="s">
        <v>422</v>
      </c>
      <c r="G117" s="58" t="s">
        <v>423</v>
      </c>
      <c r="H117" s="58" t="s">
        <v>199</v>
      </c>
      <c r="I117">
        <v>110000</v>
      </c>
      <c r="J117">
        <v>110000</v>
      </c>
      <c r="K117">
        <v>20000</v>
      </c>
      <c r="L117" s="74">
        <v>9.782</v>
      </c>
      <c r="M117" s="85">
        <v>10</v>
      </c>
      <c r="N117" s="74">
        <v>0.13</v>
      </c>
      <c r="O117">
        <v>1</v>
      </c>
      <c r="P117" s="84">
        <v>0.13</v>
      </c>
      <c r="Q117" s="86">
        <v>3.45</v>
      </c>
      <c r="R117" s="85">
        <v>3.45</v>
      </c>
      <c r="S117" s="87">
        <v>1943470</v>
      </c>
      <c r="T117" s="1">
        <v>7</v>
      </c>
      <c r="U117" s="88">
        <v>563324.63768115942</v>
      </c>
      <c r="V117" s="59">
        <v>1.7751753307228824</v>
      </c>
      <c r="X117" s="98">
        <v>3.45</v>
      </c>
      <c r="Y117" s="97">
        <v>578.6</v>
      </c>
    </row>
    <row r="118" spans="1:25">
      <c r="A118" s="58">
        <v>117</v>
      </c>
      <c r="B118" s="58">
        <v>117</v>
      </c>
      <c r="C118" s="58" t="s">
        <v>424</v>
      </c>
      <c r="D118" s="58" t="s">
        <v>346</v>
      </c>
      <c r="E118" s="58" t="s">
        <v>346</v>
      </c>
      <c r="F118" s="58" t="s">
        <v>425</v>
      </c>
      <c r="G118" s="58" t="s">
        <v>426</v>
      </c>
      <c r="H118" s="58" t="s">
        <v>199</v>
      </c>
      <c r="I118">
        <v>110000</v>
      </c>
      <c r="J118">
        <v>110000</v>
      </c>
      <c r="K118">
        <v>38000</v>
      </c>
      <c r="L118" s="74">
        <v>4.5910000000000002</v>
      </c>
      <c r="M118" s="85">
        <v>5</v>
      </c>
      <c r="N118" s="74">
        <v>0.17499999999999999</v>
      </c>
      <c r="O118">
        <v>1</v>
      </c>
      <c r="P118" s="84">
        <v>0.17499999999999999</v>
      </c>
      <c r="Q118" s="86">
        <v>3.45</v>
      </c>
      <c r="R118" s="85">
        <v>3.45</v>
      </c>
      <c r="S118" s="87">
        <v>1679970</v>
      </c>
      <c r="T118" s="1">
        <v>7</v>
      </c>
      <c r="U118" s="88">
        <v>486947.82608695648</v>
      </c>
      <c r="V118" s="59">
        <v>2.0536081001446456</v>
      </c>
      <c r="X118" s="98">
        <v>3.45</v>
      </c>
      <c r="Y118" s="97">
        <v>563.32463768115952</v>
      </c>
    </row>
    <row r="119" spans="1:25">
      <c r="A119" s="58">
        <v>118</v>
      </c>
      <c r="B119" s="58">
        <v>118</v>
      </c>
      <c r="C119" s="58" t="s">
        <v>427</v>
      </c>
      <c r="D119" s="58" t="s">
        <v>187</v>
      </c>
      <c r="E119" s="58" t="s">
        <v>187</v>
      </c>
      <c r="F119" s="58" t="s">
        <v>418</v>
      </c>
      <c r="G119" s="58" t="s">
        <v>419</v>
      </c>
      <c r="H119" s="58" t="s">
        <v>199</v>
      </c>
      <c r="I119">
        <v>110000</v>
      </c>
      <c r="J119" s="58" t="s">
        <v>185</v>
      </c>
      <c r="K119">
        <v>110000</v>
      </c>
      <c r="L119" s="74">
        <v>3.6429999999999998</v>
      </c>
      <c r="M119" s="85">
        <v>4</v>
      </c>
      <c r="N119" s="74">
        <v>0.246</v>
      </c>
      <c r="O119">
        <v>1</v>
      </c>
      <c r="P119" s="84">
        <v>0.246</v>
      </c>
      <c r="Q119" s="86">
        <v>3.45</v>
      </c>
      <c r="R119" s="85">
        <v>3.45</v>
      </c>
      <c r="S119" s="87">
        <v>1627270</v>
      </c>
      <c r="T119" s="1">
        <v>7</v>
      </c>
      <c r="U119" s="88">
        <v>471672.46376811591</v>
      </c>
      <c r="V119" s="59">
        <v>2.1201152851094163</v>
      </c>
      <c r="X119" s="98">
        <v>3.45</v>
      </c>
      <c r="Y119" s="97">
        <v>486.94782608695647</v>
      </c>
    </row>
    <row r="120" spans="1:25">
      <c r="A120" s="58">
        <v>119</v>
      </c>
      <c r="B120" s="58">
        <v>119</v>
      </c>
      <c r="C120" s="58" t="s">
        <v>428</v>
      </c>
      <c r="D120" s="58" t="s">
        <v>187</v>
      </c>
      <c r="E120" s="58" t="s">
        <v>187</v>
      </c>
      <c r="F120" s="58" t="s">
        <v>429</v>
      </c>
      <c r="G120" s="58" t="s">
        <v>430</v>
      </c>
      <c r="H120" s="58" t="s">
        <v>179</v>
      </c>
      <c r="I120">
        <v>38000</v>
      </c>
      <c r="J120">
        <v>38000</v>
      </c>
      <c r="K120" s="58" t="s">
        <v>185</v>
      </c>
      <c r="L120" s="74">
        <v>6.6669999999999998</v>
      </c>
      <c r="M120" s="85">
        <v>7</v>
      </c>
      <c r="N120" s="74">
        <v>0.21299999999999999</v>
      </c>
      <c r="O120">
        <v>1</v>
      </c>
      <c r="P120" s="84">
        <v>0.21299999999999999</v>
      </c>
      <c r="Q120" s="86">
        <v>3.45</v>
      </c>
      <c r="R120" s="85">
        <v>3.45</v>
      </c>
      <c r="S120" s="87">
        <v>839680</v>
      </c>
      <c r="T120" s="1">
        <v>4</v>
      </c>
      <c r="U120" s="88">
        <v>243385.5072463768</v>
      </c>
      <c r="V120" s="59">
        <v>4.1087080792682924</v>
      </c>
      <c r="X120" s="98">
        <v>3.45</v>
      </c>
      <c r="Y120" s="97">
        <v>471.6724637681159</v>
      </c>
    </row>
    <row r="121" spans="1:25">
      <c r="A121" s="58">
        <v>120</v>
      </c>
      <c r="B121" s="58">
        <v>120</v>
      </c>
      <c r="C121" s="58" t="s">
        <v>431</v>
      </c>
      <c r="D121" s="58" t="s">
        <v>187</v>
      </c>
      <c r="E121" s="58" t="s">
        <v>187</v>
      </c>
      <c r="F121" s="58" t="s">
        <v>432</v>
      </c>
      <c r="G121" s="58" t="s">
        <v>433</v>
      </c>
      <c r="H121" s="58" t="s">
        <v>199</v>
      </c>
      <c r="I121">
        <v>110000</v>
      </c>
      <c r="L121" s="74">
        <v>4.5679999999999996</v>
      </c>
      <c r="M121" s="85">
        <v>5</v>
      </c>
      <c r="N121" s="74">
        <v>1.008</v>
      </c>
      <c r="O121">
        <v>1</v>
      </c>
      <c r="P121" s="84">
        <v>0.75600000000000001</v>
      </c>
      <c r="Q121" s="86">
        <v>6.9</v>
      </c>
      <c r="R121" s="85">
        <v>6.9</v>
      </c>
      <c r="S121" s="87">
        <v>1679970</v>
      </c>
      <c r="T121" s="1">
        <v>7</v>
      </c>
      <c r="U121" s="88">
        <v>243473.91304347824</v>
      </c>
      <c r="V121" s="59">
        <v>4.1072162002892911</v>
      </c>
      <c r="X121" s="98">
        <v>3.45</v>
      </c>
      <c r="Y121" s="97">
        <v>243.38550724637682</v>
      </c>
    </row>
    <row r="122" spans="1:25">
      <c r="A122" s="58">
        <v>121</v>
      </c>
      <c r="B122" s="58">
        <v>121</v>
      </c>
      <c r="C122" s="58" t="s">
        <v>434</v>
      </c>
      <c r="D122" s="58" t="s">
        <v>187</v>
      </c>
      <c r="E122" s="58" t="s">
        <v>187</v>
      </c>
      <c r="F122" s="58" t="s">
        <v>435</v>
      </c>
      <c r="G122" s="58" t="s">
        <v>436</v>
      </c>
      <c r="H122" s="58" t="s">
        <v>199</v>
      </c>
      <c r="I122">
        <v>110000</v>
      </c>
      <c r="J122">
        <v>38000</v>
      </c>
      <c r="K122">
        <v>110000</v>
      </c>
      <c r="L122" s="74">
        <v>8.3970000000000002</v>
      </c>
      <c r="M122" s="85">
        <v>9</v>
      </c>
      <c r="N122" s="74">
        <v>0.14599999999999999</v>
      </c>
      <c r="O122">
        <v>1</v>
      </c>
      <c r="P122" s="84">
        <v>0.14599999999999999</v>
      </c>
      <c r="Q122" s="86">
        <v>3.45</v>
      </c>
      <c r="R122" s="85">
        <v>3.45</v>
      </c>
      <c r="S122" s="87">
        <v>1890770</v>
      </c>
      <c r="T122" s="1">
        <v>7</v>
      </c>
      <c r="U122" s="88">
        <v>548049.27536231885</v>
      </c>
      <c r="V122" s="59">
        <v>1.8246534480661318</v>
      </c>
      <c r="X122" s="98">
        <v>6.9</v>
      </c>
      <c r="Y122" s="97">
        <v>243.47391304347823</v>
      </c>
    </row>
    <row r="123" spans="1:25">
      <c r="A123" s="58">
        <v>122</v>
      </c>
      <c r="B123" s="58">
        <v>122</v>
      </c>
      <c r="C123" s="58" t="s">
        <v>437</v>
      </c>
      <c r="D123" s="58" t="s">
        <v>187</v>
      </c>
      <c r="E123" s="58" t="s">
        <v>187</v>
      </c>
      <c r="F123" s="58" t="s">
        <v>432</v>
      </c>
      <c r="G123" s="58" t="s">
        <v>433</v>
      </c>
      <c r="H123" s="58" t="s">
        <v>199</v>
      </c>
      <c r="I123">
        <v>110000</v>
      </c>
      <c r="L123" s="74">
        <v>9.5220000000000002</v>
      </c>
      <c r="M123" s="85">
        <v>10</v>
      </c>
      <c r="N123" s="74">
        <v>0.47899999999999998</v>
      </c>
      <c r="O123">
        <v>1</v>
      </c>
      <c r="P123" s="84">
        <v>0.47899999999999998</v>
      </c>
      <c r="Q123" s="86">
        <v>3.45</v>
      </c>
      <c r="R123" s="85">
        <v>3.45</v>
      </c>
      <c r="S123" s="87">
        <v>1943470</v>
      </c>
      <c r="T123" s="1">
        <v>7</v>
      </c>
      <c r="U123" s="88">
        <v>563324.63768115942</v>
      </c>
      <c r="V123" s="59">
        <v>1.7751753307228824</v>
      </c>
      <c r="X123" s="98">
        <v>3.45</v>
      </c>
      <c r="Y123" s="97">
        <v>548.04927536231889</v>
      </c>
    </row>
    <row r="124" spans="1:25">
      <c r="A124" s="58">
        <v>123</v>
      </c>
      <c r="B124" s="58">
        <v>123</v>
      </c>
      <c r="C124" s="58" t="s">
        <v>438</v>
      </c>
      <c r="D124" s="58" t="s">
        <v>187</v>
      </c>
      <c r="E124" s="58" t="s">
        <v>187</v>
      </c>
      <c r="F124" s="58" t="s">
        <v>368</v>
      </c>
      <c r="G124" s="58" t="s">
        <v>369</v>
      </c>
      <c r="H124" s="58" t="s">
        <v>199</v>
      </c>
      <c r="I124">
        <v>110000</v>
      </c>
      <c r="J124">
        <v>110000</v>
      </c>
      <c r="K124">
        <v>38000</v>
      </c>
      <c r="L124" s="74">
        <v>7.1059999999999999</v>
      </c>
      <c r="M124" s="85">
        <v>8</v>
      </c>
      <c r="N124" s="74">
        <v>0.52300000000000002</v>
      </c>
      <c r="O124">
        <v>1</v>
      </c>
      <c r="P124" s="84">
        <v>0.52300000000000002</v>
      </c>
      <c r="Q124" s="86">
        <v>3.45</v>
      </c>
      <c r="R124" s="85">
        <v>3.45</v>
      </c>
      <c r="S124" s="87">
        <v>1838070</v>
      </c>
      <c r="T124" s="1">
        <v>7</v>
      </c>
      <c r="U124" s="88">
        <v>532773.91304347827</v>
      </c>
      <c r="V124" s="59">
        <v>1.8769687770324308</v>
      </c>
      <c r="X124" s="98">
        <v>3.45</v>
      </c>
      <c r="Y124" s="97">
        <v>563.32463768115952</v>
      </c>
    </row>
    <row r="125" spans="1:25">
      <c r="A125" s="58">
        <v>124</v>
      </c>
      <c r="B125" s="58">
        <v>124</v>
      </c>
      <c r="C125" s="58" t="s">
        <v>439</v>
      </c>
      <c r="D125" s="58" t="s">
        <v>182</v>
      </c>
      <c r="E125" s="58" t="s">
        <v>182</v>
      </c>
      <c r="F125" s="58" t="s">
        <v>440</v>
      </c>
      <c r="G125" s="58" t="s">
        <v>441</v>
      </c>
      <c r="H125" s="58" t="s">
        <v>199</v>
      </c>
      <c r="I125">
        <v>110000</v>
      </c>
      <c r="L125" s="74">
        <v>9.6669999999999998</v>
      </c>
      <c r="M125" s="85">
        <v>10</v>
      </c>
      <c r="N125" s="74">
        <v>0.187</v>
      </c>
      <c r="O125">
        <v>1</v>
      </c>
      <c r="P125" s="84">
        <v>0.187</v>
      </c>
      <c r="Q125" s="86">
        <v>3.45</v>
      </c>
      <c r="R125" s="85">
        <v>3.45</v>
      </c>
      <c r="S125" s="87">
        <v>1943470</v>
      </c>
      <c r="T125" s="1">
        <v>7</v>
      </c>
      <c r="U125" s="88">
        <v>563324.63768115942</v>
      </c>
      <c r="V125" s="59">
        <v>1.7751753307228824</v>
      </c>
      <c r="X125" s="98">
        <v>3.45</v>
      </c>
      <c r="Y125" s="97">
        <v>532.77391304347827</v>
      </c>
    </row>
    <row r="126" spans="1:25">
      <c r="A126" s="58">
        <v>125</v>
      </c>
      <c r="B126" s="58">
        <v>125</v>
      </c>
      <c r="C126" s="58" t="s">
        <v>442</v>
      </c>
      <c r="D126" s="58" t="s">
        <v>182</v>
      </c>
      <c r="E126" s="58" t="s">
        <v>182</v>
      </c>
      <c r="F126" s="58" t="s">
        <v>443</v>
      </c>
      <c r="G126" s="58" t="s">
        <v>444</v>
      </c>
      <c r="H126" s="58" t="s">
        <v>199</v>
      </c>
      <c r="I126">
        <v>110000</v>
      </c>
      <c r="J126" s="58" t="s">
        <v>185</v>
      </c>
      <c r="K126">
        <v>110000</v>
      </c>
      <c r="L126" s="74">
        <v>6.4740000000000002</v>
      </c>
      <c r="M126" s="85">
        <v>7</v>
      </c>
      <c r="N126" s="74">
        <v>0.621</v>
      </c>
      <c r="O126">
        <v>1</v>
      </c>
      <c r="P126" s="84">
        <v>0.46575</v>
      </c>
      <c r="Q126" s="86">
        <v>3.45</v>
      </c>
      <c r="R126" s="85">
        <v>3.45</v>
      </c>
      <c r="S126" s="87">
        <v>1785370</v>
      </c>
      <c r="T126" s="1">
        <v>7</v>
      </c>
      <c r="U126" s="88">
        <v>517498.55072463764</v>
      </c>
      <c r="V126" s="59">
        <v>1.9323725614298437</v>
      </c>
      <c r="X126" s="98">
        <v>3.45</v>
      </c>
      <c r="Y126" s="97">
        <v>563.32463768115952</v>
      </c>
    </row>
    <row r="127" spans="1:25">
      <c r="A127" s="58">
        <v>126</v>
      </c>
      <c r="B127" s="58">
        <v>126</v>
      </c>
      <c r="C127" s="58" t="s">
        <v>445</v>
      </c>
      <c r="D127" s="58" t="s">
        <v>182</v>
      </c>
      <c r="E127" s="58" t="s">
        <v>182</v>
      </c>
      <c r="F127" s="58" t="s">
        <v>446</v>
      </c>
      <c r="G127" s="58" t="s">
        <v>447</v>
      </c>
      <c r="H127" s="58" t="s">
        <v>199</v>
      </c>
      <c r="I127">
        <v>110000</v>
      </c>
      <c r="J127">
        <v>33000</v>
      </c>
      <c r="K127">
        <v>110000</v>
      </c>
      <c r="L127" s="74">
        <v>6.4790000000000001</v>
      </c>
      <c r="M127" s="85">
        <v>7</v>
      </c>
      <c r="N127" s="74">
        <v>0.66500000000000004</v>
      </c>
      <c r="O127">
        <v>1</v>
      </c>
      <c r="P127" s="84">
        <v>0.49875000000000003</v>
      </c>
      <c r="Q127" s="86">
        <v>3.45</v>
      </c>
      <c r="R127" s="85">
        <v>3.45</v>
      </c>
      <c r="S127" s="87">
        <v>1785370</v>
      </c>
      <c r="T127" s="1">
        <v>7</v>
      </c>
      <c r="U127" s="88">
        <v>517498.55072463764</v>
      </c>
      <c r="V127" s="59">
        <v>1.9323725614298437</v>
      </c>
      <c r="X127" s="98">
        <v>3.45</v>
      </c>
      <c r="Y127" s="97">
        <v>517.49855072463765</v>
      </c>
    </row>
    <row r="128" spans="1:25">
      <c r="A128" s="58">
        <v>127</v>
      </c>
      <c r="B128" s="58">
        <v>127</v>
      </c>
      <c r="C128" s="58" t="s">
        <v>448</v>
      </c>
      <c r="D128" s="58" t="s">
        <v>182</v>
      </c>
      <c r="E128" s="58" t="s">
        <v>182</v>
      </c>
      <c r="F128" s="58" t="s">
        <v>440</v>
      </c>
      <c r="G128" s="58" t="s">
        <v>441</v>
      </c>
      <c r="H128" s="58" t="s">
        <v>199</v>
      </c>
      <c r="I128">
        <v>110000</v>
      </c>
      <c r="L128" s="74">
        <v>6.76</v>
      </c>
      <c r="M128" s="85">
        <v>7</v>
      </c>
      <c r="N128" s="74">
        <v>0.109</v>
      </c>
      <c r="O128">
        <v>1</v>
      </c>
      <c r="P128" s="84">
        <v>0.109</v>
      </c>
      <c r="Q128" s="86">
        <v>3.45</v>
      </c>
      <c r="R128" s="85">
        <v>3.45</v>
      </c>
      <c r="S128" s="87">
        <v>1785370</v>
      </c>
      <c r="T128" s="1">
        <v>7</v>
      </c>
      <c r="U128" s="88">
        <v>517498.55072463764</v>
      </c>
      <c r="V128" s="59">
        <v>1.9323725614298437</v>
      </c>
      <c r="X128" s="98">
        <v>3.45</v>
      </c>
      <c r="Y128" s="97">
        <v>517.49855072463765</v>
      </c>
    </row>
    <row r="129" spans="1:25">
      <c r="A129" s="58">
        <v>128</v>
      </c>
      <c r="B129" s="58">
        <v>128</v>
      </c>
      <c r="C129" s="58" t="s">
        <v>449</v>
      </c>
      <c r="D129" s="58" t="s">
        <v>450</v>
      </c>
      <c r="E129" s="58" t="s">
        <v>410</v>
      </c>
      <c r="F129" s="58" t="s">
        <v>451</v>
      </c>
      <c r="G129" s="58" t="s">
        <v>452</v>
      </c>
      <c r="H129" s="58" t="s">
        <v>179</v>
      </c>
      <c r="I129">
        <v>38000</v>
      </c>
      <c r="J129">
        <v>38000</v>
      </c>
      <c r="K129" s="58" t="s">
        <v>185</v>
      </c>
      <c r="L129" s="74">
        <v>7.7539999999999996</v>
      </c>
      <c r="M129" s="85">
        <v>8</v>
      </c>
      <c r="N129" s="74">
        <v>0.315</v>
      </c>
      <c r="O129">
        <v>1</v>
      </c>
      <c r="P129" s="84">
        <v>0.315</v>
      </c>
      <c r="Q129" s="86">
        <v>3.45</v>
      </c>
      <c r="R129" s="85">
        <v>3.45</v>
      </c>
      <c r="S129" s="87">
        <v>909950</v>
      </c>
      <c r="T129" s="1">
        <v>4</v>
      </c>
      <c r="U129" s="88">
        <v>263753.62318840576</v>
      </c>
      <c r="V129" s="59">
        <v>3.7914171108302654</v>
      </c>
      <c r="X129" s="98">
        <v>3.45</v>
      </c>
      <c r="Y129" s="97">
        <v>517.49855072463765</v>
      </c>
    </row>
    <row r="130" spans="1:25">
      <c r="A130" s="58">
        <v>129</v>
      </c>
      <c r="B130" s="58">
        <v>129</v>
      </c>
      <c r="C130" s="58" t="s">
        <v>453</v>
      </c>
      <c r="D130" s="58" t="s">
        <v>450</v>
      </c>
      <c r="E130" s="58" t="s">
        <v>450</v>
      </c>
      <c r="F130" s="58" t="s">
        <v>454</v>
      </c>
      <c r="G130" s="58" t="s">
        <v>455</v>
      </c>
      <c r="H130" s="58" t="s">
        <v>179</v>
      </c>
      <c r="I130">
        <v>38000</v>
      </c>
      <c r="J130">
        <v>38000</v>
      </c>
      <c r="K130">
        <v>10000</v>
      </c>
      <c r="L130" s="74">
        <v>4.24</v>
      </c>
      <c r="M130" s="85">
        <v>5</v>
      </c>
      <c r="N130" s="74">
        <v>0.56299999999999994</v>
      </c>
      <c r="O130">
        <v>1</v>
      </c>
      <c r="P130" s="84">
        <v>0.56299999999999994</v>
      </c>
      <c r="Q130" s="86">
        <v>3.45</v>
      </c>
      <c r="R130" s="85">
        <v>3.45</v>
      </c>
      <c r="S130" s="87">
        <v>699140</v>
      </c>
      <c r="T130" s="1">
        <v>4</v>
      </c>
      <c r="U130" s="88">
        <v>202649.27536231882</v>
      </c>
      <c r="V130" s="59">
        <v>4.9346339788883489</v>
      </c>
      <c r="X130" s="98">
        <v>3.45</v>
      </c>
      <c r="Y130" s="97">
        <v>263.75362318840581</v>
      </c>
    </row>
    <row r="131" spans="1:25">
      <c r="A131" s="58">
        <v>130</v>
      </c>
      <c r="B131" s="58">
        <v>130</v>
      </c>
      <c r="C131" s="58" t="s">
        <v>456</v>
      </c>
      <c r="D131" s="58" t="s">
        <v>450</v>
      </c>
      <c r="E131" s="58" t="s">
        <v>450</v>
      </c>
      <c r="F131" s="58" t="s">
        <v>457</v>
      </c>
      <c r="G131" s="58" t="s">
        <v>458</v>
      </c>
      <c r="H131" s="58" t="s">
        <v>199</v>
      </c>
      <c r="I131">
        <v>110000</v>
      </c>
      <c r="J131">
        <v>110000</v>
      </c>
      <c r="K131">
        <v>38000</v>
      </c>
      <c r="L131" s="74">
        <v>9.3460000000000001</v>
      </c>
      <c r="M131" s="85">
        <v>10</v>
      </c>
      <c r="N131" s="74">
        <v>0.182</v>
      </c>
      <c r="O131">
        <v>1</v>
      </c>
      <c r="P131" s="84">
        <v>0.182</v>
      </c>
      <c r="Q131" s="86">
        <v>3.45</v>
      </c>
      <c r="R131" s="85">
        <v>3.45</v>
      </c>
      <c r="S131" s="87">
        <v>1943470</v>
      </c>
      <c r="T131" s="1">
        <v>7</v>
      </c>
      <c r="U131" s="88">
        <v>563324.63768115942</v>
      </c>
      <c r="V131" s="59">
        <v>1.7751753307228824</v>
      </c>
      <c r="X131" s="98">
        <v>3.45</v>
      </c>
      <c r="Y131" s="97">
        <v>202.64927536231883</v>
      </c>
    </row>
    <row r="132" spans="1:25">
      <c r="A132" s="58">
        <v>131</v>
      </c>
      <c r="B132" s="58">
        <v>131</v>
      </c>
      <c r="C132" s="58" t="s">
        <v>459</v>
      </c>
      <c r="D132" s="58" t="s">
        <v>410</v>
      </c>
      <c r="E132" s="58" t="s">
        <v>410</v>
      </c>
      <c r="F132" s="58" t="s">
        <v>460</v>
      </c>
      <c r="G132" s="58" t="s">
        <v>461</v>
      </c>
      <c r="H132" s="58" t="s">
        <v>179</v>
      </c>
      <c r="I132">
        <v>38000</v>
      </c>
      <c r="J132">
        <v>38000</v>
      </c>
      <c r="K132" s="58" t="s">
        <v>185</v>
      </c>
      <c r="L132" s="74">
        <v>10.74</v>
      </c>
      <c r="M132" s="85">
        <v>11</v>
      </c>
      <c r="N132" s="74">
        <v>0.16400000000000001</v>
      </c>
      <c r="O132">
        <v>1</v>
      </c>
      <c r="P132" s="84">
        <v>0.16400000000000001</v>
      </c>
      <c r="Q132" s="86">
        <v>3.45</v>
      </c>
      <c r="R132" s="85">
        <v>3.45</v>
      </c>
      <c r="S132" s="87">
        <v>1439840</v>
      </c>
      <c r="T132" s="1">
        <v>1</v>
      </c>
      <c r="U132" s="88">
        <v>417344.92753623187</v>
      </c>
      <c r="V132" s="59">
        <v>2.396099566618513</v>
      </c>
      <c r="X132" s="98">
        <v>3.45</v>
      </c>
      <c r="Y132" s="97">
        <v>563.32463768115952</v>
      </c>
    </row>
    <row r="133" spans="1:25">
      <c r="A133" s="58">
        <v>132</v>
      </c>
      <c r="B133" s="58">
        <v>132</v>
      </c>
      <c r="C133" s="58" t="s">
        <v>462</v>
      </c>
      <c r="D133" s="58" t="s">
        <v>410</v>
      </c>
      <c r="E133" s="58" t="s">
        <v>410</v>
      </c>
      <c r="F133" s="58" t="s">
        <v>463</v>
      </c>
      <c r="G133" s="58" t="s">
        <v>464</v>
      </c>
      <c r="H133" s="58" t="s">
        <v>179</v>
      </c>
      <c r="I133">
        <v>38000</v>
      </c>
      <c r="J133">
        <v>38000</v>
      </c>
      <c r="K133">
        <v>10000</v>
      </c>
      <c r="L133" s="74">
        <v>9.1809999999999992</v>
      </c>
      <c r="M133" s="85">
        <v>10</v>
      </c>
      <c r="N133" s="74">
        <v>0.10100000000000001</v>
      </c>
      <c r="O133">
        <v>1</v>
      </c>
      <c r="P133" s="84">
        <v>0.10100000000000001</v>
      </c>
      <c r="Q133" s="86">
        <v>3.45</v>
      </c>
      <c r="R133" s="85">
        <v>3.45</v>
      </c>
      <c r="S133" s="87">
        <v>1387140</v>
      </c>
      <c r="T133" s="1">
        <v>1</v>
      </c>
      <c r="U133" s="88">
        <v>402069.5652173913</v>
      </c>
      <c r="V133" s="59">
        <v>2.487131796357974</v>
      </c>
      <c r="X133" s="98">
        <v>3.45</v>
      </c>
      <c r="Y133" s="97">
        <v>417.34492753623186</v>
      </c>
    </row>
    <row r="134" spans="1:25">
      <c r="A134" s="58">
        <v>133</v>
      </c>
      <c r="B134" s="58">
        <v>133</v>
      </c>
      <c r="C134" s="58" t="s">
        <v>465</v>
      </c>
      <c r="D134" s="58" t="s">
        <v>410</v>
      </c>
      <c r="E134" s="58" t="s">
        <v>410</v>
      </c>
      <c r="F134" s="58" t="s">
        <v>466</v>
      </c>
      <c r="G134" s="58" t="s">
        <v>467</v>
      </c>
      <c r="H134" s="58" t="s">
        <v>179</v>
      </c>
      <c r="I134">
        <v>38000</v>
      </c>
      <c r="J134">
        <v>38000</v>
      </c>
      <c r="K134" s="58" t="s">
        <v>185</v>
      </c>
      <c r="L134" s="74">
        <v>8.7959999999999994</v>
      </c>
      <c r="M134" s="85">
        <v>9</v>
      </c>
      <c r="N134" s="74">
        <v>0.223</v>
      </c>
      <c r="O134">
        <v>1</v>
      </c>
      <c r="P134" s="84">
        <v>0.223</v>
      </c>
      <c r="Q134" s="86">
        <v>3.45</v>
      </c>
      <c r="R134" s="85">
        <v>3.45</v>
      </c>
      <c r="S134" s="87">
        <v>1334440</v>
      </c>
      <c r="T134" s="1">
        <v>1</v>
      </c>
      <c r="U134" s="88">
        <v>386794.20289855072</v>
      </c>
      <c r="V134" s="59">
        <v>2.585354156050478</v>
      </c>
      <c r="X134" s="98">
        <v>3.45</v>
      </c>
      <c r="Y134" s="97">
        <v>402.0695652173913</v>
      </c>
    </row>
    <row r="135" spans="1:25">
      <c r="A135" s="58">
        <v>134</v>
      </c>
      <c r="B135" s="58">
        <v>134</v>
      </c>
      <c r="C135" s="58" t="s">
        <v>468</v>
      </c>
      <c r="D135" s="58" t="s">
        <v>380</v>
      </c>
      <c r="E135" s="58" t="s">
        <v>384</v>
      </c>
      <c r="F135" s="58" t="s">
        <v>469</v>
      </c>
      <c r="G135" s="58" t="s">
        <v>470</v>
      </c>
      <c r="H135" s="58" t="s">
        <v>179</v>
      </c>
      <c r="I135">
        <v>38000</v>
      </c>
      <c r="J135">
        <v>38000</v>
      </c>
      <c r="K135" s="58" t="s">
        <v>185</v>
      </c>
      <c r="L135" s="74">
        <v>9.3780000000000001</v>
      </c>
      <c r="M135" s="85">
        <v>10</v>
      </c>
      <c r="N135" s="74">
        <v>0.53700000000000003</v>
      </c>
      <c r="O135">
        <v>1</v>
      </c>
      <c r="P135" s="84">
        <v>0.53700000000000003</v>
      </c>
      <c r="Q135" s="86">
        <v>3.45</v>
      </c>
      <c r="R135" s="85">
        <v>3.45</v>
      </c>
      <c r="S135" s="87">
        <v>1387140</v>
      </c>
      <c r="T135" s="1">
        <v>1</v>
      </c>
      <c r="U135" s="88">
        <v>402069.5652173913</v>
      </c>
      <c r="V135" s="59">
        <v>2.487131796357974</v>
      </c>
      <c r="X135" s="98">
        <v>3.45</v>
      </c>
      <c r="Y135" s="97">
        <v>386.79420289855074</v>
      </c>
    </row>
    <row r="136" spans="1:25">
      <c r="A136" s="58">
        <v>135</v>
      </c>
      <c r="B136" s="58">
        <v>135</v>
      </c>
      <c r="C136" s="58" t="s">
        <v>471</v>
      </c>
      <c r="D136" s="58" t="s">
        <v>197</v>
      </c>
      <c r="E136" s="58" t="s">
        <v>197</v>
      </c>
      <c r="F136" s="58" t="s">
        <v>299</v>
      </c>
      <c r="G136" s="58" t="s">
        <v>300</v>
      </c>
      <c r="H136" s="58" t="s">
        <v>179</v>
      </c>
      <c r="I136">
        <v>38000</v>
      </c>
      <c r="J136">
        <v>38000</v>
      </c>
      <c r="K136" s="58" t="s">
        <v>185</v>
      </c>
      <c r="L136" s="74">
        <v>15.92</v>
      </c>
      <c r="M136" s="85">
        <v>16</v>
      </c>
      <c r="N136" s="74">
        <v>0.55200000000000005</v>
      </c>
      <c r="O136">
        <v>1</v>
      </c>
      <c r="P136" s="84">
        <v>0.55200000000000005</v>
      </c>
      <c r="Q136" s="86">
        <v>3.45</v>
      </c>
      <c r="R136" s="85">
        <v>3.45</v>
      </c>
      <c r="S136" s="87">
        <v>1703340</v>
      </c>
      <c r="T136" s="1">
        <v>1</v>
      </c>
      <c r="U136" s="88">
        <v>493721.73913043475</v>
      </c>
      <c r="V136" s="59">
        <v>2.0254323857832257</v>
      </c>
      <c r="X136" s="98">
        <v>3.45</v>
      </c>
      <c r="Y136" s="97">
        <v>402.0695652173913</v>
      </c>
    </row>
    <row r="137" spans="1:25">
      <c r="A137" s="58">
        <v>136</v>
      </c>
      <c r="B137" s="58">
        <v>136</v>
      </c>
      <c r="C137" s="58" t="s">
        <v>472</v>
      </c>
      <c r="D137" s="58" t="s">
        <v>215</v>
      </c>
      <c r="E137" s="58" t="s">
        <v>215</v>
      </c>
      <c r="F137" s="58" t="s">
        <v>225</v>
      </c>
      <c r="G137" s="58" t="s">
        <v>226</v>
      </c>
      <c r="H137" s="58" t="s">
        <v>179</v>
      </c>
      <c r="I137">
        <v>38000</v>
      </c>
      <c r="J137">
        <v>38000</v>
      </c>
      <c r="K137">
        <v>20000</v>
      </c>
      <c r="L137" s="74">
        <v>7.7270000000000003</v>
      </c>
      <c r="M137" s="85">
        <v>8</v>
      </c>
      <c r="N137" s="74">
        <v>0.29799999999999999</v>
      </c>
      <c r="O137">
        <v>1</v>
      </c>
      <c r="P137" s="84">
        <v>0.29799999999999999</v>
      </c>
      <c r="Q137" s="86">
        <v>3.45</v>
      </c>
      <c r="R137" s="85">
        <v>3.45</v>
      </c>
      <c r="S137" s="87">
        <v>909950</v>
      </c>
      <c r="T137" s="1">
        <v>4</v>
      </c>
      <c r="U137" s="88">
        <v>263753.62318840576</v>
      </c>
      <c r="V137" s="59">
        <v>3.7914171108302654</v>
      </c>
      <c r="X137" s="98">
        <v>3.45</v>
      </c>
      <c r="Y137" s="97">
        <v>493.72173913043474</v>
      </c>
    </row>
    <row r="138" spans="1:25">
      <c r="A138" s="58">
        <v>137</v>
      </c>
      <c r="B138" s="58">
        <v>137</v>
      </c>
      <c r="C138" s="58" t="s">
        <v>473</v>
      </c>
      <c r="D138" s="58" t="s">
        <v>215</v>
      </c>
      <c r="E138" s="58" t="s">
        <v>215</v>
      </c>
      <c r="F138" s="58" t="s">
        <v>225</v>
      </c>
      <c r="G138" s="58" t="s">
        <v>226</v>
      </c>
      <c r="H138" s="58" t="s">
        <v>179</v>
      </c>
      <c r="I138">
        <v>38000</v>
      </c>
      <c r="J138">
        <v>38000</v>
      </c>
      <c r="K138">
        <v>20000</v>
      </c>
      <c r="L138" s="74">
        <v>4.6529999999999996</v>
      </c>
      <c r="M138" s="85">
        <v>5</v>
      </c>
      <c r="N138" s="74">
        <v>0.51800000000000002</v>
      </c>
      <c r="O138">
        <v>1</v>
      </c>
      <c r="P138" s="84">
        <v>0.51800000000000002</v>
      </c>
      <c r="Q138" s="86">
        <v>3.45</v>
      </c>
      <c r="R138" s="85">
        <v>3.45</v>
      </c>
      <c r="S138" s="87">
        <v>699140</v>
      </c>
      <c r="T138" s="1">
        <v>4</v>
      </c>
      <c r="U138" s="88">
        <v>202649.27536231882</v>
      </c>
      <c r="V138" s="59">
        <v>4.9346339788883489</v>
      </c>
      <c r="X138" s="98">
        <v>3.45</v>
      </c>
      <c r="Y138" s="97">
        <v>263.75362318840581</v>
      </c>
    </row>
    <row r="139" spans="1:25">
      <c r="A139" s="58">
        <v>138</v>
      </c>
      <c r="B139" s="58">
        <v>138</v>
      </c>
      <c r="C139" s="58" t="s">
        <v>474</v>
      </c>
      <c r="D139" s="58" t="s">
        <v>215</v>
      </c>
      <c r="E139" s="58" t="s">
        <v>215</v>
      </c>
      <c r="F139" s="58" t="s">
        <v>225</v>
      </c>
      <c r="G139" s="58" t="s">
        <v>226</v>
      </c>
      <c r="H139" s="58" t="s">
        <v>179</v>
      </c>
      <c r="I139">
        <v>38000</v>
      </c>
      <c r="J139">
        <v>38000</v>
      </c>
      <c r="K139">
        <v>20000</v>
      </c>
      <c r="L139" s="74">
        <v>10.195</v>
      </c>
      <c r="M139" s="85">
        <v>11</v>
      </c>
      <c r="N139" s="74">
        <v>0.188</v>
      </c>
      <c r="O139">
        <v>1</v>
      </c>
      <c r="P139" s="84">
        <v>0.188</v>
      </c>
      <c r="Q139" s="86">
        <v>3.45</v>
      </c>
      <c r="R139" s="85">
        <v>3.45</v>
      </c>
      <c r="S139" s="87">
        <v>1439840</v>
      </c>
      <c r="T139" s="1">
        <v>1</v>
      </c>
      <c r="U139" s="88">
        <v>417344.92753623187</v>
      </c>
      <c r="V139" s="59">
        <v>2.396099566618513</v>
      </c>
      <c r="X139" s="98">
        <v>3.45</v>
      </c>
      <c r="Y139" s="97">
        <v>202.64927536231883</v>
      </c>
    </row>
    <row r="140" spans="1:25">
      <c r="A140" s="58">
        <v>139</v>
      </c>
      <c r="B140" s="58">
        <v>139</v>
      </c>
      <c r="C140" s="58" t="s">
        <v>475</v>
      </c>
      <c r="D140" s="58" t="s">
        <v>384</v>
      </c>
      <c r="E140" s="58" t="s">
        <v>384</v>
      </c>
      <c r="F140" s="58" t="s">
        <v>476</v>
      </c>
      <c r="G140" s="58" t="s">
        <v>477</v>
      </c>
      <c r="H140" s="58" t="s">
        <v>179</v>
      </c>
      <c r="I140">
        <v>38000</v>
      </c>
      <c r="J140">
        <v>20000</v>
      </c>
      <c r="K140">
        <v>38000</v>
      </c>
      <c r="L140" s="74">
        <v>6.9320000000000004</v>
      </c>
      <c r="M140" s="85">
        <v>7</v>
      </c>
      <c r="N140" s="74">
        <v>0.16500000000000001</v>
      </c>
      <c r="O140">
        <v>1</v>
      </c>
      <c r="P140" s="84">
        <v>0.16500000000000001</v>
      </c>
      <c r="Q140" s="86">
        <v>3.45</v>
      </c>
      <c r="R140" s="85">
        <v>3.45</v>
      </c>
      <c r="S140" s="87">
        <v>839680</v>
      </c>
      <c r="T140" s="1">
        <v>4</v>
      </c>
      <c r="U140" s="88">
        <v>243385.5072463768</v>
      </c>
      <c r="V140" s="59">
        <v>4.1087080792682924</v>
      </c>
      <c r="X140" s="98">
        <v>3.45</v>
      </c>
      <c r="Y140" s="97">
        <v>417.34492753623186</v>
      </c>
    </row>
    <row r="141" spans="1:25">
      <c r="A141" s="58">
        <v>140</v>
      </c>
      <c r="B141" s="58">
        <v>140</v>
      </c>
      <c r="C141" s="58" t="s">
        <v>478</v>
      </c>
      <c r="D141" s="58" t="s">
        <v>215</v>
      </c>
      <c r="E141" s="58" t="s">
        <v>215</v>
      </c>
      <c r="F141" s="58" t="s">
        <v>479</v>
      </c>
      <c r="G141" s="58" t="s">
        <v>480</v>
      </c>
      <c r="H141" s="58" t="s">
        <v>179</v>
      </c>
      <c r="I141">
        <v>38000</v>
      </c>
      <c r="J141">
        <v>38000</v>
      </c>
      <c r="K141" s="58" t="s">
        <v>185</v>
      </c>
      <c r="L141" s="74">
        <v>19.408000000000001</v>
      </c>
      <c r="M141" s="85">
        <v>20</v>
      </c>
      <c r="N141" s="74">
        <v>0.436</v>
      </c>
      <c r="O141">
        <v>1</v>
      </c>
      <c r="P141" s="84">
        <v>0.436</v>
      </c>
      <c r="Q141" s="86">
        <v>3.45</v>
      </c>
      <c r="R141" s="85">
        <v>3.45</v>
      </c>
      <c r="S141" s="87">
        <v>1914140</v>
      </c>
      <c r="T141" s="1">
        <v>1</v>
      </c>
      <c r="U141" s="88">
        <v>554823.18840579712</v>
      </c>
      <c r="V141" s="59">
        <v>1.8023760017553574</v>
      </c>
      <c r="X141" s="98">
        <v>3.45</v>
      </c>
      <c r="Y141" s="97">
        <v>243.38550724637682</v>
      </c>
    </row>
    <row r="142" spans="1:25">
      <c r="A142" s="58">
        <v>141</v>
      </c>
      <c r="B142" s="58">
        <v>141</v>
      </c>
      <c r="C142" s="58" t="s">
        <v>481</v>
      </c>
      <c r="D142" s="58" t="s">
        <v>215</v>
      </c>
      <c r="E142" s="58" t="s">
        <v>215</v>
      </c>
      <c r="F142" s="58" t="s">
        <v>406</v>
      </c>
      <c r="G142" s="58" t="s">
        <v>407</v>
      </c>
      <c r="H142" s="58" t="s">
        <v>179</v>
      </c>
      <c r="I142">
        <v>38000</v>
      </c>
      <c r="J142" s="58" t="s">
        <v>185</v>
      </c>
      <c r="K142">
        <v>38000</v>
      </c>
      <c r="L142" s="74">
        <v>7.1950000000000003</v>
      </c>
      <c r="M142" s="85">
        <v>8</v>
      </c>
      <c r="N142" s="74">
        <v>0.55900000000000005</v>
      </c>
      <c r="O142">
        <v>1</v>
      </c>
      <c r="P142" s="84">
        <v>0.55900000000000005</v>
      </c>
      <c r="Q142" s="86">
        <v>3.45</v>
      </c>
      <c r="R142" s="85">
        <v>3.45</v>
      </c>
      <c r="S142" s="87">
        <v>909950</v>
      </c>
      <c r="T142" s="1">
        <v>4</v>
      </c>
      <c r="U142" s="88">
        <v>263753.62318840576</v>
      </c>
      <c r="V142" s="59">
        <v>3.7914171108302654</v>
      </c>
      <c r="X142" s="98">
        <v>3.45</v>
      </c>
      <c r="Y142" s="97">
        <v>554.82318840579717</v>
      </c>
    </row>
    <row r="143" spans="1:25">
      <c r="A143" s="58">
        <v>142</v>
      </c>
      <c r="B143" s="58">
        <v>142</v>
      </c>
      <c r="C143" s="58" t="s">
        <v>482</v>
      </c>
      <c r="D143" s="58" t="s">
        <v>215</v>
      </c>
      <c r="E143" s="58" t="s">
        <v>215</v>
      </c>
      <c r="F143" s="58" t="s">
        <v>483</v>
      </c>
      <c r="G143" s="58" t="s">
        <v>484</v>
      </c>
      <c r="H143" s="58" t="s">
        <v>179</v>
      </c>
      <c r="I143">
        <v>38000</v>
      </c>
      <c r="L143" s="74">
        <v>4.4649999999999999</v>
      </c>
      <c r="M143" s="85">
        <v>5</v>
      </c>
      <c r="N143" s="74">
        <v>0.223</v>
      </c>
      <c r="O143">
        <v>1</v>
      </c>
      <c r="P143" s="84">
        <v>0.223</v>
      </c>
      <c r="Q143" s="86">
        <v>3.45</v>
      </c>
      <c r="R143" s="85">
        <v>3.45</v>
      </c>
      <c r="S143" s="87">
        <v>699140</v>
      </c>
      <c r="T143" s="1">
        <v>4</v>
      </c>
      <c r="U143" s="88">
        <v>202649.27536231882</v>
      </c>
      <c r="V143" s="59">
        <v>4.9346339788883489</v>
      </c>
      <c r="X143" s="98">
        <v>3.45</v>
      </c>
      <c r="Y143" s="97">
        <v>263.75362318840581</v>
      </c>
    </row>
    <row r="144" spans="1:25">
      <c r="A144" s="58">
        <v>143</v>
      </c>
      <c r="B144" s="58">
        <v>143</v>
      </c>
      <c r="C144" s="58" t="s">
        <v>485</v>
      </c>
      <c r="D144" s="58" t="s">
        <v>197</v>
      </c>
      <c r="E144" s="58" t="s">
        <v>197</v>
      </c>
      <c r="F144" s="58" t="s">
        <v>486</v>
      </c>
      <c r="G144" s="58" t="s">
        <v>487</v>
      </c>
      <c r="H144" s="58" t="s">
        <v>179</v>
      </c>
      <c r="I144">
        <v>38000</v>
      </c>
      <c r="J144">
        <v>38000</v>
      </c>
      <c r="K144" s="58" t="s">
        <v>185</v>
      </c>
      <c r="L144" s="74">
        <v>15.07</v>
      </c>
      <c r="M144" s="85">
        <v>16</v>
      </c>
      <c r="N144" s="74">
        <v>0.36699999999999999</v>
      </c>
      <c r="O144">
        <v>1</v>
      </c>
      <c r="P144" s="84">
        <v>0.36699999999999999</v>
      </c>
      <c r="Q144" s="86">
        <v>3.45</v>
      </c>
      <c r="R144" s="85">
        <v>3.45</v>
      </c>
      <c r="S144" s="87">
        <v>1703340</v>
      </c>
      <c r="T144" s="1">
        <v>1</v>
      </c>
      <c r="U144" s="88">
        <v>493721.73913043475</v>
      </c>
      <c r="V144" s="59">
        <v>2.0254323857832257</v>
      </c>
      <c r="X144" s="98">
        <v>3.45</v>
      </c>
      <c r="Y144" s="97">
        <v>202.64927536231883</v>
      </c>
    </row>
    <row r="145" spans="1:25">
      <c r="A145" s="58">
        <v>144</v>
      </c>
      <c r="B145" s="58">
        <v>144</v>
      </c>
      <c r="C145" s="58" t="s">
        <v>488</v>
      </c>
      <c r="D145" s="58" t="s">
        <v>489</v>
      </c>
      <c r="E145" s="58" t="s">
        <v>489</v>
      </c>
      <c r="F145" s="58" t="s">
        <v>469</v>
      </c>
      <c r="G145" s="58" t="s">
        <v>470</v>
      </c>
      <c r="H145" s="58" t="s">
        <v>179</v>
      </c>
      <c r="I145">
        <v>38000</v>
      </c>
      <c r="J145">
        <v>38000</v>
      </c>
      <c r="K145" s="58" t="s">
        <v>185</v>
      </c>
      <c r="L145" s="74">
        <v>3.2789999999999999</v>
      </c>
      <c r="M145" s="85">
        <v>4</v>
      </c>
      <c r="N145" s="74">
        <v>0.60599999999999998</v>
      </c>
      <c r="O145">
        <v>1</v>
      </c>
      <c r="P145" s="84">
        <v>0.45450000000000002</v>
      </c>
      <c r="Q145" s="86">
        <v>3.45</v>
      </c>
      <c r="R145" s="85">
        <v>3.45</v>
      </c>
      <c r="S145" s="87">
        <v>628870</v>
      </c>
      <c r="T145" s="1">
        <v>4</v>
      </c>
      <c r="U145" s="88">
        <v>182281.15942028986</v>
      </c>
      <c r="V145" s="59">
        <v>5.4860304991492681</v>
      </c>
      <c r="X145" s="98">
        <v>3.45</v>
      </c>
      <c r="Y145" s="97">
        <v>493.72173913043474</v>
      </c>
    </row>
    <row r="146" spans="1:25">
      <c r="A146" s="58">
        <v>145</v>
      </c>
      <c r="B146" s="58">
        <v>145</v>
      </c>
      <c r="C146" s="58" t="s">
        <v>490</v>
      </c>
      <c r="D146" s="58" t="s">
        <v>207</v>
      </c>
      <c r="E146" s="58" t="s">
        <v>207</v>
      </c>
      <c r="F146" s="58" t="s">
        <v>491</v>
      </c>
      <c r="G146" s="58" t="s">
        <v>492</v>
      </c>
      <c r="H146" s="58" t="s">
        <v>179</v>
      </c>
      <c r="I146">
        <v>38000</v>
      </c>
      <c r="J146">
        <v>38000</v>
      </c>
      <c r="K146" s="58" t="s">
        <v>185</v>
      </c>
      <c r="L146" s="74">
        <v>4.399</v>
      </c>
      <c r="M146" s="85">
        <v>5</v>
      </c>
      <c r="N146" s="74">
        <v>0.22700000000000001</v>
      </c>
      <c r="O146">
        <v>1</v>
      </c>
      <c r="P146" s="84">
        <v>0.22700000000000001</v>
      </c>
      <c r="Q146" s="86">
        <v>3.45</v>
      </c>
      <c r="R146" s="85">
        <v>3.45</v>
      </c>
      <c r="S146" s="87">
        <v>699140</v>
      </c>
      <c r="T146" s="1">
        <v>4</v>
      </c>
      <c r="U146" s="88">
        <v>202649.27536231882</v>
      </c>
      <c r="V146" s="59">
        <v>4.9346339788883489</v>
      </c>
      <c r="X146" s="98">
        <v>3.45</v>
      </c>
      <c r="Y146" s="97">
        <v>182.28115942028987</v>
      </c>
    </row>
    <row r="147" spans="1:25">
      <c r="A147" s="58">
        <v>146</v>
      </c>
      <c r="B147" s="58">
        <v>146</v>
      </c>
      <c r="C147" s="58" t="s">
        <v>493</v>
      </c>
      <c r="D147" s="58" t="s">
        <v>197</v>
      </c>
      <c r="E147" s="58" t="s">
        <v>197</v>
      </c>
      <c r="F147" s="58" t="s">
        <v>494</v>
      </c>
      <c r="G147" s="58" t="s">
        <v>495</v>
      </c>
      <c r="H147" s="58" t="s">
        <v>179</v>
      </c>
      <c r="I147">
        <v>38000</v>
      </c>
      <c r="J147">
        <v>38000</v>
      </c>
      <c r="K147">
        <v>10000</v>
      </c>
      <c r="L147" s="74">
        <v>9.2629999999999999</v>
      </c>
      <c r="M147" s="85">
        <v>10</v>
      </c>
      <c r="N147" s="74">
        <v>0.44900000000000001</v>
      </c>
      <c r="O147">
        <v>1</v>
      </c>
      <c r="P147" s="84">
        <v>0.44900000000000001</v>
      </c>
      <c r="Q147" s="86">
        <v>3.45</v>
      </c>
      <c r="R147" s="85">
        <v>3.45</v>
      </c>
      <c r="S147" s="87">
        <v>1387140</v>
      </c>
      <c r="T147" s="1">
        <v>1</v>
      </c>
      <c r="U147" s="88">
        <v>402069.5652173913</v>
      </c>
      <c r="V147" s="59">
        <v>2.487131796357974</v>
      </c>
      <c r="X147" s="98">
        <v>3.45</v>
      </c>
      <c r="Y147" s="97">
        <v>202.64927536231883</v>
      </c>
    </row>
    <row r="148" spans="1:25">
      <c r="A148" s="58">
        <v>147</v>
      </c>
      <c r="B148" s="58">
        <v>147</v>
      </c>
      <c r="C148" s="58" t="s">
        <v>496</v>
      </c>
      <c r="D148" s="58" t="s">
        <v>207</v>
      </c>
      <c r="E148" s="58" t="s">
        <v>207</v>
      </c>
      <c r="F148" s="58" t="s">
        <v>393</v>
      </c>
      <c r="G148" s="58" t="s">
        <v>394</v>
      </c>
      <c r="H148" s="58" t="s">
        <v>179</v>
      </c>
      <c r="I148">
        <v>38000</v>
      </c>
      <c r="J148">
        <v>38000</v>
      </c>
      <c r="K148" s="58" t="s">
        <v>185</v>
      </c>
      <c r="L148" s="74">
        <v>5.032</v>
      </c>
      <c r="M148" s="85">
        <v>6</v>
      </c>
      <c r="N148" s="74">
        <v>0.247</v>
      </c>
      <c r="O148">
        <v>1</v>
      </c>
      <c r="P148" s="84">
        <v>0.247</v>
      </c>
      <c r="Q148" s="86">
        <v>3.45</v>
      </c>
      <c r="R148" s="85">
        <v>3.45</v>
      </c>
      <c r="S148" s="87">
        <v>769410</v>
      </c>
      <c r="T148" s="1">
        <v>4</v>
      </c>
      <c r="U148" s="88">
        <v>223017.39130434781</v>
      </c>
      <c r="V148" s="59">
        <v>4.4839552384294459</v>
      </c>
      <c r="X148" s="98">
        <v>3.45</v>
      </c>
      <c r="Y148" s="97">
        <v>402.0695652173913</v>
      </c>
    </row>
    <row r="149" spans="1:25">
      <c r="A149" s="58">
        <v>148</v>
      </c>
      <c r="B149" s="58">
        <v>148</v>
      </c>
      <c r="C149" s="58" t="s">
        <v>497</v>
      </c>
      <c r="D149" s="58" t="s">
        <v>215</v>
      </c>
      <c r="E149" s="58" t="s">
        <v>215</v>
      </c>
      <c r="F149" s="58" t="s">
        <v>498</v>
      </c>
      <c r="G149" s="58" t="s">
        <v>499</v>
      </c>
      <c r="H149" s="58" t="s">
        <v>179</v>
      </c>
      <c r="I149">
        <v>38000</v>
      </c>
      <c r="J149" s="58" t="s">
        <v>185</v>
      </c>
      <c r="K149">
        <v>38000</v>
      </c>
      <c r="L149" s="74">
        <v>6.5439999999999996</v>
      </c>
      <c r="M149" s="85">
        <v>7</v>
      </c>
      <c r="N149" s="74">
        <v>0.65300000000000002</v>
      </c>
      <c r="O149">
        <v>1</v>
      </c>
      <c r="P149" s="84">
        <v>0.48975000000000002</v>
      </c>
      <c r="Q149" s="86">
        <v>3.45</v>
      </c>
      <c r="R149" s="85">
        <v>3.45</v>
      </c>
      <c r="S149" s="87">
        <v>839680</v>
      </c>
      <c r="T149" s="1">
        <v>4</v>
      </c>
      <c r="U149" s="88">
        <v>243385.5072463768</v>
      </c>
      <c r="V149" s="59">
        <v>4.1087080792682924</v>
      </c>
      <c r="X149" s="98">
        <v>3.45</v>
      </c>
      <c r="Y149" s="97">
        <v>223.0173913043478</v>
      </c>
    </row>
    <row r="150" spans="1:25">
      <c r="A150" s="58">
        <v>149</v>
      </c>
      <c r="B150" s="58">
        <v>149</v>
      </c>
      <c r="C150" s="58" t="s">
        <v>500</v>
      </c>
      <c r="D150" s="58" t="s">
        <v>176</v>
      </c>
      <c r="E150" s="58" t="s">
        <v>176</v>
      </c>
      <c r="F150" s="58" t="s">
        <v>257</v>
      </c>
      <c r="G150" s="58" t="s">
        <v>258</v>
      </c>
      <c r="H150" s="58" t="s">
        <v>179</v>
      </c>
      <c r="I150">
        <v>38000</v>
      </c>
      <c r="J150">
        <v>38000</v>
      </c>
      <c r="K150">
        <v>20000</v>
      </c>
      <c r="L150" s="74">
        <v>13.503</v>
      </c>
      <c r="M150" s="85">
        <v>14</v>
      </c>
      <c r="N150" s="74">
        <v>0.36599999999999999</v>
      </c>
      <c r="O150">
        <v>1</v>
      </c>
      <c r="P150" s="84">
        <v>0.36599999999999999</v>
      </c>
      <c r="Q150" s="86">
        <v>3.45</v>
      </c>
      <c r="R150" s="85">
        <v>3.45</v>
      </c>
      <c r="S150" s="87">
        <v>1597940</v>
      </c>
      <c r="T150" s="1">
        <v>1</v>
      </c>
      <c r="U150" s="88">
        <v>463171.0144927536</v>
      </c>
      <c r="V150" s="59">
        <v>2.1590297508041605</v>
      </c>
      <c r="X150" s="98">
        <v>3.45</v>
      </c>
      <c r="Y150" s="97">
        <v>243.38550724637682</v>
      </c>
    </row>
    <row r="151" spans="1:25">
      <c r="A151" s="58">
        <v>150</v>
      </c>
      <c r="B151" s="58">
        <v>150</v>
      </c>
      <c r="C151" s="58" t="s">
        <v>501</v>
      </c>
      <c r="D151" s="58" t="s">
        <v>207</v>
      </c>
      <c r="E151" s="58" t="s">
        <v>207</v>
      </c>
      <c r="F151" s="58" t="s">
        <v>502</v>
      </c>
      <c r="G151" s="58" t="s">
        <v>503</v>
      </c>
      <c r="H151" s="58" t="s">
        <v>179</v>
      </c>
      <c r="I151">
        <v>38000</v>
      </c>
      <c r="J151">
        <v>38000</v>
      </c>
      <c r="K151" s="58" t="s">
        <v>185</v>
      </c>
      <c r="L151" s="74">
        <v>5.2759999999999998</v>
      </c>
      <c r="M151" s="85">
        <v>6</v>
      </c>
      <c r="N151" s="74">
        <v>0.34300000000000003</v>
      </c>
      <c r="O151">
        <v>1</v>
      </c>
      <c r="P151" s="84">
        <v>0.34300000000000003</v>
      </c>
      <c r="Q151" s="86">
        <v>3.45</v>
      </c>
      <c r="R151" s="85">
        <v>3.45</v>
      </c>
      <c r="S151" s="87">
        <v>769410</v>
      </c>
      <c r="T151" s="1">
        <v>4</v>
      </c>
      <c r="U151" s="88">
        <v>223017.39130434781</v>
      </c>
      <c r="V151" s="59">
        <v>4.4839552384294459</v>
      </c>
      <c r="X151" s="98">
        <v>3.45</v>
      </c>
      <c r="Y151" s="97">
        <v>463.17101449275361</v>
      </c>
    </row>
    <row r="152" spans="1:25">
      <c r="A152" s="58">
        <v>151</v>
      </c>
      <c r="B152" s="58">
        <v>151</v>
      </c>
      <c r="C152" s="58" t="s">
        <v>504</v>
      </c>
      <c r="D152" s="58" t="s">
        <v>207</v>
      </c>
      <c r="E152" s="58" t="s">
        <v>207</v>
      </c>
      <c r="F152" s="58" t="s">
        <v>393</v>
      </c>
      <c r="G152" s="58" t="s">
        <v>394</v>
      </c>
      <c r="H152" s="58" t="s">
        <v>179</v>
      </c>
      <c r="I152">
        <v>38000</v>
      </c>
      <c r="J152">
        <v>38000</v>
      </c>
      <c r="K152" s="58" t="s">
        <v>185</v>
      </c>
      <c r="L152" s="74">
        <v>7.5620000000000003</v>
      </c>
      <c r="M152" s="85">
        <v>8</v>
      </c>
      <c r="N152" s="74">
        <v>0.27800000000000002</v>
      </c>
      <c r="O152">
        <v>1</v>
      </c>
      <c r="P152" s="84">
        <v>0.27800000000000002</v>
      </c>
      <c r="Q152" s="86">
        <v>3.45</v>
      </c>
      <c r="R152" s="85">
        <v>3.45</v>
      </c>
      <c r="S152" s="87">
        <v>909950</v>
      </c>
      <c r="T152" s="1">
        <v>4</v>
      </c>
      <c r="U152" s="88">
        <v>263753.62318840576</v>
      </c>
      <c r="V152" s="59">
        <v>3.7914171108302654</v>
      </c>
      <c r="X152" s="98">
        <v>3.45</v>
      </c>
      <c r="Y152" s="97">
        <v>223.0173913043478</v>
      </c>
    </row>
    <row r="153" spans="1:25">
      <c r="A153" s="58">
        <v>152</v>
      </c>
      <c r="B153" s="58">
        <v>152</v>
      </c>
      <c r="C153" s="58" t="s">
        <v>505</v>
      </c>
      <c r="D153" s="58" t="s">
        <v>207</v>
      </c>
      <c r="E153" s="58" t="s">
        <v>207</v>
      </c>
      <c r="F153" s="58" t="s">
        <v>393</v>
      </c>
      <c r="G153" s="58" t="s">
        <v>394</v>
      </c>
      <c r="H153" s="58" t="s">
        <v>179</v>
      </c>
      <c r="I153">
        <v>38000</v>
      </c>
      <c r="J153">
        <v>38000</v>
      </c>
      <c r="K153" s="58" t="s">
        <v>185</v>
      </c>
      <c r="L153" s="74">
        <v>7.9320000000000004</v>
      </c>
      <c r="M153" s="85">
        <v>8</v>
      </c>
      <c r="N153" s="74">
        <v>0.19700000000000001</v>
      </c>
      <c r="O153">
        <v>1</v>
      </c>
      <c r="P153" s="84">
        <v>0.19700000000000001</v>
      </c>
      <c r="Q153" s="86">
        <v>3.45</v>
      </c>
      <c r="R153" s="85">
        <v>3.45</v>
      </c>
      <c r="S153" s="87">
        <v>909950</v>
      </c>
      <c r="T153" s="1">
        <v>4</v>
      </c>
      <c r="U153" s="88">
        <v>263753.62318840576</v>
      </c>
      <c r="V153" s="59">
        <v>3.7914171108302654</v>
      </c>
      <c r="X153" s="98">
        <v>3.45</v>
      </c>
      <c r="Y153" s="97">
        <v>263.75362318840581</v>
      </c>
    </row>
    <row r="154" spans="1:25">
      <c r="A154" s="58">
        <v>153</v>
      </c>
      <c r="B154" s="58">
        <v>153</v>
      </c>
      <c r="C154" s="58" t="s">
        <v>506</v>
      </c>
      <c r="D154" s="58" t="s">
        <v>197</v>
      </c>
      <c r="E154" s="58" t="s">
        <v>197</v>
      </c>
      <c r="F154" s="58" t="s">
        <v>198</v>
      </c>
      <c r="H154" s="58" t="s">
        <v>199</v>
      </c>
      <c r="I154">
        <v>110000</v>
      </c>
      <c r="J154" s="58" t="s">
        <v>200</v>
      </c>
      <c r="K154">
        <v>110000</v>
      </c>
      <c r="L154" s="74">
        <v>4.0960000000000001</v>
      </c>
      <c r="M154" s="85">
        <v>5</v>
      </c>
      <c r="N154" s="74">
        <v>0.188</v>
      </c>
      <c r="O154">
        <v>1</v>
      </c>
      <c r="P154" s="84">
        <v>0.188</v>
      </c>
      <c r="Q154" s="86">
        <v>3.45</v>
      </c>
      <c r="R154" s="85">
        <v>3.45</v>
      </c>
      <c r="S154" s="87">
        <v>1679970</v>
      </c>
      <c r="T154" s="1">
        <v>7</v>
      </c>
      <c r="U154" s="88">
        <v>486947.82608695648</v>
      </c>
      <c r="V154" s="59">
        <v>2.0536081001446456</v>
      </c>
      <c r="X154" s="98">
        <v>3.45</v>
      </c>
      <c r="Y154" s="97">
        <v>263.75362318840581</v>
      </c>
    </row>
    <row r="155" spans="1:25">
      <c r="A155" s="58">
        <v>154</v>
      </c>
      <c r="B155" s="58">
        <v>154</v>
      </c>
      <c r="C155" s="58" t="s">
        <v>507</v>
      </c>
      <c r="D155" s="58" t="s">
        <v>187</v>
      </c>
      <c r="E155" s="58" t="s">
        <v>187</v>
      </c>
      <c r="F155" s="58" t="s">
        <v>191</v>
      </c>
      <c r="G155" s="58" t="s">
        <v>192</v>
      </c>
      <c r="H155" s="58" t="s">
        <v>179</v>
      </c>
      <c r="I155">
        <v>38000</v>
      </c>
      <c r="J155">
        <v>38000</v>
      </c>
      <c r="K155" s="58" t="s">
        <v>185</v>
      </c>
      <c r="L155" s="74">
        <v>8.1859999999999999</v>
      </c>
      <c r="M155" s="85">
        <v>9</v>
      </c>
      <c r="N155" s="74">
        <v>0.28699999999999998</v>
      </c>
      <c r="O155">
        <v>1</v>
      </c>
      <c r="P155" s="84">
        <v>0.28699999999999998</v>
      </c>
      <c r="Q155" s="86">
        <v>3.45</v>
      </c>
      <c r="R155" s="85">
        <v>3.45</v>
      </c>
      <c r="S155" s="87">
        <v>1334440</v>
      </c>
      <c r="T155" s="1">
        <v>1</v>
      </c>
      <c r="U155" s="88">
        <v>386794.20289855072</v>
      </c>
      <c r="V155" s="59">
        <v>2.585354156050478</v>
      </c>
      <c r="X155" s="98">
        <v>3.45</v>
      </c>
      <c r="Y155" s="97">
        <v>486.94782608695647</v>
      </c>
    </row>
    <row r="156" spans="1:25">
      <c r="A156" s="58">
        <v>155</v>
      </c>
      <c r="B156" s="58">
        <v>155</v>
      </c>
      <c r="C156" s="58" t="s">
        <v>508</v>
      </c>
      <c r="D156" s="58" t="s">
        <v>187</v>
      </c>
      <c r="E156" s="58" t="s">
        <v>187</v>
      </c>
      <c r="F156" s="58" t="s">
        <v>191</v>
      </c>
      <c r="G156" s="58" t="s">
        <v>192</v>
      </c>
      <c r="H156" s="58" t="s">
        <v>179</v>
      </c>
      <c r="I156">
        <v>38000</v>
      </c>
      <c r="J156">
        <v>38000</v>
      </c>
      <c r="K156" s="58" t="s">
        <v>185</v>
      </c>
      <c r="L156" s="74">
        <v>6.5430000000000001</v>
      </c>
      <c r="M156" s="85">
        <v>7</v>
      </c>
      <c r="N156" s="74">
        <v>0.85</v>
      </c>
      <c r="O156">
        <v>1</v>
      </c>
      <c r="P156" s="84">
        <v>0.63749999999999996</v>
      </c>
      <c r="Q156" s="86">
        <v>6.9</v>
      </c>
      <c r="R156" s="85">
        <v>6.9</v>
      </c>
      <c r="S156" s="87">
        <v>839680</v>
      </c>
      <c r="T156" s="1">
        <v>4</v>
      </c>
      <c r="U156" s="88">
        <v>121692.7536231884</v>
      </c>
      <c r="V156" s="59">
        <v>8.2174161585365848</v>
      </c>
      <c r="X156" s="98">
        <v>3.45</v>
      </c>
      <c r="Y156" s="97">
        <v>386.79420289855074</v>
      </c>
    </row>
    <row r="157" spans="1:25">
      <c r="A157" s="58">
        <v>156</v>
      </c>
      <c r="B157" s="58">
        <v>156</v>
      </c>
      <c r="C157" s="58" t="s">
        <v>509</v>
      </c>
      <c r="D157" s="58" t="s">
        <v>187</v>
      </c>
      <c r="E157" s="58" t="s">
        <v>187</v>
      </c>
      <c r="F157" s="58" t="s">
        <v>228</v>
      </c>
      <c r="G157" s="58" t="s">
        <v>229</v>
      </c>
      <c r="H157" s="58" t="s">
        <v>179</v>
      </c>
      <c r="I157">
        <v>38000</v>
      </c>
      <c r="J157">
        <v>38000</v>
      </c>
      <c r="K157" s="58" t="s">
        <v>185</v>
      </c>
      <c r="L157" s="74">
        <v>8.01</v>
      </c>
      <c r="M157" s="85">
        <v>9</v>
      </c>
      <c r="N157" s="74">
        <v>0.42399999999999999</v>
      </c>
      <c r="O157">
        <v>1</v>
      </c>
      <c r="P157" s="84">
        <v>0.42399999999999999</v>
      </c>
      <c r="Q157" s="86">
        <v>3.45</v>
      </c>
      <c r="R157" s="85">
        <v>3.45</v>
      </c>
      <c r="S157" s="87">
        <v>1334440</v>
      </c>
      <c r="T157" s="1">
        <v>1</v>
      </c>
      <c r="U157" s="88">
        <v>386794.20289855072</v>
      </c>
      <c r="V157" s="59">
        <v>2.585354156050478</v>
      </c>
      <c r="X157" s="98">
        <v>6.9</v>
      </c>
      <c r="Y157" s="97">
        <v>121.69275362318841</v>
      </c>
    </row>
    <row r="158" spans="1:25">
      <c r="A158" s="58">
        <v>157</v>
      </c>
      <c r="B158" s="58">
        <v>157</v>
      </c>
      <c r="C158" s="58" t="s">
        <v>510</v>
      </c>
      <c r="D158" s="58" t="s">
        <v>187</v>
      </c>
      <c r="E158" s="58" t="s">
        <v>187</v>
      </c>
      <c r="F158" s="58" t="s">
        <v>228</v>
      </c>
      <c r="G158" s="58" t="s">
        <v>229</v>
      </c>
      <c r="H158" s="58" t="s">
        <v>179</v>
      </c>
      <c r="I158">
        <v>38000</v>
      </c>
      <c r="J158">
        <v>38000</v>
      </c>
      <c r="K158" s="58" t="s">
        <v>185</v>
      </c>
      <c r="L158" s="74">
        <v>7.2130000000000001</v>
      </c>
      <c r="M158" s="85">
        <v>8</v>
      </c>
      <c r="N158" s="74">
        <v>0.45700000000000002</v>
      </c>
      <c r="O158">
        <v>1</v>
      </c>
      <c r="P158" s="84">
        <v>0.45700000000000002</v>
      </c>
      <c r="Q158" s="86">
        <v>3.45</v>
      </c>
      <c r="R158" s="85">
        <v>3.45</v>
      </c>
      <c r="S158" s="87">
        <v>909950</v>
      </c>
      <c r="T158" s="1">
        <v>4</v>
      </c>
      <c r="U158" s="88">
        <v>263753.62318840576</v>
      </c>
      <c r="V158" s="59">
        <v>3.7914171108302654</v>
      </c>
      <c r="X158" s="98">
        <v>3.45</v>
      </c>
      <c r="Y158" s="97">
        <v>386.79420289855074</v>
      </c>
    </row>
    <row r="159" spans="1:25">
      <c r="A159" s="58">
        <v>158</v>
      </c>
      <c r="B159" s="58">
        <v>158</v>
      </c>
      <c r="C159" s="58" t="s">
        <v>511</v>
      </c>
      <c r="D159" s="58" t="s">
        <v>234</v>
      </c>
      <c r="E159" s="58" t="s">
        <v>234</v>
      </c>
      <c r="F159" s="58" t="s">
        <v>337</v>
      </c>
      <c r="G159" s="58" t="s">
        <v>338</v>
      </c>
      <c r="H159" s="58" t="s">
        <v>179</v>
      </c>
      <c r="I159">
        <v>38000</v>
      </c>
      <c r="J159">
        <v>38000</v>
      </c>
      <c r="K159" s="58" t="s">
        <v>185</v>
      </c>
      <c r="L159" s="74">
        <v>10.817</v>
      </c>
      <c r="M159" s="85">
        <v>11</v>
      </c>
      <c r="N159" s="74">
        <v>0.40500000000000003</v>
      </c>
      <c r="O159">
        <v>1</v>
      </c>
      <c r="P159" s="84">
        <v>0.40500000000000003</v>
      </c>
      <c r="Q159" s="86">
        <v>3.45</v>
      </c>
      <c r="R159" s="85">
        <v>3.45</v>
      </c>
      <c r="S159" s="87">
        <v>1439840</v>
      </c>
      <c r="T159" s="1">
        <v>1</v>
      </c>
      <c r="U159" s="88">
        <v>417344.92753623187</v>
      </c>
      <c r="V159" s="59">
        <v>2.396099566618513</v>
      </c>
      <c r="X159" s="98">
        <v>3.45</v>
      </c>
      <c r="Y159" s="97">
        <v>263.75362318840581</v>
      </c>
    </row>
    <row r="160" spans="1:25">
      <c r="A160" s="58">
        <v>159</v>
      </c>
      <c r="B160" s="58">
        <v>159</v>
      </c>
      <c r="C160" s="58" t="s">
        <v>512</v>
      </c>
      <c r="D160" s="58" t="s">
        <v>234</v>
      </c>
      <c r="E160" s="58" t="s">
        <v>234</v>
      </c>
      <c r="F160" s="58" t="s">
        <v>341</v>
      </c>
      <c r="G160" s="58" t="s">
        <v>342</v>
      </c>
      <c r="H160" s="58" t="s">
        <v>199</v>
      </c>
      <c r="I160">
        <v>110000</v>
      </c>
      <c r="J160" s="58" t="s">
        <v>185</v>
      </c>
      <c r="K160">
        <v>110000</v>
      </c>
      <c r="L160" s="74">
        <v>12.265000000000001</v>
      </c>
      <c r="M160" s="85">
        <v>13</v>
      </c>
      <c r="N160" s="74">
        <v>0.56200000000000006</v>
      </c>
      <c r="O160">
        <v>1</v>
      </c>
      <c r="P160" s="84">
        <v>0.56200000000000006</v>
      </c>
      <c r="Q160" s="86">
        <v>3.45</v>
      </c>
      <c r="R160" s="85">
        <v>3.45</v>
      </c>
      <c r="S160" s="87">
        <v>2101570</v>
      </c>
      <c r="T160" s="1">
        <v>7</v>
      </c>
      <c r="U160" s="88">
        <v>609150.72463768115</v>
      </c>
      <c r="V160" s="59">
        <v>1.6416298291277474</v>
      </c>
      <c r="X160" s="98">
        <v>3.45</v>
      </c>
      <c r="Y160" s="97">
        <v>417.34492753623186</v>
      </c>
    </row>
    <row r="161" spans="1:25">
      <c r="A161" s="58">
        <v>160</v>
      </c>
      <c r="B161" s="58">
        <v>160</v>
      </c>
      <c r="C161" s="58" t="s">
        <v>513</v>
      </c>
      <c r="D161" s="58" t="s">
        <v>351</v>
      </c>
      <c r="E161" s="58" t="s">
        <v>351</v>
      </c>
      <c r="F161" s="58" t="s">
        <v>514</v>
      </c>
      <c r="G161" s="58" t="s">
        <v>515</v>
      </c>
      <c r="H161" s="58" t="s">
        <v>179</v>
      </c>
      <c r="I161">
        <v>38000</v>
      </c>
      <c r="J161">
        <v>38000</v>
      </c>
      <c r="K161">
        <v>20000</v>
      </c>
      <c r="L161" s="74">
        <v>9.3219999999999992</v>
      </c>
      <c r="M161" s="85">
        <v>10</v>
      </c>
      <c r="N161" s="74">
        <v>0.224</v>
      </c>
      <c r="O161">
        <v>1</v>
      </c>
      <c r="P161" s="84">
        <v>0.224</v>
      </c>
      <c r="Q161" s="86">
        <v>3.45</v>
      </c>
      <c r="R161" s="85">
        <v>3.45</v>
      </c>
      <c r="S161" s="87">
        <v>1387140</v>
      </c>
      <c r="T161" s="1">
        <v>1</v>
      </c>
      <c r="U161" s="88">
        <v>402069.5652173913</v>
      </c>
      <c r="V161" s="59">
        <v>2.487131796357974</v>
      </c>
      <c r="X161" s="98">
        <v>3.45</v>
      </c>
      <c r="Y161" s="97">
        <v>609.15072463768115</v>
      </c>
    </row>
    <row r="162" spans="1:25">
      <c r="A162" s="58">
        <v>161</v>
      </c>
      <c r="B162" s="58">
        <v>161</v>
      </c>
      <c r="C162" s="58" t="s">
        <v>516</v>
      </c>
      <c r="D162" s="58" t="s">
        <v>346</v>
      </c>
      <c r="E162" s="58" t="s">
        <v>346</v>
      </c>
      <c r="F162" s="58" t="s">
        <v>517</v>
      </c>
      <c r="G162" s="58" t="s">
        <v>518</v>
      </c>
      <c r="H162" s="58" t="s">
        <v>179</v>
      </c>
      <c r="I162">
        <v>38000</v>
      </c>
      <c r="J162">
        <v>38000</v>
      </c>
      <c r="K162">
        <v>10000</v>
      </c>
      <c r="L162" s="74">
        <v>10.984999999999999</v>
      </c>
      <c r="M162" s="85">
        <v>11</v>
      </c>
      <c r="N162" s="74">
        <v>0.21099999999999999</v>
      </c>
      <c r="O162">
        <v>1</v>
      </c>
      <c r="P162" s="84">
        <v>0.21099999999999999</v>
      </c>
      <c r="Q162" s="86">
        <v>3.45</v>
      </c>
      <c r="R162" s="85">
        <v>3.45</v>
      </c>
      <c r="S162" s="87">
        <v>1439840</v>
      </c>
      <c r="T162" s="1">
        <v>1</v>
      </c>
      <c r="U162" s="88">
        <v>417344.92753623187</v>
      </c>
      <c r="V162" s="59">
        <v>2.396099566618513</v>
      </c>
      <c r="X162" s="98">
        <v>3.45</v>
      </c>
      <c r="Y162" s="97">
        <v>402.0695652173913</v>
      </c>
    </row>
    <row r="163" spans="1:25">
      <c r="A163" s="58">
        <v>162</v>
      </c>
      <c r="B163" s="58">
        <v>162</v>
      </c>
      <c r="C163" s="58" t="s">
        <v>519</v>
      </c>
      <c r="D163" s="58" t="s">
        <v>346</v>
      </c>
      <c r="E163" s="58" t="s">
        <v>346</v>
      </c>
      <c r="F163" s="58" t="s">
        <v>520</v>
      </c>
      <c r="G163" s="58" t="s">
        <v>521</v>
      </c>
      <c r="H163" s="58" t="s">
        <v>179</v>
      </c>
      <c r="I163">
        <v>38000</v>
      </c>
      <c r="J163">
        <v>38000</v>
      </c>
      <c r="K163">
        <v>10000</v>
      </c>
      <c r="L163" s="74">
        <v>7.173</v>
      </c>
      <c r="M163" s="85">
        <v>8</v>
      </c>
      <c r="N163" s="74">
        <v>0.152</v>
      </c>
      <c r="O163">
        <v>1</v>
      </c>
      <c r="P163" s="84">
        <v>0.152</v>
      </c>
      <c r="Q163" s="86">
        <v>3.45</v>
      </c>
      <c r="R163" s="85">
        <v>3.45</v>
      </c>
      <c r="S163" s="87">
        <v>909950</v>
      </c>
      <c r="T163" s="1">
        <v>4</v>
      </c>
      <c r="U163" s="88">
        <v>263753.62318840576</v>
      </c>
      <c r="V163" s="59">
        <v>3.7914171108302654</v>
      </c>
      <c r="X163" s="98">
        <v>3.45</v>
      </c>
      <c r="Y163" s="97">
        <v>417.34492753623186</v>
      </c>
    </row>
    <row r="164" spans="1:25">
      <c r="A164" s="58">
        <v>163</v>
      </c>
      <c r="B164" s="58">
        <v>163</v>
      </c>
      <c r="C164" s="58" t="s">
        <v>522</v>
      </c>
      <c r="D164" s="58" t="s">
        <v>234</v>
      </c>
      <c r="E164" s="58" t="s">
        <v>234</v>
      </c>
      <c r="F164" s="58" t="s">
        <v>425</v>
      </c>
      <c r="G164" s="58" t="s">
        <v>426</v>
      </c>
      <c r="H164" s="58" t="s">
        <v>199</v>
      </c>
      <c r="I164">
        <v>110000</v>
      </c>
      <c r="J164">
        <v>110000</v>
      </c>
      <c r="K164">
        <v>38000</v>
      </c>
      <c r="L164" s="74">
        <v>7.6539999999999999</v>
      </c>
      <c r="M164" s="85">
        <v>8</v>
      </c>
      <c r="N164" s="74">
        <v>0.25</v>
      </c>
      <c r="O164">
        <v>1</v>
      </c>
      <c r="P164" s="84">
        <v>0.25</v>
      </c>
      <c r="Q164" s="86">
        <v>3.45</v>
      </c>
      <c r="R164" s="85">
        <v>3.45</v>
      </c>
      <c r="S164" s="87">
        <v>1838070</v>
      </c>
      <c r="T164" s="1">
        <v>7</v>
      </c>
      <c r="U164" s="88">
        <v>532773.91304347827</v>
      </c>
      <c r="V164" s="59">
        <v>1.8769687770324308</v>
      </c>
      <c r="X164" s="98">
        <v>3.45</v>
      </c>
      <c r="Y164" s="97">
        <v>263.75362318840581</v>
      </c>
    </row>
    <row r="165" spans="1:25">
      <c r="A165" s="58">
        <v>164</v>
      </c>
      <c r="B165" s="58">
        <v>164</v>
      </c>
      <c r="C165" s="58" t="s">
        <v>523</v>
      </c>
      <c r="D165" s="58" t="s">
        <v>234</v>
      </c>
      <c r="E165" s="58" t="s">
        <v>234</v>
      </c>
      <c r="F165" s="58" t="s">
        <v>524</v>
      </c>
      <c r="G165" s="58" t="s">
        <v>525</v>
      </c>
      <c r="H165" s="58" t="s">
        <v>179</v>
      </c>
      <c r="I165">
        <v>38000</v>
      </c>
      <c r="L165" s="74">
        <v>4.0819999999999999</v>
      </c>
      <c r="M165" s="85">
        <v>5</v>
      </c>
      <c r="N165" s="74">
        <v>0.20200000000000001</v>
      </c>
      <c r="O165">
        <v>1</v>
      </c>
      <c r="P165" s="84">
        <v>0.20200000000000001</v>
      </c>
      <c r="Q165" s="86">
        <v>3.45</v>
      </c>
      <c r="R165" s="85">
        <v>3.45</v>
      </c>
      <c r="S165" s="87">
        <v>699140</v>
      </c>
      <c r="T165" s="1">
        <v>4</v>
      </c>
      <c r="U165" s="88">
        <v>202649.27536231882</v>
      </c>
      <c r="V165" s="59">
        <v>4.9346339788883489</v>
      </c>
      <c r="X165" s="98">
        <v>3.45</v>
      </c>
      <c r="Y165" s="97">
        <v>532.77391304347827</v>
      </c>
    </row>
    <row r="166" spans="1:25">
      <c r="A166" s="58">
        <v>165</v>
      </c>
      <c r="B166" s="58">
        <v>165</v>
      </c>
      <c r="C166" s="58" t="s">
        <v>526</v>
      </c>
      <c r="D166" s="58" t="s">
        <v>346</v>
      </c>
      <c r="E166" s="58" t="s">
        <v>351</v>
      </c>
      <c r="F166" s="58" t="s">
        <v>352</v>
      </c>
      <c r="G166" s="58" t="s">
        <v>353</v>
      </c>
      <c r="H166" s="58" t="s">
        <v>179</v>
      </c>
      <c r="I166">
        <v>38000</v>
      </c>
      <c r="J166">
        <v>38000</v>
      </c>
      <c r="K166">
        <v>10000</v>
      </c>
      <c r="L166" s="74">
        <v>7.7389999999999999</v>
      </c>
      <c r="M166" s="85">
        <v>8</v>
      </c>
      <c r="N166" s="74">
        <v>0.379</v>
      </c>
      <c r="O166">
        <v>1</v>
      </c>
      <c r="P166" s="84">
        <v>0.379</v>
      </c>
      <c r="Q166" s="86">
        <v>3.45</v>
      </c>
      <c r="R166" s="85">
        <v>3.45</v>
      </c>
      <c r="S166" s="87">
        <v>909950</v>
      </c>
      <c r="T166" s="1">
        <v>4</v>
      </c>
      <c r="U166" s="88">
        <v>263753.62318840576</v>
      </c>
      <c r="V166" s="59">
        <v>3.7914171108302654</v>
      </c>
      <c r="X166" s="98">
        <v>3.45</v>
      </c>
      <c r="Y166" s="97">
        <v>202.64927536231883</v>
      </c>
    </row>
    <row r="167" spans="1:25">
      <c r="A167" s="58">
        <v>166</v>
      </c>
      <c r="B167" s="58">
        <v>166</v>
      </c>
      <c r="C167" s="58" t="s">
        <v>527</v>
      </c>
      <c r="D167" s="58" t="s">
        <v>346</v>
      </c>
      <c r="E167" s="58" t="s">
        <v>351</v>
      </c>
      <c r="F167" s="58" t="s">
        <v>352</v>
      </c>
      <c r="G167" s="58" t="s">
        <v>353</v>
      </c>
      <c r="H167" s="58" t="s">
        <v>179</v>
      </c>
      <c r="I167">
        <v>38000</v>
      </c>
      <c r="J167">
        <v>38000</v>
      </c>
      <c r="K167">
        <v>10000</v>
      </c>
      <c r="L167" s="74">
        <v>7.0679999999999996</v>
      </c>
      <c r="M167" s="85">
        <v>8</v>
      </c>
      <c r="N167" s="74">
        <v>0.26500000000000001</v>
      </c>
      <c r="O167">
        <v>1</v>
      </c>
      <c r="P167" s="84">
        <v>0.26500000000000001</v>
      </c>
      <c r="Q167" s="86">
        <v>3.45</v>
      </c>
      <c r="R167" s="85">
        <v>3.45</v>
      </c>
      <c r="S167" s="87">
        <v>909950</v>
      </c>
      <c r="T167" s="1">
        <v>4</v>
      </c>
      <c r="U167" s="88">
        <v>263753.62318840576</v>
      </c>
      <c r="V167" s="59">
        <v>3.7914171108302654</v>
      </c>
      <c r="X167" s="98">
        <v>3.45</v>
      </c>
      <c r="Y167" s="97">
        <v>263.75362318840581</v>
      </c>
    </row>
    <row r="168" spans="1:25">
      <c r="A168" s="58">
        <v>167</v>
      </c>
      <c r="B168" s="58">
        <v>167</v>
      </c>
      <c r="C168" s="58" t="s">
        <v>528</v>
      </c>
      <c r="D168" s="58" t="s">
        <v>351</v>
      </c>
      <c r="E168" s="58" t="s">
        <v>351</v>
      </c>
      <c r="F168" s="58" t="s">
        <v>514</v>
      </c>
      <c r="G168" s="58" t="s">
        <v>515</v>
      </c>
      <c r="H168" s="58" t="s">
        <v>179</v>
      </c>
      <c r="I168">
        <v>38000</v>
      </c>
      <c r="J168">
        <v>38000</v>
      </c>
      <c r="K168">
        <v>20000</v>
      </c>
      <c r="L168" s="74">
        <v>3.702</v>
      </c>
      <c r="M168" s="85">
        <v>4</v>
      </c>
      <c r="N168" s="74">
        <v>0.159</v>
      </c>
      <c r="O168">
        <v>1</v>
      </c>
      <c r="P168" s="84">
        <v>0.159</v>
      </c>
      <c r="Q168" s="86">
        <v>3.45</v>
      </c>
      <c r="R168" s="85">
        <v>3.45</v>
      </c>
      <c r="S168" s="87">
        <v>628870</v>
      </c>
      <c r="T168" s="1">
        <v>4</v>
      </c>
      <c r="U168" s="88">
        <v>182281.15942028986</v>
      </c>
      <c r="V168" s="59">
        <v>5.4860304991492681</v>
      </c>
      <c r="X168" s="98">
        <v>3.45</v>
      </c>
      <c r="Y168" s="97">
        <v>263.75362318840581</v>
      </c>
    </row>
    <row r="169" spans="1:25">
      <c r="A169" s="58">
        <v>168</v>
      </c>
      <c r="B169" s="58">
        <v>168</v>
      </c>
      <c r="C169" s="58" t="s">
        <v>529</v>
      </c>
      <c r="D169" s="58" t="s">
        <v>187</v>
      </c>
      <c r="E169" s="58" t="s">
        <v>187</v>
      </c>
      <c r="F169" s="58" t="s">
        <v>374</v>
      </c>
      <c r="G169" s="58" t="s">
        <v>375</v>
      </c>
      <c r="H169" s="58" t="s">
        <v>179</v>
      </c>
      <c r="I169">
        <v>38000</v>
      </c>
      <c r="J169">
        <v>38000</v>
      </c>
      <c r="K169">
        <v>20000</v>
      </c>
      <c r="L169" s="74">
        <v>4.1909999999999998</v>
      </c>
      <c r="M169" s="85">
        <v>5</v>
      </c>
      <c r="N169" s="74">
        <v>0.17799999999999999</v>
      </c>
      <c r="O169">
        <v>1</v>
      </c>
      <c r="P169" s="84">
        <v>0.17799999999999999</v>
      </c>
      <c r="Q169" s="86">
        <v>3.45</v>
      </c>
      <c r="R169" s="85">
        <v>3.45</v>
      </c>
      <c r="S169" s="87">
        <v>699140</v>
      </c>
      <c r="T169" s="1">
        <v>4</v>
      </c>
      <c r="U169" s="88">
        <v>202649.27536231882</v>
      </c>
      <c r="V169" s="59">
        <v>4.9346339788883489</v>
      </c>
      <c r="X169" s="98">
        <v>3.45</v>
      </c>
      <c r="Y169" s="97">
        <v>182.28115942028987</v>
      </c>
    </row>
    <row r="170" spans="1:25">
      <c r="A170" s="58">
        <v>169</v>
      </c>
      <c r="B170" s="58">
        <v>169</v>
      </c>
      <c r="C170" s="58" t="s">
        <v>530</v>
      </c>
      <c r="D170" s="58" t="s">
        <v>187</v>
      </c>
      <c r="E170" s="58" t="s">
        <v>187</v>
      </c>
      <c r="F170" s="58" t="s">
        <v>531</v>
      </c>
      <c r="G170" s="58" t="s">
        <v>532</v>
      </c>
      <c r="H170" s="58" t="s">
        <v>179</v>
      </c>
      <c r="I170">
        <v>38000</v>
      </c>
      <c r="J170">
        <v>38000</v>
      </c>
      <c r="K170" s="58" t="s">
        <v>185</v>
      </c>
      <c r="L170" s="74">
        <v>5.4020000000000001</v>
      </c>
      <c r="M170" s="85">
        <v>6</v>
      </c>
      <c r="N170" s="74">
        <v>0.25</v>
      </c>
      <c r="O170">
        <v>1</v>
      </c>
      <c r="P170" s="84">
        <v>0.25</v>
      </c>
      <c r="Q170" s="86">
        <v>3.45</v>
      </c>
      <c r="R170" s="85">
        <v>3.45</v>
      </c>
      <c r="S170" s="87">
        <v>769410</v>
      </c>
      <c r="T170" s="1">
        <v>4</v>
      </c>
      <c r="U170" s="88">
        <v>223017.39130434781</v>
      </c>
      <c r="V170" s="59">
        <v>4.4839552384294459</v>
      </c>
      <c r="X170" s="98">
        <v>3.45</v>
      </c>
      <c r="Y170" s="97">
        <v>202.64927536231883</v>
      </c>
    </row>
    <row r="171" spans="1:25">
      <c r="A171" s="58">
        <v>170</v>
      </c>
      <c r="B171" s="58">
        <v>170</v>
      </c>
      <c r="C171" s="58" t="s">
        <v>533</v>
      </c>
      <c r="D171" s="58" t="s">
        <v>187</v>
      </c>
      <c r="E171" s="58" t="s">
        <v>187</v>
      </c>
      <c r="F171" s="58" t="s">
        <v>231</v>
      </c>
      <c r="G171" s="58" t="s">
        <v>232</v>
      </c>
      <c r="H171" s="58" t="s">
        <v>179</v>
      </c>
      <c r="I171">
        <v>38000</v>
      </c>
      <c r="J171" s="58" t="s">
        <v>185</v>
      </c>
      <c r="K171">
        <v>38000</v>
      </c>
      <c r="L171" s="74">
        <v>6.3049999999999997</v>
      </c>
      <c r="M171" s="85">
        <v>7</v>
      </c>
      <c r="N171" s="74">
        <v>0.442</v>
      </c>
      <c r="O171">
        <v>1</v>
      </c>
      <c r="P171" s="84">
        <v>0.442</v>
      </c>
      <c r="Q171" s="86">
        <v>3.45</v>
      </c>
      <c r="R171" s="85">
        <v>3.45</v>
      </c>
      <c r="S171" s="87">
        <v>839680</v>
      </c>
      <c r="T171" s="1">
        <v>4</v>
      </c>
      <c r="U171" s="88">
        <v>243385.5072463768</v>
      </c>
      <c r="V171" s="59">
        <v>4.1087080792682924</v>
      </c>
      <c r="X171" s="98">
        <v>3.45</v>
      </c>
      <c r="Y171" s="97">
        <v>223.0173913043478</v>
      </c>
    </row>
    <row r="172" spans="1:25">
      <c r="A172" s="58">
        <v>171</v>
      </c>
      <c r="B172" s="58">
        <v>171</v>
      </c>
      <c r="C172" s="58" t="s">
        <v>534</v>
      </c>
      <c r="D172" s="58" t="s">
        <v>234</v>
      </c>
      <c r="E172" s="58" t="s">
        <v>234</v>
      </c>
      <c r="F172" s="58" t="s">
        <v>329</v>
      </c>
      <c r="G172" s="58" t="s">
        <v>330</v>
      </c>
      <c r="H172" s="58" t="s">
        <v>179</v>
      </c>
      <c r="I172">
        <v>38000</v>
      </c>
      <c r="J172">
        <v>38000</v>
      </c>
      <c r="K172" s="58" t="s">
        <v>185</v>
      </c>
      <c r="L172" s="74">
        <v>13.1</v>
      </c>
      <c r="M172" s="85">
        <v>14</v>
      </c>
      <c r="N172" s="74">
        <v>0.44</v>
      </c>
      <c r="O172">
        <v>1</v>
      </c>
      <c r="P172" s="84">
        <v>0.44</v>
      </c>
      <c r="Q172" s="86">
        <v>3.45</v>
      </c>
      <c r="R172" s="85">
        <v>3.45</v>
      </c>
      <c r="S172" s="87">
        <v>1597940</v>
      </c>
      <c r="T172" s="1">
        <v>1</v>
      </c>
      <c r="U172" s="88">
        <v>463171.0144927536</v>
      </c>
      <c r="V172" s="59">
        <v>2.1590297508041605</v>
      </c>
      <c r="X172" s="98">
        <v>3.45</v>
      </c>
      <c r="Y172" s="97">
        <v>243.38550724637682</v>
      </c>
    </row>
    <row r="173" spans="1:25">
      <c r="A173" s="58">
        <v>172</v>
      </c>
      <c r="B173" s="58">
        <v>172</v>
      </c>
      <c r="C173" s="58" t="s">
        <v>535</v>
      </c>
      <c r="D173" s="58" t="s">
        <v>249</v>
      </c>
      <c r="E173" s="58" t="s">
        <v>536</v>
      </c>
      <c r="F173" s="58" t="s">
        <v>250</v>
      </c>
      <c r="G173" s="58" t="s">
        <v>251</v>
      </c>
      <c r="H173" s="58" t="s">
        <v>199</v>
      </c>
      <c r="I173">
        <v>110000</v>
      </c>
      <c r="L173" s="74">
        <v>6.6820000000000004</v>
      </c>
      <c r="M173" s="85">
        <v>7</v>
      </c>
      <c r="N173" s="74">
        <v>2.5419999999999998</v>
      </c>
      <c r="O173">
        <v>1</v>
      </c>
      <c r="P173" s="84">
        <v>1.9064999999999999</v>
      </c>
      <c r="Q173" s="86">
        <v>20.700000000000003</v>
      </c>
      <c r="R173" s="85">
        <v>20.700000000000003</v>
      </c>
      <c r="S173" s="87">
        <v>2086600</v>
      </c>
      <c r="T173" s="1">
        <v>8</v>
      </c>
      <c r="U173" s="88">
        <v>100801.93236714974</v>
      </c>
      <c r="V173" s="59">
        <v>9.9204447426435376</v>
      </c>
      <c r="X173" s="98">
        <v>3.45</v>
      </c>
      <c r="Y173" s="97">
        <v>463.17101449275361</v>
      </c>
    </row>
    <row r="174" spans="1:25">
      <c r="A174" s="58">
        <v>173</v>
      </c>
      <c r="B174" s="58">
        <v>173</v>
      </c>
      <c r="C174" s="58" t="s">
        <v>537</v>
      </c>
      <c r="D174" s="58" t="s">
        <v>253</v>
      </c>
      <c r="E174" s="58" t="s">
        <v>253</v>
      </c>
      <c r="F174" s="58" t="s">
        <v>538</v>
      </c>
      <c r="G174" s="58" t="s">
        <v>539</v>
      </c>
      <c r="H174" s="58" t="s">
        <v>179</v>
      </c>
      <c r="I174">
        <v>38000</v>
      </c>
      <c r="J174">
        <v>38000</v>
      </c>
      <c r="K174" s="58" t="s">
        <v>185</v>
      </c>
      <c r="L174" s="74">
        <v>5.29</v>
      </c>
      <c r="M174" s="85">
        <v>6</v>
      </c>
      <c r="N174" s="74">
        <v>2.4500000000000002</v>
      </c>
      <c r="O174">
        <v>1</v>
      </c>
      <c r="P174" s="84">
        <v>1.8375000000000001</v>
      </c>
      <c r="Q174" s="86">
        <v>17.25</v>
      </c>
      <c r="R174" s="85">
        <v>17.25</v>
      </c>
      <c r="S174" s="87">
        <v>769410</v>
      </c>
      <c r="T174" s="1">
        <v>4</v>
      </c>
      <c r="U174" s="88">
        <v>44603.478260869568</v>
      </c>
      <c r="V174" s="59">
        <v>22.419776192147228</v>
      </c>
      <c r="X174" s="98">
        <v>20.700000000000003</v>
      </c>
      <c r="Y174" s="97">
        <v>100.80193236714973</v>
      </c>
    </row>
    <row r="175" spans="1:25">
      <c r="A175" s="58">
        <v>174</v>
      </c>
      <c r="B175" s="58">
        <v>174</v>
      </c>
      <c r="C175" s="58" t="s">
        <v>540</v>
      </c>
      <c r="D175" s="58" t="s">
        <v>215</v>
      </c>
      <c r="E175" s="58" t="s">
        <v>215</v>
      </c>
      <c r="F175" s="58" t="s">
        <v>479</v>
      </c>
      <c r="G175" s="58" t="s">
        <v>480</v>
      </c>
      <c r="H175" s="58" t="s">
        <v>179</v>
      </c>
      <c r="I175">
        <v>38000</v>
      </c>
      <c r="J175">
        <v>38000</v>
      </c>
      <c r="K175" s="58" t="s">
        <v>185</v>
      </c>
      <c r="L175" s="74">
        <v>24.774000000000001</v>
      </c>
      <c r="M175" s="85">
        <v>25</v>
      </c>
      <c r="N175" s="74">
        <v>1.095</v>
      </c>
      <c r="O175">
        <v>1</v>
      </c>
      <c r="P175" s="84">
        <v>0.82125000000000004</v>
      </c>
      <c r="Q175" s="86">
        <v>6.9</v>
      </c>
      <c r="R175" s="85">
        <v>6.9</v>
      </c>
      <c r="S175" s="87">
        <v>2223000</v>
      </c>
      <c r="T175" s="1">
        <v>2</v>
      </c>
      <c r="U175" s="88">
        <v>322173.91304347827</v>
      </c>
      <c r="V175" s="59">
        <v>3.1039136302294197</v>
      </c>
      <c r="X175" s="98">
        <v>17.25</v>
      </c>
      <c r="Y175" s="97">
        <v>44.603478260869572</v>
      </c>
    </row>
    <row r="176" spans="1:25">
      <c r="A176" s="58">
        <v>175</v>
      </c>
      <c r="B176" s="58">
        <v>175</v>
      </c>
      <c r="C176" s="58" t="s">
        <v>541</v>
      </c>
      <c r="D176" s="58" t="s">
        <v>215</v>
      </c>
      <c r="E176" s="58" t="s">
        <v>215</v>
      </c>
      <c r="F176" s="58" t="s">
        <v>479</v>
      </c>
      <c r="G176" s="58" t="s">
        <v>480</v>
      </c>
      <c r="H176" s="58" t="s">
        <v>179</v>
      </c>
      <c r="I176">
        <v>38000</v>
      </c>
      <c r="J176">
        <v>38000</v>
      </c>
      <c r="K176" s="58" t="s">
        <v>185</v>
      </c>
      <c r="L176" s="74">
        <v>15.734</v>
      </c>
      <c r="M176" s="85">
        <v>16</v>
      </c>
      <c r="N176" s="74">
        <v>0.57099999999999995</v>
      </c>
      <c r="O176">
        <v>1</v>
      </c>
      <c r="P176" s="84">
        <v>0.57099999999999995</v>
      </c>
      <c r="Q176" s="86">
        <v>3.45</v>
      </c>
      <c r="R176" s="85">
        <v>3.45</v>
      </c>
      <c r="S176" s="87">
        <v>1703340</v>
      </c>
      <c r="T176" s="1">
        <v>1</v>
      </c>
      <c r="U176" s="88">
        <v>493721.73913043475</v>
      </c>
      <c r="V176" s="59">
        <v>2.0254323857832257</v>
      </c>
      <c r="X176" s="98">
        <v>6.9</v>
      </c>
      <c r="Y176" s="97">
        <v>322.17391304347825</v>
      </c>
    </row>
    <row r="177" spans="1:25">
      <c r="A177" s="58">
        <v>176</v>
      </c>
      <c r="B177" s="58">
        <v>176</v>
      </c>
      <c r="C177" s="58" t="s">
        <v>542</v>
      </c>
      <c r="D177" s="58" t="s">
        <v>215</v>
      </c>
      <c r="E177" s="58" t="s">
        <v>176</v>
      </c>
      <c r="F177" s="58" t="s">
        <v>257</v>
      </c>
      <c r="G177" s="58" t="s">
        <v>258</v>
      </c>
      <c r="H177" s="58" t="s">
        <v>179</v>
      </c>
      <c r="I177">
        <v>38000</v>
      </c>
      <c r="J177">
        <v>38000</v>
      </c>
      <c r="K177">
        <v>20000</v>
      </c>
      <c r="L177" s="74">
        <v>13.7</v>
      </c>
      <c r="M177" s="85">
        <v>14</v>
      </c>
      <c r="N177" s="74">
        <v>4.1219999999999999</v>
      </c>
      <c r="O177">
        <v>1</v>
      </c>
      <c r="P177" s="84">
        <v>3.0914999999999999</v>
      </c>
      <c r="Q177" s="86">
        <v>31.05</v>
      </c>
      <c r="R177" s="85">
        <v>31.05</v>
      </c>
      <c r="S177" s="87">
        <v>1905430</v>
      </c>
      <c r="T177" s="1">
        <v>6</v>
      </c>
      <c r="U177" s="88">
        <v>61366.505636070855</v>
      </c>
      <c r="V177" s="59">
        <v>16.295534341329777</v>
      </c>
      <c r="X177" s="98">
        <v>3.45</v>
      </c>
      <c r="Y177" s="97">
        <v>493.72173913043474</v>
      </c>
    </row>
    <row r="178" spans="1:25">
      <c r="A178" s="89">
        <v>177</v>
      </c>
      <c r="B178" s="89">
        <v>177</v>
      </c>
      <c r="C178" s="89" t="s">
        <v>543</v>
      </c>
      <c r="D178" s="58" t="s">
        <v>215</v>
      </c>
      <c r="E178" s="58" t="s">
        <v>176</v>
      </c>
      <c r="F178" s="89" t="s">
        <v>257</v>
      </c>
      <c r="G178" s="89" t="s">
        <v>258</v>
      </c>
      <c r="H178" s="89" t="s">
        <v>179</v>
      </c>
      <c r="I178" s="90">
        <v>38000</v>
      </c>
      <c r="J178" s="90">
        <v>38000</v>
      </c>
      <c r="K178" s="90">
        <v>20000</v>
      </c>
      <c r="L178" s="91">
        <v>10.202999999999999</v>
      </c>
      <c r="M178" s="92">
        <v>11</v>
      </c>
      <c r="N178" s="91">
        <v>13.51</v>
      </c>
      <c r="O178" s="90">
        <v>1</v>
      </c>
      <c r="P178" s="92">
        <v>10.1325</v>
      </c>
      <c r="Q178" s="93">
        <v>110.4</v>
      </c>
      <c r="R178" s="92">
        <v>110.4</v>
      </c>
      <c r="S178" s="87">
        <v>3237370</v>
      </c>
      <c r="T178" s="94">
        <v>11</v>
      </c>
      <c r="U178" s="95">
        <v>29324.003623188404</v>
      </c>
      <c r="V178" s="96">
        <v>34.10175543728397</v>
      </c>
      <c r="X178" s="98">
        <v>31.05</v>
      </c>
      <c r="Y178" s="97">
        <v>61.366505636070855</v>
      </c>
    </row>
    <row r="179" spans="1:25">
      <c r="A179" s="58">
        <v>178</v>
      </c>
      <c r="B179" s="58">
        <v>178</v>
      </c>
      <c r="C179" s="58" t="s">
        <v>544</v>
      </c>
      <c r="D179" s="58" t="s">
        <v>215</v>
      </c>
      <c r="E179" s="58" t="s">
        <v>176</v>
      </c>
      <c r="F179" s="58" t="s">
        <v>257</v>
      </c>
      <c r="G179" s="58" t="s">
        <v>258</v>
      </c>
      <c r="H179" s="58" t="s">
        <v>179</v>
      </c>
      <c r="I179">
        <v>38000</v>
      </c>
      <c r="J179">
        <v>38000</v>
      </c>
      <c r="K179">
        <v>20000</v>
      </c>
      <c r="L179" s="74">
        <v>7.8490000000000002</v>
      </c>
      <c r="M179" s="85">
        <v>8</v>
      </c>
      <c r="N179" s="74">
        <v>0.46500000000000002</v>
      </c>
      <c r="O179">
        <v>1</v>
      </c>
      <c r="P179" s="84">
        <v>0.46500000000000002</v>
      </c>
      <c r="Q179" s="86">
        <v>3.45</v>
      </c>
      <c r="R179" s="85">
        <v>3.45</v>
      </c>
      <c r="S179" s="87">
        <v>909950</v>
      </c>
      <c r="T179" s="1">
        <v>4</v>
      </c>
      <c r="U179" s="88">
        <v>263753.62318840576</v>
      </c>
      <c r="V179" s="59">
        <v>3.7914171108302654</v>
      </c>
      <c r="X179" s="98">
        <v>110.4</v>
      </c>
      <c r="Y179" s="97">
        <v>29.324003623188403</v>
      </c>
    </row>
    <row r="180" spans="1:25">
      <c r="A180" s="58">
        <v>179</v>
      </c>
      <c r="B180" s="58">
        <v>179</v>
      </c>
      <c r="C180" s="58" t="s">
        <v>545</v>
      </c>
      <c r="D180" s="58" t="s">
        <v>176</v>
      </c>
      <c r="E180" s="58" t="s">
        <v>176</v>
      </c>
      <c r="F180" s="58" t="s">
        <v>257</v>
      </c>
      <c r="G180" s="58" t="s">
        <v>258</v>
      </c>
      <c r="H180" s="58" t="s">
        <v>179</v>
      </c>
      <c r="I180">
        <v>38000</v>
      </c>
      <c r="J180">
        <v>38000</v>
      </c>
      <c r="K180">
        <v>20000</v>
      </c>
      <c r="L180" s="74">
        <v>9.3320000000000007</v>
      </c>
      <c r="M180" s="85">
        <v>10</v>
      </c>
      <c r="N180" s="74">
        <v>1.3939999999999999</v>
      </c>
      <c r="O180">
        <v>1</v>
      </c>
      <c r="P180" s="84">
        <v>1.0454999999999999</v>
      </c>
      <c r="Q180" s="86">
        <v>10.350000000000001</v>
      </c>
      <c r="R180" s="85">
        <v>10.350000000000001</v>
      </c>
      <c r="S180" s="87">
        <v>1469550</v>
      </c>
      <c r="T180" s="1">
        <v>3</v>
      </c>
      <c r="U180" s="88">
        <v>141985.5072463768</v>
      </c>
      <c r="V180" s="59">
        <v>7.0429723384709622</v>
      </c>
      <c r="X180" s="98">
        <v>3.45</v>
      </c>
      <c r="Y180" s="97">
        <v>263.75362318840581</v>
      </c>
    </row>
    <row r="181" spans="1:25">
      <c r="A181" s="58">
        <v>180</v>
      </c>
      <c r="B181" s="58">
        <v>180</v>
      </c>
      <c r="C181" s="58" t="s">
        <v>546</v>
      </c>
      <c r="D181" s="58" t="s">
        <v>176</v>
      </c>
      <c r="E181" s="58" t="s">
        <v>176</v>
      </c>
      <c r="F181" s="58" t="s">
        <v>257</v>
      </c>
      <c r="G181" s="58" t="s">
        <v>258</v>
      </c>
      <c r="H181" s="58" t="s">
        <v>179</v>
      </c>
      <c r="I181">
        <v>38000</v>
      </c>
      <c r="J181">
        <v>38000</v>
      </c>
      <c r="K181">
        <v>20000</v>
      </c>
      <c r="L181" s="74">
        <v>11.323</v>
      </c>
      <c r="M181" s="85">
        <v>12</v>
      </c>
      <c r="N181" s="74">
        <v>1.3580000000000001</v>
      </c>
      <c r="O181">
        <v>1</v>
      </c>
      <c r="P181" s="84">
        <v>1.0185</v>
      </c>
      <c r="Q181" s="86">
        <v>10.350000000000001</v>
      </c>
      <c r="R181" s="85">
        <v>10.350000000000001</v>
      </c>
      <c r="S181" s="87">
        <v>1574950</v>
      </c>
      <c r="T181" s="1">
        <v>3</v>
      </c>
      <c r="U181" s="88">
        <v>152169.08212560383</v>
      </c>
      <c r="V181" s="59">
        <v>6.5716371948315828</v>
      </c>
      <c r="X181" s="98">
        <v>10.350000000000001</v>
      </c>
      <c r="Y181" s="97">
        <v>141.98550724637678</v>
      </c>
    </row>
    <row r="182" spans="1:25">
      <c r="A182" s="58">
        <v>181</v>
      </c>
      <c r="B182" s="58">
        <v>181</v>
      </c>
      <c r="C182" s="58" t="s">
        <v>547</v>
      </c>
      <c r="D182" s="58" t="s">
        <v>215</v>
      </c>
      <c r="E182" s="58" t="s">
        <v>176</v>
      </c>
      <c r="F182" s="58" t="s">
        <v>225</v>
      </c>
      <c r="G182" s="58" t="s">
        <v>226</v>
      </c>
      <c r="H182" s="58" t="s">
        <v>179</v>
      </c>
      <c r="I182">
        <v>38000</v>
      </c>
      <c r="J182">
        <v>38000</v>
      </c>
      <c r="K182">
        <v>20000</v>
      </c>
      <c r="L182" s="74">
        <v>8.8740000000000006</v>
      </c>
      <c r="M182" s="85">
        <v>9</v>
      </c>
      <c r="N182" s="74">
        <v>4.9630000000000001</v>
      </c>
      <c r="O182">
        <v>1</v>
      </c>
      <c r="P182" s="84">
        <v>3.7222499999999998</v>
      </c>
      <c r="Q182" s="86">
        <v>37.950000000000003</v>
      </c>
      <c r="R182" s="85">
        <v>37.950000000000003</v>
      </c>
      <c r="S182" s="87">
        <v>1349130</v>
      </c>
      <c r="T182" s="1">
        <v>6</v>
      </c>
      <c r="U182" s="88">
        <v>35550.197628458496</v>
      </c>
      <c r="V182" s="59">
        <v>28.129238842809812</v>
      </c>
      <c r="X182" s="98">
        <v>10.350000000000001</v>
      </c>
      <c r="Y182" s="97">
        <v>152.16908212560384</v>
      </c>
    </row>
    <row r="183" spans="1:25">
      <c r="A183" s="89">
        <v>182</v>
      </c>
      <c r="B183" s="89">
        <v>182</v>
      </c>
      <c r="C183" s="89" t="s">
        <v>548</v>
      </c>
      <c r="D183" s="58" t="s">
        <v>215</v>
      </c>
      <c r="E183" s="58" t="s">
        <v>215</v>
      </c>
      <c r="F183" s="89" t="s">
        <v>225</v>
      </c>
      <c r="G183" s="89" t="s">
        <v>226</v>
      </c>
      <c r="H183" s="89" t="s">
        <v>179</v>
      </c>
      <c r="I183" s="90">
        <v>38000</v>
      </c>
      <c r="J183" s="90">
        <v>38000</v>
      </c>
      <c r="K183" s="90">
        <v>20000</v>
      </c>
      <c r="L183" s="91">
        <v>4.859</v>
      </c>
      <c r="M183" s="92">
        <v>5</v>
      </c>
      <c r="N183" s="91">
        <v>6.0389999999999997</v>
      </c>
      <c r="O183" s="90">
        <v>1</v>
      </c>
      <c r="P183" s="92">
        <v>4.5292499999999993</v>
      </c>
      <c r="Q183" s="93">
        <v>48.300000000000011</v>
      </c>
      <c r="R183" s="92">
        <v>48.300000000000011</v>
      </c>
      <c r="S183" s="87">
        <v>1972510</v>
      </c>
      <c r="T183" s="94">
        <v>11</v>
      </c>
      <c r="U183" s="95">
        <v>40838.716356107652</v>
      </c>
      <c r="V183" s="96">
        <v>24.486567875448042</v>
      </c>
      <c r="X183" s="98">
        <v>37.950000000000003</v>
      </c>
      <c r="Y183" s="97">
        <v>35.550197628458498</v>
      </c>
    </row>
    <row r="184" spans="1:25">
      <c r="A184" s="89">
        <v>183</v>
      </c>
      <c r="B184" s="89">
        <v>183</v>
      </c>
      <c r="C184" s="89" t="s">
        <v>549</v>
      </c>
      <c r="D184" s="58" t="s">
        <v>215</v>
      </c>
      <c r="E184" s="58" t="s">
        <v>176</v>
      </c>
      <c r="F184" s="89" t="s">
        <v>225</v>
      </c>
      <c r="G184" s="89" t="s">
        <v>226</v>
      </c>
      <c r="H184" s="89" t="s">
        <v>179</v>
      </c>
      <c r="I184" s="90">
        <v>38000</v>
      </c>
      <c r="J184" s="90">
        <v>38000</v>
      </c>
      <c r="K184" s="90">
        <v>20000</v>
      </c>
      <c r="L184" s="91">
        <v>9.0540000000000003</v>
      </c>
      <c r="M184" s="92">
        <v>10</v>
      </c>
      <c r="N184" s="91">
        <v>5.8719999999999999</v>
      </c>
      <c r="O184" s="90">
        <v>1</v>
      </c>
      <c r="P184" s="92">
        <v>4.4039999999999999</v>
      </c>
      <c r="Q184" s="93">
        <v>48.300000000000011</v>
      </c>
      <c r="R184" s="92">
        <v>48.300000000000011</v>
      </c>
      <c r="S184" s="87">
        <v>3026560</v>
      </c>
      <c r="T184" s="94">
        <v>11</v>
      </c>
      <c r="U184" s="95">
        <v>62661.697722567274</v>
      </c>
      <c r="V184" s="96">
        <v>15.958712201311064</v>
      </c>
      <c r="X184" s="98">
        <v>48.300000000000011</v>
      </c>
      <c r="Y184" s="97">
        <v>40.838716356107653</v>
      </c>
    </row>
    <row r="185" spans="1:25">
      <c r="A185" s="89">
        <v>184</v>
      </c>
      <c r="B185" s="89">
        <v>184</v>
      </c>
      <c r="C185" s="89" t="s">
        <v>550</v>
      </c>
      <c r="D185" s="58" t="s">
        <v>176</v>
      </c>
      <c r="E185" s="58" t="s">
        <v>176</v>
      </c>
      <c r="F185" s="89" t="s">
        <v>262</v>
      </c>
      <c r="G185" s="89" t="s">
        <v>263</v>
      </c>
      <c r="H185" s="89" t="s">
        <v>179</v>
      </c>
      <c r="I185" s="90">
        <v>38000</v>
      </c>
      <c r="J185" s="89" t="s">
        <v>185</v>
      </c>
      <c r="K185" s="90">
        <v>38000</v>
      </c>
      <c r="L185" s="91">
        <v>15.353999999999999</v>
      </c>
      <c r="M185" s="92">
        <v>16</v>
      </c>
      <c r="N185" s="91">
        <v>8.8599999999999905</v>
      </c>
      <c r="O185" s="90">
        <v>1</v>
      </c>
      <c r="P185" s="92">
        <v>6.6449999999999925</v>
      </c>
      <c r="Q185" s="93">
        <v>72.45</v>
      </c>
      <c r="R185" s="92">
        <v>72.45</v>
      </c>
      <c r="S185" s="87">
        <v>4291420</v>
      </c>
      <c r="T185" s="94">
        <v>11</v>
      </c>
      <c r="U185" s="95">
        <v>59232.850241545893</v>
      </c>
      <c r="V185" s="96">
        <v>16.88252373340293</v>
      </c>
      <c r="X185" s="98">
        <v>48.300000000000011</v>
      </c>
      <c r="Y185" s="97">
        <v>62.661697722567276</v>
      </c>
    </row>
    <row r="186" spans="1:25">
      <c r="A186" s="89">
        <v>185</v>
      </c>
      <c r="B186" s="89">
        <v>185</v>
      </c>
      <c r="C186" s="89" t="s">
        <v>551</v>
      </c>
      <c r="D186" s="58" t="s">
        <v>176</v>
      </c>
      <c r="E186" s="58" t="s">
        <v>176</v>
      </c>
      <c r="F186" s="89" t="s">
        <v>262</v>
      </c>
      <c r="G186" s="89" t="s">
        <v>263</v>
      </c>
      <c r="H186" s="89" t="s">
        <v>179</v>
      </c>
      <c r="I186" s="90">
        <v>38000</v>
      </c>
      <c r="J186" s="89" t="s">
        <v>185</v>
      </c>
      <c r="K186" s="90">
        <v>38000</v>
      </c>
      <c r="L186" s="91">
        <v>11.12</v>
      </c>
      <c r="M186" s="92">
        <v>12</v>
      </c>
      <c r="N186" s="91">
        <v>6.9480000000000004</v>
      </c>
      <c r="O186" s="90">
        <v>1</v>
      </c>
      <c r="P186" s="92">
        <v>5.2110000000000003</v>
      </c>
      <c r="Q186" s="93">
        <v>55.2</v>
      </c>
      <c r="R186" s="92">
        <v>55.2</v>
      </c>
      <c r="S186" s="87">
        <v>3448180</v>
      </c>
      <c r="T186" s="94">
        <v>11</v>
      </c>
      <c r="U186" s="95">
        <v>62467.028985507241</v>
      </c>
      <c r="V186" s="96">
        <v>16.008445034771967</v>
      </c>
      <c r="X186" s="98">
        <v>72.45</v>
      </c>
      <c r="Y186" s="97">
        <v>59.23285024154589</v>
      </c>
    </row>
    <row r="187" spans="1:25">
      <c r="A187" s="58">
        <v>186</v>
      </c>
      <c r="B187" s="58">
        <v>186</v>
      </c>
      <c r="C187" s="58" t="s">
        <v>552</v>
      </c>
      <c r="D187" s="58" t="s">
        <v>176</v>
      </c>
      <c r="E187" s="58" t="s">
        <v>176</v>
      </c>
      <c r="F187" s="58" t="s">
        <v>265</v>
      </c>
      <c r="G187" s="58" t="s">
        <v>266</v>
      </c>
      <c r="H187" s="58" t="s">
        <v>179</v>
      </c>
      <c r="I187">
        <v>38000</v>
      </c>
      <c r="J187">
        <v>38000</v>
      </c>
      <c r="K187" s="58" t="s">
        <v>185</v>
      </c>
      <c r="L187" s="74">
        <v>9.9700000000000006</v>
      </c>
      <c r="M187" s="85">
        <v>10</v>
      </c>
      <c r="N187" s="74">
        <v>2.0419999999999998</v>
      </c>
      <c r="O187">
        <v>1</v>
      </c>
      <c r="P187" s="84">
        <v>1.5314999999999999</v>
      </c>
      <c r="Q187" s="86">
        <v>13.8</v>
      </c>
      <c r="R187" s="85">
        <v>13.8</v>
      </c>
      <c r="S187" s="87">
        <v>1050490</v>
      </c>
      <c r="T187" s="1">
        <v>4</v>
      </c>
      <c r="U187" s="88">
        <v>76122.463768115937</v>
      </c>
      <c r="V187" s="59">
        <v>13.136726670410951</v>
      </c>
      <c r="X187" s="98">
        <v>55.2</v>
      </c>
      <c r="Y187" s="97">
        <v>62.467028985507241</v>
      </c>
    </row>
    <row r="188" spans="1:25">
      <c r="A188" s="58">
        <v>187</v>
      </c>
      <c r="B188" s="58">
        <v>187</v>
      </c>
      <c r="C188" s="58" t="s">
        <v>553</v>
      </c>
      <c r="D188" s="58" t="s">
        <v>176</v>
      </c>
      <c r="E188" s="58" t="s">
        <v>176</v>
      </c>
      <c r="F188" s="58" t="s">
        <v>262</v>
      </c>
      <c r="G188" s="58" t="s">
        <v>263</v>
      </c>
      <c r="H188" s="58" t="s">
        <v>179</v>
      </c>
      <c r="I188">
        <v>38000</v>
      </c>
      <c r="J188" s="58" t="s">
        <v>185</v>
      </c>
      <c r="K188">
        <v>38000</v>
      </c>
      <c r="L188" s="74">
        <v>10.584</v>
      </c>
      <c r="M188" s="85">
        <v>11</v>
      </c>
      <c r="N188" s="74">
        <v>2.3919999999999999</v>
      </c>
      <c r="O188">
        <v>1</v>
      </c>
      <c r="P188" s="84">
        <v>1.794</v>
      </c>
      <c r="Q188" s="86">
        <v>17.25</v>
      </c>
      <c r="R188" s="85">
        <v>17.25</v>
      </c>
      <c r="S188" s="87">
        <v>1120760</v>
      </c>
      <c r="T188" s="1">
        <v>4</v>
      </c>
      <c r="U188" s="88">
        <v>64971.594202898552</v>
      </c>
      <c r="V188" s="59">
        <v>15.391341589635605</v>
      </c>
      <c r="X188" s="98">
        <v>13.8</v>
      </c>
      <c r="Y188" s="97">
        <v>76.122463768115935</v>
      </c>
    </row>
    <row r="189" spans="1:25">
      <c r="A189" s="89">
        <v>188</v>
      </c>
      <c r="B189" s="89">
        <v>188</v>
      </c>
      <c r="C189" s="89" t="s">
        <v>554</v>
      </c>
      <c r="D189" s="58" t="s">
        <v>176</v>
      </c>
      <c r="E189" s="58" t="s">
        <v>176</v>
      </c>
      <c r="F189" s="89" t="s">
        <v>262</v>
      </c>
      <c r="G189" s="89" t="s">
        <v>263</v>
      </c>
      <c r="H189" s="89" t="s">
        <v>179</v>
      </c>
      <c r="I189" s="90">
        <v>38000</v>
      </c>
      <c r="J189" s="89" t="s">
        <v>185</v>
      </c>
      <c r="K189" s="90">
        <v>38000</v>
      </c>
      <c r="L189" s="91">
        <v>13.975</v>
      </c>
      <c r="M189" s="92">
        <v>14</v>
      </c>
      <c r="N189" s="91">
        <v>13.3569999999999</v>
      </c>
      <c r="O189" s="90">
        <v>1</v>
      </c>
      <c r="P189" s="92">
        <v>10.017749999999925</v>
      </c>
      <c r="Q189" s="93">
        <v>106.95</v>
      </c>
      <c r="R189" s="92">
        <v>106.95</v>
      </c>
      <c r="S189" s="87">
        <v>3869800</v>
      </c>
      <c r="T189" s="94">
        <v>11</v>
      </c>
      <c r="U189" s="95">
        <v>36183.263207106123</v>
      </c>
      <c r="V189" s="96">
        <v>27.637087187968369</v>
      </c>
      <c r="X189" s="98">
        <v>17.25</v>
      </c>
      <c r="Y189" s="97">
        <v>64.971594202898558</v>
      </c>
    </row>
    <row r="190" spans="1:25">
      <c r="A190" s="58">
        <v>189</v>
      </c>
      <c r="B190" s="58">
        <v>189</v>
      </c>
      <c r="C190" s="58" t="s">
        <v>555</v>
      </c>
      <c r="D190" s="58" t="s">
        <v>176</v>
      </c>
      <c r="E190" s="58" t="s">
        <v>176</v>
      </c>
      <c r="F190" s="58" t="s">
        <v>262</v>
      </c>
      <c r="G190" s="58" t="s">
        <v>263</v>
      </c>
      <c r="H190" s="58" t="s">
        <v>179</v>
      </c>
      <c r="I190">
        <v>38000</v>
      </c>
      <c r="J190" s="58" t="s">
        <v>185</v>
      </c>
      <c r="K190">
        <v>38000</v>
      </c>
      <c r="L190" s="74">
        <v>12.384</v>
      </c>
      <c r="M190" s="85">
        <v>13</v>
      </c>
      <c r="N190" s="74">
        <v>1.4219999999999999</v>
      </c>
      <c r="O190">
        <v>1</v>
      </c>
      <c r="P190" s="84">
        <v>1.0665</v>
      </c>
      <c r="Q190" s="86">
        <v>10.350000000000001</v>
      </c>
      <c r="R190" s="85">
        <v>10.350000000000001</v>
      </c>
      <c r="S190" s="87">
        <v>1627650</v>
      </c>
      <c r="T190" s="1">
        <v>3</v>
      </c>
      <c r="U190" s="88">
        <v>157260.86956521738</v>
      </c>
      <c r="V190" s="59">
        <v>6.3588609344760867</v>
      </c>
      <c r="X190" s="98">
        <v>106.95</v>
      </c>
      <c r="Y190" s="97">
        <v>36.183263207106123</v>
      </c>
    </row>
    <row r="191" spans="1:25">
      <c r="A191" s="58">
        <v>190</v>
      </c>
      <c r="B191" s="58">
        <v>190</v>
      </c>
      <c r="C191" s="58" t="s">
        <v>556</v>
      </c>
      <c r="D191" s="58" t="s">
        <v>176</v>
      </c>
      <c r="E191" s="58" t="s">
        <v>176</v>
      </c>
      <c r="F191" s="58" t="s">
        <v>265</v>
      </c>
      <c r="G191" s="58" t="s">
        <v>266</v>
      </c>
      <c r="H191" s="58" t="s">
        <v>179</v>
      </c>
      <c r="I191">
        <v>38000</v>
      </c>
      <c r="J191">
        <v>38000</v>
      </c>
      <c r="K191" s="58" t="s">
        <v>185</v>
      </c>
      <c r="L191" s="74">
        <v>13.513</v>
      </c>
      <c r="M191" s="85">
        <v>14</v>
      </c>
      <c r="N191" s="74">
        <v>5.5679999999999996</v>
      </c>
      <c r="O191">
        <v>1</v>
      </c>
      <c r="P191" s="84">
        <v>4.1760000000000002</v>
      </c>
      <c r="Q191" s="86">
        <v>44.85</v>
      </c>
      <c r="R191" s="85">
        <v>44.85</v>
      </c>
      <c r="S191" s="87">
        <v>1905430</v>
      </c>
      <c r="T191" s="1">
        <v>6</v>
      </c>
      <c r="U191" s="88">
        <v>42484.503901895208</v>
      </c>
      <c r="V191" s="59">
        <v>23.537994048587457</v>
      </c>
      <c r="X191" s="98">
        <v>10.350000000000001</v>
      </c>
      <c r="Y191" s="97">
        <v>157.26086956521738</v>
      </c>
    </row>
    <row r="192" spans="1:25">
      <c r="A192" s="58">
        <v>191</v>
      </c>
      <c r="B192" s="58">
        <v>191</v>
      </c>
      <c r="C192" s="58" t="s">
        <v>557</v>
      </c>
      <c r="D192" s="58" t="s">
        <v>176</v>
      </c>
      <c r="E192" s="58" t="s">
        <v>176</v>
      </c>
      <c r="F192" s="58" t="s">
        <v>269</v>
      </c>
      <c r="G192" s="58" t="s">
        <v>270</v>
      </c>
      <c r="H192" s="58" t="s">
        <v>179</v>
      </c>
      <c r="I192">
        <v>38000</v>
      </c>
      <c r="J192">
        <v>38000</v>
      </c>
      <c r="K192">
        <v>20000</v>
      </c>
      <c r="L192" s="74">
        <v>18.797000000000001</v>
      </c>
      <c r="M192" s="85">
        <v>19</v>
      </c>
      <c r="N192" s="74">
        <v>1.1040000000000001</v>
      </c>
      <c r="O192">
        <v>1</v>
      </c>
      <c r="P192" s="84">
        <v>0.82800000000000007</v>
      </c>
      <c r="Q192" s="86">
        <v>6.9</v>
      </c>
      <c r="R192" s="85">
        <v>6.9</v>
      </c>
      <c r="S192" s="87">
        <v>1906800</v>
      </c>
      <c r="T192" s="1">
        <v>2</v>
      </c>
      <c r="U192" s="88">
        <v>276347.82608695648</v>
      </c>
      <c r="V192" s="59">
        <v>3.6186280679672751</v>
      </c>
      <c r="X192" s="98">
        <v>44.85</v>
      </c>
      <c r="Y192" s="97">
        <v>42.484503901895209</v>
      </c>
    </row>
    <row r="193" spans="1:25">
      <c r="A193" s="89">
        <v>192</v>
      </c>
      <c r="B193" s="89">
        <v>192</v>
      </c>
      <c r="C193" s="89" t="s">
        <v>558</v>
      </c>
      <c r="D193" s="58" t="s">
        <v>176</v>
      </c>
      <c r="E193" s="58" t="s">
        <v>176</v>
      </c>
      <c r="F193" s="89" t="s">
        <v>269</v>
      </c>
      <c r="G193" s="89" t="s">
        <v>270</v>
      </c>
      <c r="H193" s="89" t="s">
        <v>179</v>
      </c>
      <c r="I193" s="90">
        <v>38000</v>
      </c>
      <c r="J193" s="90">
        <v>38000</v>
      </c>
      <c r="K193" s="90">
        <v>20000</v>
      </c>
      <c r="L193" s="91">
        <v>14.896000000000001</v>
      </c>
      <c r="M193" s="92">
        <v>15</v>
      </c>
      <c r="N193" s="91">
        <v>15.406000000000001</v>
      </c>
      <c r="O193" s="90">
        <v>1</v>
      </c>
      <c r="P193" s="92">
        <v>11.554500000000001</v>
      </c>
      <c r="Q193" s="93">
        <v>124.2</v>
      </c>
      <c r="R193" s="92">
        <v>124.2</v>
      </c>
      <c r="S193" s="87">
        <v>5849260</v>
      </c>
      <c r="T193" s="94">
        <v>13</v>
      </c>
      <c r="U193" s="95">
        <v>47095.491143317231</v>
      </c>
      <c r="V193" s="96">
        <v>21.233455172107242</v>
      </c>
      <c r="X193" s="98">
        <v>6.9</v>
      </c>
      <c r="Y193" s="97">
        <v>276.34782608695645</v>
      </c>
    </row>
    <row r="194" spans="1:25">
      <c r="A194" s="58">
        <v>193</v>
      </c>
      <c r="B194" s="58">
        <v>193</v>
      </c>
      <c r="C194" s="58" t="s">
        <v>559</v>
      </c>
      <c r="D194" s="58" t="s">
        <v>176</v>
      </c>
      <c r="E194" s="58" t="s">
        <v>176</v>
      </c>
      <c r="F194" s="58" t="s">
        <v>272</v>
      </c>
      <c r="G194" s="58" t="s">
        <v>273</v>
      </c>
      <c r="H194" s="58" t="s">
        <v>179</v>
      </c>
      <c r="I194">
        <v>38000</v>
      </c>
      <c r="J194">
        <v>38000</v>
      </c>
      <c r="K194" s="58" t="s">
        <v>185</v>
      </c>
      <c r="L194" s="74">
        <v>10.407999999999999</v>
      </c>
      <c r="M194" s="85">
        <v>11</v>
      </c>
      <c r="N194" s="74">
        <v>2.8610000000000002</v>
      </c>
      <c r="O194">
        <v>1</v>
      </c>
      <c r="P194" s="84">
        <v>2.14575</v>
      </c>
      <c r="Q194" s="86">
        <v>20.700000000000003</v>
      </c>
      <c r="R194" s="85">
        <v>20.700000000000003</v>
      </c>
      <c r="S194" s="87">
        <v>1120760</v>
      </c>
      <c r="T194" s="1">
        <v>4</v>
      </c>
      <c r="U194" s="88">
        <v>54142.995169082118</v>
      </c>
      <c r="V194" s="59">
        <v>18.469609907562727</v>
      </c>
      <c r="X194" s="98">
        <v>124.2</v>
      </c>
      <c r="Y194" s="97">
        <v>47.095491143317233</v>
      </c>
    </row>
    <row r="195" spans="1:25">
      <c r="A195" s="58">
        <v>194</v>
      </c>
      <c r="B195" s="58">
        <v>194</v>
      </c>
      <c r="C195" s="58" t="s">
        <v>560</v>
      </c>
      <c r="D195" s="58" t="s">
        <v>176</v>
      </c>
      <c r="E195" s="58" t="s">
        <v>176</v>
      </c>
      <c r="F195" s="58" t="s">
        <v>265</v>
      </c>
      <c r="G195" s="58" t="s">
        <v>266</v>
      </c>
      <c r="H195" s="58" t="s">
        <v>179</v>
      </c>
      <c r="I195">
        <v>38000</v>
      </c>
      <c r="J195">
        <v>38000</v>
      </c>
      <c r="K195" s="58" t="s">
        <v>185</v>
      </c>
      <c r="L195" s="74">
        <v>5.569</v>
      </c>
      <c r="M195" s="85">
        <v>6</v>
      </c>
      <c r="N195" s="74">
        <v>2.1520000000000001</v>
      </c>
      <c r="O195">
        <v>1</v>
      </c>
      <c r="P195" s="84">
        <v>1.6140000000000001</v>
      </c>
      <c r="Q195" s="86">
        <v>17.25</v>
      </c>
      <c r="R195" s="85">
        <v>17.25</v>
      </c>
      <c r="S195" s="87">
        <v>769410</v>
      </c>
      <c r="T195" s="1">
        <v>4</v>
      </c>
      <c r="U195" s="88">
        <v>44603.478260869568</v>
      </c>
      <c r="V195" s="59">
        <v>22.419776192147228</v>
      </c>
      <c r="X195" s="98">
        <v>20.700000000000003</v>
      </c>
      <c r="Y195" s="97">
        <v>54.142995169082113</v>
      </c>
    </row>
    <row r="196" spans="1:25">
      <c r="A196" s="58">
        <v>195</v>
      </c>
      <c r="B196" s="58">
        <v>195</v>
      </c>
      <c r="C196" s="58" t="s">
        <v>561</v>
      </c>
      <c r="D196" s="58" t="s">
        <v>176</v>
      </c>
      <c r="E196" s="58" t="s">
        <v>176</v>
      </c>
      <c r="F196" s="58" t="s">
        <v>265</v>
      </c>
      <c r="G196" s="58" t="s">
        <v>266</v>
      </c>
      <c r="H196" s="58" t="s">
        <v>179</v>
      </c>
      <c r="I196">
        <v>38000</v>
      </c>
      <c r="J196">
        <v>38000</v>
      </c>
      <c r="K196" s="58" t="s">
        <v>185</v>
      </c>
      <c r="L196" s="74">
        <v>7.0389999999999997</v>
      </c>
      <c r="M196" s="85">
        <v>8</v>
      </c>
      <c r="N196" s="74">
        <v>0.66300000000000003</v>
      </c>
      <c r="O196">
        <v>1</v>
      </c>
      <c r="P196" s="84">
        <v>0.49725000000000003</v>
      </c>
      <c r="Q196" s="86">
        <v>3.45</v>
      </c>
      <c r="R196" s="85">
        <v>3.45</v>
      </c>
      <c r="S196" s="87">
        <v>909950</v>
      </c>
      <c r="T196" s="1">
        <v>4</v>
      </c>
      <c r="U196" s="88">
        <v>263753.62318840576</v>
      </c>
      <c r="V196" s="59">
        <v>3.7914171108302654</v>
      </c>
      <c r="X196" s="98">
        <v>17.25</v>
      </c>
      <c r="Y196" s="97">
        <v>44.603478260869572</v>
      </c>
    </row>
    <row r="197" spans="1:25">
      <c r="A197" s="89">
        <v>196</v>
      </c>
      <c r="B197" s="89">
        <v>196</v>
      </c>
      <c r="C197" s="89" t="s">
        <v>562</v>
      </c>
      <c r="D197" s="58" t="s">
        <v>176</v>
      </c>
      <c r="E197" s="58" t="s">
        <v>176</v>
      </c>
      <c r="F197" s="89" t="s">
        <v>285</v>
      </c>
      <c r="G197" s="89" t="s">
        <v>286</v>
      </c>
      <c r="H197" s="89" t="s">
        <v>179</v>
      </c>
      <c r="I197" s="90">
        <v>38000</v>
      </c>
      <c r="J197" s="90">
        <v>38000</v>
      </c>
      <c r="K197" s="90">
        <v>20000</v>
      </c>
      <c r="L197" s="91">
        <v>7.9240000000000004</v>
      </c>
      <c r="M197" s="92">
        <v>8</v>
      </c>
      <c r="N197" s="91">
        <v>9.9870000000000001</v>
      </c>
      <c r="O197" s="90">
        <v>1</v>
      </c>
      <c r="P197" s="92">
        <v>7.4902499999999996</v>
      </c>
      <c r="Q197" s="93">
        <v>79.350000000000009</v>
      </c>
      <c r="R197" s="92">
        <v>79.350000000000009</v>
      </c>
      <c r="S197" s="87">
        <v>2604940</v>
      </c>
      <c r="T197" s="94">
        <v>11</v>
      </c>
      <c r="U197" s="95">
        <v>32828.481411468172</v>
      </c>
      <c r="V197" s="96">
        <v>30.461354196257886</v>
      </c>
      <c r="X197" s="98">
        <v>3.45</v>
      </c>
      <c r="Y197" s="97">
        <v>263.75362318840581</v>
      </c>
    </row>
    <row r="198" spans="1:25">
      <c r="A198" s="58">
        <v>197</v>
      </c>
      <c r="B198" s="58">
        <v>197</v>
      </c>
      <c r="C198" s="58" t="s">
        <v>563</v>
      </c>
      <c r="D198" s="58" t="s">
        <v>176</v>
      </c>
      <c r="E198" s="58" t="s">
        <v>176</v>
      </c>
      <c r="F198" s="58" t="s">
        <v>564</v>
      </c>
      <c r="G198" s="58" t="s">
        <v>565</v>
      </c>
      <c r="H198" s="58" t="s">
        <v>199</v>
      </c>
      <c r="I198">
        <v>110000</v>
      </c>
      <c r="L198" s="74">
        <v>5.5940000000000003</v>
      </c>
      <c r="M198" s="85">
        <v>6</v>
      </c>
      <c r="N198" s="74">
        <v>2.0630000000000002</v>
      </c>
      <c r="O198">
        <v>1</v>
      </c>
      <c r="P198" s="84">
        <v>1.54725</v>
      </c>
      <c r="Q198" s="86">
        <v>13.8</v>
      </c>
      <c r="R198" s="85">
        <v>13.8</v>
      </c>
      <c r="S198" s="87">
        <v>2016330</v>
      </c>
      <c r="T198" s="1">
        <v>8</v>
      </c>
      <c r="U198" s="88">
        <v>146110.86956521738</v>
      </c>
      <c r="V198" s="59">
        <v>6.8441177783398555</v>
      </c>
      <c r="X198" s="98">
        <v>79.350000000000009</v>
      </c>
      <c r="Y198" s="97">
        <v>32.828481411468175</v>
      </c>
    </row>
    <row r="199" spans="1:25">
      <c r="A199" s="58">
        <v>198</v>
      </c>
      <c r="B199" s="58">
        <v>198</v>
      </c>
      <c r="C199" s="58" t="s">
        <v>566</v>
      </c>
      <c r="D199" s="58" t="s">
        <v>176</v>
      </c>
      <c r="E199" s="58" t="s">
        <v>176</v>
      </c>
      <c r="F199" s="58" t="s">
        <v>177</v>
      </c>
      <c r="G199" s="58" t="s">
        <v>178</v>
      </c>
      <c r="H199" s="58" t="s">
        <v>179</v>
      </c>
      <c r="I199">
        <v>38000</v>
      </c>
      <c r="J199">
        <v>38000</v>
      </c>
      <c r="K199">
        <v>20000</v>
      </c>
      <c r="L199" s="74">
        <v>9.1440000000000001</v>
      </c>
      <c r="M199" s="85">
        <v>10</v>
      </c>
      <c r="N199" s="74">
        <v>0.36899999999999999</v>
      </c>
      <c r="O199">
        <v>1</v>
      </c>
      <c r="P199" s="84">
        <v>0.36899999999999999</v>
      </c>
      <c r="Q199" s="86">
        <v>3.45</v>
      </c>
      <c r="R199" s="85">
        <v>3.45</v>
      </c>
      <c r="S199" s="87">
        <v>1387140</v>
      </c>
      <c r="T199" s="1">
        <v>1</v>
      </c>
      <c r="U199" s="88">
        <v>402069.5652173913</v>
      </c>
      <c r="V199" s="59">
        <v>2.487131796357974</v>
      </c>
      <c r="X199" s="98">
        <v>13.8</v>
      </c>
      <c r="Y199" s="97">
        <v>146.11086956521737</v>
      </c>
    </row>
    <row r="200" spans="1:25">
      <c r="A200" s="89">
        <v>199</v>
      </c>
      <c r="B200" s="89">
        <v>199</v>
      </c>
      <c r="C200" s="89" t="s">
        <v>567</v>
      </c>
      <c r="D200" s="58" t="s">
        <v>176</v>
      </c>
      <c r="E200" s="58" t="s">
        <v>176</v>
      </c>
      <c r="F200" s="89" t="s">
        <v>177</v>
      </c>
      <c r="G200" s="89" t="s">
        <v>178</v>
      </c>
      <c r="H200" s="89" t="s">
        <v>179</v>
      </c>
      <c r="I200" s="90">
        <v>38000</v>
      </c>
      <c r="J200" s="90">
        <v>38000</v>
      </c>
      <c r="K200" s="90">
        <v>20000</v>
      </c>
      <c r="L200" s="91">
        <v>8.532</v>
      </c>
      <c r="M200" s="92">
        <v>9</v>
      </c>
      <c r="N200" s="91">
        <v>6.7430000000000003</v>
      </c>
      <c r="O200" s="90">
        <v>1</v>
      </c>
      <c r="P200" s="92">
        <v>5.0572499999999998</v>
      </c>
      <c r="Q200" s="93">
        <v>55.2</v>
      </c>
      <c r="R200" s="92">
        <v>55.2</v>
      </c>
      <c r="S200" s="87">
        <v>2815750</v>
      </c>
      <c r="T200" s="94">
        <v>11</v>
      </c>
      <c r="U200" s="95">
        <v>51009.963768115937</v>
      </c>
      <c r="V200" s="96">
        <v>19.604013140371126</v>
      </c>
      <c r="X200" s="98">
        <v>3.45</v>
      </c>
      <c r="Y200" s="97">
        <v>402.0695652173913</v>
      </c>
    </row>
    <row r="201" spans="1:25">
      <c r="A201" s="58">
        <v>200</v>
      </c>
      <c r="B201" s="58">
        <v>200</v>
      </c>
      <c r="C201" s="58" t="s">
        <v>568</v>
      </c>
      <c r="D201" s="58" t="s">
        <v>176</v>
      </c>
      <c r="E201" s="58" t="s">
        <v>176</v>
      </c>
      <c r="F201" s="58" t="s">
        <v>177</v>
      </c>
      <c r="G201" s="58" t="s">
        <v>178</v>
      </c>
      <c r="H201" s="58" t="s">
        <v>179</v>
      </c>
      <c r="I201">
        <v>38000</v>
      </c>
      <c r="J201">
        <v>38000</v>
      </c>
      <c r="K201">
        <v>20000</v>
      </c>
      <c r="L201" s="74">
        <v>5.3710000000000004</v>
      </c>
      <c r="M201" s="85">
        <v>6</v>
      </c>
      <c r="N201" s="74">
        <v>1.1839999999999999</v>
      </c>
      <c r="O201">
        <v>1</v>
      </c>
      <c r="P201" s="84">
        <v>0.8879999999999999</v>
      </c>
      <c r="Q201" s="86">
        <v>6.9</v>
      </c>
      <c r="R201" s="85">
        <v>6.9</v>
      </c>
      <c r="S201" s="87">
        <v>769410</v>
      </c>
      <c r="T201" s="1">
        <v>4</v>
      </c>
      <c r="U201" s="88">
        <v>111508.6956521739</v>
      </c>
      <c r="V201" s="59">
        <v>8.9679104768588918</v>
      </c>
      <c r="X201" s="98">
        <v>55.2</v>
      </c>
      <c r="Y201" s="97">
        <v>51.009963768115938</v>
      </c>
    </row>
    <row r="202" spans="1:25">
      <c r="A202" s="89">
        <v>201</v>
      </c>
      <c r="B202" s="89">
        <v>201</v>
      </c>
      <c r="C202" s="89" t="s">
        <v>569</v>
      </c>
      <c r="D202" s="58" t="s">
        <v>176</v>
      </c>
      <c r="E202" s="58" t="s">
        <v>176</v>
      </c>
      <c r="F202" s="89" t="s">
        <v>262</v>
      </c>
      <c r="G202" s="89" t="s">
        <v>263</v>
      </c>
      <c r="H202" s="89" t="s">
        <v>179</v>
      </c>
      <c r="I202" s="90">
        <v>38000</v>
      </c>
      <c r="J202" s="89" t="s">
        <v>185</v>
      </c>
      <c r="K202" s="90">
        <v>38000</v>
      </c>
      <c r="L202" s="91">
        <v>8.2789999999999999</v>
      </c>
      <c r="M202" s="92">
        <v>9</v>
      </c>
      <c r="N202" s="91">
        <v>17.913</v>
      </c>
      <c r="O202" s="90">
        <v>1</v>
      </c>
      <c r="P202" s="92">
        <v>13.434750000000001</v>
      </c>
      <c r="Q202" s="93">
        <v>144.9</v>
      </c>
      <c r="R202" s="92">
        <v>144.9</v>
      </c>
      <c r="S202" s="87">
        <v>4339180</v>
      </c>
      <c r="T202" s="94">
        <v>12</v>
      </c>
      <c r="U202" s="95">
        <v>29946.031746031746</v>
      </c>
      <c r="V202" s="96">
        <v>33.393406127424996</v>
      </c>
      <c r="X202" s="98">
        <v>6.9</v>
      </c>
      <c r="Y202" s="97">
        <v>111.5086956521739</v>
      </c>
    </row>
    <row r="203" spans="1:25">
      <c r="A203" s="58">
        <v>202</v>
      </c>
      <c r="B203" s="58">
        <v>202</v>
      </c>
      <c r="C203" s="58" t="s">
        <v>570</v>
      </c>
      <c r="D203" s="58" t="s">
        <v>176</v>
      </c>
      <c r="E203" s="58" t="s">
        <v>176</v>
      </c>
      <c r="F203" s="58" t="s">
        <v>262</v>
      </c>
      <c r="G203" s="58" t="s">
        <v>263</v>
      </c>
      <c r="H203" s="58" t="s">
        <v>179</v>
      </c>
      <c r="I203">
        <v>38000</v>
      </c>
      <c r="J203" s="58" t="s">
        <v>185</v>
      </c>
      <c r="K203">
        <v>38000</v>
      </c>
      <c r="L203" s="74">
        <v>13.340999999999999</v>
      </c>
      <c r="M203" s="85">
        <v>14</v>
      </c>
      <c r="N203" s="74">
        <v>0.96599999999999997</v>
      </c>
      <c r="O203">
        <v>1</v>
      </c>
      <c r="P203" s="84">
        <v>0.72449999999999992</v>
      </c>
      <c r="Q203" s="86">
        <v>6.9</v>
      </c>
      <c r="R203" s="85">
        <v>6.9</v>
      </c>
      <c r="S203" s="87">
        <v>1643300</v>
      </c>
      <c r="T203" s="1">
        <v>2</v>
      </c>
      <c r="U203" s="88">
        <v>238159.42028985507</v>
      </c>
      <c r="V203" s="59">
        <v>4.1988681311994158</v>
      </c>
      <c r="X203" s="98">
        <v>144.9</v>
      </c>
      <c r="Y203" s="97">
        <v>29.946031746031746</v>
      </c>
    </row>
    <row r="204" spans="1:25">
      <c r="A204" s="58">
        <v>203</v>
      </c>
      <c r="B204" s="58">
        <v>203</v>
      </c>
      <c r="C204" s="58" t="s">
        <v>571</v>
      </c>
      <c r="D204" s="58" t="s">
        <v>176</v>
      </c>
      <c r="E204" s="58" t="s">
        <v>176</v>
      </c>
      <c r="F204" s="58" t="s">
        <v>269</v>
      </c>
      <c r="G204" s="58" t="s">
        <v>270</v>
      </c>
      <c r="H204" s="58" t="s">
        <v>179</v>
      </c>
      <c r="I204">
        <v>38000</v>
      </c>
      <c r="J204">
        <v>38000</v>
      </c>
      <c r="K204">
        <v>20000</v>
      </c>
      <c r="L204" s="74">
        <v>16.988</v>
      </c>
      <c r="M204" s="85">
        <v>17</v>
      </c>
      <c r="N204" s="74">
        <v>1.43</v>
      </c>
      <c r="O204">
        <v>1</v>
      </c>
      <c r="P204" s="84">
        <v>1.0725</v>
      </c>
      <c r="Q204" s="86">
        <v>10.350000000000001</v>
      </c>
      <c r="R204" s="85">
        <v>10.350000000000001</v>
      </c>
      <c r="S204" s="87">
        <v>1838450</v>
      </c>
      <c r="T204" s="1">
        <v>3</v>
      </c>
      <c r="U204" s="88">
        <v>177628.01932367147</v>
      </c>
      <c r="V204" s="59">
        <v>5.6297424460822985</v>
      </c>
      <c r="X204" s="98">
        <v>6.9</v>
      </c>
      <c r="Y204" s="97">
        <v>238.15942028985506</v>
      </c>
    </row>
    <row r="205" spans="1:25">
      <c r="A205" s="89">
        <v>204</v>
      </c>
      <c r="B205" s="89">
        <v>204</v>
      </c>
      <c r="C205" s="89" t="s">
        <v>572</v>
      </c>
      <c r="D205" s="58" t="s">
        <v>215</v>
      </c>
      <c r="E205" s="58" t="s">
        <v>176</v>
      </c>
      <c r="F205" s="89" t="s">
        <v>257</v>
      </c>
      <c r="G205" s="89" t="s">
        <v>258</v>
      </c>
      <c r="H205" s="89" t="s">
        <v>179</v>
      </c>
      <c r="I205" s="90">
        <v>38000</v>
      </c>
      <c r="J205" s="90">
        <v>38000</v>
      </c>
      <c r="K205" s="90">
        <v>20000</v>
      </c>
      <c r="L205" s="91">
        <v>8.6289999999999996</v>
      </c>
      <c r="M205" s="92">
        <v>9</v>
      </c>
      <c r="N205" s="91">
        <v>12.789</v>
      </c>
      <c r="O205" s="90">
        <v>1</v>
      </c>
      <c r="P205" s="92">
        <v>9.5917499999999993</v>
      </c>
      <c r="Q205" s="93">
        <v>103.5</v>
      </c>
      <c r="R205" s="92">
        <v>103.5</v>
      </c>
      <c r="S205" s="87">
        <v>2815750</v>
      </c>
      <c r="T205" s="94">
        <v>11</v>
      </c>
      <c r="U205" s="95">
        <v>27205.314009661837</v>
      </c>
      <c r="V205" s="96">
        <v>36.757524638195861</v>
      </c>
      <c r="X205" s="98">
        <v>10.350000000000001</v>
      </c>
      <c r="Y205" s="97">
        <v>177.62801932367148</v>
      </c>
    </row>
    <row r="206" spans="1:25">
      <c r="A206" s="58">
        <v>205</v>
      </c>
      <c r="B206" s="58">
        <v>205</v>
      </c>
      <c r="C206" s="58" t="s">
        <v>573</v>
      </c>
      <c r="D206" s="58" t="s">
        <v>176</v>
      </c>
      <c r="E206" s="58" t="s">
        <v>176</v>
      </c>
      <c r="F206" s="58" t="s">
        <v>222</v>
      </c>
      <c r="G206" s="58" t="s">
        <v>223</v>
      </c>
      <c r="H206" s="58" t="s">
        <v>179</v>
      </c>
      <c r="I206">
        <v>38000</v>
      </c>
      <c r="J206">
        <v>38000</v>
      </c>
      <c r="K206">
        <v>20000</v>
      </c>
      <c r="L206" s="74">
        <v>3.383</v>
      </c>
      <c r="M206" s="85">
        <v>4</v>
      </c>
      <c r="N206" s="74">
        <v>3.72</v>
      </c>
      <c r="O206">
        <v>1</v>
      </c>
      <c r="P206" s="84">
        <v>2.79</v>
      </c>
      <c r="Q206" s="86">
        <v>27.6</v>
      </c>
      <c r="R206" s="85">
        <v>27.6</v>
      </c>
      <c r="S206" s="87">
        <v>703110</v>
      </c>
      <c r="T206" s="1">
        <v>5</v>
      </c>
      <c r="U206" s="88">
        <v>25475</v>
      </c>
      <c r="V206" s="59">
        <v>39.254170755642789</v>
      </c>
      <c r="X206" s="98">
        <v>103.5</v>
      </c>
      <c r="Y206" s="97">
        <v>27.205314009661837</v>
      </c>
    </row>
    <row r="207" spans="1:25">
      <c r="A207" s="58">
        <v>206</v>
      </c>
      <c r="B207" s="58">
        <v>206</v>
      </c>
      <c r="C207" s="58" t="s">
        <v>574</v>
      </c>
      <c r="D207" s="58" t="s">
        <v>176</v>
      </c>
      <c r="E207" s="58" t="s">
        <v>176</v>
      </c>
      <c r="F207" s="58" t="s">
        <v>222</v>
      </c>
      <c r="G207" s="58" t="s">
        <v>223</v>
      </c>
      <c r="H207" s="58" t="s">
        <v>179</v>
      </c>
      <c r="I207">
        <v>38000</v>
      </c>
      <c r="J207">
        <v>38000</v>
      </c>
      <c r="K207">
        <v>20000</v>
      </c>
      <c r="L207" s="74">
        <v>14.468</v>
      </c>
      <c r="M207" s="85">
        <v>15</v>
      </c>
      <c r="N207" s="74">
        <v>2.6440000000000001</v>
      </c>
      <c r="O207">
        <v>1</v>
      </c>
      <c r="P207" s="84">
        <v>1.9830000000000001</v>
      </c>
      <c r="Q207" s="86">
        <v>20.700000000000003</v>
      </c>
      <c r="R207" s="85">
        <v>20.700000000000003</v>
      </c>
      <c r="S207" s="87">
        <v>1401840</v>
      </c>
      <c r="T207" s="1">
        <v>4</v>
      </c>
      <c r="U207" s="88">
        <v>67721.739130434769</v>
      </c>
      <c r="V207" s="59">
        <v>14.766307139188498</v>
      </c>
      <c r="X207" s="98">
        <v>27.6</v>
      </c>
      <c r="Y207" s="97">
        <v>25.475000000000001</v>
      </c>
    </row>
    <row r="208" spans="1:25">
      <c r="A208" s="89">
        <v>207</v>
      </c>
      <c r="B208" s="89">
        <v>207</v>
      </c>
      <c r="C208" s="89" t="s">
        <v>575</v>
      </c>
      <c r="D208" s="58" t="s">
        <v>176</v>
      </c>
      <c r="E208" s="58" t="s">
        <v>176</v>
      </c>
      <c r="F208" s="89" t="s">
        <v>222</v>
      </c>
      <c r="G208" s="89" t="s">
        <v>223</v>
      </c>
      <c r="H208" s="89" t="s">
        <v>179</v>
      </c>
      <c r="I208" s="90">
        <v>38000</v>
      </c>
      <c r="J208" s="90">
        <v>38000</v>
      </c>
      <c r="K208" s="90">
        <v>20000</v>
      </c>
      <c r="L208" s="91">
        <v>8.9459999999999997</v>
      </c>
      <c r="M208" s="92">
        <v>9</v>
      </c>
      <c r="N208" s="91">
        <v>15.538</v>
      </c>
      <c r="O208" s="90">
        <v>1</v>
      </c>
      <c r="P208" s="92">
        <v>11.653500000000001</v>
      </c>
      <c r="Q208" s="93">
        <v>127.65</v>
      </c>
      <c r="R208" s="92">
        <v>127.65</v>
      </c>
      <c r="S208" s="87">
        <v>4339180</v>
      </c>
      <c r="T208" s="94">
        <v>12</v>
      </c>
      <c r="U208" s="95">
        <v>33992.792792792789</v>
      </c>
      <c r="V208" s="96">
        <v>29.418000636064878</v>
      </c>
      <c r="X208" s="98">
        <v>20.700000000000003</v>
      </c>
      <c r="Y208" s="97">
        <v>67.72173913043477</v>
      </c>
    </row>
    <row r="209" spans="1:25">
      <c r="A209" s="89">
        <v>208</v>
      </c>
      <c r="B209" s="89">
        <v>208</v>
      </c>
      <c r="C209" s="89" t="s">
        <v>576</v>
      </c>
      <c r="D209" s="58" t="s">
        <v>176</v>
      </c>
      <c r="E209" s="58" t="s">
        <v>176</v>
      </c>
      <c r="F209" s="89" t="s">
        <v>290</v>
      </c>
      <c r="G209" s="89" t="s">
        <v>291</v>
      </c>
      <c r="H209" s="89" t="s">
        <v>179</v>
      </c>
      <c r="I209" s="90">
        <v>38000</v>
      </c>
      <c r="J209" s="90">
        <v>38000</v>
      </c>
      <c r="K209" s="90">
        <v>20000</v>
      </c>
      <c r="L209" s="91">
        <v>3.081</v>
      </c>
      <c r="M209" s="92">
        <v>4</v>
      </c>
      <c r="N209" s="91">
        <v>6.5780000000000003</v>
      </c>
      <c r="O209" s="90">
        <v>1</v>
      </c>
      <c r="P209" s="92">
        <v>4.9335000000000004</v>
      </c>
      <c r="Q209" s="93">
        <v>51.75</v>
      </c>
      <c r="R209" s="92">
        <v>51.75</v>
      </c>
      <c r="S209" s="87">
        <v>1761700</v>
      </c>
      <c r="T209" s="94">
        <v>11</v>
      </c>
      <c r="U209" s="95">
        <v>34042.512077294683</v>
      </c>
      <c r="V209" s="96">
        <v>29.375035477095988</v>
      </c>
      <c r="X209" s="98">
        <v>127.65</v>
      </c>
      <c r="Y209" s="97">
        <v>33.992792792792791</v>
      </c>
    </row>
    <row r="210" spans="1:25">
      <c r="A210" s="89">
        <v>209</v>
      </c>
      <c r="B210" s="89">
        <v>209</v>
      </c>
      <c r="C210" s="89" t="s">
        <v>577</v>
      </c>
      <c r="D210" s="58" t="s">
        <v>176</v>
      </c>
      <c r="E210" s="58" t="s">
        <v>176</v>
      </c>
      <c r="F210" s="89" t="s">
        <v>290</v>
      </c>
      <c r="G210" s="89" t="s">
        <v>291</v>
      </c>
      <c r="H210" s="89" t="s">
        <v>179</v>
      </c>
      <c r="I210" s="90">
        <v>38000</v>
      </c>
      <c r="J210" s="90">
        <v>38000</v>
      </c>
      <c r="K210" s="90">
        <v>20000</v>
      </c>
      <c r="L210" s="91">
        <v>7.9950000000000001</v>
      </c>
      <c r="M210" s="92">
        <v>8</v>
      </c>
      <c r="N210" s="91">
        <v>8.5820000000000007</v>
      </c>
      <c r="O210" s="90">
        <v>1</v>
      </c>
      <c r="P210" s="92">
        <v>6.4365000000000006</v>
      </c>
      <c r="Q210" s="93">
        <v>69</v>
      </c>
      <c r="R210" s="92">
        <v>69</v>
      </c>
      <c r="S210" s="87">
        <v>2604940</v>
      </c>
      <c r="T210" s="94">
        <v>11</v>
      </c>
      <c r="U210" s="95">
        <v>37752.753623188408</v>
      </c>
      <c r="V210" s="96">
        <v>26.488134083702505</v>
      </c>
      <c r="X210" s="98">
        <v>51.75</v>
      </c>
      <c r="Y210" s="97">
        <v>34.042512077294681</v>
      </c>
    </row>
    <row r="211" spans="1:25">
      <c r="A211" s="89">
        <v>210</v>
      </c>
      <c r="B211" s="89">
        <v>210</v>
      </c>
      <c r="C211" s="89" t="s">
        <v>578</v>
      </c>
      <c r="D211" s="58" t="s">
        <v>176</v>
      </c>
      <c r="E211" s="58" t="s">
        <v>176</v>
      </c>
      <c r="F211" s="89" t="s">
        <v>222</v>
      </c>
      <c r="G211" s="89" t="s">
        <v>223</v>
      </c>
      <c r="H211" s="89" t="s">
        <v>179</v>
      </c>
      <c r="I211" s="90">
        <v>38000</v>
      </c>
      <c r="J211" s="90">
        <v>38000</v>
      </c>
      <c r="K211" s="90">
        <v>20000</v>
      </c>
      <c r="L211" s="91">
        <v>7.843</v>
      </c>
      <c r="M211" s="92">
        <v>8</v>
      </c>
      <c r="N211" s="91">
        <v>10.34</v>
      </c>
      <c r="O211" s="90">
        <v>1</v>
      </c>
      <c r="P211" s="92">
        <v>7.7549999999999999</v>
      </c>
      <c r="Q211" s="93">
        <v>82.800000000000011</v>
      </c>
      <c r="R211" s="92">
        <v>82.800000000000011</v>
      </c>
      <c r="S211" s="87">
        <v>2604940</v>
      </c>
      <c r="T211" s="94">
        <v>11</v>
      </c>
      <c r="U211" s="95">
        <v>31460.628019323667</v>
      </c>
      <c r="V211" s="96">
        <v>31.785760900443009</v>
      </c>
      <c r="X211" s="98">
        <v>69</v>
      </c>
      <c r="Y211" s="97">
        <v>37.752753623188411</v>
      </c>
    </row>
    <row r="212" spans="1:25">
      <c r="A212" s="89">
        <v>211</v>
      </c>
      <c r="B212" s="89">
        <v>211</v>
      </c>
      <c r="C212" s="89" t="s">
        <v>579</v>
      </c>
      <c r="D212" s="58" t="s">
        <v>176</v>
      </c>
      <c r="E212" s="58" t="s">
        <v>176</v>
      </c>
      <c r="F212" s="89" t="s">
        <v>580</v>
      </c>
      <c r="G212" s="89" t="s">
        <v>581</v>
      </c>
      <c r="H212" s="89" t="s">
        <v>179</v>
      </c>
      <c r="I212" s="90">
        <v>38000</v>
      </c>
      <c r="J212" s="90">
        <v>38000</v>
      </c>
      <c r="K212" s="90">
        <v>10000</v>
      </c>
      <c r="L212" s="91">
        <v>9.1329999999999991</v>
      </c>
      <c r="M212" s="92">
        <v>10</v>
      </c>
      <c r="N212" s="91">
        <v>16.492000000000001</v>
      </c>
      <c r="O212" s="90">
        <v>1</v>
      </c>
      <c r="P212" s="92">
        <v>12.369</v>
      </c>
      <c r="Q212" s="93">
        <v>134.55000000000001</v>
      </c>
      <c r="R212" s="92">
        <v>134.55000000000001</v>
      </c>
      <c r="S212" s="87">
        <v>4719260</v>
      </c>
      <c r="T212" s="94">
        <v>12</v>
      </c>
      <c r="U212" s="95">
        <v>35074.396135265699</v>
      </c>
      <c r="V212" s="96">
        <v>28.510825849815436</v>
      </c>
      <c r="X212" s="98">
        <v>82.800000000000011</v>
      </c>
      <c r="Y212" s="97">
        <v>31.460628019323664</v>
      </c>
    </row>
    <row r="213" spans="1:25">
      <c r="A213" s="58">
        <v>212</v>
      </c>
      <c r="B213" s="58">
        <v>212</v>
      </c>
      <c r="C213" s="58" t="s">
        <v>582</v>
      </c>
      <c r="D213" s="58" t="s">
        <v>176</v>
      </c>
      <c r="E213" s="58" t="s">
        <v>176</v>
      </c>
      <c r="F213" s="58" t="s">
        <v>290</v>
      </c>
      <c r="G213" s="58" t="s">
        <v>291</v>
      </c>
      <c r="H213" s="58" t="s">
        <v>179</v>
      </c>
      <c r="I213">
        <v>38000</v>
      </c>
      <c r="J213">
        <v>38000</v>
      </c>
      <c r="K213">
        <v>20000</v>
      </c>
      <c r="L213" s="74">
        <v>4.0179999999999998</v>
      </c>
      <c r="M213" s="85">
        <v>5</v>
      </c>
      <c r="N213" s="74">
        <v>4.3129999999999997</v>
      </c>
      <c r="O213">
        <v>1</v>
      </c>
      <c r="P213" s="84">
        <v>3.23475</v>
      </c>
      <c r="Q213" s="86">
        <v>34.5</v>
      </c>
      <c r="R213" s="85">
        <v>34.5</v>
      </c>
      <c r="S213" s="87">
        <v>904090</v>
      </c>
      <c r="T213" s="1">
        <v>6</v>
      </c>
      <c r="U213" s="88">
        <v>26205.507246376812</v>
      </c>
      <c r="V213" s="59">
        <v>38.159917707307898</v>
      </c>
      <c r="X213" s="98">
        <v>134.55000000000001</v>
      </c>
      <c r="Y213" s="97">
        <v>35.074396135265701</v>
      </c>
    </row>
    <row r="214" spans="1:25">
      <c r="A214" s="58">
        <v>213</v>
      </c>
      <c r="B214" s="58">
        <v>213</v>
      </c>
      <c r="C214" s="58" t="s">
        <v>583</v>
      </c>
      <c r="D214" s="58" t="s">
        <v>197</v>
      </c>
      <c r="E214" s="58" t="s">
        <v>197</v>
      </c>
      <c r="F214" s="58" t="s">
        <v>299</v>
      </c>
      <c r="G214" s="58" t="s">
        <v>300</v>
      </c>
      <c r="H214" s="58" t="s">
        <v>179</v>
      </c>
      <c r="I214">
        <v>38000</v>
      </c>
      <c r="J214">
        <v>38000</v>
      </c>
      <c r="K214" s="58" t="s">
        <v>185</v>
      </c>
      <c r="L214" s="74">
        <v>21.669</v>
      </c>
      <c r="M214" s="85">
        <v>22</v>
      </c>
      <c r="N214" s="74">
        <v>1.913</v>
      </c>
      <c r="O214">
        <v>1</v>
      </c>
      <c r="P214" s="84">
        <v>1.43475</v>
      </c>
      <c r="Q214" s="86">
        <v>13.8</v>
      </c>
      <c r="R214" s="85">
        <v>13.8</v>
      </c>
      <c r="S214" s="87">
        <v>1893730</v>
      </c>
      <c r="T214" s="1">
        <v>4</v>
      </c>
      <c r="U214" s="88">
        <v>137226.81159420288</v>
      </c>
      <c r="V214" s="59">
        <v>7.2872056734592574</v>
      </c>
      <c r="X214" s="98">
        <v>34.5</v>
      </c>
      <c r="Y214" s="97">
        <v>26.205507246376811</v>
      </c>
    </row>
    <row r="215" spans="1:25">
      <c r="A215" s="58">
        <v>214</v>
      </c>
      <c r="B215" s="58">
        <v>214</v>
      </c>
      <c r="C215" s="58" t="s">
        <v>584</v>
      </c>
      <c r="D215" s="58" t="s">
        <v>197</v>
      </c>
      <c r="E215" s="58" t="s">
        <v>197</v>
      </c>
      <c r="F215" s="58" t="s">
        <v>299</v>
      </c>
      <c r="G215" s="58" t="s">
        <v>300</v>
      </c>
      <c r="H215" s="58" t="s">
        <v>179</v>
      </c>
      <c r="I215">
        <v>38000</v>
      </c>
      <c r="J215">
        <v>38000</v>
      </c>
      <c r="K215" s="58" t="s">
        <v>185</v>
      </c>
      <c r="L215" s="74">
        <v>22.972000000000001</v>
      </c>
      <c r="M215" s="85">
        <v>23</v>
      </c>
      <c r="N215" s="74">
        <v>4.0039999999999996</v>
      </c>
      <c r="O215">
        <v>1</v>
      </c>
      <c r="P215" s="84">
        <v>3.0029999999999997</v>
      </c>
      <c r="Q215" s="86">
        <v>31.05</v>
      </c>
      <c r="R215" s="85">
        <v>31.05</v>
      </c>
      <c r="S215" s="87">
        <v>2906770</v>
      </c>
      <c r="T215" s="1">
        <v>6</v>
      </c>
      <c r="U215" s="88">
        <v>93615.780998389688</v>
      </c>
      <c r="V215" s="59">
        <v>10.681959700973934</v>
      </c>
      <c r="X215" s="98">
        <v>13.8</v>
      </c>
      <c r="Y215" s="97">
        <v>137.22681159420287</v>
      </c>
    </row>
    <row r="216" spans="1:25">
      <c r="A216" s="58">
        <v>215</v>
      </c>
      <c r="B216" s="58">
        <v>215</v>
      </c>
      <c r="C216" s="58" t="s">
        <v>585</v>
      </c>
      <c r="D216" s="58" t="s">
        <v>197</v>
      </c>
      <c r="E216" s="58" t="s">
        <v>197</v>
      </c>
      <c r="F216" s="58" t="s">
        <v>486</v>
      </c>
      <c r="G216" s="58" t="s">
        <v>487</v>
      </c>
      <c r="H216" s="58" t="s">
        <v>179</v>
      </c>
      <c r="I216">
        <v>38000</v>
      </c>
      <c r="J216">
        <v>38000</v>
      </c>
      <c r="K216" s="58" t="s">
        <v>185</v>
      </c>
      <c r="L216" s="74">
        <v>19.212</v>
      </c>
      <c r="M216" s="85">
        <v>20</v>
      </c>
      <c r="N216" s="74">
        <v>1.345</v>
      </c>
      <c r="O216">
        <v>1</v>
      </c>
      <c r="P216" s="84">
        <v>1.00875</v>
      </c>
      <c r="Q216" s="86">
        <v>10.350000000000001</v>
      </c>
      <c r="R216" s="85">
        <v>10.350000000000001</v>
      </c>
      <c r="S216" s="87">
        <v>1996550</v>
      </c>
      <c r="T216" s="1">
        <v>3</v>
      </c>
      <c r="U216" s="88">
        <v>192903.38164251205</v>
      </c>
      <c r="V216" s="59">
        <v>5.183942300468309</v>
      </c>
      <c r="X216" s="98">
        <v>31.05</v>
      </c>
      <c r="Y216" s="97">
        <v>93.615780998389681</v>
      </c>
    </row>
    <row r="217" spans="1:25">
      <c r="A217" s="58">
        <v>216</v>
      </c>
      <c r="B217" s="58">
        <v>216</v>
      </c>
      <c r="C217" s="58" t="s">
        <v>586</v>
      </c>
      <c r="D217" s="58" t="s">
        <v>197</v>
      </c>
      <c r="E217" s="58" t="s">
        <v>197</v>
      </c>
      <c r="F217" s="58" t="s">
        <v>486</v>
      </c>
      <c r="G217" s="58" t="s">
        <v>487</v>
      </c>
      <c r="H217" s="58" t="s">
        <v>179</v>
      </c>
      <c r="I217">
        <v>38000</v>
      </c>
      <c r="J217">
        <v>38000</v>
      </c>
      <c r="K217" s="58" t="s">
        <v>185</v>
      </c>
      <c r="L217" s="74">
        <v>19.128</v>
      </c>
      <c r="M217" s="85">
        <v>20</v>
      </c>
      <c r="N217" s="74">
        <v>0.55400000000000005</v>
      </c>
      <c r="O217">
        <v>1</v>
      </c>
      <c r="P217" s="84">
        <v>0.55400000000000005</v>
      </c>
      <c r="Q217" s="86">
        <v>3.45</v>
      </c>
      <c r="R217" s="85">
        <v>3.45</v>
      </c>
      <c r="S217" s="87">
        <v>1914140</v>
      </c>
      <c r="T217" s="1">
        <v>1</v>
      </c>
      <c r="U217" s="88">
        <v>554823.18840579712</v>
      </c>
      <c r="V217" s="59">
        <v>1.8023760017553574</v>
      </c>
      <c r="X217" s="98">
        <v>10.350000000000001</v>
      </c>
      <c r="Y217" s="97">
        <v>192.90338164251204</v>
      </c>
    </row>
    <row r="218" spans="1:25">
      <c r="A218" s="58">
        <v>217</v>
      </c>
      <c r="B218" s="58">
        <v>217</v>
      </c>
      <c r="C218" s="58" t="s">
        <v>587</v>
      </c>
      <c r="D218" s="58" t="s">
        <v>182</v>
      </c>
      <c r="E218" s="58" t="s">
        <v>182</v>
      </c>
      <c r="F218" s="58" t="s">
        <v>183</v>
      </c>
      <c r="G218" s="58" t="s">
        <v>184</v>
      </c>
      <c r="H218" s="58" t="s">
        <v>179</v>
      </c>
      <c r="I218">
        <v>38000</v>
      </c>
      <c r="J218">
        <v>38000</v>
      </c>
      <c r="K218" s="58" t="s">
        <v>185</v>
      </c>
      <c r="L218" s="74">
        <v>13.741</v>
      </c>
      <c r="M218" s="85">
        <v>14</v>
      </c>
      <c r="N218" s="74">
        <v>5.4850000000000003</v>
      </c>
      <c r="O218">
        <v>1</v>
      </c>
      <c r="P218" s="84">
        <v>4.1137500000000005</v>
      </c>
      <c r="Q218" s="86">
        <v>44.85</v>
      </c>
      <c r="R218" s="85">
        <v>44.85</v>
      </c>
      <c r="S218" s="87">
        <v>1905430</v>
      </c>
      <c r="T218" s="1">
        <v>6</v>
      </c>
      <c r="U218" s="88">
        <v>42484.503901895208</v>
      </c>
      <c r="V218" s="59">
        <v>23.537994048587457</v>
      </c>
      <c r="X218" s="98">
        <v>3.45</v>
      </c>
      <c r="Y218" s="97">
        <v>554.82318840579717</v>
      </c>
    </row>
    <row r="219" spans="1:25">
      <c r="A219" s="58">
        <v>218</v>
      </c>
      <c r="B219" s="58">
        <v>218</v>
      </c>
      <c r="C219" s="58" t="s">
        <v>588</v>
      </c>
      <c r="D219" s="58" t="s">
        <v>182</v>
      </c>
      <c r="E219" s="58" t="s">
        <v>182</v>
      </c>
      <c r="F219" s="58" t="s">
        <v>183</v>
      </c>
      <c r="G219" s="58" t="s">
        <v>184</v>
      </c>
      <c r="H219" s="58" t="s">
        <v>179</v>
      </c>
      <c r="I219">
        <v>38000</v>
      </c>
      <c r="J219">
        <v>38000</v>
      </c>
      <c r="K219" s="58" t="s">
        <v>185</v>
      </c>
      <c r="L219" s="74">
        <v>3.6949999999999998</v>
      </c>
      <c r="M219" s="85">
        <v>4</v>
      </c>
      <c r="N219" s="74">
        <v>2.9830000000000001</v>
      </c>
      <c r="O219">
        <v>1</v>
      </c>
      <c r="P219" s="84">
        <v>2.23725</v>
      </c>
      <c r="Q219" s="86">
        <v>24.150000000000006</v>
      </c>
      <c r="R219" s="85">
        <v>24.150000000000006</v>
      </c>
      <c r="S219" s="87">
        <v>703110</v>
      </c>
      <c r="T219" s="1">
        <v>5</v>
      </c>
      <c r="U219" s="88">
        <v>29114.285714285706</v>
      </c>
      <c r="V219" s="59">
        <v>34.347399411187446</v>
      </c>
      <c r="X219" s="98">
        <v>44.85</v>
      </c>
      <c r="Y219" s="97">
        <v>42.484503901895209</v>
      </c>
    </row>
    <row r="220" spans="1:25">
      <c r="A220" s="89">
        <v>219</v>
      </c>
      <c r="B220" s="89">
        <v>219</v>
      </c>
      <c r="C220" s="89" t="s">
        <v>589</v>
      </c>
      <c r="D220" s="58" t="s">
        <v>182</v>
      </c>
      <c r="E220" s="58" t="s">
        <v>182</v>
      </c>
      <c r="F220" s="89" t="s">
        <v>302</v>
      </c>
      <c r="G220" s="89" t="s">
        <v>303</v>
      </c>
      <c r="H220" s="89" t="s">
        <v>179</v>
      </c>
      <c r="I220" s="90">
        <v>38000</v>
      </c>
      <c r="J220" s="90">
        <v>38000</v>
      </c>
      <c r="K220" s="89" t="s">
        <v>185</v>
      </c>
      <c r="L220" s="91">
        <v>6.2629999999999999</v>
      </c>
      <c r="M220" s="92">
        <v>7</v>
      </c>
      <c r="N220" s="91">
        <v>11.505000000000001</v>
      </c>
      <c r="O220" s="90">
        <v>1</v>
      </c>
      <c r="P220" s="92">
        <v>8.6287500000000001</v>
      </c>
      <c r="Q220" s="93">
        <v>93.15</v>
      </c>
      <c r="R220" s="92">
        <v>93.15</v>
      </c>
      <c r="S220" s="87">
        <v>2394130</v>
      </c>
      <c r="T220" s="94">
        <v>11</v>
      </c>
      <c r="U220" s="95">
        <v>25701.878690284484</v>
      </c>
      <c r="V220" s="96">
        <v>38.907661655799814</v>
      </c>
      <c r="X220" s="98">
        <v>24.150000000000006</v>
      </c>
      <c r="Y220" s="97">
        <v>29.114285714285707</v>
      </c>
    </row>
    <row r="221" spans="1:25">
      <c r="A221" s="58">
        <v>220</v>
      </c>
      <c r="B221" s="58">
        <v>220</v>
      </c>
      <c r="C221" s="58" t="s">
        <v>590</v>
      </c>
      <c r="D221" s="58" t="s">
        <v>182</v>
      </c>
      <c r="E221" s="58" t="s">
        <v>182</v>
      </c>
      <c r="F221" s="58" t="s">
        <v>183</v>
      </c>
      <c r="G221" s="58" t="s">
        <v>184</v>
      </c>
      <c r="H221" s="58" t="s">
        <v>179</v>
      </c>
      <c r="I221">
        <v>38000</v>
      </c>
      <c r="J221">
        <v>38000</v>
      </c>
      <c r="K221" s="58" t="s">
        <v>185</v>
      </c>
      <c r="L221" s="74">
        <v>7.1210000000000004</v>
      </c>
      <c r="M221" s="85">
        <v>8</v>
      </c>
      <c r="N221" s="74">
        <v>1.63</v>
      </c>
      <c r="O221">
        <v>1</v>
      </c>
      <c r="P221" s="84">
        <v>1.2224999999999999</v>
      </c>
      <c r="Q221" s="86">
        <v>10.350000000000001</v>
      </c>
      <c r="R221" s="85">
        <v>10.350000000000001</v>
      </c>
      <c r="S221" s="87">
        <v>909950</v>
      </c>
      <c r="T221" s="1">
        <v>4</v>
      </c>
      <c r="U221" s="88">
        <v>87917.874396135259</v>
      </c>
      <c r="V221" s="59">
        <v>11.374251332490799</v>
      </c>
      <c r="X221" s="98">
        <v>93.15</v>
      </c>
      <c r="Y221" s="97">
        <v>25.701878690284484</v>
      </c>
    </row>
    <row r="222" spans="1:25">
      <c r="A222" s="58">
        <v>221</v>
      </c>
      <c r="B222" s="58">
        <v>221</v>
      </c>
      <c r="C222" s="58" t="s">
        <v>591</v>
      </c>
      <c r="D222" s="58" t="s">
        <v>182</v>
      </c>
      <c r="E222" s="58" t="s">
        <v>182</v>
      </c>
      <c r="F222" s="58" t="s">
        <v>302</v>
      </c>
      <c r="G222" s="58" t="s">
        <v>303</v>
      </c>
      <c r="H222" s="58" t="s">
        <v>179</v>
      </c>
      <c r="I222">
        <v>38000</v>
      </c>
      <c r="J222">
        <v>38000</v>
      </c>
      <c r="K222" s="58" t="s">
        <v>185</v>
      </c>
      <c r="L222" s="74">
        <v>10.911</v>
      </c>
      <c r="M222" s="85">
        <v>11</v>
      </c>
      <c r="N222" s="74">
        <v>1.5469999999999999</v>
      </c>
      <c r="O222">
        <v>1</v>
      </c>
      <c r="P222" s="84">
        <v>1.16025</v>
      </c>
      <c r="Q222" s="86">
        <v>10.350000000000001</v>
      </c>
      <c r="R222" s="85">
        <v>10.350000000000001</v>
      </c>
      <c r="S222" s="87">
        <v>1522250</v>
      </c>
      <c r="T222" s="1">
        <v>3</v>
      </c>
      <c r="U222" s="88">
        <v>147077.29468599032</v>
      </c>
      <c r="V222" s="59">
        <v>6.7991460009853846</v>
      </c>
      <c r="X222" s="98">
        <v>10.350000000000001</v>
      </c>
      <c r="Y222" s="97">
        <v>87.917874396135261</v>
      </c>
    </row>
    <row r="223" spans="1:25">
      <c r="A223" s="89">
        <v>222</v>
      </c>
      <c r="B223" s="89">
        <v>222</v>
      </c>
      <c r="C223" s="89" t="s">
        <v>592</v>
      </c>
      <c r="D223" s="58" t="s">
        <v>182</v>
      </c>
      <c r="E223" s="58" t="s">
        <v>182</v>
      </c>
      <c r="F223" s="89" t="s">
        <v>302</v>
      </c>
      <c r="G223" s="89" t="s">
        <v>303</v>
      </c>
      <c r="H223" s="89" t="s">
        <v>179</v>
      </c>
      <c r="I223" s="90">
        <v>38000</v>
      </c>
      <c r="J223" s="90">
        <v>38000</v>
      </c>
      <c r="K223" s="89" t="s">
        <v>185</v>
      </c>
      <c r="L223" s="91">
        <v>9.39</v>
      </c>
      <c r="M223" s="92">
        <v>10</v>
      </c>
      <c r="N223" s="91">
        <v>18.324000000000002</v>
      </c>
      <c r="O223" s="90">
        <v>1</v>
      </c>
      <c r="P223" s="92">
        <v>13.743000000000002</v>
      </c>
      <c r="Q223" s="93">
        <v>148.35</v>
      </c>
      <c r="R223" s="92">
        <v>148.35</v>
      </c>
      <c r="S223" s="87">
        <v>4719260</v>
      </c>
      <c r="T223" s="94">
        <v>12</v>
      </c>
      <c r="U223" s="95">
        <v>31811.66161105494</v>
      </c>
      <c r="V223" s="96">
        <v>31.435013116463175</v>
      </c>
      <c r="X223" s="98">
        <v>10.350000000000001</v>
      </c>
      <c r="Y223" s="97">
        <v>147.07729468599032</v>
      </c>
    </row>
    <row r="224" spans="1:25">
      <c r="A224" s="89">
        <v>223</v>
      </c>
      <c r="B224" s="89">
        <v>223</v>
      </c>
      <c r="C224" s="89" t="s">
        <v>593</v>
      </c>
      <c r="D224" s="58" t="s">
        <v>182</v>
      </c>
      <c r="E224" s="58" t="s">
        <v>182</v>
      </c>
      <c r="F224" s="89" t="s">
        <v>302</v>
      </c>
      <c r="G224" s="89" t="s">
        <v>303</v>
      </c>
      <c r="H224" s="89" t="s">
        <v>179</v>
      </c>
      <c r="I224" s="90">
        <v>38000</v>
      </c>
      <c r="J224" s="90">
        <v>38000</v>
      </c>
      <c r="K224" s="89" t="s">
        <v>185</v>
      </c>
      <c r="L224" s="91">
        <v>13.161</v>
      </c>
      <c r="M224" s="92">
        <v>14</v>
      </c>
      <c r="N224" s="91">
        <v>6.4340000000000002</v>
      </c>
      <c r="O224" s="90">
        <v>1</v>
      </c>
      <c r="P224" s="92">
        <v>4.8254999999999999</v>
      </c>
      <c r="Q224" s="93">
        <v>51.75</v>
      </c>
      <c r="R224" s="92">
        <v>51.75</v>
      </c>
      <c r="S224" s="87">
        <v>3869800</v>
      </c>
      <c r="T224" s="94">
        <v>11</v>
      </c>
      <c r="U224" s="95">
        <v>74778.743961352651</v>
      </c>
      <c r="V224" s="96">
        <v>13.372784123210502</v>
      </c>
      <c r="X224" s="98">
        <v>148.35</v>
      </c>
      <c r="Y224" s="97">
        <v>31.811661611054941</v>
      </c>
    </row>
    <row r="225" spans="1:25">
      <c r="A225" s="89">
        <v>224</v>
      </c>
      <c r="B225" s="89">
        <v>224</v>
      </c>
      <c r="C225" s="89" t="s">
        <v>594</v>
      </c>
      <c r="D225" s="58" t="s">
        <v>234</v>
      </c>
      <c r="E225" s="58" t="s">
        <v>182</v>
      </c>
      <c r="F225" s="89" t="s">
        <v>595</v>
      </c>
      <c r="G225" s="89" t="s">
        <v>596</v>
      </c>
      <c r="H225" s="89" t="s">
        <v>179</v>
      </c>
      <c r="I225" s="90">
        <v>38000</v>
      </c>
      <c r="J225" s="90">
        <v>38000</v>
      </c>
      <c r="K225" s="89" t="s">
        <v>185</v>
      </c>
      <c r="L225" s="91">
        <v>20.358000000000001</v>
      </c>
      <c r="M225" s="92">
        <v>21</v>
      </c>
      <c r="N225" s="91">
        <v>20.53</v>
      </c>
      <c r="O225" s="90">
        <v>1</v>
      </c>
      <c r="P225" s="92">
        <v>15.397500000000001</v>
      </c>
      <c r="Q225" s="93">
        <v>169.05</v>
      </c>
      <c r="R225" s="92">
        <v>169.05</v>
      </c>
      <c r="S225" s="87">
        <v>15643160</v>
      </c>
      <c r="T225" s="94">
        <v>13</v>
      </c>
      <c r="U225" s="95">
        <v>92535.699497190173</v>
      </c>
      <c r="V225" s="96">
        <v>10.806640090621077</v>
      </c>
      <c r="X225" s="98">
        <v>51.75</v>
      </c>
      <c r="Y225" s="97">
        <v>74.778743961352646</v>
      </c>
    </row>
    <row r="226" spans="1:25">
      <c r="A226" s="58">
        <v>225</v>
      </c>
      <c r="B226" s="58">
        <v>225</v>
      </c>
      <c r="C226" s="58" t="s">
        <v>597</v>
      </c>
      <c r="D226" s="58" t="s">
        <v>234</v>
      </c>
      <c r="E226" s="58" t="s">
        <v>182</v>
      </c>
      <c r="F226" s="58" t="s">
        <v>302</v>
      </c>
      <c r="G226" s="58" t="s">
        <v>303</v>
      </c>
      <c r="H226" s="58" t="s">
        <v>179</v>
      </c>
      <c r="I226">
        <v>38000</v>
      </c>
      <c r="J226">
        <v>38000</v>
      </c>
      <c r="K226" s="58" t="s">
        <v>185</v>
      </c>
      <c r="L226" s="74">
        <v>18.419</v>
      </c>
      <c r="M226" s="85">
        <v>19</v>
      </c>
      <c r="N226" s="74">
        <v>2.496</v>
      </c>
      <c r="O226">
        <v>1</v>
      </c>
      <c r="P226" s="84">
        <v>1.8719999999999999</v>
      </c>
      <c r="Q226" s="86">
        <v>17.25</v>
      </c>
      <c r="R226" s="85">
        <v>17.25</v>
      </c>
      <c r="S226" s="87">
        <v>1682920</v>
      </c>
      <c r="T226" s="1">
        <v>4</v>
      </c>
      <c r="U226" s="88">
        <v>97560.579710144928</v>
      </c>
      <c r="V226" s="59">
        <v>10.250041594371687</v>
      </c>
      <c r="X226" s="98">
        <v>169.05</v>
      </c>
      <c r="Y226" s="97">
        <v>92.53569949719018</v>
      </c>
    </row>
    <row r="227" spans="1:25">
      <c r="A227" s="89">
        <v>226</v>
      </c>
      <c r="B227" s="89">
        <v>226</v>
      </c>
      <c r="C227" s="89" t="s">
        <v>598</v>
      </c>
      <c r="D227" s="58" t="s">
        <v>182</v>
      </c>
      <c r="E227" s="58" t="s">
        <v>182</v>
      </c>
      <c r="F227" s="89" t="s">
        <v>302</v>
      </c>
      <c r="G227" s="89" t="s">
        <v>303</v>
      </c>
      <c r="H227" s="89" t="s">
        <v>179</v>
      </c>
      <c r="I227" s="90">
        <v>38000</v>
      </c>
      <c r="J227" s="90">
        <v>38000</v>
      </c>
      <c r="K227" s="89" t="s">
        <v>185</v>
      </c>
      <c r="L227" s="91">
        <v>16.925999999999998</v>
      </c>
      <c r="M227" s="92">
        <v>17</v>
      </c>
      <c r="N227" s="91">
        <v>10.236000000000001</v>
      </c>
      <c r="O227" s="90">
        <v>1</v>
      </c>
      <c r="P227" s="92">
        <v>7.6770000000000005</v>
      </c>
      <c r="Q227" s="93">
        <v>82.800000000000011</v>
      </c>
      <c r="R227" s="92">
        <v>82.800000000000011</v>
      </c>
      <c r="S227" s="87">
        <v>4502230</v>
      </c>
      <c r="T227" s="94">
        <v>11</v>
      </c>
      <c r="U227" s="95">
        <v>54374.758454106275</v>
      </c>
      <c r="V227" s="96">
        <v>18.390886294125359</v>
      </c>
      <c r="X227" s="98">
        <v>17.25</v>
      </c>
      <c r="Y227" s="97">
        <v>97.560579710144921</v>
      </c>
    </row>
    <row r="228" spans="1:25">
      <c r="A228" s="58">
        <v>227</v>
      </c>
      <c r="B228" s="58">
        <v>227</v>
      </c>
      <c r="C228" s="58" t="s">
        <v>599</v>
      </c>
      <c r="D228" s="58" t="s">
        <v>182</v>
      </c>
      <c r="E228" s="58" t="s">
        <v>182</v>
      </c>
      <c r="F228" s="58" t="s">
        <v>595</v>
      </c>
      <c r="G228" s="58" t="s">
        <v>596</v>
      </c>
      <c r="H228" s="58" t="s">
        <v>179</v>
      </c>
      <c r="I228">
        <v>38000</v>
      </c>
      <c r="J228">
        <v>38000</v>
      </c>
      <c r="K228" s="58" t="s">
        <v>185</v>
      </c>
      <c r="L228" s="74">
        <v>15.007999999999999</v>
      </c>
      <c r="M228" s="85">
        <v>16</v>
      </c>
      <c r="N228" s="74">
        <v>1.758</v>
      </c>
      <c r="O228">
        <v>1</v>
      </c>
      <c r="P228" s="84">
        <v>1.3185</v>
      </c>
      <c r="Q228" s="86">
        <v>13.8</v>
      </c>
      <c r="R228" s="85">
        <v>13.8</v>
      </c>
      <c r="S228" s="87">
        <v>1472110</v>
      </c>
      <c r="T228" s="1">
        <v>4</v>
      </c>
      <c r="U228" s="88">
        <v>106674.63768115941</v>
      </c>
      <c r="V228" s="59">
        <v>9.3742994749033706</v>
      </c>
      <c r="X228" s="98">
        <v>82.800000000000011</v>
      </c>
      <c r="Y228" s="97">
        <v>54.374758454106278</v>
      </c>
    </row>
    <row r="229" spans="1:25">
      <c r="A229" s="89">
        <v>228</v>
      </c>
      <c r="B229" s="89">
        <v>228</v>
      </c>
      <c r="C229" s="89" t="s">
        <v>600</v>
      </c>
      <c r="D229" s="58" t="s">
        <v>234</v>
      </c>
      <c r="E229" s="58" t="s">
        <v>234</v>
      </c>
      <c r="F229" s="89" t="s">
        <v>309</v>
      </c>
      <c r="G229" s="89" t="s">
        <v>310</v>
      </c>
      <c r="H229" s="89" t="s">
        <v>179</v>
      </c>
      <c r="I229" s="90">
        <v>38000</v>
      </c>
      <c r="J229" s="90">
        <v>38000</v>
      </c>
      <c r="K229" s="90">
        <v>20000</v>
      </c>
      <c r="L229" s="91">
        <v>17.091000000000001</v>
      </c>
      <c r="M229" s="92">
        <v>18</v>
      </c>
      <c r="N229" s="91">
        <v>12.993</v>
      </c>
      <c r="O229" s="90">
        <v>1</v>
      </c>
      <c r="P229" s="92">
        <v>9.7447499999999998</v>
      </c>
      <c r="Q229" s="93">
        <v>106.95</v>
      </c>
      <c r="R229" s="92">
        <v>106.95</v>
      </c>
      <c r="S229" s="87">
        <v>4713040</v>
      </c>
      <c r="T229" s="94">
        <v>11</v>
      </c>
      <c r="U229" s="95">
        <v>44067.695184665732</v>
      </c>
      <c r="V229" s="96">
        <v>22.692359920560826</v>
      </c>
      <c r="X229" s="98">
        <v>13.8</v>
      </c>
      <c r="Y229" s="97">
        <v>106.67463768115941</v>
      </c>
    </row>
    <row r="230" spans="1:25">
      <c r="A230" s="89">
        <v>229</v>
      </c>
      <c r="B230" s="89">
        <v>229</v>
      </c>
      <c r="C230" s="89" t="s">
        <v>601</v>
      </c>
      <c r="D230" s="58" t="s">
        <v>234</v>
      </c>
      <c r="E230" s="58" t="s">
        <v>234</v>
      </c>
      <c r="F230" s="89" t="s">
        <v>309</v>
      </c>
      <c r="G230" s="89" t="s">
        <v>310</v>
      </c>
      <c r="H230" s="89" t="s">
        <v>179</v>
      </c>
      <c r="I230" s="90">
        <v>38000</v>
      </c>
      <c r="J230" s="90">
        <v>38000</v>
      </c>
      <c r="K230" s="90">
        <v>20000</v>
      </c>
      <c r="L230" s="91">
        <v>13.438000000000001</v>
      </c>
      <c r="M230" s="92">
        <v>14</v>
      </c>
      <c r="N230" s="91">
        <v>8.7189999999999905</v>
      </c>
      <c r="O230" s="90">
        <v>1</v>
      </c>
      <c r="P230" s="92">
        <v>6.5392499999999929</v>
      </c>
      <c r="Q230" s="93">
        <v>69</v>
      </c>
      <c r="R230" s="92">
        <v>69</v>
      </c>
      <c r="S230" s="87">
        <v>3869800</v>
      </c>
      <c r="T230" s="94">
        <v>11</v>
      </c>
      <c r="U230" s="95">
        <v>56084.057971014496</v>
      </c>
      <c r="V230" s="96">
        <v>17.830378830947335</v>
      </c>
      <c r="X230" s="98">
        <v>106.95</v>
      </c>
      <c r="Y230" s="97">
        <v>44.06769518466573</v>
      </c>
    </row>
    <row r="231" spans="1:25">
      <c r="A231" s="58">
        <v>230</v>
      </c>
      <c r="B231" s="58">
        <v>230</v>
      </c>
      <c r="C231" s="58" t="s">
        <v>602</v>
      </c>
      <c r="D231" s="58" t="s">
        <v>182</v>
      </c>
      <c r="E231" s="58" t="s">
        <v>182</v>
      </c>
      <c r="F231" s="58" t="s">
        <v>312</v>
      </c>
      <c r="G231" s="58" t="s">
        <v>313</v>
      </c>
      <c r="H231" s="58" t="s">
        <v>179</v>
      </c>
      <c r="I231">
        <v>38000</v>
      </c>
      <c r="J231">
        <v>38000</v>
      </c>
      <c r="K231">
        <v>10000</v>
      </c>
      <c r="L231" s="74">
        <v>10.127000000000001</v>
      </c>
      <c r="M231" s="85">
        <v>11</v>
      </c>
      <c r="N231" s="74">
        <v>2.15</v>
      </c>
      <c r="O231">
        <v>1</v>
      </c>
      <c r="P231" s="84">
        <v>1.6124999999999998</v>
      </c>
      <c r="Q231" s="86">
        <v>17.25</v>
      </c>
      <c r="R231" s="85">
        <v>17.25</v>
      </c>
      <c r="S231" s="87">
        <v>1120760</v>
      </c>
      <c r="T231" s="1">
        <v>4</v>
      </c>
      <c r="U231" s="88">
        <v>64971.594202898552</v>
      </c>
      <c r="V231" s="59">
        <v>15.391341589635605</v>
      </c>
      <c r="X231" s="98">
        <v>69</v>
      </c>
      <c r="Y231" s="97">
        <v>56.084057971014495</v>
      </c>
    </row>
    <row r="232" spans="1:25">
      <c r="A232" s="58">
        <v>231</v>
      </c>
      <c r="B232" s="58">
        <v>231</v>
      </c>
      <c r="C232" s="58" t="s">
        <v>603</v>
      </c>
      <c r="D232" s="58" t="s">
        <v>182</v>
      </c>
      <c r="E232" s="58" t="s">
        <v>182</v>
      </c>
      <c r="F232" s="58" t="s">
        <v>440</v>
      </c>
      <c r="G232" s="58" t="s">
        <v>441</v>
      </c>
      <c r="H232" s="58" t="s">
        <v>199</v>
      </c>
      <c r="I232">
        <v>110000</v>
      </c>
      <c r="L232" s="74">
        <v>12.156000000000001</v>
      </c>
      <c r="M232" s="85">
        <v>13</v>
      </c>
      <c r="N232" s="74">
        <v>1.2829999999999999</v>
      </c>
      <c r="O232">
        <v>1</v>
      </c>
      <c r="P232" s="84">
        <v>0.96224999999999994</v>
      </c>
      <c r="Q232" s="86">
        <v>10.350000000000001</v>
      </c>
      <c r="R232" s="85">
        <v>10.350000000000001</v>
      </c>
      <c r="S232" s="87">
        <v>2101570</v>
      </c>
      <c r="T232" s="1">
        <v>7</v>
      </c>
      <c r="U232" s="88">
        <v>203050.24154589369</v>
      </c>
      <c r="V232" s="59">
        <v>4.9248894873832425</v>
      </c>
      <c r="X232" s="98">
        <v>17.25</v>
      </c>
      <c r="Y232" s="97">
        <v>64.971594202898558</v>
      </c>
    </row>
    <row r="233" spans="1:25">
      <c r="A233" s="58">
        <v>232</v>
      </c>
      <c r="B233" s="58">
        <v>232</v>
      </c>
      <c r="C233" s="58" t="s">
        <v>604</v>
      </c>
      <c r="D233" s="58" t="s">
        <v>182</v>
      </c>
      <c r="E233" s="58" t="s">
        <v>182</v>
      </c>
      <c r="F233" s="58" t="s">
        <v>183</v>
      </c>
      <c r="G233" s="58" t="s">
        <v>184</v>
      </c>
      <c r="H233" s="58" t="s">
        <v>179</v>
      </c>
      <c r="I233">
        <v>38000</v>
      </c>
      <c r="J233">
        <v>38000</v>
      </c>
      <c r="K233" s="58" t="s">
        <v>185</v>
      </c>
      <c r="L233" s="74">
        <v>7.141</v>
      </c>
      <c r="M233" s="85">
        <v>8</v>
      </c>
      <c r="N233" s="74">
        <v>1.998</v>
      </c>
      <c r="O233">
        <v>1</v>
      </c>
      <c r="P233" s="84">
        <v>1.4984999999999999</v>
      </c>
      <c r="Q233" s="86">
        <v>13.8</v>
      </c>
      <c r="R233" s="85">
        <v>13.8</v>
      </c>
      <c r="S233" s="87">
        <v>909950</v>
      </c>
      <c r="T233" s="1">
        <v>4</v>
      </c>
      <c r="U233" s="88">
        <v>65938.405797101441</v>
      </c>
      <c r="V233" s="59">
        <v>15.165668443321062</v>
      </c>
      <c r="X233" s="98">
        <v>10.350000000000001</v>
      </c>
      <c r="Y233" s="97">
        <v>203.0502415458937</v>
      </c>
    </row>
    <row r="234" spans="1:25">
      <c r="A234" s="58">
        <v>233</v>
      </c>
      <c r="B234" s="58">
        <v>233</v>
      </c>
      <c r="C234" s="58" t="s">
        <v>605</v>
      </c>
      <c r="D234" s="58" t="s">
        <v>182</v>
      </c>
      <c r="E234" s="58" t="s">
        <v>182</v>
      </c>
      <c r="F234" s="58" t="s">
        <v>183</v>
      </c>
      <c r="G234" s="58" t="s">
        <v>184</v>
      </c>
      <c r="H234" s="58" t="s">
        <v>179</v>
      </c>
      <c r="I234">
        <v>38000</v>
      </c>
      <c r="J234">
        <v>38000</v>
      </c>
      <c r="K234" s="58" t="s">
        <v>185</v>
      </c>
      <c r="L234" s="74">
        <v>7.7389999999999999</v>
      </c>
      <c r="M234" s="85">
        <v>8</v>
      </c>
      <c r="N234" s="74">
        <v>4.1559999999999997</v>
      </c>
      <c r="O234">
        <v>1</v>
      </c>
      <c r="P234" s="84">
        <v>3.117</v>
      </c>
      <c r="Q234" s="86">
        <v>31.05</v>
      </c>
      <c r="R234" s="85">
        <v>31.05</v>
      </c>
      <c r="S234" s="87">
        <v>1237870</v>
      </c>
      <c r="T234" s="1">
        <v>6</v>
      </c>
      <c r="U234" s="88">
        <v>39866.98872785829</v>
      </c>
      <c r="V234" s="59">
        <v>25.08340940486481</v>
      </c>
      <c r="X234" s="98">
        <v>13.8</v>
      </c>
      <c r="Y234" s="97">
        <v>65.938405797101453</v>
      </c>
    </row>
    <row r="235" spans="1:25">
      <c r="A235" s="58">
        <v>234</v>
      </c>
      <c r="B235" s="58">
        <v>234</v>
      </c>
      <c r="C235" s="58" t="s">
        <v>606</v>
      </c>
      <c r="D235" s="58" t="s">
        <v>234</v>
      </c>
      <c r="E235" s="58" t="s">
        <v>234</v>
      </c>
      <c r="F235" s="58" t="s">
        <v>316</v>
      </c>
      <c r="G235" s="58" t="s">
        <v>317</v>
      </c>
      <c r="H235" s="58" t="s">
        <v>199</v>
      </c>
      <c r="I235">
        <v>110000</v>
      </c>
      <c r="J235">
        <v>110000</v>
      </c>
      <c r="K235">
        <v>38000</v>
      </c>
      <c r="L235" s="74">
        <v>24.853000000000002</v>
      </c>
      <c r="M235" s="85">
        <v>25</v>
      </c>
      <c r="N235" s="74">
        <v>4.0890000000000004</v>
      </c>
      <c r="O235">
        <v>1</v>
      </c>
      <c r="P235" s="84">
        <v>3.0667500000000003</v>
      </c>
      <c r="Q235" s="86">
        <v>31.05</v>
      </c>
      <c r="R235" s="85">
        <v>31.05</v>
      </c>
      <c r="S235" s="87">
        <v>4735350</v>
      </c>
      <c r="T235" s="1">
        <v>10</v>
      </c>
      <c r="U235" s="88">
        <v>152507.24637681158</v>
      </c>
      <c r="V235" s="59">
        <v>6.5570654756248219</v>
      </c>
      <c r="X235" s="98">
        <v>31.05</v>
      </c>
      <c r="Y235" s="97">
        <v>39.866988727858292</v>
      </c>
    </row>
    <row r="236" spans="1:25">
      <c r="A236" s="89">
        <v>235</v>
      </c>
      <c r="B236" s="89">
        <v>235</v>
      </c>
      <c r="C236" s="89" t="s">
        <v>607</v>
      </c>
      <c r="D236" s="58" t="s">
        <v>234</v>
      </c>
      <c r="E236" s="58" t="s">
        <v>234</v>
      </c>
      <c r="F236" s="89" t="s">
        <v>309</v>
      </c>
      <c r="G236" s="89" t="s">
        <v>310</v>
      </c>
      <c r="H236" s="89" t="s">
        <v>179</v>
      </c>
      <c r="I236" s="90">
        <v>38000</v>
      </c>
      <c r="J236" s="90">
        <v>38000</v>
      </c>
      <c r="K236" s="90">
        <v>20000</v>
      </c>
      <c r="L236" s="91">
        <v>20.306999999999999</v>
      </c>
      <c r="M236" s="92">
        <v>21</v>
      </c>
      <c r="N236" s="91">
        <v>18.7229999999999</v>
      </c>
      <c r="O236" s="90">
        <v>1</v>
      </c>
      <c r="P236" s="92">
        <v>14.042249999999925</v>
      </c>
      <c r="Q236" s="93">
        <v>151.80000000000001</v>
      </c>
      <c r="R236" s="92">
        <v>151.80000000000001</v>
      </c>
      <c r="S236" s="87">
        <v>7821580</v>
      </c>
      <c r="T236" s="94">
        <v>13</v>
      </c>
      <c r="U236" s="95">
        <v>51525.559947299073</v>
      </c>
      <c r="V236" s="96">
        <v>19.407843428054179</v>
      </c>
      <c r="X236" s="98">
        <v>31.05</v>
      </c>
      <c r="Y236" s="97">
        <v>152.50724637681159</v>
      </c>
    </row>
    <row r="237" spans="1:25">
      <c r="A237" s="58">
        <v>236</v>
      </c>
      <c r="B237" s="58">
        <v>236</v>
      </c>
      <c r="C237" s="58" t="s">
        <v>608</v>
      </c>
      <c r="D237" s="58" t="s">
        <v>234</v>
      </c>
      <c r="E237" s="58" t="s">
        <v>234</v>
      </c>
      <c r="F237" s="58" t="s">
        <v>309</v>
      </c>
      <c r="G237" s="58" t="s">
        <v>310</v>
      </c>
      <c r="H237" s="58" t="s">
        <v>179</v>
      </c>
      <c r="I237">
        <v>38000</v>
      </c>
      <c r="J237">
        <v>38000</v>
      </c>
      <c r="K237">
        <v>20000</v>
      </c>
      <c r="L237" s="74">
        <v>16.597999999999999</v>
      </c>
      <c r="M237" s="85">
        <v>17</v>
      </c>
      <c r="N237" s="74">
        <v>4.1289999999999996</v>
      </c>
      <c r="O237">
        <v>1</v>
      </c>
      <c r="P237" s="84">
        <v>3.0967499999999997</v>
      </c>
      <c r="Q237" s="86">
        <v>31.05</v>
      </c>
      <c r="R237" s="85">
        <v>31.05</v>
      </c>
      <c r="S237" s="87">
        <v>2239210</v>
      </c>
      <c r="T237" s="1">
        <v>6</v>
      </c>
      <c r="U237" s="88">
        <v>72116.264090177137</v>
      </c>
      <c r="V237" s="59">
        <v>13.866497559407112</v>
      </c>
      <c r="X237" s="98">
        <v>151.80000000000001</v>
      </c>
      <c r="Y237" s="97">
        <v>51.525559947299072</v>
      </c>
    </row>
    <row r="238" spans="1:25">
      <c r="A238" s="58">
        <v>237</v>
      </c>
      <c r="B238" s="58">
        <v>237</v>
      </c>
      <c r="C238" s="58" t="s">
        <v>609</v>
      </c>
      <c r="D238" s="58" t="s">
        <v>234</v>
      </c>
      <c r="E238" s="58" t="s">
        <v>234</v>
      </c>
      <c r="F238" s="58" t="s">
        <v>309</v>
      </c>
      <c r="G238" s="58" t="s">
        <v>310</v>
      </c>
      <c r="H238" s="58" t="s">
        <v>179</v>
      </c>
      <c r="I238">
        <v>38000</v>
      </c>
      <c r="J238">
        <v>38000</v>
      </c>
      <c r="K238">
        <v>20000</v>
      </c>
      <c r="L238" s="74">
        <v>11.875999999999999</v>
      </c>
      <c r="M238" s="85">
        <v>12</v>
      </c>
      <c r="N238" s="74">
        <v>2.7610000000000001</v>
      </c>
      <c r="O238">
        <v>1</v>
      </c>
      <c r="P238" s="84">
        <v>2.0707500000000003</v>
      </c>
      <c r="Q238" s="86">
        <v>20.700000000000003</v>
      </c>
      <c r="R238" s="85">
        <v>20.700000000000003</v>
      </c>
      <c r="S238" s="87">
        <v>1191030</v>
      </c>
      <c r="T238" s="1">
        <v>4</v>
      </c>
      <c r="U238" s="88">
        <v>57537.681159420281</v>
      </c>
      <c r="V238" s="59">
        <v>17.379914863605453</v>
      </c>
      <c r="X238" s="98">
        <v>31.05</v>
      </c>
      <c r="Y238" s="97">
        <v>72.11626409017714</v>
      </c>
    </row>
    <row r="239" spans="1:25">
      <c r="A239" s="58">
        <v>238</v>
      </c>
      <c r="B239" s="58">
        <v>238</v>
      </c>
      <c r="C239" s="58" t="s">
        <v>610</v>
      </c>
      <c r="D239" s="58" t="s">
        <v>234</v>
      </c>
      <c r="E239" s="58" t="s">
        <v>234</v>
      </c>
      <c r="F239" s="58" t="s">
        <v>316</v>
      </c>
      <c r="G239" s="58" t="s">
        <v>317</v>
      </c>
      <c r="H239" s="58" t="s">
        <v>199</v>
      </c>
      <c r="I239">
        <v>110000</v>
      </c>
      <c r="J239">
        <v>110000</v>
      </c>
      <c r="K239">
        <v>38000</v>
      </c>
      <c r="L239" s="74">
        <v>11.364000000000001</v>
      </c>
      <c r="M239" s="85">
        <v>12</v>
      </c>
      <c r="N239" s="74">
        <v>6.367</v>
      </c>
      <c r="O239">
        <v>1</v>
      </c>
      <c r="P239" s="84">
        <v>4.7752499999999998</v>
      </c>
      <c r="Q239" s="86">
        <v>51.75</v>
      </c>
      <c r="R239" s="85">
        <v>51.75</v>
      </c>
      <c r="S239" s="87">
        <v>3448180</v>
      </c>
      <c r="T239" s="1">
        <v>11</v>
      </c>
      <c r="U239" s="88">
        <v>66631.497584541066</v>
      </c>
      <c r="V239" s="59">
        <v>15.007917220098719</v>
      </c>
      <c r="X239" s="98">
        <v>20.700000000000003</v>
      </c>
      <c r="Y239" s="97">
        <v>57.537681159420281</v>
      </c>
    </row>
    <row r="240" spans="1:25">
      <c r="A240" s="58">
        <v>239</v>
      </c>
      <c r="B240" s="58">
        <v>239</v>
      </c>
      <c r="C240" s="58" t="s">
        <v>611</v>
      </c>
      <c r="D240" s="58" t="s">
        <v>234</v>
      </c>
      <c r="E240" s="58" t="s">
        <v>234</v>
      </c>
      <c r="F240" s="58" t="s">
        <v>316</v>
      </c>
      <c r="G240" s="58" t="s">
        <v>317</v>
      </c>
      <c r="H240" s="58" t="s">
        <v>199</v>
      </c>
      <c r="I240">
        <v>110000</v>
      </c>
      <c r="J240">
        <v>110000</v>
      </c>
      <c r="K240">
        <v>38000</v>
      </c>
      <c r="L240" s="74">
        <v>28.425999999999998</v>
      </c>
      <c r="M240" s="85">
        <v>29</v>
      </c>
      <c r="N240" s="74">
        <v>1.0940000000000001</v>
      </c>
      <c r="O240">
        <v>1</v>
      </c>
      <c r="P240" s="84">
        <v>0.82050000000000001</v>
      </c>
      <c r="Q240" s="86">
        <v>6.9</v>
      </c>
      <c r="R240" s="85">
        <v>6.9</v>
      </c>
      <c r="S240" s="87">
        <v>2944770</v>
      </c>
      <c r="T240" s="1">
        <v>7</v>
      </c>
      <c r="U240" s="88">
        <v>426778.26086956519</v>
      </c>
      <c r="V240" s="59">
        <v>2.3431371550239919</v>
      </c>
      <c r="X240" s="98">
        <v>51.75</v>
      </c>
      <c r="Y240" s="97">
        <v>66.631497584541066</v>
      </c>
    </row>
    <row r="241" spans="1:25">
      <c r="A241" s="58">
        <v>240</v>
      </c>
      <c r="B241" s="58">
        <v>240</v>
      </c>
      <c r="C241" s="58" t="s">
        <v>612</v>
      </c>
      <c r="D241" s="58" t="s">
        <v>234</v>
      </c>
      <c r="E241" s="58" t="s">
        <v>234</v>
      </c>
      <c r="F241" s="58" t="s">
        <v>316</v>
      </c>
      <c r="G241" s="58" t="s">
        <v>317</v>
      </c>
      <c r="H241" s="58" t="s">
        <v>199</v>
      </c>
      <c r="I241">
        <v>110000</v>
      </c>
      <c r="J241">
        <v>110000</v>
      </c>
      <c r="K241">
        <v>38000</v>
      </c>
      <c r="L241" s="74">
        <v>27.225000000000001</v>
      </c>
      <c r="M241" s="85">
        <v>28</v>
      </c>
      <c r="N241" s="74">
        <v>15.775</v>
      </c>
      <c r="O241">
        <v>1</v>
      </c>
      <c r="P241" s="84">
        <v>11.831250000000001</v>
      </c>
      <c r="Q241" s="86">
        <v>127.65</v>
      </c>
      <c r="R241" s="85">
        <v>127.65</v>
      </c>
      <c r="S241" s="87">
        <v>10122620</v>
      </c>
      <c r="T241" s="1">
        <v>13</v>
      </c>
      <c r="U241" s="88">
        <v>79299.804151978067</v>
      </c>
      <c r="V241" s="59">
        <v>12.610371623156851</v>
      </c>
      <c r="X241" s="98">
        <v>6.9</v>
      </c>
      <c r="Y241" s="97">
        <v>426.77826086956514</v>
      </c>
    </row>
    <row r="242" spans="1:25">
      <c r="A242" s="58">
        <v>241</v>
      </c>
      <c r="B242" s="58">
        <v>241</v>
      </c>
      <c r="C242" s="58" t="s">
        <v>613</v>
      </c>
      <c r="D242" s="58" t="s">
        <v>182</v>
      </c>
      <c r="E242" s="58" t="s">
        <v>182</v>
      </c>
      <c r="F242" s="58" t="s">
        <v>183</v>
      </c>
      <c r="G242" s="58" t="s">
        <v>184</v>
      </c>
      <c r="H242" s="58" t="s">
        <v>179</v>
      </c>
      <c r="I242">
        <v>38000</v>
      </c>
      <c r="J242">
        <v>38000</v>
      </c>
      <c r="K242" s="58" t="s">
        <v>185</v>
      </c>
      <c r="L242" s="74">
        <v>10.101000000000001</v>
      </c>
      <c r="M242" s="85">
        <v>11</v>
      </c>
      <c r="N242" s="74">
        <v>2.3719999999999999</v>
      </c>
      <c r="O242">
        <v>1</v>
      </c>
      <c r="P242" s="84">
        <v>1.7789999999999999</v>
      </c>
      <c r="Q242" s="86">
        <v>17.25</v>
      </c>
      <c r="R242" s="85">
        <v>17.25</v>
      </c>
      <c r="S242" s="87">
        <v>1120760</v>
      </c>
      <c r="T242" s="1">
        <v>4</v>
      </c>
      <c r="U242" s="88">
        <v>64971.594202898552</v>
      </c>
      <c r="V242" s="59">
        <v>15.391341589635605</v>
      </c>
      <c r="X242" s="98">
        <v>127.65</v>
      </c>
      <c r="Y242" s="97">
        <v>79.299804151978066</v>
      </c>
    </row>
    <row r="243" spans="1:25">
      <c r="A243" s="89">
        <v>242</v>
      </c>
      <c r="B243" s="89">
        <v>242</v>
      </c>
      <c r="C243" s="89" t="s">
        <v>614</v>
      </c>
      <c r="D243" s="58" t="s">
        <v>182</v>
      </c>
      <c r="E243" s="58" t="s">
        <v>182</v>
      </c>
      <c r="F243" s="89" t="s">
        <v>302</v>
      </c>
      <c r="G243" s="89" t="s">
        <v>303</v>
      </c>
      <c r="H243" s="89" t="s">
        <v>179</v>
      </c>
      <c r="I243" s="90">
        <v>38000</v>
      </c>
      <c r="J243" s="90">
        <v>38000</v>
      </c>
      <c r="K243" s="89" t="s">
        <v>185</v>
      </c>
      <c r="L243" s="91">
        <v>10.846</v>
      </c>
      <c r="M243" s="92">
        <v>11</v>
      </c>
      <c r="N243" s="91">
        <v>10.837</v>
      </c>
      <c r="O243" s="90">
        <v>1</v>
      </c>
      <c r="P243" s="92">
        <v>8.1277499999999989</v>
      </c>
      <c r="Q243" s="93">
        <v>86.25</v>
      </c>
      <c r="R243" s="92">
        <v>86.25</v>
      </c>
      <c r="S243" s="87">
        <v>3237370</v>
      </c>
      <c r="T243" s="94">
        <v>11</v>
      </c>
      <c r="U243" s="95">
        <v>37534.72463768116</v>
      </c>
      <c r="V243" s="96">
        <v>26.6419964353781</v>
      </c>
      <c r="X243" s="98">
        <v>17.25</v>
      </c>
      <c r="Y243" s="97">
        <v>64.971594202898558</v>
      </c>
    </row>
    <row r="244" spans="1:25">
      <c r="A244" s="89">
        <v>243</v>
      </c>
      <c r="B244" s="89">
        <v>243</v>
      </c>
      <c r="C244" s="89" t="s">
        <v>615</v>
      </c>
      <c r="D244" s="58" t="s">
        <v>234</v>
      </c>
      <c r="E244" s="58" t="s">
        <v>234</v>
      </c>
      <c r="F244" s="89" t="s">
        <v>235</v>
      </c>
      <c r="G244" s="89" t="s">
        <v>236</v>
      </c>
      <c r="H244" s="89" t="s">
        <v>179</v>
      </c>
      <c r="I244" s="90">
        <v>38000</v>
      </c>
      <c r="J244" s="90">
        <v>38000</v>
      </c>
      <c r="K244" s="90">
        <v>20000</v>
      </c>
      <c r="L244" s="91">
        <v>5.4859999999999998</v>
      </c>
      <c r="M244" s="92">
        <v>6</v>
      </c>
      <c r="N244" s="91">
        <v>14.814</v>
      </c>
      <c r="O244" s="90">
        <v>1</v>
      </c>
      <c r="P244" s="92">
        <v>11.1105</v>
      </c>
      <c r="Q244" s="93">
        <v>120.75</v>
      </c>
      <c r="R244" s="92">
        <v>120.75</v>
      </c>
      <c r="S244" s="87">
        <v>2183320</v>
      </c>
      <c r="T244" s="94">
        <v>11</v>
      </c>
      <c r="U244" s="95">
        <v>18081.325051759835</v>
      </c>
      <c r="V244" s="96">
        <v>55.305681256068738</v>
      </c>
      <c r="X244" s="98">
        <v>86.25</v>
      </c>
      <c r="Y244" s="97">
        <v>37.534724637681165</v>
      </c>
    </row>
    <row r="245" spans="1:25">
      <c r="A245" s="58">
        <v>244</v>
      </c>
      <c r="B245" s="58">
        <v>244</v>
      </c>
      <c r="C245" s="58" t="s">
        <v>616</v>
      </c>
      <c r="D245" s="58" t="s">
        <v>234</v>
      </c>
      <c r="E245" s="58" t="s">
        <v>234</v>
      </c>
      <c r="F245" s="58" t="s">
        <v>235</v>
      </c>
      <c r="G245" s="58" t="s">
        <v>236</v>
      </c>
      <c r="H245" s="58" t="s">
        <v>179</v>
      </c>
      <c r="I245">
        <v>38000</v>
      </c>
      <c r="J245">
        <v>38000</v>
      </c>
      <c r="K245">
        <v>20000</v>
      </c>
      <c r="L245" s="74">
        <v>2.0659999999999998</v>
      </c>
      <c r="M245" s="85">
        <v>3</v>
      </c>
      <c r="N245" s="74">
        <v>2.7069999999999999</v>
      </c>
      <c r="O245">
        <v>1</v>
      </c>
      <c r="P245" s="84">
        <v>2.0302499999999997</v>
      </c>
      <c r="Q245" s="86">
        <v>20.700000000000003</v>
      </c>
      <c r="R245" s="85">
        <v>20.700000000000003</v>
      </c>
      <c r="S245" s="87">
        <v>558600</v>
      </c>
      <c r="T245" s="1">
        <v>4</v>
      </c>
      <c r="U245" s="88">
        <v>26985.507246376808</v>
      </c>
      <c r="V245" s="59">
        <v>37.056928034371651</v>
      </c>
      <c r="X245" s="98">
        <v>120.75</v>
      </c>
      <c r="Y245" s="97">
        <v>18.081325051759833</v>
      </c>
    </row>
    <row r="246" spans="1:25">
      <c r="A246" s="58">
        <v>245</v>
      </c>
      <c r="B246" s="58">
        <v>245</v>
      </c>
      <c r="C246" s="58" t="s">
        <v>617</v>
      </c>
      <c r="D246" s="58" t="s">
        <v>234</v>
      </c>
      <c r="E246" s="58" t="s">
        <v>234</v>
      </c>
      <c r="F246" s="58" t="s">
        <v>323</v>
      </c>
      <c r="G246" s="58" t="s">
        <v>324</v>
      </c>
      <c r="H246" s="58" t="s">
        <v>179</v>
      </c>
      <c r="I246">
        <v>38000</v>
      </c>
      <c r="J246">
        <v>38000</v>
      </c>
      <c r="K246">
        <v>20000</v>
      </c>
      <c r="L246" s="74">
        <v>8.6039999999999992</v>
      </c>
      <c r="M246" s="85">
        <v>9</v>
      </c>
      <c r="N246" s="74">
        <v>2.8319999999999999</v>
      </c>
      <c r="O246">
        <v>1</v>
      </c>
      <c r="P246" s="84">
        <v>2.1239999999999997</v>
      </c>
      <c r="Q246" s="86">
        <v>20.700000000000003</v>
      </c>
      <c r="R246" s="85">
        <v>20.700000000000003</v>
      </c>
      <c r="S246" s="87">
        <v>980220</v>
      </c>
      <c r="T246" s="1">
        <v>4</v>
      </c>
      <c r="U246" s="88">
        <v>47353.623188405792</v>
      </c>
      <c r="V246" s="59">
        <v>21.117708269572141</v>
      </c>
      <c r="X246" s="98">
        <v>20.700000000000003</v>
      </c>
      <c r="Y246" s="97">
        <v>26.985507246376805</v>
      </c>
    </row>
    <row r="247" spans="1:25">
      <c r="A247" s="89">
        <v>246</v>
      </c>
      <c r="B247" s="89">
        <v>246</v>
      </c>
      <c r="C247" s="89" t="s">
        <v>618</v>
      </c>
      <c r="D247" s="58" t="s">
        <v>234</v>
      </c>
      <c r="E247" s="58" t="s">
        <v>234</v>
      </c>
      <c r="F247" s="89" t="s">
        <v>323</v>
      </c>
      <c r="G247" s="89" t="s">
        <v>324</v>
      </c>
      <c r="H247" s="89" t="s">
        <v>179</v>
      </c>
      <c r="I247" s="90">
        <v>38000</v>
      </c>
      <c r="J247" s="90">
        <v>38000</v>
      </c>
      <c r="K247" s="90">
        <v>20000</v>
      </c>
      <c r="L247" s="91">
        <v>12.316000000000001</v>
      </c>
      <c r="M247" s="92">
        <v>13</v>
      </c>
      <c r="N247" s="91">
        <v>9.6349999999999998</v>
      </c>
      <c r="O247" s="90">
        <v>1</v>
      </c>
      <c r="P247" s="92">
        <v>7.2262500000000003</v>
      </c>
      <c r="Q247" s="93">
        <v>79.350000000000009</v>
      </c>
      <c r="R247" s="92">
        <v>79.350000000000009</v>
      </c>
      <c r="S247" s="87">
        <v>3658990</v>
      </c>
      <c r="T247" s="94">
        <v>11</v>
      </c>
      <c r="U247" s="95">
        <v>46112.035286704471</v>
      </c>
      <c r="V247" s="96">
        <v>21.686312343023626</v>
      </c>
      <c r="X247" s="98">
        <v>20.700000000000003</v>
      </c>
      <c r="Y247" s="97">
        <v>47.353623188405798</v>
      </c>
    </row>
    <row r="248" spans="1:25">
      <c r="A248" s="58">
        <v>247</v>
      </c>
      <c r="B248" s="58">
        <v>247</v>
      </c>
      <c r="C248" s="58" t="s">
        <v>619</v>
      </c>
      <c r="D248" s="58" t="s">
        <v>234</v>
      </c>
      <c r="E248" s="58" t="s">
        <v>234</v>
      </c>
      <c r="F248" s="58" t="s">
        <v>326</v>
      </c>
      <c r="G248" s="58" t="s">
        <v>327</v>
      </c>
      <c r="H248" s="58" t="s">
        <v>199</v>
      </c>
      <c r="I248">
        <v>110000</v>
      </c>
      <c r="J248">
        <v>110000</v>
      </c>
      <c r="K248">
        <v>38000</v>
      </c>
      <c r="L248" s="74">
        <v>11.611000000000001</v>
      </c>
      <c r="M248" s="85">
        <v>12</v>
      </c>
      <c r="N248" s="74">
        <v>1.1719999999999999</v>
      </c>
      <c r="O248">
        <v>1</v>
      </c>
      <c r="P248" s="84">
        <v>0.879</v>
      </c>
      <c r="Q248" s="86">
        <v>6.9</v>
      </c>
      <c r="R248" s="85">
        <v>6.9</v>
      </c>
      <c r="S248" s="87">
        <v>2048870</v>
      </c>
      <c r="T248" s="1">
        <v>7</v>
      </c>
      <c r="U248" s="88">
        <v>296937.68115942029</v>
      </c>
      <c r="V248" s="59">
        <v>3.3677100060033092</v>
      </c>
      <c r="X248" s="98">
        <v>79.350000000000009</v>
      </c>
      <c r="Y248" s="97">
        <v>46.112035286704469</v>
      </c>
    </row>
    <row r="249" spans="1:25">
      <c r="A249" s="58">
        <v>248</v>
      </c>
      <c r="B249" s="58">
        <v>248</v>
      </c>
      <c r="C249" s="58" t="s">
        <v>620</v>
      </c>
      <c r="D249" s="58" t="s">
        <v>234</v>
      </c>
      <c r="E249" s="58" t="s">
        <v>234</v>
      </c>
      <c r="F249" s="58" t="s">
        <v>329</v>
      </c>
      <c r="G249" s="58" t="s">
        <v>330</v>
      </c>
      <c r="H249" s="58" t="s">
        <v>179</v>
      </c>
      <c r="I249">
        <v>38000</v>
      </c>
      <c r="J249">
        <v>38000</v>
      </c>
      <c r="K249" s="58" t="s">
        <v>185</v>
      </c>
      <c r="L249" s="74">
        <v>5.2160000000000002</v>
      </c>
      <c r="M249" s="85">
        <v>6</v>
      </c>
      <c r="N249" s="74">
        <v>2.556</v>
      </c>
      <c r="O249">
        <v>1</v>
      </c>
      <c r="P249" s="84">
        <v>1.917</v>
      </c>
      <c r="Q249" s="86">
        <v>20.700000000000003</v>
      </c>
      <c r="R249" s="85">
        <v>20.700000000000003</v>
      </c>
      <c r="S249" s="87">
        <v>769410</v>
      </c>
      <c r="T249" s="1">
        <v>4</v>
      </c>
      <c r="U249" s="88">
        <v>37169.565217391297</v>
      </c>
      <c r="V249" s="59">
        <v>26.903731430576681</v>
      </c>
      <c r="X249" s="98">
        <v>6.9</v>
      </c>
      <c r="Y249" s="97">
        <v>296.93768115942026</v>
      </c>
    </row>
    <row r="250" spans="1:25">
      <c r="A250" s="58">
        <v>249</v>
      </c>
      <c r="B250" s="58">
        <v>249</v>
      </c>
      <c r="C250" s="58" t="s">
        <v>621</v>
      </c>
      <c r="D250" s="58" t="s">
        <v>234</v>
      </c>
      <c r="E250" s="58" t="s">
        <v>234</v>
      </c>
      <c r="F250" s="58" t="s">
        <v>329</v>
      </c>
      <c r="G250" s="58" t="s">
        <v>330</v>
      </c>
      <c r="H250" s="58" t="s">
        <v>179</v>
      </c>
      <c r="I250">
        <v>38000</v>
      </c>
      <c r="J250">
        <v>38000</v>
      </c>
      <c r="K250" s="58" t="s">
        <v>185</v>
      </c>
      <c r="L250" s="74">
        <v>6.9989999999999997</v>
      </c>
      <c r="M250" s="85">
        <v>7</v>
      </c>
      <c r="N250" s="74">
        <v>0.75800000000000001</v>
      </c>
      <c r="O250">
        <v>1</v>
      </c>
      <c r="P250" s="84">
        <v>0.56850000000000001</v>
      </c>
      <c r="Q250" s="86">
        <v>3.45</v>
      </c>
      <c r="R250" s="85">
        <v>3.45</v>
      </c>
      <c r="S250" s="87">
        <v>839680</v>
      </c>
      <c r="T250" s="1">
        <v>4</v>
      </c>
      <c r="U250" s="88">
        <v>243385.5072463768</v>
      </c>
      <c r="V250" s="59">
        <v>4.1087080792682924</v>
      </c>
      <c r="X250" s="98">
        <v>20.700000000000003</v>
      </c>
      <c r="Y250" s="97">
        <v>37.169565217391295</v>
      </c>
    </row>
    <row r="251" spans="1:25">
      <c r="A251" s="58">
        <v>250</v>
      </c>
      <c r="B251" s="58">
        <v>250</v>
      </c>
      <c r="C251" s="58" t="s">
        <v>622</v>
      </c>
      <c r="D251" s="58" t="s">
        <v>234</v>
      </c>
      <c r="E251" s="58" t="s">
        <v>234</v>
      </c>
      <c r="F251" s="58" t="s">
        <v>623</v>
      </c>
      <c r="G251" s="58" t="s">
        <v>624</v>
      </c>
      <c r="H251" s="58" t="s">
        <v>179</v>
      </c>
      <c r="I251">
        <v>38000</v>
      </c>
      <c r="J251">
        <v>38000</v>
      </c>
      <c r="K251" s="58" t="s">
        <v>185</v>
      </c>
      <c r="L251" s="74">
        <v>13.885</v>
      </c>
      <c r="M251" s="85">
        <v>14</v>
      </c>
      <c r="N251" s="74">
        <v>0.78200000000000003</v>
      </c>
      <c r="O251">
        <v>1</v>
      </c>
      <c r="P251" s="84">
        <v>0.58650000000000002</v>
      </c>
      <c r="Q251" s="86">
        <v>3.45</v>
      </c>
      <c r="R251" s="85">
        <v>3.45</v>
      </c>
      <c r="S251" s="87">
        <v>1597940</v>
      </c>
      <c r="T251" s="1">
        <v>1</v>
      </c>
      <c r="U251" s="88">
        <v>463171.0144927536</v>
      </c>
      <c r="V251" s="59">
        <v>2.1590297508041605</v>
      </c>
      <c r="X251" s="98">
        <v>3.45</v>
      </c>
      <c r="Y251" s="97">
        <v>243.38550724637682</v>
      </c>
    </row>
    <row r="252" spans="1:25">
      <c r="A252" s="58">
        <v>251</v>
      </c>
      <c r="B252" s="58">
        <v>251</v>
      </c>
      <c r="C252" s="58" t="s">
        <v>625</v>
      </c>
      <c r="D252" s="58" t="s">
        <v>234</v>
      </c>
      <c r="E252" s="58" t="s">
        <v>234</v>
      </c>
      <c r="F252" s="58" t="s">
        <v>623</v>
      </c>
      <c r="G252" s="58" t="s">
        <v>624</v>
      </c>
      <c r="H252" s="58" t="s">
        <v>179</v>
      </c>
      <c r="I252">
        <v>38000</v>
      </c>
      <c r="J252">
        <v>38000</v>
      </c>
      <c r="K252" s="58" t="s">
        <v>185</v>
      </c>
      <c r="L252" s="74">
        <v>8.2050000000000001</v>
      </c>
      <c r="M252" s="85">
        <v>9</v>
      </c>
      <c r="N252" s="74">
        <v>1</v>
      </c>
      <c r="O252">
        <v>1</v>
      </c>
      <c r="P252" s="84">
        <v>0.75</v>
      </c>
      <c r="Q252" s="86">
        <v>6.9</v>
      </c>
      <c r="R252" s="85">
        <v>6.9</v>
      </c>
      <c r="S252" s="87">
        <v>1379800</v>
      </c>
      <c r="T252" s="1">
        <v>2</v>
      </c>
      <c r="U252" s="88">
        <v>199971.0144927536</v>
      </c>
      <c r="V252" s="59">
        <v>5.0007247427163355</v>
      </c>
      <c r="X252" s="98">
        <v>3.45</v>
      </c>
      <c r="Y252" s="97">
        <v>463.17101449275361</v>
      </c>
    </row>
    <row r="253" spans="1:25">
      <c r="A253" s="58">
        <v>252</v>
      </c>
      <c r="B253" s="58">
        <v>252</v>
      </c>
      <c r="C253" s="58" t="s">
        <v>626</v>
      </c>
      <c r="D253" s="58" t="s">
        <v>234</v>
      </c>
      <c r="E253" s="58" t="s">
        <v>234</v>
      </c>
      <c r="F253" s="58" t="s">
        <v>623</v>
      </c>
      <c r="G253" s="58" t="s">
        <v>624</v>
      </c>
      <c r="H253" s="58" t="s">
        <v>179</v>
      </c>
      <c r="I253">
        <v>38000</v>
      </c>
      <c r="J253">
        <v>38000</v>
      </c>
      <c r="K253" s="58" t="s">
        <v>185</v>
      </c>
      <c r="L253" s="74">
        <v>5.9619999999999997</v>
      </c>
      <c r="M253" s="85">
        <v>6</v>
      </c>
      <c r="N253" s="74">
        <v>0.52400000000000002</v>
      </c>
      <c r="O253">
        <v>1</v>
      </c>
      <c r="P253" s="84">
        <v>0.52400000000000002</v>
      </c>
      <c r="Q253" s="86">
        <v>3.45</v>
      </c>
      <c r="R253" s="85">
        <v>3.45</v>
      </c>
      <c r="S253" s="87">
        <v>769410</v>
      </c>
      <c r="T253" s="1">
        <v>4</v>
      </c>
      <c r="U253" s="88">
        <v>223017.39130434781</v>
      </c>
      <c r="V253" s="59">
        <v>4.4839552384294459</v>
      </c>
      <c r="X253" s="98">
        <v>6.9</v>
      </c>
      <c r="Y253" s="97">
        <v>199.9710144927536</v>
      </c>
    </row>
    <row r="254" spans="1:25">
      <c r="A254" s="58">
        <v>253</v>
      </c>
      <c r="B254" s="58">
        <v>253</v>
      </c>
      <c r="C254" s="58" t="s">
        <v>627</v>
      </c>
      <c r="D254" s="58" t="s">
        <v>234</v>
      </c>
      <c r="E254" s="58" t="s">
        <v>234</v>
      </c>
      <c r="F254" s="58" t="s">
        <v>623</v>
      </c>
      <c r="G254" s="58" t="s">
        <v>624</v>
      </c>
      <c r="H254" s="58" t="s">
        <v>179</v>
      </c>
      <c r="I254">
        <v>38000</v>
      </c>
      <c r="J254">
        <v>38000</v>
      </c>
      <c r="K254" s="58" t="s">
        <v>185</v>
      </c>
      <c r="L254" s="74">
        <v>7.9329999999999998</v>
      </c>
      <c r="M254" s="85">
        <v>8</v>
      </c>
      <c r="N254" s="74">
        <v>4.2469999999999999</v>
      </c>
      <c r="O254">
        <v>1</v>
      </c>
      <c r="P254" s="84">
        <v>3.1852499999999999</v>
      </c>
      <c r="Q254" s="86">
        <v>34.5</v>
      </c>
      <c r="R254" s="85">
        <v>34.5</v>
      </c>
      <c r="S254" s="87">
        <v>1237870</v>
      </c>
      <c r="T254" s="1">
        <v>6</v>
      </c>
      <c r="U254" s="88">
        <v>35880.289855072464</v>
      </c>
      <c r="V254" s="59">
        <v>27.87045489429423</v>
      </c>
      <c r="X254" s="98">
        <v>3.45</v>
      </c>
      <c r="Y254" s="97">
        <v>223.0173913043478</v>
      </c>
    </row>
    <row r="255" spans="1:25">
      <c r="A255" s="58">
        <v>254</v>
      </c>
      <c r="B255" s="58">
        <v>254</v>
      </c>
      <c r="C255" s="58" t="s">
        <v>628</v>
      </c>
      <c r="D255" s="58" t="s">
        <v>234</v>
      </c>
      <c r="E255" s="58" t="s">
        <v>234</v>
      </c>
      <c r="F255" s="58" t="s">
        <v>623</v>
      </c>
      <c r="G255" s="58" t="s">
        <v>624</v>
      </c>
      <c r="H255" s="58" t="s">
        <v>179</v>
      </c>
      <c r="I255">
        <v>38000</v>
      </c>
      <c r="J255">
        <v>38000</v>
      </c>
      <c r="K255" s="58" t="s">
        <v>185</v>
      </c>
      <c r="L255" s="74">
        <v>9.3209999999999997</v>
      </c>
      <c r="M255" s="85">
        <v>10</v>
      </c>
      <c r="N255" s="74">
        <v>0.64800000000000002</v>
      </c>
      <c r="O255">
        <v>1</v>
      </c>
      <c r="P255" s="84">
        <v>0.48599999999999999</v>
      </c>
      <c r="Q255" s="86">
        <v>3.45</v>
      </c>
      <c r="R255" s="85">
        <v>3.45</v>
      </c>
      <c r="S255" s="87">
        <v>1387140</v>
      </c>
      <c r="T255" s="1">
        <v>1</v>
      </c>
      <c r="U255" s="88">
        <v>402069.5652173913</v>
      </c>
      <c r="V255" s="59">
        <v>2.487131796357974</v>
      </c>
      <c r="X255" s="98">
        <v>34.5</v>
      </c>
      <c r="Y255" s="97">
        <v>35.880289855072469</v>
      </c>
    </row>
    <row r="256" spans="1:25">
      <c r="A256" s="58">
        <v>255</v>
      </c>
      <c r="B256" s="58">
        <v>255</v>
      </c>
      <c r="C256" s="58" t="s">
        <v>629</v>
      </c>
      <c r="D256" s="58" t="s">
        <v>234</v>
      </c>
      <c r="E256" s="58" t="s">
        <v>234</v>
      </c>
      <c r="F256" s="58" t="s">
        <v>630</v>
      </c>
      <c r="G256" s="58" t="s">
        <v>631</v>
      </c>
      <c r="H256" s="58" t="s">
        <v>179</v>
      </c>
      <c r="I256">
        <v>38000</v>
      </c>
      <c r="J256" s="58" t="s">
        <v>185</v>
      </c>
      <c r="K256">
        <v>38000</v>
      </c>
      <c r="L256" s="74">
        <v>3.8290000000000002</v>
      </c>
      <c r="M256" s="85">
        <v>4</v>
      </c>
      <c r="N256" s="74">
        <v>1.46</v>
      </c>
      <c r="O256">
        <v>1</v>
      </c>
      <c r="P256" s="84">
        <v>1.095</v>
      </c>
      <c r="Q256" s="86">
        <v>10.350000000000001</v>
      </c>
      <c r="R256" s="85">
        <v>10.350000000000001</v>
      </c>
      <c r="S256" s="87">
        <v>628870</v>
      </c>
      <c r="T256" s="1">
        <v>4</v>
      </c>
      <c r="U256" s="88">
        <v>60760.386473429942</v>
      </c>
      <c r="V256" s="59">
        <v>16.458091497447807</v>
      </c>
      <c r="X256" s="98">
        <v>3.45</v>
      </c>
      <c r="Y256" s="97">
        <v>402.0695652173913</v>
      </c>
    </row>
    <row r="257" spans="1:25">
      <c r="A257" s="58">
        <v>256</v>
      </c>
      <c r="B257" s="58">
        <v>256</v>
      </c>
      <c r="C257" s="58" t="s">
        <v>632</v>
      </c>
      <c r="D257" s="58" t="s">
        <v>234</v>
      </c>
      <c r="E257" s="58" t="s">
        <v>234</v>
      </c>
      <c r="F257" s="58" t="s">
        <v>329</v>
      </c>
      <c r="G257" s="58" t="s">
        <v>330</v>
      </c>
      <c r="H257" s="58" t="s">
        <v>179</v>
      </c>
      <c r="I257">
        <v>38000</v>
      </c>
      <c r="J257">
        <v>38000</v>
      </c>
      <c r="K257" s="58" t="s">
        <v>185</v>
      </c>
      <c r="L257" s="74">
        <v>20.891999999999999</v>
      </c>
      <c r="M257" s="85">
        <v>21</v>
      </c>
      <c r="N257" s="74">
        <v>2.12</v>
      </c>
      <c r="O257">
        <v>1</v>
      </c>
      <c r="P257" s="84">
        <v>1.59</v>
      </c>
      <c r="Q257" s="86">
        <v>17.25</v>
      </c>
      <c r="R257" s="85">
        <v>17.25</v>
      </c>
      <c r="S257" s="87">
        <v>1823460</v>
      </c>
      <c r="T257" s="1">
        <v>4</v>
      </c>
      <c r="U257" s="88">
        <v>105707.82608695653</v>
      </c>
      <c r="V257" s="59">
        <v>9.460037511105261</v>
      </c>
      <c r="X257" s="98">
        <v>10.350000000000001</v>
      </c>
      <c r="Y257" s="97">
        <v>60.760386473429939</v>
      </c>
    </row>
    <row r="258" spans="1:25">
      <c r="A258" s="58">
        <v>257</v>
      </c>
      <c r="B258" s="58">
        <v>257</v>
      </c>
      <c r="C258" s="58" t="s">
        <v>633</v>
      </c>
      <c r="D258" s="58" t="s">
        <v>234</v>
      </c>
      <c r="E258" s="58" t="s">
        <v>234</v>
      </c>
      <c r="F258" s="58" t="s">
        <v>329</v>
      </c>
      <c r="G258" s="58" t="s">
        <v>330</v>
      </c>
      <c r="H258" s="58" t="s">
        <v>179</v>
      </c>
      <c r="I258">
        <v>38000</v>
      </c>
      <c r="J258">
        <v>38000</v>
      </c>
      <c r="K258" s="58" t="s">
        <v>185</v>
      </c>
      <c r="L258" s="74">
        <v>19.36</v>
      </c>
      <c r="M258" s="85">
        <v>20</v>
      </c>
      <c r="N258" s="74">
        <v>4.4329999999999998</v>
      </c>
      <c r="O258">
        <v>1</v>
      </c>
      <c r="P258" s="84">
        <v>3.3247499999999999</v>
      </c>
      <c r="Q258" s="86">
        <v>34.5</v>
      </c>
      <c r="R258" s="85">
        <v>34.5</v>
      </c>
      <c r="S258" s="87">
        <v>2572990</v>
      </c>
      <c r="T258" s="1">
        <v>6</v>
      </c>
      <c r="U258" s="88">
        <v>74579.420289855072</v>
      </c>
      <c r="V258" s="59">
        <v>13.408524712494025</v>
      </c>
      <c r="X258" s="98">
        <v>17.25</v>
      </c>
      <c r="Y258" s="97">
        <v>105.70782608695653</v>
      </c>
    </row>
    <row r="259" spans="1:25">
      <c r="A259" s="58">
        <v>258</v>
      </c>
      <c r="B259" s="58">
        <v>258</v>
      </c>
      <c r="C259" s="58" t="s">
        <v>634</v>
      </c>
      <c r="D259" s="58" t="s">
        <v>234</v>
      </c>
      <c r="E259" s="58" t="s">
        <v>234</v>
      </c>
      <c r="F259" s="58" t="s">
        <v>329</v>
      </c>
      <c r="G259" s="58" t="s">
        <v>330</v>
      </c>
      <c r="H259" s="58" t="s">
        <v>179</v>
      </c>
      <c r="I259">
        <v>38000</v>
      </c>
      <c r="J259">
        <v>38000</v>
      </c>
      <c r="K259" s="58" t="s">
        <v>185</v>
      </c>
      <c r="L259" s="74">
        <v>19.861999999999998</v>
      </c>
      <c r="M259" s="85">
        <v>20</v>
      </c>
      <c r="N259" s="74">
        <v>4.7009999999999996</v>
      </c>
      <c r="O259">
        <v>1</v>
      </c>
      <c r="P259" s="84">
        <v>3.5257499999999995</v>
      </c>
      <c r="Q259" s="86">
        <v>37.950000000000003</v>
      </c>
      <c r="R259" s="85">
        <v>37.950000000000003</v>
      </c>
      <c r="S259" s="87">
        <v>2572990</v>
      </c>
      <c r="T259" s="1">
        <v>6</v>
      </c>
      <c r="U259" s="88">
        <v>67799.472990777329</v>
      </c>
      <c r="V259" s="59">
        <v>14.749377183743427</v>
      </c>
      <c r="X259" s="98">
        <v>34.5</v>
      </c>
      <c r="Y259" s="97">
        <v>74.579420289855079</v>
      </c>
    </row>
    <row r="260" spans="1:25">
      <c r="A260" s="58">
        <v>259</v>
      </c>
      <c r="B260" s="58">
        <v>259</v>
      </c>
      <c r="C260" s="58" t="s">
        <v>635</v>
      </c>
      <c r="D260" s="58" t="s">
        <v>234</v>
      </c>
      <c r="E260" s="58" t="s">
        <v>234</v>
      </c>
      <c r="F260" s="58" t="s">
        <v>329</v>
      </c>
      <c r="G260" s="58" t="s">
        <v>330</v>
      </c>
      <c r="H260" s="58" t="s">
        <v>179</v>
      </c>
      <c r="I260">
        <v>38000</v>
      </c>
      <c r="J260">
        <v>38000</v>
      </c>
      <c r="K260" s="58" t="s">
        <v>185</v>
      </c>
      <c r="L260" s="74">
        <v>18.649000000000001</v>
      </c>
      <c r="M260" s="85">
        <v>19</v>
      </c>
      <c r="N260" s="74">
        <v>3.5939999999999999</v>
      </c>
      <c r="O260">
        <v>1</v>
      </c>
      <c r="P260" s="84">
        <v>2.6955</v>
      </c>
      <c r="Q260" s="86">
        <v>27.6</v>
      </c>
      <c r="R260" s="85">
        <v>27.6</v>
      </c>
      <c r="S260" s="87">
        <v>2035560</v>
      </c>
      <c r="T260" s="1">
        <v>5</v>
      </c>
      <c r="U260" s="88">
        <v>73752.173913043473</v>
      </c>
      <c r="V260" s="59">
        <v>13.558922360431527</v>
      </c>
      <c r="X260" s="98">
        <v>37.950000000000003</v>
      </c>
      <c r="Y260" s="97">
        <v>67.799472990777332</v>
      </c>
    </row>
    <row r="261" spans="1:25">
      <c r="A261" s="58">
        <v>260</v>
      </c>
      <c r="B261" s="58">
        <v>260</v>
      </c>
      <c r="C261" s="58" t="s">
        <v>636</v>
      </c>
      <c r="D261" s="58" t="s">
        <v>234</v>
      </c>
      <c r="E261" s="58" t="s">
        <v>234</v>
      </c>
      <c r="F261" s="58" t="s">
        <v>329</v>
      </c>
      <c r="G261" s="58" t="s">
        <v>330</v>
      </c>
      <c r="H261" s="58" t="s">
        <v>179</v>
      </c>
      <c r="I261">
        <v>38000</v>
      </c>
      <c r="J261">
        <v>38000</v>
      </c>
      <c r="K261" s="58" t="s">
        <v>185</v>
      </c>
      <c r="L261" s="74">
        <v>5.2489999999999997</v>
      </c>
      <c r="M261" s="85">
        <v>6</v>
      </c>
      <c r="N261" s="74">
        <v>4.0869999999999997</v>
      </c>
      <c r="O261">
        <v>1</v>
      </c>
      <c r="P261" s="84">
        <v>3.0652499999999998</v>
      </c>
      <c r="Q261" s="86">
        <v>31.05</v>
      </c>
      <c r="R261" s="85">
        <v>31.05</v>
      </c>
      <c r="S261" s="87">
        <v>1015350</v>
      </c>
      <c r="T261" s="1">
        <v>6</v>
      </c>
      <c r="U261" s="88">
        <v>32700.483091787439</v>
      </c>
      <c r="V261" s="59">
        <v>30.580587974590042</v>
      </c>
      <c r="X261" s="98">
        <v>27.6</v>
      </c>
      <c r="Y261" s="97">
        <v>73.752173913043478</v>
      </c>
    </row>
    <row r="262" spans="1:25">
      <c r="A262" s="89">
        <v>261</v>
      </c>
      <c r="B262" s="89">
        <v>261</v>
      </c>
      <c r="C262" s="89" t="s">
        <v>637</v>
      </c>
      <c r="D262" s="58" t="s">
        <v>234</v>
      </c>
      <c r="E262" s="58" t="s">
        <v>234</v>
      </c>
      <c r="F262" s="89" t="s">
        <v>329</v>
      </c>
      <c r="G262" s="89" t="s">
        <v>330</v>
      </c>
      <c r="H262" s="89" t="s">
        <v>179</v>
      </c>
      <c r="I262" s="90">
        <v>38000</v>
      </c>
      <c r="J262" s="90">
        <v>38000</v>
      </c>
      <c r="K262" s="89" t="s">
        <v>185</v>
      </c>
      <c r="L262" s="91">
        <v>7.6340000000000003</v>
      </c>
      <c r="M262" s="92">
        <v>8</v>
      </c>
      <c r="N262" s="91">
        <v>13.5079999999999</v>
      </c>
      <c r="O262" s="90">
        <v>1</v>
      </c>
      <c r="P262" s="92">
        <v>10.130999999999926</v>
      </c>
      <c r="Q262" s="93">
        <v>110.4</v>
      </c>
      <c r="R262" s="92">
        <v>110.4</v>
      </c>
      <c r="S262" s="87">
        <v>2604940</v>
      </c>
      <c r="T262" s="94">
        <v>11</v>
      </c>
      <c r="U262" s="95">
        <v>23595.471014492752</v>
      </c>
      <c r="V262" s="96">
        <v>42.381014533924009</v>
      </c>
      <c r="X262" s="98">
        <v>31.05</v>
      </c>
      <c r="Y262" s="97">
        <v>32.70048309178744</v>
      </c>
    </row>
    <row r="263" spans="1:25">
      <c r="A263" s="58">
        <v>262</v>
      </c>
      <c r="B263" s="58">
        <v>262</v>
      </c>
      <c r="C263" s="58" t="s">
        <v>638</v>
      </c>
      <c r="D263" s="58" t="s">
        <v>234</v>
      </c>
      <c r="E263" s="58" t="s">
        <v>234</v>
      </c>
      <c r="F263" s="58" t="s">
        <v>326</v>
      </c>
      <c r="G263" s="58" t="s">
        <v>327</v>
      </c>
      <c r="H263" s="58" t="s">
        <v>199</v>
      </c>
      <c r="I263">
        <v>110000</v>
      </c>
      <c r="J263">
        <v>110000</v>
      </c>
      <c r="K263">
        <v>38000</v>
      </c>
      <c r="L263" s="74">
        <v>11.935</v>
      </c>
      <c r="M263" s="85">
        <v>12</v>
      </c>
      <c r="N263" s="74">
        <v>1.6559999999999999</v>
      </c>
      <c r="O263">
        <v>1</v>
      </c>
      <c r="P263" s="84">
        <v>1.242</v>
      </c>
      <c r="Q263" s="86">
        <v>10.350000000000001</v>
      </c>
      <c r="R263" s="85">
        <v>10.350000000000001</v>
      </c>
      <c r="S263" s="87">
        <v>2048870</v>
      </c>
      <c r="T263" s="1">
        <v>7</v>
      </c>
      <c r="U263" s="88">
        <v>197958.45410628017</v>
      </c>
      <c r="V263" s="59">
        <v>5.0515650090049649</v>
      </c>
      <c r="X263" s="98">
        <v>110.4</v>
      </c>
      <c r="Y263" s="97">
        <v>23.595471014492752</v>
      </c>
    </row>
    <row r="264" spans="1:25">
      <c r="A264" s="58">
        <v>263</v>
      </c>
      <c r="B264" s="58">
        <v>263</v>
      </c>
      <c r="C264" s="58" t="s">
        <v>639</v>
      </c>
      <c r="D264" s="58" t="s">
        <v>234</v>
      </c>
      <c r="E264" s="58" t="s">
        <v>234</v>
      </c>
      <c r="F264" s="58" t="s">
        <v>326</v>
      </c>
      <c r="G264" s="58" t="s">
        <v>327</v>
      </c>
      <c r="H264" s="58" t="s">
        <v>199</v>
      </c>
      <c r="I264">
        <v>110000</v>
      </c>
      <c r="J264">
        <v>110000</v>
      </c>
      <c r="K264">
        <v>38000</v>
      </c>
      <c r="L264" s="74">
        <v>12.837999999999999</v>
      </c>
      <c r="M264" s="85">
        <v>13</v>
      </c>
      <c r="N264" s="74">
        <v>0.60899999999999999</v>
      </c>
      <c r="O264">
        <v>1</v>
      </c>
      <c r="P264" s="84">
        <v>0.45674999999999999</v>
      </c>
      <c r="Q264" s="86">
        <v>3.45</v>
      </c>
      <c r="R264" s="85">
        <v>3.45</v>
      </c>
      <c r="S264" s="87">
        <v>2101570</v>
      </c>
      <c r="T264" s="1">
        <v>7</v>
      </c>
      <c r="U264" s="88">
        <v>609150.72463768115</v>
      </c>
      <c r="V264" s="59">
        <v>1.6416298291277474</v>
      </c>
      <c r="X264" s="98">
        <v>10.350000000000001</v>
      </c>
      <c r="Y264" s="97">
        <v>197.95845410628019</v>
      </c>
    </row>
    <row r="265" spans="1:25">
      <c r="A265" s="58">
        <v>264</v>
      </c>
      <c r="B265" s="58">
        <v>264</v>
      </c>
      <c r="C265" s="58" t="s">
        <v>640</v>
      </c>
      <c r="D265" s="58" t="s">
        <v>234</v>
      </c>
      <c r="E265" s="58" t="s">
        <v>234</v>
      </c>
      <c r="F265" s="58" t="s">
        <v>341</v>
      </c>
      <c r="G265" s="58" t="s">
        <v>342</v>
      </c>
      <c r="H265" s="58" t="s">
        <v>199</v>
      </c>
      <c r="I265">
        <v>110000</v>
      </c>
      <c r="J265" s="58" t="s">
        <v>185</v>
      </c>
      <c r="K265">
        <v>110000</v>
      </c>
      <c r="L265" s="74">
        <v>14.993</v>
      </c>
      <c r="M265" s="85">
        <v>15</v>
      </c>
      <c r="N265" s="74">
        <v>2.6789999999999998</v>
      </c>
      <c r="O265">
        <v>1</v>
      </c>
      <c r="P265" s="84">
        <v>2.0092499999999998</v>
      </c>
      <c r="Q265" s="86">
        <v>20.700000000000003</v>
      </c>
      <c r="R265" s="85">
        <v>20.700000000000003</v>
      </c>
      <c r="S265" s="87">
        <v>2648760</v>
      </c>
      <c r="T265" s="1">
        <v>8</v>
      </c>
      <c r="U265" s="88">
        <v>127959.42028985506</v>
      </c>
      <c r="V265" s="59">
        <v>7.814977574412179</v>
      </c>
      <c r="X265" s="98">
        <v>3.45</v>
      </c>
      <c r="Y265" s="97">
        <v>609.15072463768115</v>
      </c>
    </row>
    <row r="266" spans="1:25">
      <c r="A266" s="58">
        <v>265</v>
      </c>
      <c r="B266" s="58">
        <v>265</v>
      </c>
      <c r="C266" s="58" t="s">
        <v>641</v>
      </c>
      <c r="D266" s="58" t="s">
        <v>234</v>
      </c>
      <c r="E266" s="58" t="s">
        <v>234</v>
      </c>
      <c r="F266" s="58" t="s">
        <v>326</v>
      </c>
      <c r="G266" s="58" t="s">
        <v>327</v>
      </c>
      <c r="H266" s="58" t="s">
        <v>199</v>
      </c>
      <c r="I266">
        <v>110000</v>
      </c>
      <c r="J266">
        <v>110000</v>
      </c>
      <c r="K266">
        <v>38000</v>
      </c>
      <c r="L266" s="74">
        <v>14.738</v>
      </c>
      <c r="M266" s="85">
        <v>15</v>
      </c>
      <c r="N266" s="74">
        <v>2.0129999999999999</v>
      </c>
      <c r="O266">
        <v>1</v>
      </c>
      <c r="P266" s="84">
        <v>1.5097499999999999</v>
      </c>
      <c r="Q266" s="86">
        <v>13.8</v>
      </c>
      <c r="R266" s="85">
        <v>13.8</v>
      </c>
      <c r="S266" s="87">
        <v>2648760</v>
      </c>
      <c r="T266" s="1">
        <v>8</v>
      </c>
      <c r="U266" s="88">
        <v>191939.13043478259</v>
      </c>
      <c r="V266" s="59">
        <v>5.2099850496081181</v>
      </c>
      <c r="X266" s="98">
        <v>20.700000000000003</v>
      </c>
      <c r="Y266" s="97">
        <v>127.95942028985505</v>
      </c>
    </row>
    <row r="267" spans="1:25">
      <c r="A267" s="58">
        <v>266</v>
      </c>
      <c r="B267" s="58">
        <v>266</v>
      </c>
      <c r="C267" s="58" t="s">
        <v>642</v>
      </c>
      <c r="D267" s="58" t="s">
        <v>234</v>
      </c>
      <c r="E267" s="58" t="s">
        <v>234</v>
      </c>
      <c r="F267" s="58" t="s">
        <v>326</v>
      </c>
      <c r="G267" s="58" t="s">
        <v>327</v>
      </c>
      <c r="H267" s="58" t="s">
        <v>199</v>
      </c>
      <c r="I267">
        <v>110000</v>
      </c>
      <c r="J267">
        <v>110000</v>
      </c>
      <c r="K267">
        <v>38000</v>
      </c>
      <c r="L267" s="74">
        <v>18.245000000000001</v>
      </c>
      <c r="M267" s="85">
        <v>19</v>
      </c>
      <c r="N267" s="74">
        <v>15.5939999999999</v>
      </c>
      <c r="O267">
        <v>1</v>
      </c>
      <c r="P267" s="84">
        <v>11.695499999999925</v>
      </c>
      <c r="Q267" s="86">
        <v>127.65</v>
      </c>
      <c r="R267" s="85">
        <v>127.65</v>
      </c>
      <c r="S267" s="87">
        <v>7164140</v>
      </c>
      <c r="T267" s="1">
        <v>13</v>
      </c>
      <c r="U267" s="88">
        <v>56123.305914610261</v>
      </c>
      <c r="V267" s="59">
        <v>17.817909756090753</v>
      </c>
      <c r="X267" s="98">
        <v>13.8</v>
      </c>
      <c r="Y267" s="97">
        <v>191.93913043478258</v>
      </c>
    </row>
    <row r="268" spans="1:25">
      <c r="A268" s="58">
        <v>267</v>
      </c>
      <c r="B268" s="58">
        <v>267</v>
      </c>
      <c r="C268" s="58" t="s">
        <v>643</v>
      </c>
      <c r="D268" s="58" t="s">
        <v>234</v>
      </c>
      <c r="E268" s="58" t="s">
        <v>234</v>
      </c>
      <c r="F268" s="58" t="s">
        <v>329</v>
      </c>
      <c r="G268" s="58" t="s">
        <v>330</v>
      </c>
      <c r="H268" s="58" t="s">
        <v>179</v>
      </c>
      <c r="I268">
        <v>38000</v>
      </c>
      <c r="J268">
        <v>38000</v>
      </c>
      <c r="K268" s="58" t="s">
        <v>185</v>
      </c>
      <c r="L268" s="74">
        <v>10.128</v>
      </c>
      <c r="M268" s="85">
        <v>11</v>
      </c>
      <c r="N268" s="74">
        <v>2.2959999999999998</v>
      </c>
      <c r="O268">
        <v>1</v>
      </c>
      <c r="P268" s="84">
        <v>1.722</v>
      </c>
      <c r="Q268" s="86">
        <v>17.25</v>
      </c>
      <c r="R268" s="85">
        <v>17.25</v>
      </c>
      <c r="S268" s="87">
        <v>1120760</v>
      </c>
      <c r="T268" s="1">
        <v>4</v>
      </c>
      <c r="U268" s="88">
        <v>64971.594202898552</v>
      </c>
      <c r="V268" s="59">
        <v>15.391341589635605</v>
      </c>
      <c r="X268" s="98">
        <v>127.65</v>
      </c>
      <c r="Y268" s="97">
        <v>56.123305914610263</v>
      </c>
    </row>
    <row r="269" spans="1:25">
      <c r="A269" s="58">
        <v>268</v>
      </c>
      <c r="B269" s="58">
        <v>268</v>
      </c>
      <c r="C269" s="58" t="s">
        <v>644</v>
      </c>
      <c r="D269" s="58" t="s">
        <v>234</v>
      </c>
      <c r="E269" s="58" t="s">
        <v>234</v>
      </c>
      <c r="F269" s="58" t="s">
        <v>623</v>
      </c>
      <c r="G269" s="58" t="s">
        <v>624</v>
      </c>
      <c r="H269" s="58" t="s">
        <v>179</v>
      </c>
      <c r="I269">
        <v>38000</v>
      </c>
      <c r="J269">
        <v>38000</v>
      </c>
      <c r="K269" s="58" t="s">
        <v>185</v>
      </c>
      <c r="L269" s="74">
        <v>8.1319999999999997</v>
      </c>
      <c r="M269" s="85">
        <v>9</v>
      </c>
      <c r="N269" s="74">
        <v>5.1630000000000003</v>
      </c>
      <c r="O269">
        <v>1</v>
      </c>
      <c r="P269" s="84">
        <v>3.8722500000000002</v>
      </c>
      <c r="Q269" s="86">
        <v>41.400000000000006</v>
      </c>
      <c r="R269" s="85">
        <v>41.400000000000006</v>
      </c>
      <c r="S269" s="87">
        <v>1349130</v>
      </c>
      <c r="T269" s="1">
        <v>6</v>
      </c>
      <c r="U269" s="88">
        <v>32587.681159420285</v>
      </c>
      <c r="V269" s="59">
        <v>30.686442373974344</v>
      </c>
      <c r="X269" s="98">
        <v>17.25</v>
      </c>
      <c r="Y269" s="97">
        <v>64.971594202898558</v>
      </c>
    </row>
    <row r="270" spans="1:25">
      <c r="A270" s="58">
        <v>269</v>
      </c>
      <c r="B270" s="58">
        <v>269</v>
      </c>
      <c r="C270" s="58" t="s">
        <v>645</v>
      </c>
      <c r="D270" s="58" t="s">
        <v>346</v>
      </c>
      <c r="E270" s="58" t="s">
        <v>234</v>
      </c>
      <c r="F270" s="58" t="s">
        <v>646</v>
      </c>
      <c r="G270" s="58" t="s">
        <v>647</v>
      </c>
      <c r="H270" s="58" t="s">
        <v>179</v>
      </c>
      <c r="I270">
        <v>38000</v>
      </c>
      <c r="J270" s="58" t="s">
        <v>185</v>
      </c>
      <c r="K270">
        <v>38000</v>
      </c>
      <c r="L270" s="74">
        <v>2.8420000000000001</v>
      </c>
      <c r="M270" s="85">
        <v>3</v>
      </c>
      <c r="N270" s="74">
        <v>2.7250000000000001</v>
      </c>
      <c r="O270">
        <v>1</v>
      </c>
      <c r="P270" s="84">
        <v>2.0437500000000002</v>
      </c>
      <c r="Q270" s="86">
        <v>20.700000000000003</v>
      </c>
      <c r="R270" s="85">
        <v>20.700000000000003</v>
      </c>
      <c r="S270" s="87">
        <v>558600</v>
      </c>
      <c r="T270" s="1">
        <v>4</v>
      </c>
      <c r="U270" s="88">
        <v>26985.507246376808</v>
      </c>
      <c r="V270" s="59">
        <v>37.056928034371651</v>
      </c>
      <c r="X270" s="98">
        <v>41.400000000000006</v>
      </c>
      <c r="Y270" s="97">
        <v>32.587681159420285</v>
      </c>
    </row>
    <row r="271" spans="1:25">
      <c r="A271" s="58">
        <v>270</v>
      </c>
      <c r="B271" s="58">
        <v>270</v>
      </c>
      <c r="C271" s="58" t="s">
        <v>648</v>
      </c>
      <c r="D271" s="58" t="s">
        <v>346</v>
      </c>
      <c r="E271" s="58" t="s">
        <v>346</v>
      </c>
      <c r="F271" s="58" t="s">
        <v>347</v>
      </c>
      <c r="G271" s="58" t="s">
        <v>348</v>
      </c>
      <c r="H271" s="58" t="s">
        <v>199</v>
      </c>
      <c r="I271">
        <v>110000</v>
      </c>
      <c r="J271">
        <v>110000</v>
      </c>
      <c r="K271" s="58" t="s">
        <v>200</v>
      </c>
      <c r="L271" s="74">
        <v>8.0299999999999994</v>
      </c>
      <c r="M271" s="85">
        <v>9</v>
      </c>
      <c r="N271" s="74">
        <v>0.97</v>
      </c>
      <c r="O271">
        <v>1</v>
      </c>
      <c r="P271" s="84">
        <v>0.72750000000000004</v>
      </c>
      <c r="Q271" s="86">
        <v>6.9</v>
      </c>
      <c r="R271" s="85">
        <v>6.9</v>
      </c>
      <c r="S271" s="87">
        <v>1890770</v>
      </c>
      <c r="T271" s="1">
        <v>7</v>
      </c>
      <c r="U271" s="88">
        <v>274024.63768115942</v>
      </c>
      <c r="V271" s="59">
        <v>3.6493068961322637</v>
      </c>
      <c r="X271" s="98">
        <v>20.700000000000003</v>
      </c>
      <c r="Y271" s="97">
        <v>26.985507246376805</v>
      </c>
    </row>
    <row r="272" spans="1:25">
      <c r="A272" s="58">
        <v>271</v>
      </c>
      <c r="B272" s="58">
        <v>271</v>
      </c>
      <c r="C272" s="58" t="s">
        <v>649</v>
      </c>
      <c r="D272" s="58" t="s">
        <v>346</v>
      </c>
      <c r="E272" s="58" t="s">
        <v>346</v>
      </c>
      <c r="F272" s="58" t="s">
        <v>347</v>
      </c>
      <c r="G272" s="58" t="s">
        <v>348</v>
      </c>
      <c r="H272" s="58" t="s">
        <v>199</v>
      </c>
      <c r="I272">
        <v>110000</v>
      </c>
      <c r="J272">
        <v>110000</v>
      </c>
      <c r="K272" s="58" t="s">
        <v>200</v>
      </c>
      <c r="L272" s="74">
        <v>9.282</v>
      </c>
      <c r="M272" s="85">
        <v>10</v>
      </c>
      <c r="N272" s="74">
        <v>1.4139999999999999</v>
      </c>
      <c r="O272">
        <v>1</v>
      </c>
      <c r="P272" s="84">
        <v>1.0605</v>
      </c>
      <c r="Q272" s="86">
        <v>10.350000000000001</v>
      </c>
      <c r="R272" s="85">
        <v>10.350000000000001</v>
      </c>
      <c r="S272" s="87">
        <v>1943470</v>
      </c>
      <c r="T272" s="1">
        <v>7</v>
      </c>
      <c r="U272" s="88">
        <v>187774.87922705311</v>
      </c>
      <c r="V272" s="59">
        <v>5.3255259921686475</v>
      </c>
      <c r="X272" s="98">
        <v>6.9</v>
      </c>
      <c r="Y272" s="97">
        <v>274.02463768115945</v>
      </c>
    </row>
    <row r="273" spans="1:25">
      <c r="A273" s="58">
        <v>272</v>
      </c>
      <c r="B273" s="58">
        <v>272</v>
      </c>
      <c r="C273" s="58" t="s">
        <v>650</v>
      </c>
      <c r="D273" s="58" t="s">
        <v>346</v>
      </c>
      <c r="E273" s="58" t="s">
        <v>346</v>
      </c>
      <c r="F273" s="58" t="s">
        <v>352</v>
      </c>
      <c r="G273" s="58" t="s">
        <v>353</v>
      </c>
      <c r="H273" s="58" t="s">
        <v>179</v>
      </c>
      <c r="I273">
        <v>38000</v>
      </c>
      <c r="J273">
        <v>38000</v>
      </c>
      <c r="K273">
        <v>10000</v>
      </c>
      <c r="L273" s="74">
        <v>10.468999999999999</v>
      </c>
      <c r="M273" s="85">
        <v>11</v>
      </c>
      <c r="N273" s="74">
        <v>0.84099999999999997</v>
      </c>
      <c r="O273">
        <v>1</v>
      </c>
      <c r="P273" s="84">
        <v>0.63074999999999992</v>
      </c>
      <c r="Q273" s="86">
        <v>6.9</v>
      </c>
      <c r="R273" s="85">
        <v>6.9</v>
      </c>
      <c r="S273" s="87">
        <v>1485200</v>
      </c>
      <c r="T273" s="1">
        <v>2</v>
      </c>
      <c r="U273" s="88">
        <v>215246.37681159418</v>
      </c>
      <c r="V273" s="59">
        <v>4.6458389442499328</v>
      </c>
      <c r="X273" s="98">
        <v>10.350000000000001</v>
      </c>
      <c r="Y273" s="97">
        <v>187.77487922705311</v>
      </c>
    </row>
    <row r="274" spans="1:25">
      <c r="A274" s="58">
        <v>273</v>
      </c>
      <c r="B274" s="58">
        <v>273</v>
      </c>
      <c r="C274" s="58" t="s">
        <v>651</v>
      </c>
      <c r="D274" s="58" t="s">
        <v>346</v>
      </c>
      <c r="E274" s="58" t="s">
        <v>351</v>
      </c>
      <c r="F274" s="58" t="s">
        <v>652</v>
      </c>
      <c r="G274" s="58" t="s">
        <v>653</v>
      </c>
      <c r="H274" s="58" t="s">
        <v>179</v>
      </c>
      <c r="I274">
        <v>38000</v>
      </c>
      <c r="J274">
        <v>38000</v>
      </c>
      <c r="K274" s="58" t="s">
        <v>185</v>
      </c>
      <c r="L274" s="74">
        <v>11.815</v>
      </c>
      <c r="M274" s="85">
        <v>12</v>
      </c>
      <c r="N274" s="74">
        <v>5.6890000000000001</v>
      </c>
      <c r="O274">
        <v>1</v>
      </c>
      <c r="P274" s="84">
        <v>4.26675</v>
      </c>
      <c r="Q274" s="86">
        <v>44.85</v>
      </c>
      <c r="R274" s="85">
        <v>44.85</v>
      </c>
      <c r="S274" s="87">
        <v>1682910</v>
      </c>
      <c r="T274" s="1">
        <v>6</v>
      </c>
      <c r="U274" s="88">
        <v>37523.076923076922</v>
      </c>
      <c r="V274" s="59">
        <v>26.650266502665026</v>
      </c>
      <c r="X274" s="98">
        <v>6.9</v>
      </c>
      <c r="Y274" s="97">
        <v>215.24637681159416</v>
      </c>
    </row>
    <row r="275" spans="1:25">
      <c r="A275" s="89">
        <v>274</v>
      </c>
      <c r="B275" s="89">
        <v>274</v>
      </c>
      <c r="C275" s="89" t="s">
        <v>654</v>
      </c>
      <c r="D275" s="58" t="s">
        <v>187</v>
      </c>
      <c r="E275" s="58" t="s">
        <v>187</v>
      </c>
      <c r="F275" s="89" t="s">
        <v>188</v>
      </c>
      <c r="G275" s="89" t="s">
        <v>189</v>
      </c>
      <c r="H275" s="89" t="s">
        <v>179</v>
      </c>
      <c r="I275" s="90">
        <v>38000</v>
      </c>
      <c r="J275" s="90">
        <v>38000</v>
      </c>
      <c r="K275" s="90">
        <v>10000</v>
      </c>
      <c r="L275" s="91">
        <v>9.2360000000000007</v>
      </c>
      <c r="M275" s="92">
        <v>10</v>
      </c>
      <c r="N275" s="91">
        <v>9.968</v>
      </c>
      <c r="O275" s="90">
        <v>1</v>
      </c>
      <c r="P275" s="92">
        <v>7.476</v>
      </c>
      <c r="Q275" s="93">
        <v>79.350000000000009</v>
      </c>
      <c r="R275" s="92">
        <v>79.350000000000009</v>
      </c>
      <c r="S275" s="87">
        <v>3026560</v>
      </c>
      <c r="T275" s="94">
        <v>11</v>
      </c>
      <c r="U275" s="95">
        <v>38141.902961562693</v>
      </c>
      <c r="V275" s="96">
        <v>26.217884330725315</v>
      </c>
      <c r="X275" s="98">
        <v>44.85</v>
      </c>
      <c r="Y275" s="97">
        <v>37.523076923076921</v>
      </c>
    </row>
    <row r="276" spans="1:25">
      <c r="A276" s="58">
        <v>275</v>
      </c>
      <c r="B276" s="58">
        <v>275</v>
      </c>
      <c r="C276" s="58" t="s">
        <v>655</v>
      </c>
      <c r="D276" s="58" t="s">
        <v>187</v>
      </c>
      <c r="E276" s="58" t="s">
        <v>187</v>
      </c>
      <c r="F276" s="58" t="s">
        <v>188</v>
      </c>
      <c r="G276" s="58" t="s">
        <v>189</v>
      </c>
      <c r="H276" s="58" t="s">
        <v>179</v>
      </c>
      <c r="I276">
        <v>38000</v>
      </c>
      <c r="J276">
        <v>38000</v>
      </c>
      <c r="K276">
        <v>10000</v>
      </c>
      <c r="L276" s="74">
        <v>10.019</v>
      </c>
      <c r="M276" s="85">
        <v>11</v>
      </c>
      <c r="N276" s="74">
        <v>0.8</v>
      </c>
      <c r="O276">
        <v>1</v>
      </c>
      <c r="P276" s="84">
        <v>0.60000000000000009</v>
      </c>
      <c r="Q276" s="86">
        <v>6.9</v>
      </c>
      <c r="R276" s="85">
        <v>6.9</v>
      </c>
      <c r="S276" s="87">
        <v>1485200</v>
      </c>
      <c r="T276" s="1">
        <v>2</v>
      </c>
      <c r="U276" s="88">
        <v>215246.37681159418</v>
      </c>
      <c r="V276" s="59">
        <v>4.6458389442499328</v>
      </c>
      <c r="X276" s="98">
        <v>79.350000000000009</v>
      </c>
      <c r="Y276" s="97">
        <v>38.141902961562693</v>
      </c>
    </row>
    <row r="277" spans="1:25">
      <c r="A277" s="58">
        <v>276</v>
      </c>
      <c r="B277" s="58">
        <v>276</v>
      </c>
      <c r="C277" s="58" t="s">
        <v>656</v>
      </c>
      <c r="D277" s="58" t="s">
        <v>187</v>
      </c>
      <c r="E277" s="58" t="s">
        <v>187</v>
      </c>
      <c r="F277" s="58" t="s">
        <v>188</v>
      </c>
      <c r="G277" s="58" t="s">
        <v>189</v>
      </c>
      <c r="H277" s="58" t="s">
        <v>179</v>
      </c>
      <c r="I277">
        <v>38000</v>
      </c>
      <c r="J277">
        <v>38000</v>
      </c>
      <c r="K277">
        <v>10000</v>
      </c>
      <c r="L277" s="74">
        <v>7.6459999999999999</v>
      </c>
      <c r="M277" s="85">
        <v>8</v>
      </c>
      <c r="N277" s="74">
        <v>2.9039999999999999</v>
      </c>
      <c r="O277">
        <v>1</v>
      </c>
      <c r="P277" s="84">
        <v>2.1779999999999999</v>
      </c>
      <c r="Q277" s="86">
        <v>20.700000000000003</v>
      </c>
      <c r="R277" s="85">
        <v>20.700000000000003</v>
      </c>
      <c r="S277" s="87">
        <v>909950</v>
      </c>
      <c r="T277" s="1">
        <v>4</v>
      </c>
      <c r="U277" s="88">
        <v>43958.93719806763</v>
      </c>
      <c r="V277" s="59">
        <v>22.748502664981597</v>
      </c>
      <c r="X277" s="98">
        <v>6.9</v>
      </c>
      <c r="Y277" s="97">
        <v>215.24637681159416</v>
      </c>
    </row>
    <row r="278" spans="1:25">
      <c r="A278" s="58">
        <v>277</v>
      </c>
      <c r="B278" s="58">
        <v>277</v>
      </c>
      <c r="C278" s="58" t="s">
        <v>657</v>
      </c>
      <c r="D278" s="58" t="s">
        <v>187</v>
      </c>
      <c r="E278" s="58" t="s">
        <v>187</v>
      </c>
      <c r="F278" s="58" t="s">
        <v>188</v>
      </c>
      <c r="G278" s="58" t="s">
        <v>189</v>
      </c>
      <c r="H278" s="58" t="s">
        <v>179</v>
      </c>
      <c r="I278">
        <v>38000</v>
      </c>
      <c r="J278">
        <v>38000</v>
      </c>
      <c r="K278">
        <v>10000</v>
      </c>
      <c r="L278" s="74">
        <v>9.77</v>
      </c>
      <c r="M278" s="85">
        <v>10</v>
      </c>
      <c r="N278" s="74">
        <v>4.8179999999999996</v>
      </c>
      <c r="O278">
        <v>1</v>
      </c>
      <c r="P278" s="84">
        <v>3.6134999999999997</v>
      </c>
      <c r="Q278" s="86">
        <v>37.950000000000003</v>
      </c>
      <c r="R278" s="85">
        <v>37.950000000000003</v>
      </c>
      <c r="S278" s="87">
        <v>1460390</v>
      </c>
      <c r="T278" s="1">
        <v>6</v>
      </c>
      <c r="U278" s="88">
        <v>38481.949934123841</v>
      </c>
      <c r="V278" s="59">
        <v>25.986209163305691</v>
      </c>
      <c r="X278" s="98">
        <v>20.700000000000003</v>
      </c>
      <c r="Y278" s="97">
        <v>43.95893719806763</v>
      </c>
    </row>
    <row r="279" spans="1:25">
      <c r="A279" s="58">
        <v>278</v>
      </c>
      <c r="B279" s="58">
        <v>278</v>
      </c>
      <c r="C279" s="58" t="s">
        <v>658</v>
      </c>
      <c r="D279" s="58" t="s">
        <v>187</v>
      </c>
      <c r="E279" s="58" t="s">
        <v>187</v>
      </c>
      <c r="F279" s="58" t="s">
        <v>188</v>
      </c>
      <c r="G279" s="58" t="s">
        <v>189</v>
      </c>
      <c r="H279" s="58" t="s">
        <v>179</v>
      </c>
      <c r="I279">
        <v>38000</v>
      </c>
      <c r="J279">
        <v>38000</v>
      </c>
      <c r="K279">
        <v>10000</v>
      </c>
      <c r="L279" s="74">
        <v>8.452</v>
      </c>
      <c r="M279" s="85">
        <v>9</v>
      </c>
      <c r="N279" s="74">
        <v>0.91200000000000003</v>
      </c>
      <c r="O279">
        <v>1</v>
      </c>
      <c r="P279" s="84">
        <v>0.68400000000000005</v>
      </c>
      <c r="Q279" s="86">
        <v>6.9</v>
      </c>
      <c r="R279" s="85">
        <v>6.9</v>
      </c>
      <c r="S279" s="87">
        <v>1379800</v>
      </c>
      <c r="T279" s="1">
        <v>2</v>
      </c>
      <c r="U279" s="88">
        <v>199971.0144927536</v>
      </c>
      <c r="V279" s="59">
        <v>5.0007247427163355</v>
      </c>
      <c r="X279" s="98">
        <v>37.950000000000003</v>
      </c>
      <c r="Y279" s="97">
        <v>38.48194993412384</v>
      </c>
    </row>
    <row r="280" spans="1:25">
      <c r="A280" s="58">
        <v>279</v>
      </c>
      <c r="B280" s="58">
        <v>279</v>
      </c>
      <c r="C280" s="58" t="s">
        <v>659</v>
      </c>
      <c r="D280" s="58" t="s">
        <v>187</v>
      </c>
      <c r="E280" s="58" t="s">
        <v>187</v>
      </c>
      <c r="F280" s="58" t="s">
        <v>188</v>
      </c>
      <c r="G280" s="58" t="s">
        <v>189</v>
      </c>
      <c r="H280" s="58" t="s">
        <v>179</v>
      </c>
      <c r="I280">
        <v>38000</v>
      </c>
      <c r="J280">
        <v>38000</v>
      </c>
      <c r="K280">
        <v>10000</v>
      </c>
      <c r="L280" s="74">
        <v>11.802</v>
      </c>
      <c r="M280" s="85">
        <v>12</v>
      </c>
      <c r="N280" s="74">
        <v>0.67</v>
      </c>
      <c r="O280">
        <v>1</v>
      </c>
      <c r="P280" s="84">
        <v>0.50250000000000006</v>
      </c>
      <c r="Q280" s="86">
        <v>3.45</v>
      </c>
      <c r="R280" s="85">
        <v>3.45</v>
      </c>
      <c r="S280" s="87">
        <v>1492540</v>
      </c>
      <c r="T280" s="1">
        <v>1</v>
      </c>
      <c r="U280" s="88">
        <v>432620.28985507245</v>
      </c>
      <c r="V280" s="59">
        <v>2.3114958393074891</v>
      </c>
      <c r="X280" s="98">
        <v>6.9</v>
      </c>
      <c r="Y280" s="97">
        <v>199.9710144927536</v>
      </c>
    </row>
    <row r="281" spans="1:25">
      <c r="A281" s="58">
        <v>280</v>
      </c>
      <c r="B281" s="58">
        <v>280</v>
      </c>
      <c r="C281" s="58" t="s">
        <v>660</v>
      </c>
      <c r="D281" s="58" t="s">
        <v>187</v>
      </c>
      <c r="E281" s="58" t="s">
        <v>187</v>
      </c>
      <c r="F281" s="58" t="s">
        <v>359</v>
      </c>
      <c r="G281" s="58" t="s">
        <v>360</v>
      </c>
      <c r="H281" s="58" t="s">
        <v>179</v>
      </c>
      <c r="I281">
        <v>38000</v>
      </c>
      <c r="J281" s="58" t="s">
        <v>185</v>
      </c>
      <c r="K281">
        <v>38000</v>
      </c>
      <c r="L281" s="74">
        <v>8.7110000000000003</v>
      </c>
      <c r="M281" s="85">
        <v>9</v>
      </c>
      <c r="N281" s="74">
        <v>2.2759999999999998</v>
      </c>
      <c r="O281">
        <v>1</v>
      </c>
      <c r="P281" s="84">
        <v>1.7069999999999999</v>
      </c>
      <c r="Q281" s="86">
        <v>17.25</v>
      </c>
      <c r="R281" s="85">
        <v>17.25</v>
      </c>
      <c r="S281" s="87">
        <v>980220</v>
      </c>
      <c r="T281" s="1">
        <v>4</v>
      </c>
      <c r="U281" s="88">
        <v>56824.34782608696</v>
      </c>
      <c r="V281" s="59">
        <v>17.598090224643446</v>
      </c>
      <c r="X281" s="98">
        <v>3.45</v>
      </c>
      <c r="Y281" s="97">
        <v>432.62028985507243</v>
      </c>
    </row>
    <row r="282" spans="1:25">
      <c r="A282" s="58">
        <v>281</v>
      </c>
      <c r="B282" s="58">
        <v>281</v>
      </c>
      <c r="C282" s="58" t="s">
        <v>661</v>
      </c>
      <c r="D282" s="58" t="s">
        <v>187</v>
      </c>
      <c r="E282" s="58" t="s">
        <v>187</v>
      </c>
      <c r="F282" s="58" t="s">
        <v>188</v>
      </c>
      <c r="G282" s="58" t="s">
        <v>189</v>
      </c>
      <c r="H282" s="58" t="s">
        <v>179</v>
      </c>
      <c r="I282">
        <v>38000</v>
      </c>
      <c r="J282">
        <v>38000</v>
      </c>
      <c r="K282">
        <v>10000</v>
      </c>
      <c r="L282" s="74">
        <v>12.646000000000001</v>
      </c>
      <c r="M282" s="85">
        <v>13</v>
      </c>
      <c r="N282" s="74">
        <v>1.9670000000000001</v>
      </c>
      <c r="O282">
        <v>1</v>
      </c>
      <c r="P282" s="84">
        <v>1.47525</v>
      </c>
      <c r="Q282" s="86">
        <v>13.8</v>
      </c>
      <c r="R282" s="85">
        <v>13.8</v>
      </c>
      <c r="S282" s="87">
        <v>1261300</v>
      </c>
      <c r="T282" s="1">
        <v>4</v>
      </c>
      <c r="U282" s="88">
        <v>91398.55072463768</v>
      </c>
      <c r="V282" s="59">
        <v>10.941092523586775</v>
      </c>
      <c r="X282" s="98">
        <v>17.25</v>
      </c>
      <c r="Y282" s="97">
        <v>56.824347826086957</v>
      </c>
    </row>
    <row r="283" spans="1:25">
      <c r="A283" s="89">
        <v>282</v>
      </c>
      <c r="B283" s="89">
        <v>282</v>
      </c>
      <c r="C283" s="89" t="s">
        <v>662</v>
      </c>
      <c r="D283" s="58" t="s">
        <v>187</v>
      </c>
      <c r="E283" s="58" t="s">
        <v>187</v>
      </c>
      <c r="F283" s="89" t="s">
        <v>188</v>
      </c>
      <c r="G283" s="89" t="s">
        <v>189</v>
      </c>
      <c r="H283" s="89" t="s">
        <v>179</v>
      </c>
      <c r="I283" s="90">
        <v>38000</v>
      </c>
      <c r="J283" s="90">
        <v>38000</v>
      </c>
      <c r="K283" s="90">
        <v>10000</v>
      </c>
      <c r="L283" s="91">
        <v>11.973000000000001</v>
      </c>
      <c r="M283" s="92">
        <v>12</v>
      </c>
      <c r="N283" s="91">
        <v>11.981</v>
      </c>
      <c r="O283" s="90">
        <v>1</v>
      </c>
      <c r="P283" s="92">
        <v>8.9857499999999995</v>
      </c>
      <c r="Q283" s="93">
        <v>96.600000000000023</v>
      </c>
      <c r="R283" s="92">
        <v>96.600000000000023</v>
      </c>
      <c r="S283" s="87">
        <v>3448180</v>
      </c>
      <c r="T283" s="94">
        <v>11</v>
      </c>
      <c r="U283" s="95">
        <v>35695.445134575559</v>
      </c>
      <c r="V283" s="96">
        <v>28.014778810850949</v>
      </c>
      <c r="X283" s="98">
        <v>13.8</v>
      </c>
      <c r="Y283" s="97">
        <v>91.398550724637673</v>
      </c>
    </row>
    <row r="284" spans="1:25">
      <c r="A284" s="58">
        <v>283</v>
      </c>
      <c r="B284" s="58">
        <v>283</v>
      </c>
      <c r="C284" s="58" t="s">
        <v>663</v>
      </c>
      <c r="D284" s="58" t="s">
        <v>187</v>
      </c>
      <c r="E284" s="58" t="s">
        <v>187</v>
      </c>
      <c r="F284" s="58" t="s">
        <v>365</v>
      </c>
      <c r="G284" s="58" t="s">
        <v>366</v>
      </c>
      <c r="H284" s="58" t="s">
        <v>179</v>
      </c>
      <c r="I284">
        <v>38000</v>
      </c>
      <c r="J284">
        <v>38000</v>
      </c>
      <c r="K284">
        <v>10000</v>
      </c>
      <c r="L284" s="74">
        <v>4.5030000000000001</v>
      </c>
      <c r="M284" s="85">
        <v>5</v>
      </c>
      <c r="N284" s="74">
        <v>1.343</v>
      </c>
      <c r="O284">
        <v>1</v>
      </c>
      <c r="P284" s="84">
        <v>1.00725</v>
      </c>
      <c r="Q284" s="86">
        <v>10.350000000000001</v>
      </c>
      <c r="R284" s="85">
        <v>10.350000000000001</v>
      </c>
      <c r="S284" s="87">
        <v>699140</v>
      </c>
      <c r="T284" s="1">
        <v>4</v>
      </c>
      <c r="U284" s="88">
        <v>67549.758454106268</v>
      </c>
      <c r="V284" s="59">
        <v>14.803901936665048</v>
      </c>
      <c r="X284" s="98">
        <v>96.600000000000023</v>
      </c>
      <c r="Y284" s="97">
        <v>35.695445134575557</v>
      </c>
    </row>
    <row r="285" spans="1:25">
      <c r="A285" s="58">
        <v>284</v>
      </c>
      <c r="B285" s="58">
        <v>284</v>
      </c>
      <c r="C285" s="58" t="s">
        <v>664</v>
      </c>
      <c r="D285" s="58" t="s">
        <v>187</v>
      </c>
      <c r="E285" s="58" t="s">
        <v>187</v>
      </c>
      <c r="F285" s="58" t="s">
        <v>188</v>
      </c>
      <c r="G285" s="58" t="s">
        <v>189</v>
      </c>
      <c r="H285" s="58" t="s">
        <v>179</v>
      </c>
      <c r="I285">
        <v>38000</v>
      </c>
      <c r="J285">
        <v>38000</v>
      </c>
      <c r="K285">
        <v>10000</v>
      </c>
      <c r="L285" s="74">
        <v>2.8130000000000002</v>
      </c>
      <c r="M285" s="85">
        <v>3</v>
      </c>
      <c r="N285" s="74">
        <v>1.0369999999999999</v>
      </c>
      <c r="O285">
        <v>1</v>
      </c>
      <c r="P285" s="84">
        <v>0.77774999999999994</v>
      </c>
      <c r="Q285" s="86">
        <v>6.9</v>
      </c>
      <c r="R285" s="85">
        <v>6.9</v>
      </c>
      <c r="S285" s="87">
        <v>558600</v>
      </c>
      <c r="T285" s="1">
        <v>4</v>
      </c>
      <c r="U285" s="88">
        <v>80956.521739130432</v>
      </c>
      <c r="V285" s="59">
        <v>12.352309344790548</v>
      </c>
      <c r="X285" s="98">
        <v>10.350000000000001</v>
      </c>
      <c r="Y285" s="97">
        <v>67.549758454106268</v>
      </c>
    </row>
    <row r="286" spans="1:25">
      <c r="A286" s="58">
        <v>285</v>
      </c>
      <c r="B286" s="58">
        <v>285</v>
      </c>
      <c r="C286" s="58" t="s">
        <v>665</v>
      </c>
      <c r="D286" s="58" t="s">
        <v>187</v>
      </c>
      <c r="E286" s="58" t="s">
        <v>187</v>
      </c>
      <c r="F286" s="58" t="s">
        <v>359</v>
      </c>
      <c r="G286" s="58" t="s">
        <v>360</v>
      </c>
      <c r="H286" s="58" t="s">
        <v>179</v>
      </c>
      <c r="I286">
        <v>38000</v>
      </c>
      <c r="J286" s="58" t="s">
        <v>185</v>
      </c>
      <c r="K286">
        <v>38000</v>
      </c>
      <c r="L286" s="74">
        <v>7.3239999999999998</v>
      </c>
      <c r="M286" s="85">
        <v>8</v>
      </c>
      <c r="N286" s="74">
        <v>3.9460000000000002</v>
      </c>
      <c r="O286">
        <v>1</v>
      </c>
      <c r="P286" s="84">
        <v>2.9595000000000002</v>
      </c>
      <c r="Q286" s="86">
        <v>31.05</v>
      </c>
      <c r="R286" s="85">
        <v>31.05</v>
      </c>
      <c r="S286" s="87">
        <v>1237870</v>
      </c>
      <c r="T286" s="1">
        <v>6</v>
      </c>
      <c r="U286" s="88">
        <v>39866.98872785829</v>
      </c>
      <c r="V286" s="59">
        <v>25.08340940486481</v>
      </c>
      <c r="X286" s="98">
        <v>6.9</v>
      </c>
      <c r="Y286" s="97">
        <v>80.956521739130423</v>
      </c>
    </row>
    <row r="287" spans="1:25">
      <c r="A287" s="58">
        <v>286</v>
      </c>
      <c r="B287" s="58">
        <v>286</v>
      </c>
      <c r="C287" s="58" t="s">
        <v>666</v>
      </c>
      <c r="D287" s="58" t="s">
        <v>187</v>
      </c>
      <c r="E287" s="58" t="s">
        <v>187</v>
      </c>
      <c r="F287" s="58" t="s">
        <v>188</v>
      </c>
      <c r="G287" s="58" t="s">
        <v>189</v>
      </c>
      <c r="H287" s="58" t="s">
        <v>179</v>
      </c>
      <c r="I287">
        <v>38000</v>
      </c>
      <c r="J287">
        <v>38000</v>
      </c>
      <c r="K287">
        <v>10000</v>
      </c>
      <c r="L287" s="74">
        <v>5.9370000000000003</v>
      </c>
      <c r="M287" s="85">
        <v>6</v>
      </c>
      <c r="N287" s="74">
        <v>1.6459999999999999</v>
      </c>
      <c r="O287">
        <v>1</v>
      </c>
      <c r="P287" s="84">
        <v>1.2344999999999999</v>
      </c>
      <c r="Q287" s="86">
        <v>10.350000000000001</v>
      </c>
      <c r="R287" s="85">
        <v>10.350000000000001</v>
      </c>
      <c r="S287" s="87">
        <v>769410</v>
      </c>
      <c r="T287" s="1">
        <v>4</v>
      </c>
      <c r="U287" s="88">
        <v>74339.130434782594</v>
      </c>
      <c r="V287" s="59">
        <v>13.45186571528834</v>
      </c>
      <c r="X287" s="98">
        <v>31.05</v>
      </c>
      <c r="Y287" s="97">
        <v>39.866988727858292</v>
      </c>
    </row>
    <row r="288" spans="1:25">
      <c r="A288" s="58">
        <v>287</v>
      </c>
      <c r="B288" s="58">
        <v>287</v>
      </c>
      <c r="C288" s="58" t="s">
        <v>667</v>
      </c>
      <c r="D288" s="58" t="s">
        <v>187</v>
      </c>
      <c r="E288" s="58" t="s">
        <v>187</v>
      </c>
      <c r="F288" s="58" t="s">
        <v>359</v>
      </c>
      <c r="G288" s="58" t="s">
        <v>360</v>
      </c>
      <c r="H288" s="58" t="s">
        <v>179</v>
      </c>
      <c r="I288">
        <v>38000</v>
      </c>
      <c r="J288" s="58" t="s">
        <v>185</v>
      </c>
      <c r="K288">
        <v>38000</v>
      </c>
      <c r="L288" s="74">
        <v>3.1549999999999998</v>
      </c>
      <c r="M288" s="85">
        <v>4</v>
      </c>
      <c r="N288" s="74">
        <v>1.55</v>
      </c>
      <c r="O288">
        <v>1</v>
      </c>
      <c r="P288" s="84">
        <v>1.1625000000000001</v>
      </c>
      <c r="Q288" s="86">
        <v>10.350000000000001</v>
      </c>
      <c r="R288" s="85">
        <v>10.350000000000001</v>
      </c>
      <c r="S288" s="87">
        <v>628870</v>
      </c>
      <c r="T288" s="1">
        <v>4</v>
      </c>
      <c r="U288" s="88">
        <v>60760.386473429942</v>
      </c>
      <c r="V288" s="59">
        <v>16.458091497447807</v>
      </c>
      <c r="X288" s="98">
        <v>10.350000000000001</v>
      </c>
      <c r="Y288" s="97">
        <v>74.339130434782589</v>
      </c>
    </row>
    <row r="289" spans="1:25">
      <c r="A289" s="58">
        <v>288</v>
      </c>
      <c r="B289" s="58">
        <v>288</v>
      </c>
      <c r="C289" s="58" t="s">
        <v>668</v>
      </c>
      <c r="D289" s="58" t="s">
        <v>187</v>
      </c>
      <c r="E289" s="58" t="s">
        <v>187</v>
      </c>
      <c r="F289" s="58" t="s">
        <v>415</v>
      </c>
      <c r="G289" s="58" t="s">
        <v>416</v>
      </c>
      <c r="H289" s="58" t="s">
        <v>179</v>
      </c>
      <c r="I289">
        <v>38000</v>
      </c>
      <c r="J289">
        <v>38000</v>
      </c>
      <c r="K289" s="58" t="s">
        <v>185</v>
      </c>
      <c r="L289" s="74">
        <v>6.46</v>
      </c>
      <c r="M289" s="85">
        <v>7</v>
      </c>
      <c r="N289" s="74">
        <v>0.55400000000000005</v>
      </c>
      <c r="O289">
        <v>1</v>
      </c>
      <c r="P289" s="84">
        <v>0.55400000000000005</v>
      </c>
      <c r="Q289" s="86">
        <v>3.45</v>
      </c>
      <c r="R289" s="85">
        <v>3.45</v>
      </c>
      <c r="S289" s="87">
        <v>839680</v>
      </c>
      <c r="T289" s="1">
        <v>4</v>
      </c>
      <c r="U289" s="88">
        <v>243385.5072463768</v>
      </c>
      <c r="V289" s="59">
        <v>4.1087080792682924</v>
      </c>
      <c r="X289" s="98">
        <v>10.350000000000001</v>
      </c>
      <c r="Y289" s="97">
        <v>60.760386473429939</v>
      </c>
    </row>
    <row r="290" spans="1:25">
      <c r="A290" s="58">
        <v>289</v>
      </c>
      <c r="B290" s="58">
        <v>289</v>
      </c>
      <c r="C290" s="58" t="s">
        <v>669</v>
      </c>
      <c r="D290" s="58" t="s">
        <v>187</v>
      </c>
      <c r="E290" s="58" t="s">
        <v>187</v>
      </c>
      <c r="F290" s="58" t="s">
        <v>191</v>
      </c>
      <c r="G290" s="58" t="s">
        <v>192</v>
      </c>
      <c r="H290" s="58" t="s">
        <v>179</v>
      </c>
      <c r="I290">
        <v>38000</v>
      </c>
      <c r="J290">
        <v>38000</v>
      </c>
      <c r="K290" s="58" t="s">
        <v>185</v>
      </c>
      <c r="L290" s="74">
        <v>10.95</v>
      </c>
      <c r="M290" s="85">
        <v>11</v>
      </c>
      <c r="N290" s="74">
        <v>0.83099999999999996</v>
      </c>
      <c r="O290">
        <v>1</v>
      </c>
      <c r="P290" s="84">
        <v>0.62324999999999997</v>
      </c>
      <c r="Q290" s="86">
        <v>6.9</v>
      </c>
      <c r="R290" s="85">
        <v>6.9</v>
      </c>
      <c r="S290" s="87">
        <v>1485200</v>
      </c>
      <c r="T290" s="1">
        <v>2</v>
      </c>
      <c r="U290" s="88">
        <v>215246.37681159418</v>
      </c>
      <c r="V290" s="59">
        <v>4.6458389442499328</v>
      </c>
      <c r="X290" s="98">
        <v>3.45</v>
      </c>
      <c r="Y290" s="97">
        <v>243.38550724637682</v>
      </c>
    </row>
    <row r="291" spans="1:25">
      <c r="A291" s="58">
        <v>290</v>
      </c>
      <c r="B291" s="58">
        <v>290</v>
      </c>
      <c r="C291" s="58" t="s">
        <v>670</v>
      </c>
      <c r="D291" s="58" t="s">
        <v>187</v>
      </c>
      <c r="E291" s="58" t="s">
        <v>187</v>
      </c>
      <c r="F291" s="58" t="s">
        <v>228</v>
      </c>
      <c r="G291" s="58" t="s">
        <v>229</v>
      </c>
      <c r="H291" s="58" t="s">
        <v>179</v>
      </c>
      <c r="I291">
        <v>38000</v>
      </c>
      <c r="J291">
        <v>38000</v>
      </c>
      <c r="K291" s="58" t="s">
        <v>185</v>
      </c>
      <c r="L291" s="74">
        <v>10.050000000000001</v>
      </c>
      <c r="M291" s="85">
        <v>11</v>
      </c>
      <c r="N291" s="74">
        <v>2.1850000000000001</v>
      </c>
      <c r="O291">
        <v>1</v>
      </c>
      <c r="P291" s="84">
        <v>1.6387499999999999</v>
      </c>
      <c r="Q291" s="86">
        <v>17.25</v>
      </c>
      <c r="R291" s="85">
        <v>17.25</v>
      </c>
      <c r="S291" s="87">
        <v>1120760</v>
      </c>
      <c r="T291" s="1">
        <v>4</v>
      </c>
      <c r="U291" s="88">
        <v>64971.594202898552</v>
      </c>
      <c r="V291" s="59">
        <v>15.391341589635605</v>
      </c>
      <c r="X291" s="98">
        <v>6.9</v>
      </c>
      <c r="Y291" s="97">
        <v>215.24637681159416</v>
      </c>
    </row>
    <row r="292" spans="1:25">
      <c r="A292" s="58">
        <v>291</v>
      </c>
      <c r="B292" s="58">
        <v>291</v>
      </c>
      <c r="C292" s="58" t="s">
        <v>671</v>
      </c>
      <c r="D292" s="58" t="s">
        <v>187</v>
      </c>
      <c r="E292" s="58" t="s">
        <v>187</v>
      </c>
      <c r="F292" s="58" t="s">
        <v>194</v>
      </c>
      <c r="G292" s="58" t="s">
        <v>195</v>
      </c>
      <c r="H292" s="58" t="s">
        <v>179</v>
      </c>
      <c r="I292">
        <v>38000</v>
      </c>
      <c r="J292" s="58" t="s">
        <v>185</v>
      </c>
      <c r="K292">
        <v>38000</v>
      </c>
      <c r="L292" s="74">
        <v>2.5310000000000001</v>
      </c>
      <c r="M292" s="85">
        <v>3</v>
      </c>
      <c r="N292" s="74">
        <v>2.7330000000000001</v>
      </c>
      <c r="O292">
        <v>1</v>
      </c>
      <c r="P292" s="84">
        <v>2.04975</v>
      </c>
      <c r="Q292" s="86">
        <v>20.700000000000003</v>
      </c>
      <c r="R292" s="85">
        <v>20.700000000000003</v>
      </c>
      <c r="S292" s="87">
        <v>558600</v>
      </c>
      <c r="T292" s="1">
        <v>4</v>
      </c>
      <c r="U292" s="88">
        <v>26985.507246376808</v>
      </c>
      <c r="V292" s="59">
        <v>37.056928034371651</v>
      </c>
      <c r="X292" s="98">
        <v>17.25</v>
      </c>
      <c r="Y292" s="97">
        <v>64.971594202898558</v>
      </c>
    </row>
    <row r="293" spans="1:25">
      <c r="A293" s="58">
        <v>292</v>
      </c>
      <c r="B293" s="58">
        <v>292</v>
      </c>
      <c r="C293" s="58" t="s">
        <v>672</v>
      </c>
      <c r="D293" s="58" t="s">
        <v>187</v>
      </c>
      <c r="E293" s="58" t="s">
        <v>187</v>
      </c>
      <c r="F293" s="58" t="s">
        <v>194</v>
      </c>
      <c r="G293" s="58" t="s">
        <v>195</v>
      </c>
      <c r="H293" s="58" t="s">
        <v>179</v>
      </c>
      <c r="I293">
        <v>38000</v>
      </c>
      <c r="J293" s="58" t="s">
        <v>185</v>
      </c>
      <c r="K293">
        <v>38000</v>
      </c>
      <c r="L293" s="74">
        <v>5.4480000000000004</v>
      </c>
      <c r="M293" s="85">
        <v>6</v>
      </c>
      <c r="N293" s="74">
        <v>5.7649999999999997</v>
      </c>
      <c r="O293">
        <v>1</v>
      </c>
      <c r="P293" s="84">
        <v>4.3237499999999995</v>
      </c>
      <c r="Q293" s="86">
        <v>44.85</v>
      </c>
      <c r="R293" s="85">
        <v>44.85</v>
      </c>
      <c r="S293" s="87">
        <v>1015350</v>
      </c>
      <c r="T293" s="1">
        <v>6</v>
      </c>
      <c r="U293" s="88">
        <v>22638.795986622074</v>
      </c>
      <c r="V293" s="59">
        <v>44.171960407741174</v>
      </c>
      <c r="X293" s="98">
        <v>20.700000000000003</v>
      </c>
      <c r="Y293" s="97">
        <v>26.985507246376805</v>
      </c>
    </row>
    <row r="294" spans="1:25">
      <c r="A294" s="58">
        <v>293</v>
      </c>
      <c r="B294" s="58">
        <v>293</v>
      </c>
      <c r="C294" s="58" t="s">
        <v>673</v>
      </c>
      <c r="D294" s="58" t="s">
        <v>187</v>
      </c>
      <c r="E294" s="58" t="s">
        <v>187</v>
      </c>
      <c r="F294" s="58" t="s">
        <v>531</v>
      </c>
      <c r="G294" s="58" t="s">
        <v>532</v>
      </c>
      <c r="H294" s="58" t="s">
        <v>179</v>
      </c>
      <c r="I294">
        <v>38000</v>
      </c>
      <c r="J294">
        <v>38000</v>
      </c>
      <c r="K294" s="58" t="s">
        <v>185</v>
      </c>
      <c r="L294" s="74">
        <v>11.922000000000001</v>
      </c>
      <c r="M294" s="85">
        <v>12</v>
      </c>
      <c r="N294" s="74">
        <v>1.6619999999999999</v>
      </c>
      <c r="O294">
        <v>1</v>
      </c>
      <c r="P294" s="84">
        <v>1.2464999999999999</v>
      </c>
      <c r="Q294" s="86">
        <v>10.350000000000001</v>
      </c>
      <c r="R294" s="85">
        <v>10.350000000000001</v>
      </c>
      <c r="S294" s="87">
        <v>1574950</v>
      </c>
      <c r="T294" s="1">
        <v>3</v>
      </c>
      <c r="U294" s="88">
        <v>152169.08212560383</v>
      </c>
      <c r="V294" s="59">
        <v>6.5716371948315828</v>
      </c>
      <c r="X294" s="98">
        <v>44.85</v>
      </c>
      <c r="Y294" s="97">
        <v>22.638795986622071</v>
      </c>
    </row>
    <row r="295" spans="1:25">
      <c r="A295" s="58">
        <v>294</v>
      </c>
      <c r="B295" s="58">
        <v>294</v>
      </c>
      <c r="C295" s="58" t="s">
        <v>674</v>
      </c>
      <c r="D295" s="58" t="s">
        <v>187</v>
      </c>
      <c r="E295" s="58" t="s">
        <v>187</v>
      </c>
      <c r="F295" s="58" t="s">
        <v>374</v>
      </c>
      <c r="G295" s="58" t="s">
        <v>375</v>
      </c>
      <c r="H295" s="58" t="s">
        <v>179</v>
      </c>
      <c r="I295">
        <v>38000</v>
      </c>
      <c r="J295">
        <v>38000</v>
      </c>
      <c r="K295">
        <v>20000</v>
      </c>
      <c r="L295" s="74">
        <v>6.5659999999999998</v>
      </c>
      <c r="M295" s="85">
        <v>7</v>
      </c>
      <c r="N295" s="74">
        <v>5.0469999999999997</v>
      </c>
      <c r="O295">
        <v>1</v>
      </c>
      <c r="P295" s="84">
        <v>3.7852499999999996</v>
      </c>
      <c r="Q295" s="86">
        <v>41.400000000000006</v>
      </c>
      <c r="R295" s="85">
        <v>41.400000000000006</v>
      </c>
      <c r="S295" s="87">
        <v>1126610</v>
      </c>
      <c r="T295" s="1">
        <v>6</v>
      </c>
      <c r="U295" s="88">
        <v>27212.801932367147</v>
      </c>
      <c r="V295" s="59">
        <v>36.747410372711059</v>
      </c>
      <c r="X295" s="98">
        <v>10.350000000000001</v>
      </c>
      <c r="Y295" s="97">
        <v>152.16908212560384</v>
      </c>
    </row>
    <row r="296" spans="1:25">
      <c r="A296" s="58">
        <v>295</v>
      </c>
      <c r="B296" s="58">
        <v>295</v>
      </c>
      <c r="C296" s="58" t="s">
        <v>675</v>
      </c>
      <c r="D296" s="58" t="s">
        <v>187</v>
      </c>
      <c r="E296" s="58" t="s">
        <v>187</v>
      </c>
      <c r="F296" s="58" t="s">
        <v>531</v>
      </c>
      <c r="G296" s="58" t="s">
        <v>532</v>
      </c>
      <c r="H296" s="58" t="s">
        <v>179</v>
      </c>
      <c r="I296">
        <v>38000</v>
      </c>
      <c r="J296">
        <v>38000</v>
      </c>
      <c r="K296" s="58" t="s">
        <v>185</v>
      </c>
      <c r="L296" s="74">
        <v>4.3040000000000003</v>
      </c>
      <c r="M296" s="85">
        <v>5</v>
      </c>
      <c r="N296" s="74">
        <v>1.5</v>
      </c>
      <c r="O296">
        <v>1</v>
      </c>
      <c r="P296" s="84">
        <v>1.125</v>
      </c>
      <c r="Q296" s="86">
        <v>10.350000000000001</v>
      </c>
      <c r="R296" s="85">
        <v>10.350000000000001</v>
      </c>
      <c r="S296" s="87">
        <v>699140</v>
      </c>
      <c r="T296" s="1">
        <v>4</v>
      </c>
      <c r="U296" s="88">
        <v>67549.758454106268</v>
      </c>
      <c r="V296" s="59">
        <v>14.803901936665048</v>
      </c>
      <c r="X296" s="98">
        <v>41.400000000000006</v>
      </c>
      <c r="Y296" s="97">
        <v>27.212801932367146</v>
      </c>
    </row>
    <row r="297" spans="1:25">
      <c r="A297" s="89">
        <v>296</v>
      </c>
      <c r="B297" s="89">
        <v>296</v>
      </c>
      <c r="C297" s="89" t="s">
        <v>676</v>
      </c>
      <c r="D297" s="58" t="s">
        <v>187</v>
      </c>
      <c r="E297" s="58" t="s">
        <v>187</v>
      </c>
      <c r="F297" s="89" t="s">
        <v>677</v>
      </c>
      <c r="G297" s="89" t="s">
        <v>678</v>
      </c>
      <c r="H297" s="89" t="s">
        <v>179</v>
      </c>
      <c r="I297" s="90">
        <v>38000</v>
      </c>
      <c r="J297" s="89" t="s">
        <v>185</v>
      </c>
      <c r="K297" s="90">
        <v>38000</v>
      </c>
      <c r="L297" s="91">
        <v>6.28</v>
      </c>
      <c r="M297" s="92">
        <v>7</v>
      </c>
      <c r="N297" s="91">
        <v>10.893000000000001</v>
      </c>
      <c r="O297" s="90">
        <v>1</v>
      </c>
      <c r="P297" s="92">
        <v>8.1697500000000005</v>
      </c>
      <c r="Q297" s="93">
        <v>89.7</v>
      </c>
      <c r="R297" s="92">
        <v>89.7</v>
      </c>
      <c r="S297" s="87">
        <v>2394130</v>
      </c>
      <c r="T297" s="94">
        <v>11</v>
      </c>
      <c r="U297" s="95">
        <v>26690.412486064659</v>
      </c>
      <c r="V297" s="96">
        <v>37.466637150029449</v>
      </c>
      <c r="X297" s="98">
        <v>10.350000000000001</v>
      </c>
      <c r="Y297" s="97">
        <v>67.549758454106268</v>
      </c>
    </row>
    <row r="298" spans="1:25">
      <c r="A298" s="89">
        <v>297</v>
      </c>
      <c r="B298" s="89">
        <v>297</v>
      </c>
      <c r="C298" s="89" t="s">
        <v>679</v>
      </c>
      <c r="D298" s="58" t="s">
        <v>187</v>
      </c>
      <c r="E298" s="58" t="s">
        <v>187</v>
      </c>
      <c r="F298" s="89" t="s">
        <v>377</v>
      </c>
      <c r="G298" s="89"/>
      <c r="H298" s="89" t="s">
        <v>179</v>
      </c>
      <c r="I298" s="90">
        <v>38000</v>
      </c>
      <c r="J298" s="89"/>
      <c r="K298" s="89"/>
      <c r="L298" s="91">
        <v>3.2469999999999999</v>
      </c>
      <c r="M298" s="92">
        <v>4</v>
      </c>
      <c r="N298" s="91">
        <v>6.5069999999999997</v>
      </c>
      <c r="O298" s="90">
        <v>1</v>
      </c>
      <c r="P298" s="92">
        <v>4.8802500000000002</v>
      </c>
      <c r="Q298" s="93">
        <v>51.75</v>
      </c>
      <c r="R298" s="92">
        <v>51.75</v>
      </c>
      <c r="S298" s="87">
        <v>1761700</v>
      </c>
      <c r="T298" s="94">
        <v>11</v>
      </c>
      <c r="U298" s="95">
        <v>34042.512077294683</v>
      </c>
      <c r="V298" s="96">
        <v>29.375035477095988</v>
      </c>
      <c r="X298" s="98">
        <v>89.7</v>
      </c>
      <c r="Y298" s="97">
        <v>26.690412486064659</v>
      </c>
    </row>
    <row r="299" spans="1:25">
      <c r="A299" s="58">
        <v>298</v>
      </c>
      <c r="B299" s="58">
        <v>298</v>
      </c>
      <c r="C299" s="58" t="s">
        <v>680</v>
      </c>
      <c r="D299" s="58" t="s">
        <v>187</v>
      </c>
      <c r="E299" s="58" t="s">
        <v>187</v>
      </c>
      <c r="F299" s="58" t="s">
        <v>377</v>
      </c>
      <c r="H299" s="58" t="s">
        <v>179</v>
      </c>
      <c r="I299">
        <v>38000</v>
      </c>
      <c r="L299" s="74">
        <v>5.1589999999999998</v>
      </c>
      <c r="M299" s="85">
        <v>6</v>
      </c>
      <c r="N299" s="74">
        <v>0.58299999999999996</v>
      </c>
      <c r="O299">
        <v>1</v>
      </c>
      <c r="P299" s="84">
        <v>0.58299999999999996</v>
      </c>
      <c r="Q299" s="86">
        <v>3.45</v>
      </c>
      <c r="R299" s="85">
        <v>3.45</v>
      </c>
      <c r="S299" s="87">
        <v>769410</v>
      </c>
      <c r="T299" s="1">
        <v>4</v>
      </c>
      <c r="U299" s="88">
        <v>223017.39130434781</v>
      </c>
      <c r="V299" s="59">
        <v>4.4839552384294459</v>
      </c>
      <c r="X299" s="98">
        <v>51.75</v>
      </c>
      <c r="Y299" s="97">
        <v>34.042512077294681</v>
      </c>
    </row>
    <row r="300" spans="1:25">
      <c r="A300" s="58">
        <v>299</v>
      </c>
      <c r="B300" s="58">
        <v>299</v>
      </c>
      <c r="C300" s="58" t="s">
        <v>681</v>
      </c>
      <c r="D300" s="58" t="s">
        <v>187</v>
      </c>
      <c r="E300" s="58" t="s">
        <v>187</v>
      </c>
      <c r="F300" s="58" t="s">
        <v>377</v>
      </c>
      <c r="H300" s="58" t="s">
        <v>179</v>
      </c>
      <c r="I300">
        <v>38000</v>
      </c>
      <c r="L300" s="74">
        <v>2.2799999999999998</v>
      </c>
      <c r="M300" s="85">
        <v>3</v>
      </c>
      <c r="N300" s="74">
        <v>1.6240000000000001</v>
      </c>
      <c r="O300">
        <v>1</v>
      </c>
      <c r="P300" s="84">
        <v>1.218</v>
      </c>
      <c r="Q300" s="86">
        <v>10.350000000000001</v>
      </c>
      <c r="R300" s="85">
        <v>10.350000000000001</v>
      </c>
      <c r="S300" s="87">
        <v>558600</v>
      </c>
      <c r="T300" s="1">
        <v>4</v>
      </c>
      <c r="U300" s="88">
        <v>53971.014492753617</v>
      </c>
      <c r="V300" s="59">
        <v>18.528464017185826</v>
      </c>
      <c r="X300" s="98">
        <v>3.45</v>
      </c>
      <c r="Y300" s="97">
        <v>223.0173913043478</v>
      </c>
    </row>
    <row r="301" spans="1:25">
      <c r="A301" s="89">
        <v>300</v>
      </c>
      <c r="B301" s="89">
        <v>300</v>
      </c>
      <c r="C301" s="89" t="s">
        <v>682</v>
      </c>
      <c r="D301" s="58" t="s">
        <v>187</v>
      </c>
      <c r="E301" s="58" t="s">
        <v>187</v>
      </c>
      <c r="F301" s="89" t="s">
        <v>683</v>
      </c>
      <c r="G301" s="89" t="s">
        <v>684</v>
      </c>
      <c r="H301" s="89" t="s">
        <v>179</v>
      </c>
      <c r="I301" s="90">
        <v>38000</v>
      </c>
      <c r="J301" s="89" t="s">
        <v>185</v>
      </c>
      <c r="K301" s="90">
        <v>38000</v>
      </c>
      <c r="L301" s="91">
        <v>2.4540000000000002</v>
      </c>
      <c r="M301" s="92">
        <v>3</v>
      </c>
      <c r="N301" s="91">
        <v>6.7460000000000004</v>
      </c>
      <c r="O301" s="90">
        <v>1</v>
      </c>
      <c r="P301" s="92">
        <v>5.0594999999999999</v>
      </c>
      <c r="Q301" s="93">
        <v>55.2</v>
      </c>
      <c r="R301" s="92">
        <v>55.2</v>
      </c>
      <c r="S301" s="87">
        <v>1550890</v>
      </c>
      <c r="T301" s="94">
        <v>11</v>
      </c>
      <c r="U301" s="95">
        <v>28095.833333333332</v>
      </c>
      <c r="V301" s="96">
        <v>35.592466261308026</v>
      </c>
      <c r="X301" s="98">
        <v>10.350000000000001</v>
      </c>
      <c r="Y301" s="97">
        <v>53.971014492753611</v>
      </c>
    </row>
    <row r="302" spans="1:25">
      <c r="A302" s="58">
        <v>301</v>
      </c>
      <c r="B302" s="58">
        <v>301</v>
      </c>
      <c r="C302" s="58" t="s">
        <v>685</v>
      </c>
      <c r="D302" s="58" t="s">
        <v>187</v>
      </c>
      <c r="E302" s="58" t="s">
        <v>187</v>
      </c>
      <c r="F302" s="58" t="s">
        <v>683</v>
      </c>
      <c r="G302" s="58" t="s">
        <v>684</v>
      </c>
      <c r="H302" s="58" t="s">
        <v>179</v>
      </c>
      <c r="I302">
        <v>38000</v>
      </c>
      <c r="J302" s="58" t="s">
        <v>185</v>
      </c>
      <c r="K302">
        <v>38000</v>
      </c>
      <c r="L302" s="74">
        <v>5.0540000000000003</v>
      </c>
      <c r="M302" s="85">
        <v>6</v>
      </c>
      <c r="N302" s="74">
        <v>4.5060000000000002</v>
      </c>
      <c r="O302">
        <v>1</v>
      </c>
      <c r="P302" s="84">
        <v>3.3795000000000002</v>
      </c>
      <c r="Q302" s="86">
        <v>34.5</v>
      </c>
      <c r="R302" s="85">
        <v>34.5</v>
      </c>
      <c r="S302" s="87">
        <v>1015350</v>
      </c>
      <c r="T302" s="1">
        <v>6</v>
      </c>
      <c r="U302" s="88">
        <v>29430.434782608696</v>
      </c>
      <c r="V302" s="59">
        <v>33.978431082877826</v>
      </c>
      <c r="X302" s="98">
        <v>55.2</v>
      </c>
      <c r="Y302" s="97">
        <v>28.095833333333335</v>
      </c>
    </row>
    <row r="303" spans="1:25">
      <c r="A303" s="58">
        <v>302</v>
      </c>
      <c r="B303" s="58">
        <v>302</v>
      </c>
      <c r="C303" s="58" t="s">
        <v>686</v>
      </c>
      <c r="D303" s="58" t="s">
        <v>234</v>
      </c>
      <c r="E303" s="58" t="s">
        <v>234</v>
      </c>
      <c r="F303" s="58" t="s">
        <v>235</v>
      </c>
      <c r="G303" s="58" t="s">
        <v>236</v>
      </c>
      <c r="H303" s="58" t="s">
        <v>179</v>
      </c>
      <c r="I303">
        <v>38000</v>
      </c>
      <c r="J303">
        <v>38000</v>
      </c>
      <c r="K303">
        <v>20000</v>
      </c>
      <c r="L303" s="74">
        <v>7.4589999999999996</v>
      </c>
      <c r="M303" s="85">
        <v>8</v>
      </c>
      <c r="N303" s="74">
        <v>1.9770000000000001</v>
      </c>
      <c r="O303">
        <v>1</v>
      </c>
      <c r="P303" s="84">
        <v>1.48275</v>
      </c>
      <c r="Q303" s="86">
        <v>13.8</v>
      </c>
      <c r="R303" s="85">
        <v>13.8</v>
      </c>
      <c r="S303" s="87">
        <v>909950</v>
      </c>
      <c r="T303" s="1">
        <v>4</v>
      </c>
      <c r="U303" s="88">
        <v>65938.405797101441</v>
      </c>
      <c r="V303" s="59">
        <v>15.165668443321062</v>
      </c>
      <c r="X303" s="98">
        <v>34.5</v>
      </c>
      <c r="Y303" s="97">
        <v>29.430434782608696</v>
      </c>
    </row>
    <row r="304" spans="1:25">
      <c r="A304" s="58">
        <v>303</v>
      </c>
      <c r="B304" s="58">
        <v>303</v>
      </c>
      <c r="C304" s="58" t="s">
        <v>687</v>
      </c>
      <c r="D304" s="58" t="s">
        <v>234</v>
      </c>
      <c r="E304" s="58" t="s">
        <v>234</v>
      </c>
      <c r="F304" s="58" t="s">
        <v>235</v>
      </c>
      <c r="G304" s="58" t="s">
        <v>236</v>
      </c>
      <c r="H304" s="58" t="s">
        <v>179</v>
      </c>
      <c r="I304">
        <v>38000</v>
      </c>
      <c r="J304">
        <v>38000</v>
      </c>
      <c r="K304">
        <v>20000</v>
      </c>
      <c r="L304" s="74">
        <v>6.2380000000000004</v>
      </c>
      <c r="M304" s="85">
        <v>7</v>
      </c>
      <c r="N304" s="74">
        <v>4.423</v>
      </c>
      <c r="O304">
        <v>1</v>
      </c>
      <c r="P304" s="84">
        <v>3.31725</v>
      </c>
      <c r="Q304" s="86">
        <v>34.5</v>
      </c>
      <c r="R304" s="85">
        <v>34.5</v>
      </c>
      <c r="S304" s="87">
        <v>1126610</v>
      </c>
      <c r="T304" s="1">
        <v>6</v>
      </c>
      <c r="U304" s="88">
        <v>32655.36231884058</v>
      </c>
      <c r="V304" s="59">
        <v>30.62284197725921</v>
      </c>
      <c r="X304" s="98">
        <v>13.8</v>
      </c>
      <c r="Y304" s="97">
        <v>65.938405797101453</v>
      </c>
    </row>
    <row r="305" spans="1:25">
      <c r="A305" s="58">
        <v>304</v>
      </c>
      <c r="B305" s="58">
        <v>304</v>
      </c>
      <c r="C305" s="58" t="s">
        <v>688</v>
      </c>
      <c r="D305" s="58" t="s">
        <v>234</v>
      </c>
      <c r="E305" s="58" t="s">
        <v>234</v>
      </c>
      <c r="F305" s="58" t="s">
        <v>235</v>
      </c>
      <c r="G305" s="58" t="s">
        <v>236</v>
      </c>
      <c r="H305" s="58" t="s">
        <v>179</v>
      </c>
      <c r="I305">
        <v>38000</v>
      </c>
      <c r="J305">
        <v>38000</v>
      </c>
      <c r="K305">
        <v>20000</v>
      </c>
      <c r="L305" s="74">
        <v>7.4790000000000001</v>
      </c>
      <c r="M305" s="85">
        <v>8</v>
      </c>
      <c r="N305" s="74">
        <v>1.9430000000000001</v>
      </c>
      <c r="O305">
        <v>1</v>
      </c>
      <c r="P305" s="84">
        <v>1.4572500000000002</v>
      </c>
      <c r="Q305" s="86">
        <v>13.8</v>
      </c>
      <c r="R305" s="85">
        <v>13.8</v>
      </c>
      <c r="S305" s="87">
        <v>909950</v>
      </c>
      <c r="T305" s="1">
        <v>4</v>
      </c>
      <c r="U305" s="88">
        <v>65938.405797101441</v>
      </c>
      <c r="V305" s="59">
        <v>15.165668443321062</v>
      </c>
      <c r="X305" s="98">
        <v>34.5</v>
      </c>
      <c r="Y305" s="97">
        <v>32.655362318840581</v>
      </c>
    </row>
    <row r="306" spans="1:25">
      <c r="A306" s="58">
        <v>305</v>
      </c>
      <c r="B306" s="58">
        <v>305</v>
      </c>
      <c r="C306" s="58" t="s">
        <v>689</v>
      </c>
      <c r="D306" s="58" t="s">
        <v>234</v>
      </c>
      <c r="E306" s="58" t="s">
        <v>234</v>
      </c>
      <c r="F306" s="58" t="s">
        <v>235</v>
      </c>
      <c r="G306" s="58" t="s">
        <v>236</v>
      </c>
      <c r="H306" s="58" t="s">
        <v>179</v>
      </c>
      <c r="I306">
        <v>38000</v>
      </c>
      <c r="J306">
        <v>38000</v>
      </c>
      <c r="K306">
        <v>20000</v>
      </c>
      <c r="L306" s="74">
        <v>9.6340000000000003</v>
      </c>
      <c r="M306" s="85">
        <v>10</v>
      </c>
      <c r="N306" s="74">
        <v>1.036</v>
      </c>
      <c r="O306">
        <v>1</v>
      </c>
      <c r="P306" s="84">
        <v>0.77700000000000002</v>
      </c>
      <c r="Q306" s="86">
        <v>6.9</v>
      </c>
      <c r="R306" s="85">
        <v>6.9</v>
      </c>
      <c r="S306" s="87">
        <v>1432500</v>
      </c>
      <c r="T306" s="1">
        <v>2</v>
      </c>
      <c r="U306" s="88">
        <v>207608.69565217389</v>
      </c>
      <c r="V306" s="59">
        <v>4.8167539267015709</v>
      </c>
      <c r="X306" s="98">
        <v>13.8</v>
      </c>
      <c r="Y306" s="97">
        <v>65.938405797101453</v>
      </c>
    </row>
    <row r="307" spans="1:25">
      <c r="A307" s="58">
        <v>306</v>
      </c>
      <c r="B307" s="58">
        <v>306</v>
      </c>
      <c r="C307" s="58" t="s">
        <v>690</v>
      </c>
      <c r="D307" s="58" t="s">
        <v>234</v>
      </c>
      <c r="E307" s="58" t="s">
        <v>234</v>
      </c>
      <c r="F307" s="58" t="s">
        <v>235</v>
      </c>
      <c r="G307" s="58" t="s">
        <v>236</v>
      </c>
      <c r="H307" s="58" t="s">
        <v>179</v>
      </c>
      <c r="I307">
        <v>38000</v>
      </c>
      <c r="J307">
        <v>38000</v>
      </c>
      <c r="K307">
        <v>20000</v>
      </c>
      <c r="L307" s="74">
        <v>10.101000000000001</v>
      </c>
      <c r="M307" s="85">
        <v>11</v>
      </c>
      <c r="N307" s="74">
        <v>1.1299999999999999</v>
      </c>
      <c r="O307">
        <v>1</v>
      </c>
      <c r="P307" s="84">
        <v>0.84749999999999992</v>
      </c>
      <c r="Q307" s="86">
        <v>6.9</v>
      </c>
      <c r="R307" s="85">
        <v>6.9</v>
      </c>
      <c r="S307" s="87">
        <v>1485200</v>
      </c>
      <c r="T307" s="1">
        <v>2</v>
      </c>
      <c r="U307" s="88">
        <v>215246.37681159418</v>
      </c>
      <c r="V307" s="59">
        <v>4.6458389442499328</v>
      </c>
      <c r="X307" s="98">
        <v>6.9</v>
      </c>
      <c r="Y307" s="97">
        <v>207.60869565217388</v>
      </c>
    </row>
    <row r="308" spans="1:25">
      <c r="A308" s="58">
        <v>307</v>
      </c>
      <c r="B308" s="58">
        <v>307</v>
      </c>
      <c r="C308" s="58" t="s">
        <v>691</v>
      </c>
      <c r="D308" s="58" t="s">
        <v>234</v>
      </c>
      <c r="E308" s="58" t="s">
        <v>234</v>
      </c>
      <c r="F308" s="58" t="s">
        <v>235</v>
      </c>
      <c r="G308" s="58" t="s">
        <v>236</v>
      </c>
      <c r="H308" s="58" t="s">
        <v>179</v>
      </c>
      <c r="I308">
        <v>38000</v>
      </c>
      <c r="J308">
        <v>38000</v>
      </c>
      <c r="K308">
        <v>20000</v>
      </c>
      <c r="L308" s="74">
        <v>13.898</v>
      </c>
      <c r="M308" s="85">
        <v>14</v>
      </c>
      <c r="N308" s="74">
        <v>4.42</v>
      </c>
      <c r="O308">
        <v>1</v>
      </c>
      <c r="P308" s="84">
        <v>3.3149999999999999</v>
      </c>
      <c r="Q308" s="86">
        <v>34.5</v>
      </c>
      <c r="R308" s="85">
        <v>34.5</v>
      </c>
      <c r="S308" s="87">
        <v>1905430</v>
      </c>
      <c r="T308" s="1">
        <v>6</v>
      </c>
      <c r="U308" s="88">
        <v>55229.855072463768</v>
      </c>
      <c r="V308" s="59">
        <v>18.106149268144197</v>
      </c>
      <c r="X308" s="98">
        <v>6.9</v>
      </c>
      <c r="Y308" s="97">
        <v>215.24637681159416</v>
      </c>
    </row>
    <row r="309" spans="1:25">
      <c r="A309" s="89">
        <v>308</v>
      </c>
      <c r="B309" s="89">
        <v>308</v>
      </c>
      <c r="C309" s="89" t="s">
        <v>692</v>
      </c>
      <c r="D309" s="58" t="s">
        <v>234</v>
      </c>
      <c r="E309" s="58" t="s">
        <v>234</v>
      </c>
      <c r="F309" s="89" t="s">
        <v>235</v>
      </c>
      <c r="G309" s="89" t="s">
        <v>236</v>
      </c>
      <c r="H309" s="89" t="s">
        <v>179</v>
      </c>
      <c r="I309" s="90">
        <v>38000</v>
      </c>
      <c r="J309" s="90">
        <v>38000</v>
      </c>
      <c r="K309" s="90">
        <v>20000</v>
      </c>
      <c r="L309" s="91">
        <v>18.984000000000002</v>
      </c>
      <c r="M309" s="92">
        <v>19</v>
      </c>
      <c r="N309" s="91">
        <v>14.303000000000001</v>
      </c>
      <c r="O309" s="90">
        <v>1</v>
      </c>
      <c r="P309" s="92">
        <v>10.727250000000002</v>
      </c>
      <c r="Q309" s="93">
        <v>117.30000000000001</v>
      </c>
      <c r="R309" s="92">
        <v>117.30000000000001</v>
      </c>
      <c r="S309" s="87">
        <v>4923850</v>
      </c>
      <c r="T309" s="94">
        <v>11</v>
      </c>
      <c r="U309" s="95">
        <v>41976.555839727189</v>
      </c>
      <c r="V309" s="96">
        <v>23.822821572549937</v>
      </c>
      <c r="X309" s="98">
        <v>34.5</v>
      </c>
      <c r="Y309" s="97">
        <v>55.229855072463764</v>
      </c>
    </row>
    <row r="310" spans="1:25">
      <c r="A310" s="58">
        <v>309</v>
      </c>
      <c r="B310" s="58">
        <v>309</v>
      </c>
      <c r="C310" s="58" t="s">
        <v>693</v>
      </c>
      <c r="D310" s="58" t="s">
        <v>187</v>
      </c>
      <c r="E310" s="58" t="s">
        <v>187</v>
      </c>
      <c r="F310" s="58" t="s">
        <v>415</v>
      </c>
      <c r="G310" s="58" t="s">
        <v>416</v>
      </c>
      <c r="H310" s="58" t="s">
        <v>179</v>
      </c>
      <c r="I310">
        <v>38000</v>
      </c>
      <c r="J310">
        <v>38000</v>
      </c>
      <c r="K310" s="58" t="s">
        <v>185</v>
      </c>
      <c r="L310" s="74">
        <v>13.432</v>
      </c>
      <c r="M310" s="85">
        <v>14</v>
      </c>
      <c r="N310" s="74">
        <v>3.26</v>
      </c>
      <c r="O310">
        <v>1</v>
      </c>
      <c r="P310" s="84">
        <v>2.4449999999999998</v>
      </c>
      <c r="Q310" s="86">
        <v>24.150000000000006</v>
      </c>
      <c r="R310" s="85">
        <v>24.150000000000006</v>
      </c>
      <c r="S310" s="87">
        <v>1591410</v>
      </c>
      <c r="T310" s="1">
        <v>5</v>
      </c>
      <c r="U310" s="88">
        <v>65896.894409937871</v>
      </c>
      <c r="V310" s="59">
        <v>15.175221972967373</v>
      </c>
      <c r="X310" s="98">
        <v>117.30000000000001</v>
      </c>
      <c r="Y310" s="97">
        <v>41.97655583972719</v>
      </c>
    </row>
    <row r="311" spans="1:25">
      <c r="A311" s="58">
        <v>311</v>
      </c>
      <c r="B311" s="58">
        <v>311</v>
      </c>
      <c r="C311" s="58" t="s">
        <v>694</v>
      </c>
      <c r="D311" s="58" t="s">
        <v>384</v>
      </c>
      <c r="E311" s="58" t="s">
        <v>384</v>
      </c>
      <c r="F311" s="58" t="s">
        <v>381</v>
      </c>
      <c r="G311" s="58" t="s">
        <v>382</v>
      </c>
      <c r="H311" s="58" t="s">
        <v>199</v>
      </c>
      <c r="I311">
        <v>110000</v>
      </c>
      <c r="J311">
        <v>20000</v>
      </c>
      <c r="K311">
        <v>110000</v>
      </c>
      <c r="L311" s="74">
        <v>7.5890000000000004</v>
      </c>
      <c r="M311" s="85">
        <v>8</v>
      </c>
      <c r="N311" s="74">
        <v>2.1619999999999999</v>
      </c>
      <c r="O311">
        <v>1</v>
      </c>
      <c r="P311" s="84">
        <v>1.6214999999999999</v>
      </c>
      <c r="Q311" s="86">
        <v>17.25</v>
      </c>
      <c r="R311" s="85">
        <v>17.25</v>
      </c>
      <c r="S311" s="87">
        <v>2156870</v>
      </c>
      <c r="T311" s="1">
        <v>8</v>
      </c>
      <c r="U311" s="88">
        <v>125035.9420289855</v>
      </c>
      <c r="V311" s="59">
        <v>7.9977003713714785</v>
      </c>
      <c r="X311" s="98">
        <v>24.150000000000006</v>
      </c>
      <c r="Y311" s="97">
        <v>65.896894409937872</v>
      </c>
    </row>
    <row r="312" spans="1:25">
      <c r="A312" s="58">
        <v>312</v>
      </c>
      <c r="B312" s="58">
        <v>312</v>
      </c>
      <c r="C312" s="58" t="s">
        <v>695</v>
      </c>
      <c r="D312" s="58" t="s">
        <v>380</v>
      </c>
      <c r="E312" s="58" t="s">
        <v>380</v>
      </c>
      <c r="F312" s="58" t="s">
        <v>381</v>
      </c>
      <c r="G312" s="58" t="s">
        <v>382</v>
      </c>
      <c r="H312" s="58" t="s">
        <v>199</v>
      </c>
      <c r="I312">
        <v>110000</v>
      </c>
      <c r="J312">
        <v>20000</v>
      </c>
      <c r="K312">
        <v>110000</v>
      </c>
      <c r="L312" s="74">
        <v>11.318</v>
      </c>
      <c r="M312" s="85">
        <v>12</v>
      </c>
      <c r="N312" s="74">
        <v>1.034</v>
      </c>
      <c r="O312">
        <v>1</v>
      </c>
      <c r="P312" s="84">
        <v>0.77550000000000008</v>
      </c>
      <c r="Q312" s="86">
        <v>6.9</v>
      </c>
      <c r="R312" s="85">
        <v>6.9</v>
      </c>
      <c r="S312" s="87">
        <v>2048870</v>
      </c>
      <c r="T312" s="1">
        <v>7</v>
      </c>
      <c r="U312" s="88">
        <v>296937.68115942029</v>
      </c>
      <c r="V312" s="59">
        <v>3.3677100060033092</v>
      </c>
      <c r="X312" s="98">
        <v>17.25</v>
      </c>
      <c r="Y312" s="97">
        <v>125.03594202898549</v>
      </c>
    </row>
    <row r="313" spans="1:25">
      <c r="A313" s="58">
        <v>313</v>
      </c>
      <c r="B313" s="58">
        <v>313</v>
      </c>
      <c r="C313" s="58" t="s">
        <v>696</v>
      </c>
      <c r="D313" s="58" t="s">
        <v>207</v>
      </c>
      <c r="E313" s="58" t="s">
        <v>207</v>
      </c>
      <c r="F313" s="58" t="s">
        <v>389</v>
      </c>
      <c r="G313" s="58" t="s">
        <v>390</v>
      </c>
      <c r="H313" s="58" t="s">
        <v>199</v>
      </c>
      <c r="I313">
        <v>110000</v>
      </c>
      <c r="J313">
        <v>110000</v>
      </c>
      <c r="K313">
        <v>38000</v>
      </c>
      <c r="L313" s="74">
        <v>7.1349999999999998</v>
      </c>
      <c r="M313" s="85">
        <v>8</v>
      </c>
      <c r="N313" s="74">
        <v>1.9890000000000001</v>
      </c>
      <c r="O313">
        <v>1</v>
      </c>
      <c r="P313" s="84">
        <v>1.4917500000000001</v>
      </c>
      <c r="Q313" s="86">
        <v>13.8</v>
      </c>
      <c r="R313" s="85">
        <v>13.8</v>
      </c>
      <c r="S313" s="87">
        <v>2156870</v>
      </c>
      <c r="T313" s="1">
        <v>8</v>
      </c>
      <c r="U313" s="88">
        <v>156294.92753623187</v>
      </c>
      <c r="V313" s="59">
        <v>6.3981602970971823</v>
      </c>
      <c r="X313" s="98">
        <v>6.9</v>
      </c>
      <c r="Y313" s="97">
        <v>296.93768115942026</v>
      </c>
    </row>
    <row r="314" spans="1:25">
      <c r="A314" s="58">
        <v>314</v>
      </c>
      <c r="B314" s="58">
        <v>314</v>
      </c>
      <c r="C314" s="58" t="s">
        <v>697</v>
      </c>
      <c r="D314" s="58" t="s">
        <v>207</v>
      </c>
      <c r="E314" s="58" t="s">
        <v>207</v>
      </c>
      <c r="F314" s="58" t="s">
        <v>698</v>
      </c>
      <c r="G314" s="58" t="s">
        <v>699</v>
      </c>
      <c r="H314" s="58" t="s">
        <v>199</v>
      </c>
      <c r="I314">
        <v>110000</v>
      </c>
      <c r="J314" s="58" t="s">
        <v>185</v>
      </c>
      <c r="K314">
        <v>110000</v>
      </c>
      <c r="L314" s="74">
        <v>7.4329999999999998</v>
      </c>
      <c r="M314" s="85">
        <v>8</v>
      </c>
      <c r="N314" s="74">
        <v>1.038</v>
      </c>
      <c r="O314">
        <v>1</v>
      </c>
      <c r="P314" s="84">
        <v>0.77849999999999997</v>
      </c>
      <c r="Q314" s="86">
        <v>6.9</v>
      </c>
      <c r="R314" s="85">
        <v>6.9</v>
      </c>
      <c r="S314" s="87">
        <v>1838070</v>
      </c>
      <c r="T314" s="1">
        <v>7</v>
      </c>
      <c r="U314" s="88">
        <v>266386.95652173914</v>
      </c>
      <c r="V314" s="59">
        <v>3.7539375540648616</v>
      </c>
      <c r="X314" s="98">
        <v>13.8</v>
      </c>
      <c r="Y314" s="97">
        <v>156.29492753623185</v>
      </c>
    </row>
    <row r="315" spans="1:25">
      <c r="A315" s="58">
        <v>315</v>
      </c>
      <c r="B315" s="58">
        <v>315</v>
      </c>
      <c r="C315" s="58" t="s">
        <v>700</v>
      </c>
      <c r="D315" s="58" t="s">
        <v>207</v>
      </c>
      <c r="E315" s="58" t="s">
        <v>207</v>
      </c>
      <c r="F315" s="58" t="s">
        <v>393</v>
      </c>
      <c r="G315" s="58" t="s">
        <v>394</v>
      </c>
      <c r="H315" s="58" t="s">
        <v>179</v>
      </c>
      <c r="I315">
        <v>38000</v>
      </c>
      <c r="J315">
        <v>38000</v>
      </c>
      <c r="K315" s="58" t="s">
        <v>185</v>
      </c>
      <c r="L315" s="74">
        <v>9.0109999999999992</v>
      </c>
      <c r="M315" s="85">
        <v>10</v>
      </c>
      <c r="N315" s="74">
        <v>0.80700000000000005</v>
      </c>
      <c r="O315">
        <v>1</v>
      </c>
      <c r="P315" s="84">
        <v>0.60525000000000007</v>
      </c>
      <c r="Q315" s="86">
        <v>6.9</v>
      </c>
      <c r="R315" s="85">
        <v>6.9</v>
      </c>
      <c r="S315" s="87">
        <v>1432500</v>
      </c>
      <c r="T315" s="1">
        <v>2</v>
      </c>
      <c r="U315" s="88">
        <v>207608.69565217389</v>
      </c>
      <c r="V315" s="59">
        <v>4.8167539267015709</v>
      </c>
      <c r="X315" s="98">
        <v>6.9</v>
      </c>
      <c r="Y315" s="97">
        <v>266.38695652173914</v>
      </c>
    </row>
    <row r="316" spans="1:25">
      <c r="A316" s="58">
        <v>316</v>
      </c>
      <c r="B316" s="58">
        <v>316</v>
      </c>
      <c r="C316" s="58" t="s">
        <v>701</v>
      </c>
      <c r="D316" s="58" t="s">
        <v>207</v>
      </c>
      <c r="E316" s="58" t="s">
        <v>207</v>
      </c>
      <c r="F316" s="58" t="s">
        <v>393</v>
      </c>
      <c r="G316" s="58" t="s">
        <v>394</v>
      </c>
      <c r="H316" s="58" t="s">
        <v>179</v>
      </c>
      <c r="I316">
        <v>38000</v>
      </c>
      <c r="J316">
        <v>38000</v>
      </c>
      <c r="K316" s="58" t="s">
        <v>185</v>
      </c>
      <c r="L316" s="74">
        <v>7.0149999999999997</v>
      </c>
      <c r="M316" s="85">
        <v>8</v>
      </c>
      <c r="N316" s="74">
        <v>0.34599999999999997</v>
      </c>
      <c r="O316">
        <v>1</v>
      </c>
      <c r="P316" s="84">
        <v>0.34599999999999997</v>
      </c>
      <c r="Q316" s="86">
        <v>3.45</v>
      </c>
      <c r="R316" s="85">
        <v>3.45</v>
      </c>
      <c r="S316" s="87">
        <v>909950</v>
      </c>
      <c r="T316" s="1">
        <v>4</v>
      </c>
      <c r="U316" s="88">
        <v>263753.62318840576</v>
      </c>
      <c r="V316" s="59">
        <v>3.7914171108302654</v>
      </c>
      <c r="X316" s="98">
        <v>6.9</v>
      </c>
      <c r="Y316" s="97">
        <v>207.60869565217388</v>
      </c>
    </row>
    <row r="317" spans="1:25">
      <c r="A317" s="58">
        <v>317</v>
      </c>
      <c r="B317" s="58">
        <v>317</v>
      </c>
      <c r="C317" s="58" t="s">
        <v>702</v>
      </c>
      <c r="D317" s="58" t="s">
        <v>207</v>
      </c>
      <c r="E317" s="58" t="s">
        <v>207</v>
      </c>
      <c r="F317" s="58" t="s">
        <v>389</v>
      </c>
      <c r="G317" s="58" t="s">
        <v>390</v>
      </c>
      <c r="H317" s="58" t="s">
        <v>199</v>
      </c>
      <c r="I317">
        <v>110000</v>
      </c>
      <c r="J317">
        <v>110000</v>
      </c>
      <c r="K317">
        <v>38000</v>
      </c>
      <c r="L317" s="74">
        <v>7.2930000000000001</v>
      </c>
      <c r="M317" s="85">
        <v>8</v>
      </c>
      <c r="N317" s="74">
        <v>2.4009999999999998</v>
      </c>
      <c r="O317">
        <v>1</v>
      </c>
      <c r="P317" s="84">
        <v>1.8007499999999999</v>
      </c>
      <c r="Q317" s="86">
        <v>17.25</v>
      </c>
      <c r="R317" s="85">
        <v>17.25</v>
      </c>
      <c r="S317" s="87">
        <v>2156870</v>
      </c>
      <c r="T317" s="1">
        <v>8</v>
      </c>
      <c r="U317" s="88">
        <v>125035.9420289855</v>
      </c>
      <c r="V317" s="59">
        <v>7.9977003713714785</v>
      </c>
      <c r="X317" s="98">
        <v>3.45</v>
      </c>
      <c r="Y317" s="97">
        <v>263.75362318840581</v>
      </c>
    </row>
    <row r="318" spans="1:25">
      <c r="A318" s="89">
        <v>318</v>
      </c>
      <c r="B318" s="89">
        <v>318</v>
      </c>
      <c r="C318" s="89" t="s">
        <v>703</v>
      </c>
      <c r="D318" s="58" t="s">
        <v>207</v>
      </c>
      <c r="E318" s="58" t="s">
        <v>207</v>
      </c>
      <c r="F318" s="89" t="s">
        <v>393</v>
      </c>
      <c r="G318" s="89" t="s">
        <v>394</v>
      </c>
      <c r="H318" s="89" t="s">
        <v>179</v>
      </c>
      <c r="I318" s="90">
        <v>38000</v>
      </c>
      <c r="J318" s="90">
        <v>38000</v>
      </c>
      <c r="K318" s="89" t="s">
        <v>185</v>
      </c>
      <c r="L318" s="91">
        <v>8.8520000000000003</v>
      </c>
      <c r="M318" s="92">
        <v>9</v>
      </c>
      <c r="N318" s="91">
        <v>6.0640000000000001</v>
      </c>
      <c r="O318" s="90">
        <v>1</v>
      </c>
      <c r="P318" s="92">
        <v>4.548</v>
      </c>
      <c r="Q318" s="93">
        <v>48.300000000000011</v>
      </c>
      <c r="R318" s="92">
        <v>48.300000000000011</v>
      </c>
      <c r="S318" s="87">
        <v>2815750</v>
      </c>
      <c r="T318" s="94">
        <v>11</v>
      </c>
      <c r="U318" s="95">
        <v>58297.101449275346</v>
      </c>
      <c r="V318" s="96">
        <v>17.153511497824741</v>
      </c>
      <c r="X318" s="98">
        <v>17.25</v>
      </c>
      <c r="Y318" s="97">
        <v>125.03594202898549</v>
      </c>
    </row>
    <row r="319" spans="1:25">
      <c r="A319" s="58">
        <v>319</v>
      </c>
      <c r="B319" s="58">
        <v>319</v>
      </c>
      <c r="C319" s="58" t="s">
        <v>704</v>
      </c>
      <c r="D319" s="58" t="s">
        <v>207</v>
      </c>
      <c r="E319" s="58" t="s">
        <v>207</v>
      </c>
      <c r="F319" s="58" t="s">
        <v>705</v>
      </c>
      <c r="G319" s="58" t="s">
        <v>706</v>
      </c>
      <c r="H319" s="58" t="s">
        <v>179</v>
      </c>
      <c r="I319">
        <v>38000</v>
      </c>
      <c r="J319" s="58" t="s">
        <v>185</v>
      </c>
      <c r="K319">
        <v>38000</v>
      </c>
      <c r="L319" s="74">
        <v>12.249000000000001</v>
      </c>
      <c r="M319" s="85">
        <v>13</v>
      </c>
      <c r="N319" s="74">
        <v>1.659</v>
      </c>
      <c r="O319">
        <v>1</v>
      </c>
      <c r="P319" s="84">
        <v>1.2442500000000001</v>
      </c>
      <c r="Q319" s="86">
        <v>10.350000000000001</v>
      </c>
      <c r="R319" s="85">
        <v>10.350000000000001</v>
      </c>
      <c r="S319" s="87">
        <v>1627650</v>
      </c>
      <c r="T319" s="1">
        <v>3</v>
      </c>
      <c r="U319" s="88">
        <v>157260.86956521738</v>
      </c>
      <c r="V319" s="59">
        <v>6.3588609344760867</v>
      </c>
      <c r="X319" s="98">
        <v>48.300000000000011</v>
      </c>
      <c r="Y319" s="97">
        <v>58.297101449275345</v>
      </c>
    </row>
    <row r="320" spans="1:25">
      <c r="A320" s="58">
        <v>320</v>
      </c>
      <c r="B320" s="58">
        <v>320</v>
      </c>
      <c r="C320" s="58" t="s">
        <v>707</v>
      </c>
      <c r="D320" s="58" t="s">
        <v>207</v>
      </c>
      <c r="E320" s="58" t="s">
        <v>207</v>
      </c>
      <c r="F320" s="58" t="s">
        <v>698</v>
      </c>
      <c r="G320" s="58" t="s">
        <v>699</v>
      </c>
      <c r="H320" s="58" t="s">
        <v>199</v>
      </c>
      <c r="I320">
        <v>110000</v>
      </c>
      <c r="J320" s="58" t="s">
        <v>185</v>
      </c>
      <c r="K320">
        <v>110000</v>
      </c>
      <c r="L320" s="74">
        <v>14.393000000000001</v>
      </c>
      <c r="M320" s="85">
        <v>15</v>
      </c>
      <c r="N320" s="74">
        <v>0.19400000000000001</v>
      </c>
      <c r="O320">
        <v>1</v>
      </c>
      <c r="P320" s="84">
        <v>0.19400000000000001</v>
      </c>
      <c r="Q320" s="86">
        <v>3.45</v>
      </c>
      <c r="R320" s="85">
        <v>3.45</v>
      </c>
      <c r="S320" s="87">
        <v>2206970</v>
      </c>
      <c r="T320" s="1">
        <v>7</v>
      </c>
      <c r="U320" s="88">
        <v>639701.44927536231</v>
      </c>
      <c r="V320" s="59">
        <v>1.5632292237773961</v>
      </c>
      <c r="X320" s="98">
        <v>10.350000000000001</v>
      </c>
      <c r="Y320" s="97">
        <v>157.26086956521738</v>
      </c>
    </row>
    <row r="321" spans="1:25">
      <c r="A321" s="58">
        <v>321</v>
      </c>
      <c r="B321" s="58">
        <v>321</v>
      </c>
      <c r="C321" s="58" t="s">
        <v>708</v>
      </c>
      <c r="D321" s="58" t="s">
        <v>207</v>
      </c>
      <c r="E321" s="58" t="s">
        <v>207</v>
      </c>
      <c r="F321" s="58" t="s">
        <v>242</v>
      </c>
      <c r="G321" s="58" t="s">
        <v>243</v>
      </c>
      <c r="H321" s="58" t="s">
        <v>179</v>
      </c>
      <c r="I321">
        <v>38000</v>
      </c>
      <c r="J321">
        <v>38000</v>
      </c>
      <c r="K321">
        <v>20000</v>
      </c>
      <c r="L321" s="74">
        <v>10.332000000000001</v>
      </c>
      <c r="M321" s="85">
        <v>11</v>
      </c>
      <c r="N321" s="74">
        <v>0.42199999999999999</v>
      </c>
      <c r="O321">
        <v>1</v>
      </c>
      <c r="P321" s="84">
        <v>0.42199999999999999</v>
      </c>
      <c r="Q321" s="86">
        <v>3.45</v>
      </c>
      <c r="R321" s="85">
        <v>3.45</v>
      </c>
      <c r="S321" s="87">
        <v>1439840</v>
      </c>
      <c r="T321" s="1">
        <v>1</v>
      </c>
      <c r="U321" s="88">
        <v>417344.92753623187</v>
      </c>
      <c r="V321" s="59">
        <v>2.396099566618513</v>
      </c>
      <c r="X321" s="98">
        <v>3.45</v>
      </c>
      <c r="Y321" s="97">
        <v>639.70144927536228</v>
      </c>
    </row>
    <row r="322" spans="1:25">
      <c r="A322" s="58">
        <v>322</v>
      </c>
      <c r="B322" s="58">
        <v>322</v>
      </c>
      <c r="C322" s="58" t="s">
        <v>709</v>
      </c>
      <c r="D322" s="58" t="s">
        <v>207</v>
      </c>
      <c r="E322" s="58" t="s">
        <v>207</v>
      </c>
      <c r="F322" s="58" t="s">
        <v>502</v>
      </c>
      <c r="G322" s="58" t="s">
        <v>503</v>
      </c>
      <c r="H322" s="58" t="s">
        <v>179</v>
      </c>
      <c r="I322">
        <v>38000</v>
      </c>
      <c r="J322">
        <v>38000</v>
      </c>
      <c r="K322" s="58" t="s">
        <v>185</v>
      </c>
      <c r="L322" s="74">
        <v>11.819000000000001</v>
      </c>
      <c r="M322" s="85">
        <v>12</v>
      </c>
      <c r="N322" s="74">
        <v>0.67200000000000004</v>
      </c>
      <c r="O322">
        <v>1</v>
      </c>
      <c r="P322" s="84">
        <v>0.504</v>
      </c>
      <c r="Q322" s="86">
        <v>3.45</v>
      </c>
      <c r="R322" s="85">
        <v>3.45</v>
      </c>
      <c r="S322" s="87">
        <v>1492540</v>
      </c>
      <c r="T322" s="1">
        <v>1</v>
      </c>
      <c r="U322" s="88">
        <v>432620.28985507245</v>
      </c>
      <c r="V322" s="59">
        <v>2.3114958393074891</v>
      </c>
      <c r="X322" s="98">
        <v>3.45</v>
      </c>
      <c r="Y322" s="97">
        <v>417.34492753623186</v>
      </c>
    </row>
    <row r="323" spans="1:25">
      <c r="A323" s="58">
        <v>323</v>
      </c>
      <c r="B323" s="58">
        <v>323</v>
      </c>
      <c r="C323" s="58" t="s">
        <v>710</v>
      </c>
      <c r="D323" s="58" t="s">
        <v>207</v>
      </c>
      <c r="E323" s="58" t="s">
        <v>207</v>
      </c>
      <c r="F323" s="58" t="s">
        <v>502</v>
      </c>
      <c r="G323" s="58" t="s">
        <v>503</v>
      </c>
      <c r="H323" s="58" t="s">
        <v>179</v>
      </c>
      <c r="I323">
        <v>38000</v>
      </c>
      <c r="J323">
        <v>38000</v>
      </c>
      <c r="K323" s="58" t="s">
        <v>185</v>
      </c>
      <c r="L323" s="74">
        <v>13.044</v>
      </c>
      <c r="M323" s="85">
        <v>14</v>
      </c>
      <c r="N323" s="74">
        <v>0.58399999999999996</v>
      </c>
      <c r="O323">
        <v>1</v>
      </c>
      <c r="P323" s="84">
        <v>0.58399999999999996</v>
      </c>
      <c r="Q323" s="86">
        <v>3.45</v>
      </c>
      <c r="R323" s="85">
        <v>3.45</v>
      </c>
      <c r="S323" s="87">
        <v>1597940</v>
      </c>
      <c r="T323" s="1">
        <v>1</v>
      </c>
      <c r="U323" s="88">
        <v>463171.0144927536</v>
      </c>
      <c r="V323" s="59">
        <v>2.1590297508041605</v>
      </c>
      <c r="X323" s="98">
        <v>3.45</v>
      </c>
      <c r="Y323" s="97">
        <v>432.62028985507243</v>
      </c>
    </row>
    <row r="324" spans="1:25">
      <c r="A324" s="58">
        <v>324</v>
      </c>
      <c r="B324" s="58">
        <v>324</v>
      </c>
      <c r="C324" s="58" t="s">
        <v>711</v>
      </c>
      <c r="D324" s="58" t="s">
        <v>384</v>
      </c>
      <c r="E324" s="58" t="s">
        <v>207</v>
      </c>
      <c r="F324" s="58" t="s">
        <v>476</v>
      </c>
      <c r="G324" s="58" t="s">
        <v>477</v>
      </c>
      <c r="H324" s="58" t="s">
        <v>179</v>
      </c>
      <c r="I324">
        <v>38000</v>
      </c>
      <c r="J324">
        <v>20000</v>
      </c>
      <c r="K324">
        <v>38000</v>
      </c>
      <c r="L324" s="74">
        <v>2.5750000000000002</v>
      </c>
      <c r="M324" s="85">
        <v>3</v>
      </c>
      <c r="N324" s="74">
        <v>1.018</v>
      </c>
      <c r="O324">
        <v>1</v>
      </c>
      <c r="P324" s="84">
        <v>0.76350000000000007</v>
      </c>
      <c r="Q324" s="86">
        <v>6.9</v>
      </c>
      <c r="R324" s="85">
        <v>6.9</v>
      </c>
      <c r="S324" s="87">
        <v>558600</v>
      </c>
      <c r="T324" s="1">
        <v>4</v>
      </c>
      <c r="U324" s="88">
        <v>80956.521739130432</v>
      </c>
      <c r="V324" s="59">
        <v>12.352309344790548</v>
      </c>
      <c r="X324" s="98">
        <v>3.45</v>
      </c>
      <c r="Y324" s="97">
        <v>463.17101449275361</v>
      </c>
    </row>
    <row r="325" spans="1:25">
      <c r="A325" s="58">
        <v>325</v>
      </c>
      <c r="B325" s="58">
        <v>325</v>
      </c>
      <c r="C325" s="58" t="s">
        <v>712</v>
      </c>
      <c r="D325" s="58" t="s">
        <v>215</v>
      </c>
      <c r="E325" s="58" t="s">
        <v>176</v>
      </c>
      <c r="F325" s="58" t="s">
        <v>713</v>
      </c>
      <c r="G325" s="58" t="s">
        <v>714</v>
      </c>
      <c r="H325" s="58" t="s">
        <v>199</v>
      </c>
      <c r="I325">
        <v>110000</v>
      </c>
      <c r="J325" s="58" t="s">
        <v>185</v>
      </c>
      <c r="K325">
        <v>110000</v>
      </c>
      <c r="L325" s="74">
        <v>4.5979999999999999</v>
      </c>
      <c r="M325" s="85">
        <v>5</v>
      </c>
      <c r="N325" s="74">
        <v>8.8409999999999904</v>
      </c>
      <c r="O325">
        <v>1</v>
      </c>
      <c r="P325" s="84">
        <v>6.6307499999999928</v>
      </c>
      <c r="Q325" s="86">
        <v>72.45</v>
      </c>
      <c r="R325" s="85">
        <v>72.45</v>
      </c>
      <c r="S325" s="87">
        <v>1972510</v>
      </c>
      <c r="T325" s="1">
        <v>11</v>
      </c>
      <c r="U325" s="88">
        <v>27225.810904071772</v>
      </c>
      <c r="V325" s="59">
        <v>36.729851813172047</v>
      </c>
      <c r="X325" s="98">
        <v>6.9</v>
      </c>
      <c r="Y325" s="97">
        <v>80.956521739130423</v>
      </c>
    </row>
    <row r="326" spans="1:25">
      <c r="A326" s="58">
        <v>326</v>
      </c>
      <c r="B326" s="58">
        <v>326</v>
      </c>
      <c r="C326" s="58" t="s">
        <v>715</v>
      </c>
      <c r="D326" s="58" t="s">
        <v>215</v>
      </c>
      <c r="E326" s="58" t="s">
        <v>176</v>
      </c>
      <c r="F326" s="58" t="s">
        <v>713</v>
      </c>
      <c r="G326" s="58" t="s">
        <v>714</v>
      </c>
      <c r="H326" s="58" t="s">
        <v>199</v>
      </c>
      <c r="I326">
        <v>110000</v>
      </c>
      <c r="J326" s="58" t="s">
        <v>185</v>
      </c>
      <c r="K326">
        <v>110000</v>
      </c>
      <c r="L326" s="74">
        <v>1.2929999999999999</v>
      </c>
      <c r="M326" s="85">
        <v>2</v>
      </c>
      <c r="N326" s="74">
        <v>1.653</v>
      </c>
      <c r="O326">
        <v>1</v>
      </c>
      <c r="P326" s="84">
        <v>1.2397499999999999</v>
      </c>
      <c r="Q326" s="86">
        <v>10.350000000000001</v>
      </c>
      <c r="R326" s="85">
        <v>10.350000000000001</v>
      </c>
      <c r="S326" s="87">
        <v>1340080</v>
      </c>
      <c r="T326" s="1">
        <v>11</v>
      </c>
      <c r="U326" s="88">
        <v>129476.32850241545</v>
      </c>
      <c r="V326" s="59">
        <v>7.7234194973434436</v>
      </c>
      <c r="X326" s="98">
        <v>72.45</v>
      </c>
      <c r="Y326" s="97">
        <v>27.225810904071771</v>
      </c>
    </row>
    <row r="327" spans="1:25">
      <c r="A327" s="58">
        <v>327</v>
      </c>
      <c r="B327" s="58">
        <v>327</v>
      </c>
      <c r="C327" s="58" t="s">
        <v>716</v>
      </c>
      <c r="D327" s="58" t="s">
        <v>215</v>
      </c>
      <c r="E327" s="58" t="s">
        <v>215</v>
      </c>
      <c r="F327" s="58" t="s">
        <v>406</v>
      </c>
      <c r="G327" s="58" t="s">
        <v>407</v>
      </c>
      <c r="H327" s="58" t="s">
        <v>179</v>
      </c>
      <c r="I327">
        <v>38000</v>
      </c>
      <c r="J327" s="58" t="s">
        <v>185</v>
      </c>
      <c r="K327">
        <v>38000</v>
      </c>
      <c r="L327" s="74">
        <v>6.4980000000000002</v>
      </c>
      <c r="M327" s="85">
        <v>7</v>
      </c>
      <c r="N327" s="74">
        <v>1.6879999999999999</v>
      </c>
      <c r="O327">
        <v>1</v>
      </c>
      <c r="P327" s="84">
        <v>1.266</v>
      </c>
      <c r="Q327" s="86">
        <v>13.8</v>
      </c>
      <c r="R327" s="85">
        <v>13.8</v>
      </c>
      <c r="S327" s="87">
        <v>839680</v>
      </c>
      <c r="T327" s="1">
        <v>4</v>
      </c>
      <c r="U327" s="88">
        <v>60846.3768115942</v>
      </c>
      <c r="V327" s="59">
        <v>16.43483231707317</v>
      </c>
      <c r="X327" s="98">
        <v>10.350000000000001</v>
      </c>
      <c r="Y327" s="97">
        <v>129.47632850241544</v>
      </c>
    </row>
    <row r="328" spans="1:25">
      <c r="A328" s="58">
        <v>328</v>
      </c>
      <c r="B328" s="58">
        <v>328</v>
      </c>
      <c r="C328" s="58" t="s">
        <v>717</v>
      </c>
      <c r="D328" s="58" t="s">
        <v>215</v>
      </c>
      <c r="E328" s="58" t="s">
        <v>176</v>
      </c>
      <c r="F328" s="58" t="s">
        <v>713</v>
      </c>
      <c r="G328" s="58" t="s">
        <v>714</v>
      </c>
      <c r="H328" s="58" t="s">
        <v>199</v>
      </c>
      <c r="I328">
        <v>110000</v>
      </c>
      <c r="J328" s="58" t="s">
        <v>185</v>
      </c>
      <c r="K328">
        <v>110000</v>
      </c>
      <c r="L328" s="74">
        <v>3.847</v>
      </c>
      <c r="M328" s="85">
        <v>4</v>
      </c>
      <c r="N328" s="74">
        <v>0.92800000000000005</v>
      </c>
      <c r="O328">
        <v>1</v>
      </c>
      <c r="P328" s="84">
        <v>0.69600000000000006</v>
      </c>
      <c r="Q328" s="86">
        <v>6.9</v>
      </c>
      <c r="R328" s="85">
        <v>6.9</v>
      </c>
      <c r="S328" s="87">
        <v>1627270</v>
      </c>
      <c r="T328" s="1">
        <v>7</v>
      </c>
      <c r="U328" s="88">
        <v>235836.23188405795</v>
      </c>
      <c r="V328" s="59">
        <v>4.2402305702188325</v>
      </c>
      <c r="X328" s="98">
        <v>13.8</v>
      </c>
      <c r="Y328" s="97">
        <v>60.846376811594205</v>
      </c>
    </row>
    <row r="329" spans="1:25">
      <c r="A329" s="58">
        <v>329</v>
      </c>
      <c r="B329" s="58">
        <v>329</v>
      </c>
      <c r="C329" s="58" t="s">
        <v>718</v>
      </c>
      <c r="D329" s="58" t="s">
        <v>215</v>
      </c>
      <c r="E329" s="58" t="s">
        <v>176</v>
      </c>
      <c r="F329" s="58" t="s">
        <v>719</v>
      </c>
      <c r="G329" s="58" t="s">
        <v>720</v>
      </c>
      <c r="H329" s="58" t="s">
        <v>199</v>
      </c>
      <c r="I329">
        <v>110000</v>
      </c>
      <c r="J329">
        <v>38000</v>
      </c>
      <c r="K329">
        <v>110000</v>
      </c>
      <c r="L329" s="74">
        <v>1.679</v>
      </c>
      <c r="M329" s="85">
        <v>2</v>
      </c>
      <c r="N329" s="74">
        <v>0.77800000000000002</v>
      </c>
      <c r="O329">
        <v>1</v>
      </c>
      <c r="P329" s="84">
        <v>0.58350000000000002</v>
      </c>
      <c r="Q329" s="86">
        <v>3.45</v>
      </c>
      <c r="R329" s="85">
        <v>3.45</v>
      </c>
      <c r="S329" s="87">
        <v>1340080</v>
      </c>
      <c r="T329" s="1">
        <v>11</v>
      </c>
      <c r="U329" s="88">
        <v>388428.98550724634</v>
      </c>
      <c r="V329" s="59">
        <v>2.5744731657811473</v>
      </c>
      <c r="X329" s="98">
        <v>6.9</v>
      </c>
      <c r="Y329" s="97">
        <v>235.83623188405795</v>
      </c>
    </row>
    <row r="330" spans="1:25">
      <c r="A330" s="58">
        <v>330</v>
      </c>
      <c r="B330" s="58">
        <v>330</v>
      </c>
      <c r="C330" s="58" t="s">
        <v>721</v>
      </c>
      <c r="D330" s="58" t="s">
        <v>176</v>
      </c>
      <c r="E330" s="58" t="s">
        <v>176</v>
      </c>
      <c r="F330" s="58" t="s">
        <v>564</v>
      </c>
      <c r="G330" s="58" t="s">
        <v>565</v>
      </c>
      <c r="H330" s="58" t="s">
        <v>199</v>
      </c>
      <c r="I330">
        <v>110000</v>
      </c>
      <c r="L330" s="74">
        <v>3.7469999999999999</v>
      </c>
      <c r="M330" s="85">
        <v>4</v>
      </c>
      <c r="N330" s="74">
        <v>2.9180000000000001</v>
      </c>
      <c r="O330">
        <v>1</v>
      </c>
      <c r="P330" s="84">
        <v>2.1885000000000003</v>
      </c>
      <c r="Q330" s="86">
        <v>20.700000000000003</v>
      </c>
      <c r="R330" s="85">
        <v>20.700000000000003</v>
      </c>
      <c r="S330" s="87">
        <v>1875790</v>
      </c>
      <c r="T330" s="1">
        <v>8</v>
      </c>
      <c r="U330" s="88">
        <v>90617.874396135259</v>
      </c>
      <c r="V330" s="59">
        <v>11.03535043901503</v>
      </c>
      <c r="X330" s="98">
        <v>3.45</v>
      </c>
      <c r="Y330" s="97">
        <v>388.42898550724635</v>
      </c>
    </row>
    <row r="331" spans="1:25">
      <c r="A331" s="58">
        <v>331</v>
      </c>
      <c r="B331" s="58">
        <v>331</v>
      </c>
      <c r="C331" s="58" t="s">
        <v>722</v>
      </c>
      <c r="D331" s="58" t="s">
        <v>176</v>
      </c>
      <c r="E331" s="58" t="s">
        <v>176</v>
      </c>
      <c r="F331" s="58" t="s">
        <v>564</v>
      </c>
      <c r="G331" s="58" t="s">
        <v>565</v>
      </c>
      <c r="H331" s="58" t="s">
        <v>199</v>
      </c>
      <c r="I331">
        <v>110000</v>
      </c>
      <c r="L331" s="74">
        <v>6.1849999999999996</v>
      </c>
      <c r="M331" s="85">
        <v>7</v>
      </c>
      <c r="N331" s="74">
        <v>1.5249999999999999</v>
      </c>
      <c r="O331">
        <v>1</v>
      </c>
      <c r="P331" s="84">
        <v>1.1437499999999998</v>
      </c>
      <c r="Q331" s="86">
        <v>10.350000000000001</v>
      </c>
      <c r="R331" s="85">
        <v>10.350000000000001</v>
      </c>
      <c r="S331" s="87">
        <v>1785370</v>
      </c>
      <c r="T331" s="1">
        <v>7</v>
      </c>
      <c r="U331" s="88">
        <v>172499.51690821254</v>
      </c>
      <c r="V331" s="59">
        <v>5.7971176842895318</v>
      </c>
      <c r="X331" s="98">
        <v>20.700000000000003</v>
      </c>
      <c r="Y331" s="97">
        <v>90.617874396135264</v>
      </c>
    </row>
    <row r="332" spans="1:25">
      <c r="A332" s="89">
        <v>332</v>
      </c>
      <c r="B332" s="89">
        <v>332</v>
      </c>
      <c r="C332" s="89" t="s">
        <v>723</v>
      </c>
      <c r="D332" s="58" t="s">
        <v>215</v>
      </c>
      <c r="E332" s="58" t="s">
        <v>176</v>
      </c>
      <c r="F332" s="89" t="s">
        <v>724</v>
      </c>
      <c r="G332" s="89" t="s">
        <v>725</v>
      </c>
      <c r="H332" s="89" t="s">
        <v>179</v>
      </c>
      <c r="I332" s="90">
        <v>38000</v>
      </c>
      <c r="J332" s="89" t="s">
        <v>185</v>
      </c>
      <c r="K332" s="90">
        <v>38000</v>
      </c>
      <c r="L332" s="91">
        <v>4.0209999999999999</v>
      </c>
      <c r="M332" s="92">
        <v>5</v>
      </c>
      <c r="N332" s="91">
        <v>6.1630000000000003</v>
      </c>
      <c r="O332" s="90">
        <v>1</v>
      </c>
      <c r="P332" s="92">
        <v>4.6222500000000002</v>
      </c>
      <c r="Q332" s="93">
        <v>48.300000000000011</v>
      </c>
      <c r="R332" s="92">
        <v>48.300000000000011</v>
      </c>
      <c r="S332" s="87">
        <v>1972510</v>
      </c>
      <c r="T332" s="94">
        <v>11</v>
      </c>
      <c r="U332" s="95">
        <v>40838.716356107652</v>
      </c>
      <c r="V332" s="96">
        <v>24.486567875448042</v>
      </c>
      <c r="X332" s="98">
        <v>10.350000000000001</v>
      </c>
      <c r="Y332" s="97">
        <v>172.49951690821251</v>
      </c>
    </row>
    <row r="333" spans="1:25">
      <c r="A333" s="58">
        <v>333</v>
      </c>
      <c r="B333" s="58">
        <v>333</v>
      </c>
      <c r="C333" s="58" t="s">
        <v>726</v>
      </c>
      <c r="D333" s="58" t="s">
        <v>215</v>
      </c>
      <c r="E333" s="58" t="s">
        <v>215</v>
      </c>
      <c r="F333" s="58" t="s">
        <v>727</v>
      </c>
      <c r="G333" s="58" t="s">
        <v>728</v>
      </c>
      <c r="H333" s="58" t="s">
        <v>199</v>
      </c>
      <c r="I333">
        <v>110000</v>
      </c>
      <c r="L333" s="74">
        <v>5.2619999999999996</v>
      </c>
      <c r="M333" s="85">
        <v>6</v>
      </c>
      <c r="N333" s="74">
        <v>1.7170000000000001</v>
      </c>
      <c r="O333">
        <v>1</v>
      </c>
      <c r="P333" s="84">
        <v>1.28775</v>
      </c>
      <c r="Q333" s="86">
        <v>13.8</v>
      </c>
      <c r="R333" s="85">
        <v>13.8</v>
      </c>
      <c r="S333" s="87">
        <v>2016330</v>
      </c>
      <c r="T333" s="1">
        <v>8</v>
      </c>
      <c r="U333" s="88">
        <v>146110.86956521738</v>
      </c>
      <c r="V333" s="59">
        <v>6.8441177783398555</v>
      </c>
      <c r="X333" s="98">
        <v>48.300000000000011</v>
      </c>
      <c r="Y333" s="97">
        <v>40.838716356107653</v>
      </c>
    </row>
    <row r="334" spans="1:25">
      <c r="A334" s="58">
        <v>334</v>
      </c>
      <c r="B334" s="58">
        <v>334</v>
      </c>
      <c r="C334" s="58" t="s">
        <v>729</v>
      </c>
      <c r="D334" s="58" t="s">
        <v>187</v>
      </c>
      <c r="E334" s="58" t="s">
        <v>187</v>
      </c>
      <c r="F334" s="58" t="s">
        <v>415</v>
      </c>
      <c r="G334" s="58" t="s">
        <v>416</v>
      </c>
      <c r="H334" s="58" t="s">
        <v>179</v>
      </c>
      <c r="I334">
        <v>38000</v>
      </c>
      <c r="J334">
        <v>38000</v>
      </c>
      <c r="K334" s="58" t="s">
        <v>185</v>
      </c>
      <c r="L334" s="74">
        <v>4.8239999999999998</v>
      </c>
      <c r="M334" s="85">
        <v>5</v>
      </c>
      <c r="N334" s="74">
        <v>0.78700000000000003</v>
      </c>
      <c r="O334">
        <v>1</v>
      </c>
      <c r="P334" s="84">
        <v>0.59025000000000005</v>
      </c>
      <c r="Q334" s="86">
        <v>3.45</v>
      </c>
      <c r="R334" s="85">
        <v>3.45</v>
      </c>
      <c r="S334" s="87">
        <v>699140</v>
      </c>
      <c r="T334" s="1">
        <v>4</v>
      </c>
      <c r="U334" s="88">
        <v>202649.27536231882</v>
      </c>
      <c r="V334" s="59">
        <v>4.9346339788883489</v>
      </c>
      <c r="X334" s="98">
        <v>13.8</v>
      </c>
      <c r="Y334" s="97">
        <v>146.11086956521737</v>
      </c>
    </row>
    <row r="335" spans="1:25">
      <c r="A335" s="58">
        <v>335</v>
      </c>
      <c r="B335" s="58">
        <v>335</v>
      </c>
      <c r="C335" s="58" t="s">
        <v>730</v>
      </c>
      <c r="D335" s="58" t="s">
        <v>187</v>
      </c>
      <c r="E335" s="58" t="s">
        <v>187</v>
      </c>
      <c r="F335" s="58" t="s">
        <v>731</v>
      </c>
      <c r="G335" s="58" t="s">
        <v>732</v>
      </c>
      <c r="H335" s="58" t="s">
        <v>179</v>
      </c>
      <c r="I335">
        <v>38000</v>
      </c>
      <c r="L335" s="74">
        <v>4.4219999999999997</v>
      </c>
      <c r="M335" s="85">
        <v>5</v>
      </c>
      <c r="N335" s="74">
        <v>1.552</v>
      </c>
      <c r="O335">
        <v>1</v>
      </c>
      <c r="P335" s="84">
        <v>1.1640000000000001</v>
      </c>
      <c r="Q335" s="86">
        <v>10.350000000000001</v>
      </c>
      <c r="R335" s="85">
        <v>10.350000000000001</v>
      </c>
      <c r="S335" s="87">
        <v>699140</v>
      </c>
      <c r="T335" s="1">
        <v>4</v>
      </c>
      <c r="U335" s="88">
        <v>67549.758454106268</v>
      </c>
      <c r="V335" s="59">
        <v>14.803901936665048</v>
      </c>
      <c r="X335" s="98">
        <v>3.45</v>
      </c>
      <c r="Y335" s="97">
        <v>202.64927536231883</v>
      </c>
    </row>
    <row r="336" spans="1:25">
      <c r="A336" s="58">
        <v>336</v>
      </c>
      <c r="B336" s="58">
        <v>336</v>
      </c>
      <c r="C336" s="58" t="s">
        <v>733</v>
      </c>
      <c r="D336" s="58" t="s">
        <v>187</v>
      </c>
      <c r="E336" s="58" t="s">
        <v>187</v>
      </c>
      <c r="F336" s="58" t="s">
        <v>368</v>
      </c>
      <c r="G336" s="58" t="s">
        <v>369</v>
      </c>
      <c r="H336" s="58" t="s">
        <v>199</v>
      </c>
      <c r="I336">
        <v>110000</v>
      </c>
      <c r="J336">
        <v>110000</v>
      </c>
      <c r="K336">
        <v>38000</v>
      </c>
      <c r="L336" s="74">
        <v>8.0969999999999995</v>
      </c>
      <c r="M336" s="85">
        <v>9</v>
      </c>
      <c r="N336" s="74">
        <v>2.3530000000000002</v>
      </c>
      <c r="O336">
        <v>1</v>
      </c>
      <c r="P336" s="84">
        <v>1.7647500000000003</v>
      </c>
      <c r="Q336" s="86">
        <v>17.25</v>
      </c>
      <c r="R336" s="85">
        <v>17.25</v>
      </c>
      <c r="S336" s="87">
        <v>2227140</v>
      </c>
      <c r="T336" s="1">
        <v>8</v>
      </c>
      <c r="U336" s="88">
        <v>129109.56521739131</v>
      </c>
      <c r="V336" s="59">
        <v>7.7453595193836042</v>
      </c>
      <c r="X336" s="98">
        <v>10.350000000000001</v>
      </c>
      <c r="Y336" s="97">
        <v>67.549758454106268</v>
      </c>
    </row>
    <row r="337" spans="1:25">
      <c r="A337" s="58">
        <v>337</v>
      </c>
      <c r="B337" s="58">
        <v>337</v>
      </c>
      <c r="C337" s="58" t="s">
        <v>734</v>
      </c>
      <c r="D337" s="58" t="s">
        <v>187</v>
      </c>
      <c r="E337" s="58" t="s">
        <v>187</v>
      </c>
      <c r="F337" s="58" t="s">
        <v>368</v>
      </c>
      <c r="G337" s="58" t="s">
        <v>369</v>
      </c>
      <c r="H337" s="58" t="s">
        <v>199</v>
      </c>
      <c r="I337">
        <v>110000</v>
      </c>
      <c r="J337">
        <v>110000</v>
      </c>
      <c r="K337">
        <v>38000</v>
      </c>
      <c r="L337" s="74">
        <v>4.9660000000000002</v>
      </c>
      <c r="M337" s="85">
        <v>5</v>
      </c>
      <c r="N337" s="74">
        <v>5.0229999999999997</v>
      </c>
      <c r="O337">
        <v>1</v>
      </c>
      <c r="P337" s="84">
        <v>3.7672499999999998</v>
      </c>
      <c r="Q337" s="86">
        <v>41.400000000000006</v>
      </c>
      <c r="R337" s="85">
        <v>41.400000000000006</v>
      </c>
      <c r="S337" s="87">
        <v>2510150</v>
      </c>
      <c r="T337" s="1">
        <v>10</v>
      </c>
      <c r="U337" s="88">
        <v>60631.642512077284</v>
      </c>
      <c r="V337" s="59">
        <v>16.493038264645541</v>
      </c>
      <c r="X337" s="98">
        <v>17.25</v>
      </c>
      <c r="Y337" s="97">
        <v>129.10956521739132</v>
      </c>
    </row>
    <row r="338" spans="1:25">
      <c r="A338" s="58">
        <v>338</v>
      </c>
      <c r="B338" s="58">
        <v>338</v>
      </c>
      <c r="C338" s="58" t="s">
        <v>735</v>
      </c>
      <c r="D338" s="58" t="s">
        <v>351</v>
      </c>
      <c r="E338" s="58" t="s">
        <v>351</v>
      </c>
      <c r="F338" s="58" t="s">
        <v>652</v>
      </c>
      <c r="G338" s="58" t="s">
        <v>653</v>
      </c>
      <c r="H338" s="58" t="s">
        <v>179</v>
      </c>
      <c r="I338">
        <v>38000</v>
      </c>
      <c r="J338">
        <v>38000</v>
      </c>
      <c r="K338" s="58" t="s">
        <v>185</v>
      </c>
      <c r="L338" s="74">
        <v>8.8889999999999993</v>
      </c>
      <c r="M338" s="85">
        <v>9</v>
      </c>
      <c r="N338" s="74">
        <v>1.9</v>
      </c>
      <c r="O338">
        <v>1</v>
      </c>
      <c r="P338" s="84">
        <v>1.4249999999999998</v>
      </c>
      <c r="Q338" s="86">
        <v>13.8</v>
      </c>
      <c r="R338" s="85">
        <v>13.8</v>
      </c>
      <c r="S338" s="87">
        <v>980220</v>
      </c>
      <c r="T338" s="1">
        <v>4</v>
      </c>
      <c r="U338" s="88">
        <v>71030.434782608689</v>
      </c>
      <c r="V338" s="59">
        <v>14.078472179714758</v>
      </c>
      <c r="X338" s="98">
        <v>41.400000000000006</v>
      </c>
      <c r="Y338" s="97">
        <v>60.631642512077285</v>
      </c>
    </row>
    <row r="339" spans="1:25">
      <c r="A339" s="89">
        <v>339</v>
      </c>
      <c r="B339" s="89">
        <v>339</v>
      </c>
      <c r="C339" s="89" t="s">
        <v>736</v>
      </c>
      <c r="D339" s="58" t="s">
        <v>351</v>
      </c>
      <c r="E339" s="58" t="s">
        <v>351</v>
      </c>
      <c r="F339" s="89" t="s">
        <v>652</v>
      </c>
      <c r="G339" s="89" t="s">
        <v>653</v>
      </c>
      <c r="H339" s="89" t="s">
        <v>179</v>
      </c>
      <c r="I339" s="90">
        <v>38000</v>
      </c>
      <c r="J339" s="90">
        <v>38000</v>
      </c>
      <c r="K339" s="89" t="s">
        <v>185</v>
      </c>
      <c r="L339" s="91">
        <v>8.9169999999999998</v>
      </c>
      <c r="M339" s="92">
        <v>9</v>
      </c>
      <c r="N339" s="91">
        <v>8.4879999999999995</v>
      </c>
      <c r="O339" s="90">
        <v>1</v>
      </c>
      <c r="P339" s="92">
        <v>6.3659999999999997</v>
      </c>
      <c r="Q339" s="93">
        <v>69</v>
      </c>
      <c r="R339" s="92">
        <v>69</v>
      </c>
      <c r="S339" s="87">
        <v>2815750</v>
      </c>
      <c r="T339" s="94">
        <v>11</v>
      </c>
      <c r="U339" s="95">
        <v>40807.971014492752</v>
      </c>
      <c r="V339" s="96">
        <v>24.505016425463907</v>
      </c>
      <c r="X339" s="98">
        <v>13.8</v>
      </c>
      <c r="Y339" s="97">
        <v>71.030434782608694</v>
      </c>
    </row>
    <row r="340" spans="1:25">
      <c r="A340" s="58">
        <v>340</v>
      </c>
      <c r="B340" s="58">
        <v>340</v>
      </c>
      <c r="C340" s="58" t="s">
        <v>737</v>
      </c>
      <c r="D340" s="58" t="s">
        <v>351</v>
      </c>
      <c r="E340" s="58" t="s">
        <v>351</v>
      </c>
      <c r="F340" s="58" t="s">
        <v>652</v>
      </c>
      <c r="G340" s="58" t="s">
        <v>653</v>
      </c>
      <c r="H340" s="58" t="s">
        <v>179</v>
      </c>
      <c r="I340">
        <v>38000</v>
      </c>
      <c r="J340">
        <v>38000</v>
      </c>
      <c r="K340" s="58" t="s">
        <v>185</v>
      </c>
      <c r="L340" s="74">
        <v>8.8699999999999992</v>
      </c>
      <c r="M340" s="85">
        <v>9</v>
      </c>
      <c r="N340" s="74">
        <v>2.7709999999999999</v>
      </c>
      <c r="O340">
        <v>1</v>
      </c>
      <c r="P340" s="84">
        <v>2.0782499999999997</v>
      </c>
      <c r="Q340" s="86">
        <v>20.700000000000003</v>
      </c>
      <c r="R340" s="85">
        <v>20.700000000000003</v>
      </c>
      <c r="S340" s="87">
        <v>980220</v>
      </c>
      <c r="T340" s="1">
        <v>4</v>
      </c>
      <c r="U340" s="88">
        <v>47353.623188405792</v>
      </c>
      <c r="V340" s="59">
        <v>21.117708269572141</v>
      </c>
      <c r="X340" s="98">
        <v>69</v>
      </c>
      <c r="Y340" s="97">
        <v>40.80797101449275</v>
      </c>
    </row>
    <row r="341" spans="1:25">
      <c r="A341" s="58">
        <v>341</v>
      </c>
      <c r="B341" s="58">
        <v>341</v>
      </c>
      <c r="C341" s="58" t="s">
        <v>738</v>
      </c>
      <c r="D341" s="58" t="s">
        <v>351</v>
      </c>
      <c r="E341" s="58" t="s">
        <v>351</v>
      </c>
      <c r="F341" s="58" t="s">
        <v>422</v>
      </c>
      <c r="G341" s="58" t="s">
        <v>423</v>
      </c>
      <c r="H341" s="58" t="s">
        <v>199</v>
      </c>
      <c r="I341">
        <v>110000</v>
      </c>
      <c r="J341">
        <v>110000</v>
      </c>
      <c r="K341">
        <v>20000</v>
      </c>
      <c r="L341" s="74">
        <v>6.2030000000000003</v>
      </c>
      <c r="M341" s="85">
        <v>7</v>
      </c>
      <c r="N341" s="74">
        <v>2.1890000000000001</v>
      </c>
      <c r="O341">
        <v>1</v>
      </c>
      <c r="P341" s="84">
        <v>1.64175</v>
      </c>
      <c r="Q341" s="86">
        <v>17.25</v>
      </c>
      <c r="R341" s="85">
        <v>17.25</v>
      </c>
      <c r="S341" s="87">
        <v>2086600</v>
      </c>
      <c r="T341" s="1">
        <v>8</v>
      </c>
      <c r="U341" s="88">
        <v>120962.31884057971</v>
      </c>
      <c r="V341" s="59">
        <v>8.2670372855362793</v>
      </c>
      <c r="X341" s="98">
        <v>20.700000000000003</v>
      </c>
      <c r="Y341" s="97">
        <v>47.353623188405798</v>
      </c>
    </row>
    <row r="342" spans="1:25">
      <c r="A342" s="58">
        <v>342</v>
      </c>
      <c r="B342" s="58">
        <v>342</v>
      </c>
      <c r="C342" s="58" t="s">
        <v>739</v>
      </c>
      <c r="D342" s="58" t="s">
        <v>351</v>
      </c>
      <c r="E342" s="58" t="s">
        <v>351</v>
      </c>
      <c r="F342" s="58" t="s">
        <v>422</v>
      </c>
      <c r="G342" s="58" t="s">
        <v>423</v>
      </c>
      <c r="H342" s="58" t="s">
        <v>199</v>
      </c>
      <c r="I342">
        <v>110000</v>
      </c>
      <c r="J342">
        <v>110000</v>
      </c>
      <c r="K342">
        <v>20000</v>
      </c>
      <c r="L342" s="74">
        <v>7.5469999999999997</v>
      </c>
      <c r="M342" s="85">
        <v>8</v>
      </c>
      <c r="N342" s="74">
        <v>1.88</v>
      </c>
      <c r="O342">
        <v>1</v>
      </c>
      <c r="P342" s="84">
        <v>1.41</v>
      </c>
      <c r="Q342" s="86">
        <v>13.8</v>
      </c>
      <c r="R342" s="85">
        <v>13.8</v>
      </c>
      <c r="S342" s="87">
        <v>2156870</v>
      </c>
      <c r="T342" s="1">
        <v>8</v>
      </c>
      <c r="U342" s="88">
        <v>156294.92753623187</v>
      </c>
      <c r="V342" s="59">
        <v>6.3981602970971823</v>
      </c>
      <c r="X342" s="98">
        <v>17.25</v>
      </c>
      <c r="Y342" s="97">
        <v>120.96231884057971</v>
      </c>
    </row>
    <row r="343" spans="1:25">
      <c r="A343" s="58">
        <v>343</v>
      </c>
      <c r="B343" s="58">
        <v>343</v>
      </c>
      <c r="C343" s="58" t="s">
        <v>740</v>
      </c>
      <c r="D343" s="58" t="s">
        <v>249</v>
      </c>
      <c r="E343" s="58" t="s">
        <v>351</v>
      </c>
      <c r="F343" s="58" t="s">
        <v>422</v>
      </c>
      <c r="G343" s="58" t="s">
        <v>423</v>
      </c>
      <c r="H343" s="58" t="s">
        <v>199</v>
      </c>
      <c r="I343">
        <v>110000</v>
      </c>
      <c r="J343">
        <v>110000</v>
      </c>
      <c r="K343">
        <v>20000</v>
      </c>
      <c r="L343" s="74">
        <v>12.263</v>
      </c>
      <c r="M343" s="85">
        <v>13</v>
      </c>
      <c r="N343" s="74">
        <v>2.7559999999999998</v>
      </c>
      <c r="O343">
        <v>1</v>
      </c>
      <c r="P343" s="84">
        <v>2.0669999999999997</v>
      </c>
      <c r="Q343" s="86">
        <v>20.700000000000003</v>
      </c>
      <c r="R343" s="85">
        <v>20.700000000000003</v>
      </c>
      <c r="S343" s="87">
        <v>2508220</v>
      </c>
      <c r="T343" s="1">
        <v>8</v>
      </c>
      <c r="U343" s="88">
        <v>121170.04830917873</v>
      </c>
      <c r="V343" s="59">
        <v>8.2528645812568282</v>
      </c>
      <c r="X343" s="98">
        <v>13.8</v>
      </c>
      <c r="Y343" s="97">
        <v>156.29492753623185</v>
      </c>
    </row>
    <row r="344" spans="1:25">
      <c r="A344" s="58">
        <v>344</v>
      </c>
      <c r="B344" s="58">
        <v>344</v>
      </c>
      <c r="C344" s="58" t="s">
        <v>741</v>
      </c>
      <c r="D344" s="58" t="s">
        <v>351</v>
      </c>
      <c r="E344" s="58" t="s">
        <v>351</v>
      </c>
      <c r="F344" s="58" t="s">
        <v>514</v>
      </c>
      <c r="G344" s="58" t="s">
        <v>515</v>
      </c>
      <c r="H344" s="58" t="s">
        <v>179</v>
      </c>
      <c r="I344">
        <v>38000</v>
      </c>
      <c r="J344">
        <v>38000</v>
      </c>
      <c r="K344">
        <v>20000</v>
      </c>
      <c r="L344" s="74">
        <v>6.6989999999999998</v>
      </c>
      <c r="M344" s="85">
        <v>7</v>
      </c>
      <c r="N344" s="74">
        <v>1.083</v>
      </c>
      <c r="O344">
        <v>1</v>
      </c>
      <c r="P344" s="84">
        <v>0.81224999999999992</v>
      </c>
      <c r="Q344" s="86">
        <v>6.9</v>
      </c>
      <c r="R344" s="85">
        <v>6.9</v>
      </c>
      <c r="S344" s="87">
        <v>839680</v>
      </c>
      <c r="T344" s="1">
        <v>4</v>
      </c>
      <c r="U344" s="88">
        <v>121692.7536231884</v>
      </c>
      <c r="V344" s="59">
        <v>8.2174161585365848</v>
      </c>
      <c r="X344" s="98">
        <v>20.700000000000003</v>
      </c>
      <c r="Y344" s="97">
        <v>121.17004830917872</v>
      </c>
    </row>
    <row r="345" spans="1:25">
      <c r="A345" s="58">
        <v>345</v>
      </c>
      <c r="B345" s="58">
        <v>345</v>
      </c>
      <c r="C345" s="58" t="s">
        <v>742</v>
      </c>
      <c r="D345" s="58" t="s">
        <v>346</v>
      </c>
      <c r="E345" s="58" t="s">
        <v>234</v>
      </c>
      <c r="F345" s="58" t="s">
        <v>425</v>
      </c>
      <c r="G345" s="58" t="s">
        <v>426</v>
      </c>
      <c r="H345" s="58" t="s">
        <v>199</v>
      </c>
      <c r="I345">
        <v>110000</v>
      </c>
      <c r="J345">
        <v>110000</v>
      </c>
      <c r="K345">
        <v>38000</v>
      </c>
      <c r="L345" s="74">
        <v>3.298</v>
      </c>
      <c r="M345" s="85">
        <v>4</v>
      </c>
      <c r="N345" s="74">
        <v>5.0469999999999997</v>
      </c>
      <c r="O345">
        <v>1</v>
      </c>
      <c r="P345" s="84">
        <v>3.7852499999999996</v>
      </c>
      <c r="Q345" s="86">
        <v>41.400000000000006</v>
      </c>
      <c r="R345" s="85">
        <v>41.400000000000006</v>
      </c>
      <c r="S345" s="87">
        <v>2398890</v>
      </c>
      <c r="T345" s="1">
        <v>10</v>
      </c>
      <c r="U345" s="88">
        <v>57944.202898550713</v>
      </c>
      <c r="V345" s="59">
        <v>17.257981816590178</v>
      </c>
      <c r="X345" s="98">
        <v>6.9</v>
      </c>
      <c r="Y345" s="97">
        <v>121.69275362318841</v>
      </c>
    </row>
    <row r="346" spans="1:25">
      <c r="A346" s="58">
        <v>346</v>
      </c>
      <c r="B346" s="58">
        <v>346</v>
      </c>
      <c r="C346" s="58" t="s">
        <v>743</v>
      </c>
      <c r="D346" s="58" t="s">
        <v>234</v>
      </c>
      <c r="E346" s="58" t="s">
        <v>234</v>
      </c>
      <c r="F346" s="58" t="s">
        <v>630</v>
      </c>
      <c r="G346" s="58" t="s">
        <v>631</v>
      </c>
      <c r="H346" s="58" t="s">
        <v>179</v>
      </c>
      <c r="I346">
        <v>38000</v>
      </c>
      <c r="J346" s="58" t="s">
        <v>185</v>
      </c>
      <c r="K346">
        <v>38000</v>
      </c>
      <c r="L346" s="74">
        <v>8.0090000000000003</v>
      </c>
      <c r="M346" s="85">
        <v>9</v>
      </c>
      <c r="N346" s="74">
        <v>1.369</v>
      </c>
      <c r="O346">
        <v>1</v>
      </c>
      <c r="P346" s="84">
        <v>1.0267500000000001</v>
      </c>
      <c r="Q346" s="86">
        <v>10.350000000000001</v>
      </c>
      <c r="R346" s="85">
        <v>10.350000000000001</v>
      </c>
      <c r="S346" s="87">
        <v>1416850</v>
      </c>
      <c r="T346" s="1">
        <v>3</v>
      </c>
      <c r="U346" s="88">
        <v>136893.71980676326</v>
      </c>
      <c r="V346" s="59">
        <v>7.3049370081518878</v>
      </c>
      <c r="X346" s="98">
        <v>41.400000000000006</v>
      </c>
      <c r="Y346" s="97">
        <v>57.944202898550714</v>
      </c>
    </row>
    <row r="347" spans="1:25">
      <c r="A347" s="58">
        <v>347</v>
      </c>
      <c r="B347" s="58">
        <v>347</v>
      </c>
      <c r="C347" s="58" t="s">
        <v>744</v>
      </c>
      <c r="D347" s="58" t="s">
        <v>234</v>
      </c>
      <c r="E347" s="58" t="s">
        <v>234</v>
      </c>
      <c r="F347" s="58" t="s">
        <v>337</v>
      </c>
      <c r="G347" s="58" t="s">
        <v>338</v>
      </c>
      <c r="H347" s="58" t="s">
        <v>179</v>
      </c>
      <c r="I347">
        <v>38000</v>
      </c>
      <c r="J347">
        <v>38000</v>
      </c>
      <c r="K347" s="58" t="s">
        <v>185</v>
      </c>
      <c r="L347" s="74">
        <v>11.18</v>
      </c>
      <c r="M347" s="85">
        <v>12</v>
      </c>
      <c r="N347" s="74">
        <v>5.5540000000000003</v>
      </c>
      <c r="O347">
        <v>1</v>
      </c>
      <c r="P347" s="84">
        <v>4.1654999999999998</v>
      </c>
      <c r="Q347" s="86">
        <v>44.85</v>
      </c>
      <c r="R347" s="85">
        <v>44.85</v>
      </c>
      <c r="S347" s="87">
        <v>1682910</v>
      </c>
      <c r="T347" s="1">
        <v>6</v>
      </c>
      <c r="U347" s="88">
        <v>37523.076923076922</v>
      </c>
      <c r="V347" s="59">
        <v>26.650266502665026</v>
      </c>
      <c r="X347" s="98">
        <v>10.350000000000001</v>
      </c>
      <c r="Y347" s="97">
        <v>136.89371980676327</v>
      </c>
    </row>
    <row r="348" spans="1:25">
      <c r="A348" s="58">
        <v>348</v>
      </c>
      <c r="B348" s="58">
        <v>348</v>
      </c>
      <c r="C348" s="58" t="s">
        <v>745</v>
      </c>
      <c r="D348" s="58" t="s">
        <v>187</v>
      </c>
      <c r="E348" s="58" t="s">
        <v>187</v>
      </c>
      <c r="F348" s="58" t="s">
        <v>746</v>
      </c>
      <c r="G348" s="58" t="s">
        <v>747</v>
      </c>
      <c r="H348" s="58" t="s">
        <v>199</v>
      </c>
      <c r="I348">
        <v>110000</v>
      </c>
      <c r="J348">
        <v>110000</v>
      </c>
      <c r="K348">
        <v>38000</v>
      </c>
      <c r="L348" s="74">
        <v>2.585</v>
      </c>
      <c r="M348" s="85">
        <v>3</v>
      </c>
      <c r="N348" s="74">
        <v>2.7029999999999998</v>
      </c>
      <c r="O348">
        <v>1</v>
      </c>
      <c r="P348" s="84">
        <v>2.02725</v>
      </c>
      <c r="Q348" s="86">
        <v>20.700000000000003</v>
      </c>
      <c r="R348" s="85">
        <v>20.700000000000003</v>
      </c>
      <c r="S348" s="87">
        <v>1550890</v>
      </c>
      <c r="T348" s="1">
        <v>11</v>
      </c>
      <c r="U348" s="88">
        <v>74922.222222222219</v>
      </c>
      <c r="V348" s="59">
        <v>13.347174847990511</v>
      </c>
      <c r="X348" s="98">
        <v>44.85</v>
      </c>
      <c r="Y348" s="97">
        <v>37.523076923076921</v>
      </c>
    </row>
    <row r="349" spans="1:25">
      <c r="A349" s="58">
        <v>349</v>
      </c>
      <c r="B349" s="58">
        <v>349</v>
      </c>
      <c r="C349" s="58" t="s">
        <v>748</v>
      </c>
      <c r="D349" s="58" t="s">
        <v>187</v>
      </c>
      <c r="E349" s="58" t="s">
        <v>187</v>
      </c>
      <c r="F349" s="58" t="s">
        <v>432</v>
      </c>
      <c r="G349" s="58" t="s">
        <v>433</v>
      </c>
      <c r="H349" s="58" t="s">
        <v>199</v>
      </c>
      <c r="I349">
        <v>110000</v>
      </c>
      <c r="L349" s="74">
        <v>6.7759999999999998</v>
      </c>
      <c r="M349" s="85">
        <v>7</v>
      </c>
      <c r="N349" s="74">
        <v>3.5510000000000002</v>
      </c>
      <c r="O349">
        <v>1</v>
      </c>
      <c r="P349" s="84">
        <v>2.6632500000000001</v>
      </c>
      <c r="Q349" s="86">
        <v>27.6</v>
      </c>
      <c r="R349" s="85">
        <v>27.6</v>
      </c>
      <c r="S349" s="87">
        <v>2575660</v>
      </c>
      <c r="T349" s="1">
        <v>9</v>
      </c>
      <c r="U349" s="88">
        <v>93321.014492753617</v>
      </c>
      <c r="V349" s="59">
        <v>10.7157000535785</v>
      </c>
      <c r="X349" s="98">
        <v>20.700000000000003</v>
      </c>
      <c r="Y349" s="97">
        <v>74.922222222222217</v>
      </c>
    </row>
    <row r="350" spans="1:25">
      <c r="A350" s="58">
        <v>350</v>
      </c>
      <c r="B350" s="58">
        <v>350</v>
      </c>
      <c r="C350" s="58" t="s">
        <v>749</v>
      </c>
      <c r="D350" s="58" t="s">
        <v>187</v>
      </c>
      <c r="E350" s="58" t="s">
        <v>187</v>
      </c>
      <c r="F350" s="58" t="s">
        <v>368</v>
      </c>
      <c r="G350" s="58" t="s">
        <v>369</v>
      </c>
      <c r="H350" s="58" t="s">
        <v>199</v>
      </c>
      <c r="I350">
        <v>110000</v>
      </c>
      <c r="J350">
        <v>110000</v>
      </c>
      <c r="K350">
        <v>38000</v>
      </c>
      <c r="L350" s="74">
        <v>8.61</v>
      </c>
      <c r="M350" s="85">
        <v>9</v>
      </c>
      <c r="N350" s="74">
        <v>0.60099999999999998</v>
      </c>
      <c r="O350">
        <v>1</v>
      </c>
      <c r="P350" s="84">
        <v>0.45074999999999998</v>
      </c>
      <c r="Q350" s="86">
        <v>3.45</v>
      </c>
      <c r="R350" s="85">
        <v>3.45</v>
      </c>
      <c r="S350" s="87">
        <v>1890770</v>
      </c>
      <c r="T350" s="1">
        <v>7</v>
      </c>
      <c r="U350" s="88">
        <v>548049.27536231885</v>
      </c>
      <c r="V350" s="59">
        <v>1.8246534480661318</v>
      </c>
      <c r="X350" s="98">
        <v>27.6</v>
      </c>
      <c r="Y350" s="97">
        <v>93.321014492753619</v>
      </c>
    </row>
    <row r="351" spans="1:25">
      <c r="A351" s="58">
        <v>351</v>
      </c>
      <c r="B351" s="58">
        <v>351</v>
      </c>
      <c r="C351" s="58" t="s">
        <v>750</v>
      </c>
      <c r="D351" s="58" t="s">
        <v>187</v>
      </c>
      <c r="E351" s="58" t="s">
        <v>187</v>
      </c>
      <c r="F351" s="58" t="s">
        <v>432</v>
      </c>
      <c r="G351" s="58" t="s">
        <v>433</v>
      </c>
      <c r="H351" s="58" t="s">
        <v>199</v>
      </c>
      <c r="I351">
        <v>110000</v>
      </c>
      <c r="L351" s="74">
        <v>10.138</v>
      </c>
      <c r="M351" s="85">
        <v>11</v>
      </c>
      <c r="N351" s="74">
        <v>14.991</v>
      </c>
      <c r="O351">
        <v>1</v>
      </c>
      <c r="P351" s="84">
        <v>11.24325</v>
      </c>
      <c r="Q351" s="86">
        <v>120.75</v>
      </c>
      <c r="R351" s="85">
        <v>120.75</v>
      </c>
      <c r="S351" s="87">
        <v>3237370</v>
      </c>
      <c r="T351" s="1">
        <v>11</v>
      </c>
      <c r="U351" s="88">
        <v>26810.517598343686</v>
      </c>
      <c r="V351" s="59">
        <v>37.298795009529343</v>
      </c>
      <c r="X351" s="98">
        <v>3.45</v>
      </c>
      <c r="Y351" s="97">
        <v>548.04927536231889</v>
      </c>
    </row>
    <row r="352" spans="1:25">
      <c r="A352" s="58">
        <v>352</v>
      </c>
      <c r="B352" s="58">
        <v>352</v>
      </c>
      <c r="C352" s="58" t="s">
        <v>751</v>
      </c>
      <c r="D352" s="58" t="s">
        <v>187</v>
      </c>
      <c r="E352" s="58" t="s">
        <v>187</v>
      </c>
      <c r="F352" s="58" t="s">
        <v>752</v>
      </c>
      <c r="G352" s="58" t="s">
        <v>753</v>
      </c>
      <c r="H352" s="58" t="s">
        <v>199</v>
      </c>
      <c r="I352">
        <v>110000</v>
      </c>
      <c r="J352" s="58" t="s">
        <v>185</v>
      </c>
      <c r="K352">
        <v>110000</v>
      </c>
      <c r="L352" s="74">
        <v>11.387</v>
      </c>
      <c r="M352" s="85">
        <v>12</v>
      </c>
      <c r="N352" s="74">
        <v>1.79</v>
      </c>
      <c r="O352">
        <v>1</v>
      </c>
      <c r="P352" s="84">
        <v>1.3425</v>
      </c>
      <c r="Q352" s="86">
        <v>13.8</v>
      </c>
      <c r="R352" s="85">
        <v>13.8</v>
      </c>
      <c r="S352" s="87">
        <v>2437950</v>
      </c>
      <c r="T352" s="1">
        <v>8</v>
      </c>
      <c r="U352" s="88">
        <v>176663.04347826086</v>
      </c>
      <c r="V352" s="59">
        <v>5.6604934473635637</v>
      </c>
      <c r="X352" s="98">
        <v>120.75</v>
      </c>
      <c r="Y352" s="97">
        <v>26.810517598343687</v>
      </c>
    </row>
    <row r="353" spans="1:25">
      <c r="A353" s="58">
        <v>353</v>
      </c>
      <c r="B353" s="58">
        <v>353</v>
      </c>
      <c r="C353" s="58" t="s">
        <v>754</v>
      </c>
      <c r="D353" s="58" t="s">
        <v>187</v>
      </c>
      <c r="E353" s="58" t="s">
        <v>187</v>
      </c>
      <c r="F353" s="58" t="s">
        <v>368</v>
      </c>
      <c r="G353" s="58" t="s">
        <v>369</v>
      </c>
      <c r="H353" s="58" t="s">
        <v>199</v>
      </c>
      <c r="I353">
        <v>110000</v>
      </c>
      <c r="J353">
        <v>110000</v>
      </c>
      <c r="K353">
        <v>38000</v>
      </c>
      <c r="L353" s="74">
        <v>9.4659999999999993</v>
      </c>
      <c r="M353" s="85">
        <v>10</v>
      </c>
      <c r="N353" s="74">
        <v>2.8780000000000001</v>
      </c>
      <c r="O353">
        <v>1</v>
      </c>
      <c r="P353" s="84">
        <v>2.1585000000000001</v>
      </c>
      <c r="Q353" s="86">
        <v>20.700000000000003</v>
      </c>
      <c r="R353" s="85">
        <v>20.700000000000003</v>
      </c>
      <c r="S353" s="87">
        <v>2297410</v>
      </c>
      <c r="T353" s="1">
        <v>8</v>
      </c>
      <c r="U353" s="88">
        <v>110985.99033816424</v>
      </c>
      <c r="V353" s="59">
        <v>9.0101462081213217</v>
      </c>
      <c r="X353" s="98">
        <v>13.8</v>
      </c>
      <c r="Y353" s="97">
        <v>176.66304347826087</v>
      </c>
    </row>
    <row r="354" spans="1:25">
      <c r="A354" s="58">
        <v>354</v>
      </c>
      <c r="B354" s="58">
        <v>354</v>
      </c>
      <c r="C354" s="58" t="s">
        <v>755</v>
      </c>
      <c r="D354" s="58" t="s">
        <v>187</v>
      </c>
      <c r="E354" s="58" t="s">
        <v>187</v>
      </c>
      <c r="F354" s="58" t="s">
        <v>752</v>
      </c>
      <c r="G354" s="58" t="s">
        <v>753</v>
      </c>
      <c r="H354" s="58" t="s">
        <v>199</v>
      </c>
      <c r="I354">
        <v>110000</v>
      </c>
      <c r="J354" s="58" t="s">
        <v>185</v>
      </c>
      <c r="K354">
        <v>110000</v>
      </c>
      <c r="L354" s="74">
        <v>10.717000000000001</v>
      </c>
      <c r="M354" s="85">
        <v>11</v>
      </c>
      <c r="N354" s="74">
        <v>1.8360000000000001</v>
      </c>
      <c r="O354">
        <v>1</v>
      </c>
      <c r="P354" s="84">
        <v>1.377</v>
      </c>
      <c r="Q354" s="86">
        <v>13.8</v>
      </c>
      <c r="R354" s="85">
        <v>13.8</v>
      </c>
      <c r="S354" s="87">
        <v>2367680</v>
      </c>
      <c r="T354" s="1">
        <v>8</v>
      </c>
      <c r="U354" s="88">
        <v>171571.0144927536</v>
      </c>
      <c r="V354" s="59">
        <v>5.8284903365319636</v>
      </c>
      <c r="X354" s="98">
        <v>20.700000000000003</v>
      </c>
      <c r="Y354" s="97">
        <v>110.98599033816424</v>
      </c>
    </row>
    <row r="355" spans="1:25">
      <c r="A355" s="58">
        <v>355</v>
      </c>
      <c r="B355" s="58">
        <v>355</v>
      </c>
      <c r="C355" s="58" t="s">
        <v>756</v>
      </c>
      <c r="D355" s="58" t="s">
        <v>187</v>
      </c>
      <c r="E355" s="58" t="s">
        <v>187</v>
      </c>
      <c r="F355" s="58" t="s">
        <v>752</v>
      </c>
      <c r="G355" s="58" t="s">
        <v>753</v>
      </c>
      <c r="H355" s="58" t="s">
        <v>199</v>
      </c>
      <c r="I355">
        <v>110000</v>
      </c>
      <c r="J355" s="58" t="s">
        <v>185</v>
      </c>
      <c r="K355">
        <v>110000</v>
      </c>
      <c r="L355" s="74">
        <v>8.1050000000000004</v>
      </c>
      <c r="M355" s="85">
        <v>9</v>
      </c>
      <c r="N355" s="74">
        <v>0.54700000000000004</v>
      </c>
      <c r="O355">
        <v>1</v>
      </c>
      <c r="P355" s="84">
        <v>0.54700000000000004</v>
      </c>
      <c r="Q355" s="86">
        <v>3.45</v>
      </c>
      <c r="R355" s="85">
        <v>3.45</v>
      </c>
      <c r="S355" s="87">
        <v>1890770</v>
      </c>
      <c r="T355" s="1">
        <v>7</v>
      </c>
      <c r="U355" s="88">
        <v>548049.27536231885</v>
      </c>
      <c r="V355" s="59">
        <v>1.8246534480661318</v>
      </c>
      <c r="X355" s="98">
        <v>13.8</v>
      </c>
      <c r="Y355" s="97">
        <v>171.57101449275362</v>
      </c>
    </row>
    <row r="356" spans="1:25">
      <c r="A356" s="58">
        <v>356</v>
      </c>
      <c r="B356" s="58">
        <v>356</v>
      </c>
      <c r="C356" s="58" t="s">
        <v>757</v>
      </c>
      <c r="D356" s="58" t="s">
        <v>182</v>
      </c>
      <c r="E356" s="58" t="s">
        <v>182</v>
      </c>
      <c r="F356" s="58" t="s">
        <v>446</v>
      </c>
      <c r="G356" s="58" t="s">
        <v>447</v>
      </c>
      <c r="H356" s="58" t="s">
        <v>199</v>
      </c>
      <c r="I356">
        <v>110000</v>
      </c>
      <c r="J356">
        <v>33000</v>
      </c>
      <c r="K356">
        <v>110000</v>
      </c>
      <c r="L356" s="74">
        <v>9.2360000000000007</v>
      </c>
      <c r="M356" s="85">
        <v>10</v>
      </c>
      <c r="N356" s="74">
        <v>2.2970000000000002</v>
      </c>
      <c r="O356">
        <v>1</v>
      </c>
      <c r="P356" s="84">
        <v>1.72275</v>
      </c>
      <c r="Q356" s="86">
        <v>17.25</v>
      </c>
      <c r="R356" s="85">
        <v>17.25</v>
      </c>
      <c r="S356" s="87">
        <v>2297410</v>
      </c>
      <c r="T356" s="1">
        <v>8</v>
      </c>
      <c r="U356" s="88">
        <v>133183.18840579709</v>
      </c>
      <c r="V356" s="59">
        <v>7.5084551734344327</v>
      </c>
      <c r="X356" s="98">
        <v>3.45</v>
      </c>
      <c r="Y356" s="97">
        <v>548.04927536231889</v>
      </c>
    </row>
    <row r="357" spans="1:25">
      <c r="A357" s="58">
        <v>357</v>
      </c>
      <c r="B357" s="58">
        <v>357</v>
      </c>
      <c r="C357" s="58" t="s">
        <v>758</v>
      </c>
      <c r="D357" s="58" t="s">
        <v>182</v>
      </c>
      <c r="E357" s="58" t="s">
        <v>182</v>
      </c>
      <c r="F357" s="58" t="s">
        <v>440</v>
      </c>
      <c r="G357" s="58" t="s">
        <v>441</v>
      </c>
      <c r="H357" s="58" t="s">
        <v>199</v>
      </c>
      <c r="I357">
        <v>110000</v>
      </c>
      <c r="L357" s="74">
        <v>7.1719999999999997</v>
      </c>
      <c r="M357" s="85">
        <v>8</v>
      </c>
      <c r="N357" s="74">
        <v>4.8479999999999999</v>
      </c>
      <c r="O357">
        <v>1</v>
      </c>
      <c r="P357" s="84">
        <v>3.6360000000000001</v>
      </c>
      <c r="Q357" s="86">
        <v>37.950000000000003</v>
      </c>
      <c r="R357" s="85">
        <v>37.950000000000003</v>
      </c>
      <c r="S357" s="87">
        <v>2843930</v>
      </c>
      <c r="T357" s="1">
        <v>10</v>
      </c>
      <c r="U357" s="88">
        <v>74938.866930171265</v>
      </c>
      <c r="V357" s="59">
        <v>13.344210300534824</v>
      </c>
      <c r="X357" s="98">
        <v>17.25</v>
      </c>
      <c r="Y357" s="97">
        <v>133.1831884057971</v>
      </c>
    </row>
    <row r="358" spans="1:25">
      <c r="A358" s="58">
        <v>358</v>
      </c>
      <c r="B358" s="58">
        <v>358</v>
      </c>
      <c r="C358" s="58" t="s">
        <v>759</v>
      </c>
      <c r="D358" s="58" t="s">
        <v>182</v>
      </c>
      <c r="E358" s="58" t="s">
        <v>182</v>
      </c>
      <c r="F358" s="58" t="s">
        <v>440</v>
      </c>
      <c r="G358" s="58" t="s">
        <v>441</v>
      </c>
      <c r="H358" s="58" t="s">
        <v>199</v>
      </c>
      <c r="I358">
        <v>110000</v>
      </c>
      <c r="L358" s="74">
        <v>4.0819999999999999</v>
      </c>
      <c r="M358" s="85">
        <v>5</v>
      </c>
      <c r="N358" s="74">
        <v>1.768</v>
      </c>
      <c r="O358">
        <v>1</v>
      </c>
      <c r="P358" s="84">
        <v>1.3260000000000001</v>
      </c>
      <c r="Q358" s="86">
        <v>13.8</v>
      </c>
      <c r="R358" s="85">
        <v>13.8</v>
      </c>
      <c r="S358" s="87">
        <v>1946060</v>
      </c>
      <c r="T358" s="1">
        <v>8</v>
      </c>
      <c r="U358" s="88">
        <v>141018.84057971014</v>
      </c>
      <c r="V358" s="59">
        <v>7.0912510405640115</v>
      </c>
      <c r="X358" s="98">
        <v>37.950000000000003</v>
      </c>
      <c r="Y358" s="97">
        <v>74.938866930171272</v>
      </c>
    </row>
    <row r="359" spans="1:25">
      <c r="A359" s="58">
        <v>359</v>
      </c>
      <c r="B359" s="58">
        <v>359</v>
      </c>
      <c r="C359" s="58" t="s">
        <v>760</v>
      </c>
      <c r="D359" s="58" t="s">
        <v>182</v>
      </c>
      <c r="E359" s="58" t="s">
        <v>182</v>
      </c>
      <c r="F359" s="58" t="s">
        <v>440</v>
      </c>
      <c r="G359" s="58" t="s">
        <v>441</v>
      </c>
      <c r="H359" s="58" t="s">
        <v>199</v>
      </c>
      <c r="I359">
        <v>110000</v>
      </c>
      <c r="L359" s="74">
        <v>6.15</v>
      </c>
      <c r="M359" s="85">
        <v>7</v>
      </c>
      <c r="N359" s="74">
        <v>1.2889999999999999</v>
      </c>
      <c r="O359">
        <v>1</v>
      </c>
      <c r="P359" s="84">
        <v>0.96675</v>
      </c>
      <c r="Q359" s="86">
        <v>10.350000000000001</v>
      </c>
      <c r="R359" s="85">
        <v>10.350000000000001</v>
      </c>
      <c r="S359" s="87">
        <v>1785370</v>
      </c>
      <c r="T359" s="1">
        <v>7</v>
      </c>
      <c r="U359" s="88">
        <v>172499.51690821254</v>
      </c>
      <c r="V359" s="59">
        <v>5.7971176842895318</v>
      </c>
      <c r="X359" s="98">
        <v>13.8</v>
      </c>
      <c r="Y359" s="97">
        <v>141.01884057971014</v>
      </c>
    </row>
    <row r="360" spans="1:25">
      <c r="A360" s="58">
        <v>360</v>
      </c>
      <c r="B360" s="58">
        <v>360</v>
      </c>
      <c r="C360" s="58" t="s">
        <v>761</v>
      </c>
      <c r="D360" s="58" t="s">
        <v>176</v>
      </c>
      <c r="E360" s="58" t="s">
        <v>176</v>
      </c>
      <c r="F360" s="58" t="s">
        <v>177</v>
      </c>
      <c r="G360" s="58" t="s">
        <v>178</v>
      </c>
      <c r="H360" s="58" t="s">
        <v>179</v>
      </c>
      <c r="I360">
        <v>38000</v>
      </c>
      <c r="J360">
        <v>38000</v>
      </c>
      <c r="K360">
        <v>20000</v>
      </c>
      <c r="L360" s="74">
        <v>5.6349999999999998</v>
      </c>
      <c r="M360" s="85">
        <v>6</v>
      </c>
      <c r="N360" s="74">
        <v>1.7250000000000001</v>
      </c>
      <c r="O360">
        <v>1</v>
      </c>
      <c r="P360" s="84">
        <v>1.2937500000000002</v>
      </c>
      <c r="Q360" s="86">
        <v>13.8</v>
      </c>
      <c r="R360" s="85">
        <v>13.8</v>
      </c>
      <c r="S360" s="87">
        <v>769410</v>
      </c>
      <c r="T360" s="1">
        <v>4</v>
      </c>
      <c r="U360" s="88">
        <v>55754.347826086952</v>
      </c>
      <c r="V360" s="59">
        <v>17.935820953717784</v>
      </c>
      <c r="X360" s="98">
        <v>10.350000000000001</v>
      </c>
      <c r="Y360" s="97">
        <v>172.49951690821251</v>
      </c>
    </row>
    <row r="361" spans="1:25">
      <c r="A361" s="58">
        <v>361</v>
      </c>
      <c r="B361" s="58">
        <v>361</v>
      </c>
      <c r="C361" s="58" t="s">
        <v>762</v>
      </c>
      <c r="D361" s="58" t="s">
        <v>215</v>
      </c>
      <c r="E361" s="58" t="s">
        <v>215</v>
      </c>
      <c r="F361" s="58" t="s">
        <v>763</v>
      </c>
      <c r="G361" s="58" t="s">
        <v>764</v>
      </c>
      <c r="H361" s="58" t="s">
        <v>199</v>
      </c>
      <c r="I361">
        <v>110000</v>
      </c>
      <c r="J361">
        <v>110000</v>
      </c>
      <c r="K361">
        <v>38000</v>
      </c>
      <c r="L361" s="74">
        <v>7.7859999999999996</v>
      </c>
      <c r="M361" s="85">
        <v>8</v>
      </c>
      <c r="N361" s="74">
        <v>1.2410000000000001</v>
      </c>
      <c r="O361">
        <v>1</v>
      </c>
      <c r="P361" s="84">
        <v>0.93075000000000008</v>
      </c>
      <c r="Q361" s="86">
        <v>6.9</v>
      </c>
      <c r="R361" s="85">
        <v>6.9</v>
      </c>
      <c r="S361" s="87">
        <v>1838070</v>
      </c>
      <c r="T361" s="1">
        <v>7</v>
      </c>
      <c r="U361" s="88">
        <v>266386.95652173914</v>
      </c>
      <c r="V361" s="59">
        <v>3.7539375540648616</v>
      </c>
      <c r="X361" s="98">
        <v>13.8</v>
      </c>
      <c r="Y361" s="97">
        <v>55.754347826086949</v>
      </c>
    </row>
    <row r="362" spans="1:25">
      <c r="A362" s="58">
        <v>362</v>
      </c>
      <c r="B362" s="58">
        <v>362</v>
      </c>
      <c r="C362" s="58" t="s">
        <v>765</v>
      </c>
      <c r="D362" s="58" t="s">
        <v>410</v>
      </c>
      <c r="E362" s="58" t="s">
        <v>450</v>
      </c>
      <c r="F362" s="58" t="s">
        <v>451</v>
      </c>
      <c r="G362" s="58" t="s">
        <v>452</v>
      </c>
      <c r="H362" s="58" t="s">
        <v>179</v>
      </c>
      <c r="I362">
        <v>38000</v>
      </c>
      <c r="J362">
        <v>38000</v>
      </c>
      <c r="K362" s="58" t="s">
        <v>185</v>
      </c>
      <c r="L362" s="74">
        <v>9.5030000000000001</v>
      </c>
      <c r="M362" s="85">
        <v>10</v>
      </c>
      <c r="N362" s="74">
        <v>1.994</v>
      </c>
      <c r="O362">
        <v>1</v>
      </c>
      <c r="P362" s="84">
        <v>1.4955000000000001</v>
      </c>
      <c r="Q362" s="86">
        <v>13.8</v>
      </c>
      <c r="R362" s="85">
        <v>13.8</v>
      </c>
      <c r="S362" s="87">
        <v>1050490</v>
      </c>
      <c r="T362" s="1">
        <v>4</v>
      </c>
      <c r="U362" s="88">
        <v>76122.463768115937</v>
      </c>
      <c r="V362" s="59">
        <v>13.136726670410951</v>
      </c>
      <c r="X362" s="98">
        <v>6.9</v>
      </c>
      <c r="Y362" s="97">
        <v>266.38695652173914</v>
      </c>
    </row>
    <row r="363" spans="1:25">
      <c r="A363" s="58">
        <v>363</v>
      </c>
      <c r="B363" s="58">
        <v>363</v>
      </c>
      <c r="C363" s="58" t="s">
        <v>766</v>
      </c>
      <c r="D363" s="58" t="s">
        <v>410</v>
      </c>
      <c r="E363" s="58" t="s">
        <v>450</v>
      </c>
      <c r="F363" s="58" t="s">
        <v>451</v>
      </c>
      <c r="G363" s="58" t="s">
        <v>452</v>
      </c>
      <c r="H363" s="58" t="s">
        <v>179</v>
      </c>
      <c r="I363">
        <v>38000</v>
      </c>
      <c r="J363">
        <v>38000</v>
      </c>
      <c r="K363" s="58" t="s">
        <v>185</v>
      </c>
      <c r="L363" s="74">
        <v>8.5980000000000008</v>
      </c>
      <c r="M363" s="85">
        <v>9</v>
      </c>
      <c r="N363" s="74">
        <v>2.7839999999999998</v>
      </c>
      <c r="O363">
        <v>1</v>
      </c>
      <c r="P363" s="84">
        <v>2.0880000000000001</v>
      </c>
      <c r="Q363" s="86">
        <v>20.700000000000003</v>
      </c>
      <c r="R363" s="85">
        <v>20.700000000000003</v>
      </c>
      <c r="S363" s="87">
        <v>980220</v>
      </c>
      <c r="T363" s="1">
        <v>4</v>
      </c>
      <c r="U363" s="88">
        <v>47353.623188405792</v>
      </c>
      <c r="V363" s="59">
        <v>21.117708269572141</v>
      </c>
      <c r="X363" s="98">
        <v>13.8</v>
      </c>
      <c r="Y363" s="97">
        <v>76.122463768115935</v>
      </c>
    </row>
    <row r="364" spans="1:25">
      <c r="A364" s="58">
        <v>364</v>
      </c>
      <c r="B364" s="58">
        <v>364</v>
      </c>
      <c r="C364" s="58" t="s">
        <v>767</v>
      </c>
      <c r="D364" s="58" t="s">
        <v>410</v>
      </c>
      <c r="E364" s="58" t="s">
        <v>450</v>
      </c>
      <c r="F364" s="58" t="s">
        <v>451</v>
      </c>
      <c r="G364" s="58" t="s">
        <v>452</v>
      </c>
      <c r="H364" s="58" t="s">
        <v>179</v>
      </c>
      <c r="I364">
        <v>38000</v>
      </c>
      <c r="J364">
        <v>38000</v>
      </c>
      <c r="K364" s="58" t="s">
        <v>185</v>
      </c>
      <c r="L364" s="74">
        <v>9.11</v>
      </c>
      <c r="M364" s="85">
        <v>10</v>
      </c>
      <c r="N364" s="74">
        <v>0.68799999999999994</v>
      </c>
      <c r="O364">
        <v>1</v>
      </c>
      <c r="P364" s="84">
        <v>0.51600000000000001</v>
      </c>
      <c r="Q364" s="86">
        <v>3.45</v>
      </c>
      <c r="R364" s="85">
        <v>3.45</v>
      </c>
      <c r="S364" s="87">
        <v>1387140</v>
      </c>
      <c r="T364" s="1">
        <v>1</v>
      </c>
      <c r="U364" s="88">
        <v>402069.5652173913</v>
      </c>
      <c r="V364" s="59">
        <v>2.487131796357974</v>
      </c>
      <c r="X364" s="98">
        <v>20.700000000000003</v>
      </c>
      <c r="Y364" s="97">
        <v>47.353623188405798</v>
      </c>
    </row>
    <row r="365" spans="1:25">
      <c r="A365" s="58">
        <v>365</v>
      </c>
      <c r="B365" s="58">
        <v>365</v>
      </c>
      <c r="C365" s="58" t="s">
        <v>768</v>
      </c>
      <c r="D365" s="58" t="s">
        <v>410</v>
      </c>
      <c r="E365" s="58" t="s">
        <v>410</v>
      </c>
      <c r="F365" s="58" t="s">
        <v>769</v>
      </c>
      <c r="G365" s="58" t="s">
        <v>770</v>
      </c>
      <c r="H365" s="58" t="s">
        <v>179</v>
      </c>
      <c r="I365">
        <v>38000</v>
      </c>
      <c r="J365" s="58" t="s">
        <v>185</v>
      </c>
      <c r="K365">
        <v>38000</v>
      </c>
      <c r="L365" s="74">
        <v>10.260999999999999</v>
      </c>
      <c r="M365" s="85">
        <v>11</v>
      </c>
      <c r="N365" s="74">
        <v>1.054</v>
      </c>
      <c r="O365">
        <v>1</v>
      </c>
      <c r="P365" s="84">
        <v>0.79049999999999998</v>
      </c>
      <c r="Q365" s="86">
        <v>6.9</v>
      </c>
      <c r="R365" s="85">
        <v>6.9</v>
      </c>
      <c r="S365" s="87">
        <v>1485200</v>
      </c>
      <c r="T365" s="1">
        <v>2</v>
      </c>
      <c r="U365" s="88">
        <v>215246.37681159418</v>
      </c>
      <c r="V365" s="59">
        <v>4.6458389442499328</v>
      </c>
      <c r="X365" s="98">
        <v>3.45</v>
      </c>
      <c r="Y365" s="97">
        <v>402.0695652173913</v>
      </c>
    </row>
    <row r="366" spans="1:25">
      <c r="A366" s="89">
        <v>366</v>
      </c>
      <c r="B366" s="89">
        <v>366</v>
      </c>
      <c r="C366" s="89" t="s">
        <v>771</v>
      </c>
      <c r="D366" s="58" t="s">
        <v>450</v>
      </c>
      <c r="E366" s="58" t="s">
        <v>450</v>
      </c>
      <c r="F366" s="89" t="s">
        <v>772</v>
      </c>
      <c r="G366" s="89" t="s">
        <v>773</v>
      </c>
      <c r="H366" s="89" t="s">
        <v>179</v>
      </c>
      <c r="I366" s="90">
        <v>38000</v>
      </c>
      <c r="J366" s="90">
        <v>38000</v>
      </c>
      <c r="K366" s="89" t="s">
        <v>185</v>
      </c>
      <c r="L366" s="91">
        <v>12.166</v>
      </c>
      <c r="M366" s="92">
        <v>13</v>
      </c>
      <c r="N366" s="91">
        <v>23.268999999999899</v>
      </c>
      <c r="O366" s="90">
        <v>1</v>
      </c>
      <c r="P366" s="92">
        <v>17.451749999999926</v>
      </c>
      <c r="Q366" s="93">
        <v>189.75</v>
      </c>
      <c r="R366" s="92">
        <v>189.75</v>
      </c>
      <c r="S366" s="87">
        <v>10383640</v>
      </c>
      <c r="T366" s="94">
        <v>13</v>
      </c>
      <c r="U366" s="95">
        <v>54722.74044795784</v>
      </c>
      <c r="V366" s="96">
        <v>18.273938618827309</v>
      </c>
      <c r="X366" s="98">
        <v>6.9</v>
      </c>
      <c r="Y366" s="97">
        <v>215.24637681159416</v>
      </c>
    </row>
    <row r="367" spans="1:25">
      <c r="A367" s="58">
        <v>367</v>
      </c>
      <c r="B367" s="58">
        <v>367</v>
      </c>
      <c r="C367" s="58" t="s">
        <v>774</v>
      </c>
      <c r="D367" s="58" t="s">
        <v>775</v>
      </c>
      <c r="E367" s="58" t="s">
        <v>775</v>
      </c>
      <c r="F367" s="58" t="s">
        <v>776</v>
      </c>
      <c r="G367" s="58" t="s">
        <v>777</v>
      </c>
      <c r="H367" s="58" t="s">
        <v>179</v>
      </c>
      <c r="I367">
        <v>38000</v>
      </c>
      <c r="J367">
        <v>20000</v>
      </c>
      <c r="K367">
        <v>38000</v>
      </c>
      <c r="L367" s="74">
        <v>3.5609999999999999</v>
      </c>
      <c r="M367" s="85">
        <v>4</v>
      </c>
      <c r="N367" s="74">
        <v>1.56</v>
      </c>
      <c r="O367">
        <v>1</v>
      </c>
      <c r="P367" s="84">
        <v>1.17</v>
      </c>
      <c r="Q367" s="86">
        <v>10.350000000000001</v>
      </c>
      <c r="R367" s="85">
        <v>10.350000000000001</v>
      </c>
      <c r="S367" s="87">
        <v>628870</v>
      </c>
      <c r="T367" s="1">
        <v>4</v>
      </c>
      <c r="U367" s="88">
        <v>60760.386473429942</v>
      </c>
      <c r="V367" s="59">
        <v>16.458091497447807</v>
      </c>
      <c r="X367" s="98">
        <v>189.75</v>
      </c>
      <c r="Y367" s="97">
        <v>54.722740447957847</v>
      </c>
    </row>
    <row r="368" spans="1:25">
      <c r="A368" s="58">
        <v>368</v>
      </c>
      <c r="B368" s="58">
        <v>368</v>
      </c>
      <c r="C368" s="58" t="s">
        <v>778</v>
      </c>
      <c r="D368" s="58" t="s">
        <v>775</v>
      </c>
      <c r="E368" s="58" t="s">
        <v>775</v>
      </c>
      <c r="F368" s="58" t="s">
        <v>460</v>
      </c>
      <c r="G368" s="58" t="s">
        <v>461</v>
      </c>
      <c r="H368" s="58" t="s">
        <v>179</v>
      </c>
      <c r="I368">
        <v>38000</v>
      </c>
      <c r="J368">
        <v>38000</v>
      </c>
      <c r="K368" s="58" t="s">
        <v>185</v>
      </c>
      <c r="L368" s="74">
        <v>8.1419999999999995</v>
      </c>
      <c r="M368" s="85">
        <v>9</v>
      </c>
      <c r="N368" s="74">
        <v>1.7170000000000001</v>
      </c>
      <c r="O368">
        <v>1</v>
      </c>
      <c r="P368" s="84">
        <v>1.28775</v>
      </c>
      <c r="Q368" s="86">
        <v>13.8</v>
      </c>
      <c r="R368" s="85">
        <v>13.8</v>
      </c>
      <c r="S368" s="87">
        <v>980220</v>
      </c>
      <c r="T368" s="1">
        <v>4</v>
      </c>
      <c r="U368" s="88">
        <v>71030.434782608689</v>
      </c>
      <c r="V368" s="59">
        <v>14.078472179714758</v>
      </c>
      <c r="X368" s="98">
        <v>10.350000000000001</v>
      </c>
      <c r="Y368" s="97">
        <v>60.760386473429939</v>
      </c>
    </row>
    <row r="369" spans="1:25">
      <c r="A369" s="89">
        <v>369</v>
      </c>
      <c r="B369" s="89">
        <v>369</v>
      </c>
      <c r="C369" s="89" t="s">
        <v>779</v>
      </c>
      <c r="D369" s="58" t="s">
        <v>410</v>
      </c>
      <c r="E369" s="58" t="s">
        <v>775</v>
      </c>
      <c r="F369" s="89" t="s">
        <v>466</v>
      </c>
      <c r="G369" s="89" t="s">
        <v>467</v>
      </c>
      <c r="H369" s="89" t="s">
        <v>179</v>
      </c>
      <c r="I369" s="90">
        <v>38000</v>
      </c>
      <c r="J369" s="90">
        <v>38000</v>
      </c>
      <c r="K369" s="89" t="s">
        <v>185</v>
      </c>
      <c r="L369" s="91">
        <v>11.095000000000001</v>
      </c>
      <c r="M369" s="92">
        <v>12</v>
      </c>
      <c r="N369" s="91">
        <v>11.912000000000001</v>
      </c>
      <c r="O369" s="90">
        <v>1</v>
      </c>
      <c r="P369" s="92">
        <v>8.9340000000000011</v>
      </c>
      <c r="Q369" s="93">
        <v>96.600000000000023</v>
      </c>
      <c r="R369" s="92">
        <v>96.600000000000023</v>
      </c>
      <c r="S369" s="87">
        <v>3448180</v>
      </c>
      <c r="T369" s="94">
        <v>11</v>
      </c>
      <c r="U369" s="95">
        <v>35695.445134575559</v>
      </c>
      <c r="V369" s="96">
        <v>28.014778810850949</v>
      </c>
      <c r="X369" s="98">
        <v>13.8</v>
      </c>
      <c r="Y369" s="97">
        <v>71.030434782608694</v>
      </c>
    </row>
    <row r="370" spans="1:25">
      <c r="A370" s="58">
        <v>370</v>
      </c>
      <c r="B370" s="58">
        <v>370</v>
      </c>
      <c r="C370" s="58" t="s">
        <v>780</v>
      </c>
      <c r="D370" s="58" t="s">
        <v>380</v>
      </c>
      <c r="E370" s="58" t="s">
        <v>384</v>
      </c>
      <c r="F370" s="58" t="s">
        <v>469</v>
      </c>
      <c r="G370" s="58" t="s">
        <v>470</v>
      </c>
      <c r="H370" s="58" t="s">
        <v>179</v>
      </c>
      <c r="I370">
        <v>38000</v>
      </c>
      <c r="J370">
        <v>38000</v>
      </c>
      <c r="K370" s="58" t="s">
        <v>185</v>
      </c>
      <c r="L370" s="74">
        <v>11.064</v>
      </c>
      <c r="M370" s="85">
        <v>12</v>
      </c>
      <c r="N370" s="74">
        <v>3.0910000000000002</v>
      </c>
      <c r="O370">
        <v>1</v>
      </c>
      <c r="P370" s="84">
        <v>2.3182499999999999</v>
      </c>
      <c r="Q370" s="86">
        <v>24.150000000000006</v>
      </c>
      <c r="R370" s="85">
        <v>24.150000000000006</v>
      </c>
      <c r="S370" s="87">
        <v>1413750</v>
      </c>
      <c r="T370" s="1">
        <v>5</v>
      </c>
      <c r="U370" s="88">
        <v>58540.372670807439</v>
      </c>
      <c r="V370" s="59">
        <v>17.08222811671088</v>
      </c>
      <c r="X370" s="98">
        <v>96.600000000000023</v>
      </c>
      <c r="Y370" s="97">
        <v>35.695445134575557</v>
      </c>
    </row>
    <row r="371" spans="1:25">
      <c r="A371" s="58">
        <v>371</v>
      </c>
      <c r="B371" s="58">
        <v>371</v>
      </c>
      <c r="C371" s="58" t="s">
        <v>781</v>
      </c>
      <c r="D371" s="58" t="s">
        <v>410</v>
      </c>
      <c r="E371" s="58" t="s">
        <v>410</v>
      </c>
      <c r="F371" s="58" t="s">
        <v>782</v>
      </c>
      <c r="G371" s="58" t="s">
        <v>783</v>
      </c>
      <c r="H371" s="58" t="s">
        <v>199</v>
      </c>
      <c r="I371">
        <v>110000</v>
      </c>
      <c r="J371">
        <v>110000</v>
      </c>
      <c r="K371">
        <v>38000</v>
      </c>
      <c r="L371" s="74">
        <v>8.0220000000000002</v>
      </c>
      <c r="M371" s="85">
        <v>9</v>
      </c>
      <c r="N371" s="74">
        <v>2.6320000000000001</v>
      </c>
      <c r="O371">
        <v>1</v>
      </c>
      <c r="P371" s="84">
        <v>1.9740000000000002</v>
      </c>
      <c r="Q371" s="86">
        <v>20.700000000000003</v>
      </c>
      <c r="R371" s="85">
        <v>20.700000000000003</v>
      </c>
      <c r="S371" s="87">
        <v>2227140</v>
      </c>
      <c r="T371" s="1">
        <v>8</v>
      </c>
      <c r="U371" s="88">
        <v>107591.30434782607</v>
      </c>
      <c r="V371" s="59">
        <v>9.2944314232603258</v>
      </c>
      <c r="X371" s="98">
        <v>24.150000000000006</v>
      </c>
      <c r="Y371" s="97">
        <v>58.540372670807436</v>
      </c>
    </row>
    <row r="372" spans="1:25">
      <c r="A372" s="58">
        <v>372</v>
      </c>
      <c r="B372" s="58">
        <v>372</v>
      </c>
      <c r="C372" s="58" t="s">
        <v>784</v>
      </c>
      <c r="D372" s="58" t="s">
        <v>197</v>
      </c>
      <c r="E372" s="58" t="s">
        <v>197</v>
      </c>
      <c r="F372" s="58" t="s">
        <v>299</v>
      </c>
      <c r="G372" s="58" t="s">
        <v>300</v>
      </c>
      <c r="H372" s="58" t="s">
        <v>179</v>
      </c>
      <c r="I372">
        <v>38000</v>
      </c>
      <c r="J372">
        <v>38000</v>
      </c>
      <c r="K372" s="58" t="s">
        <v>185</v>
      </c>
      <c r="L372" s="74">
        <v>17.981999999999999</v>
      </c>
      <c r="M372" s="85">
        <v>18</v>
      </c>
      <c r="N372" s="74">
        <v>5.1719999999999997</v>
      </c>
      <c r="O372">
        <v>1</v>
      </c>
      <c r="P372" s="84">
        <v>3.8789999999999996</v>
      </c>
      <c r="Q372" s="86">
        <v>41.400000000000006</v>
      </c>
      <c r="R372" s="85">
        <v>41.400000000000006</v>
      </c>
      <c r="S372" s="87">
        <v>2350470</v>
      </c>
      <c r="T372" s="1">
        <v>6</v>
      </c>
      <c r="U372" s="88">
        <v>56774.637681159409</v>
      </c>
      <c r="V372" s="59">
        <v>17.613498576880371</v>
      </c>
      <c r="X372" s="98">
        <v>20.700000000000003</v>
      </c>
      <c r="Y372" s="97">
        <v>107.59130434782607</v>
      </c>
    </row>
    <row r="373" spans="1:25">
      <c r="A373" s="58">
        <v>373</v>
      </c>
      <c r="B373" s="58">
        <v>373</v>
      </c>
      <c r="C373" s="58" t="s">
        <v>785</v>
      </c>
      <c r="D373" s="58" t="s">
        <v>197</v>
      </c>
      <c r="E373" s="58" t="s">
        <v>197</v>
      </c>
      <c r="F373" s="58" t="s">
        <v>299</v>
      </c>
      <c r="G373" s="58" t="s">
        <v>300</v>
      </c>
      <c r="H373" s="58" t="s">
        <v>179</v>
      </c>
      <c r="I373">
        <v>38000</v>
      </c>
      <c r="J373">
        <v>38000</v>
      </c>
      <c r="K373" s="58" t="s">
        <v>185</v>
      </c>
      <c r="L373" s="74">
        <v>18.012</v>
      </c>
      <c r="M373" s="85">
        <v>19</v>
      </c>
      <c r="N373" s="74">
        <v>1.0640000000000001</v>
      </c>
      <c r="O373">
        <v>1</v>
      </c>
      <c r="P373" s="84">
        <v>0.79800000000000004</v>
      </c>
      <c r="Q373" s="86">
        <v>6.9</v>
      </c>
      <c r="R373" s="85">
        <v>6.9</v>
      </c>
      <c r="S373" s="87">
        <v>1906800</v>
      </c>
      <c r="T373" s="1">
        <v>2</v>
      </c>
      <c r="U373" s="88">
        <v>276347.82608695648</v>
      </c>
      <c r="V373" s="59">
        <v>3.6186280679672751</v>
      </c>
      <c r="X373" s="98">
        <v>41.400000000000006</v>
      </c>
      <c r="Y373" s="97">
        <v>56.774637681159412</v>
      </c>
    </row>
    <row r="374" spans="1:25">
      <c r="A374" s="58">
        <v>374</v>
      </c>
      <c r="B374" s="58">
        <v>374</v>
      </c>
      <c r="C374" s="58" t="s">
        <v>786</v>
      </c>
      <c r="D374" s="58" t="s">
        <v>215</v>
      </c>
      <c r="E374" s="58" t="s">
        <v>215</v>
      </c>
      <c r="F374" s="58" t="s">
        <v>225</v>
      </c>
      <c r="G374" s="58" t="s">
        <v>226</v>
      </c>
      <c r="H374" s="58" t="s">
        <v>179</v>
      </c>
      <c r="I374">
        <v>38000</v>
      </c>
      <c r="J374">
        <v>38000</v>
      </c>
      <c r="K374">
        <v>20000</v>
      </c>
      <c r="L374" s="74">
        <v>7.3490000000000002</v>
      </c>
      <c r="M374" s="85">
        <v>8</v>
      </c>
      <c r="N374" s="74">
        <v>1.4870000000000001</v>
      </c>
      <c r="O374">
        <v>1</v>
      </c>
      <c r="P374" s="84">
        <v>1.1152500000000001</v>
      </c>
      <c r="Q374" s="86">
        <v>10.350000000000001</v>
      </c>
      <c r="R374" s="85">
        <v>10.350000000000001</v>
      </c>
      <c r="S374" s="87">
        <v>909950</v>
      </c>
      <c r="T374" s="1">
        <v>4</v>
      </c>
      <c r="U374" s="88">
        <v>87917.874396135259</v>
      </c>
      <c r="V374" s="59">
        <v>11.374251332490799</v>
      </c>
      <c r="X374" s="98">
        <v>6.9</v>
      </c>
      <c r="Y374" s="97">
        <v>276.34782608695645</v>
      </c>
    </row>
    <row r="375" spans="1:25">
      <c r="A375" s="58">
        <v>375</v>
      </c>
      <c r="B375" s="58">
        <v>375</v>
      </c>
      <c r="C375" s="58" t="s">
        <v>787</v>
      </c>
      <c r="D375" s="58" t="s">
        <v>215</v>
      </c>
      <c r="E375" s="58" t="s">
        <v>215</v>
      </c>
      <c r="F375" s="58" t="s">
        <v>483</v>
      </c>
      <c r="G375" s="58" t="s">
        <v>484</v>
      </c>
      <c r="H375" s="58" t="s">
        <v>179</v>
      </c>
      <c r="I375">
        <v>38000</v>
      </c>
      <c r="L375" s="74">
        <v>6.673</v>
      </c>
      <c r="M375" s="85">
        <v>7</v>
      </c>
      <c r="N375" s="74">
        <v>0.82199999999999995</v>
      </c>
      <c r="O375">
        <v>1</v>
      </c>
      <c r="P375" s="84">
        <v>0.61649999999999994</v>
      </c>
      <c r="Q375" s="86">
        <v>6.9</v>
      </c>
      <c r="R375" s="85">
        <v>6.9</v>
      </c>
      <c r="S375" s="87">
        <v>839680</v>
      </c>
      <c r="T375" s="1">
        <v>4</v>
      </c>
      <c r="U375" s="88">
        <v>121692.7536231884</v>
      </c>
      <c r="V375" s="59">
        <v>8.2174161585365848</v>
      </c>
      <c r="X375" s="98">
        <v>10.350000000000001</v>
      </c>
      <c r="Y375" s="97">
        <v>87.917874396135261</v>
      </c>
    </row>
    <row r="376" spans="1:25">
      <c r="A376" s="58">
        <v>376</v>
      </c>
      <c r="B376" s="58">
        <v>376</v>
      </c>
      <c r="C376" s="58" t="s">
        <v>788</v>
      </c>
      <c r="D376" s="58" t="s">
        <v>182</v>
      </c>
      <c r="E376" s="58" t="s">
        <v>197</v>
      </c>
      <c r="F376" s="58" t="s">
        <v>486</v>
      </c>
      <c r="G376" s="58" t="s">
        <v>487</v>
      </c>
      <c r="H376" s="58" t="s">
        <v>179</v>
      </c>
      <c r="I376">
        <v>38000</v>
      </c>
      <c r="J376">
        <v>38000</v>
      </c>
      <c r="K376" s="58" t="s">
        <v>185</v>
      </c>
      <c r="L376" s="74">
        <v>12.593</v>
      </c>
      <c r="M376" s="85">
        <v>13</v>
      </c>
      <c r="N376" s="74">
        <v>1.6779999999999999</v>
      </c>
      <c r="O376">
        <v>1</v>
      </c>
      <c r="P376" s="84">
        <v>1.2585</v>
      </c>
      <c r="Q376" s="86">
        <v>13.8</v>
      </c>
      <c r="R376" s="85">
        <v>13.8</v>
      </c>
      <c r="S376" s="87">
        <v>1261300</v>
      </c>
      <c r="T376" s="1">
        <v>4</v>
      </c>
      <c r="U376" s="88">
        <v>91398.55072463768</v>
      </c>
      <c r="V376" s="59">
        <v>10.941092523586775</v>
      </c>
      <c r="X376" s="98">
        <v>6.9</v>
      </c>
      <c r="Y376" s="97">
        <v>121.69275362318841</v>
      </c>
    </row>
    <row r="377" spans="1:25">
      <c r="A377" s="58">
        <v>377</v>
      </c>
      <c r="B377" s="58">
        <v>377</v>
      </c>
      <c r="C377" s="58" t="s">
        <v>789</v>
      </c>
      <c r="D377" s="58" t="s">
        <v>182</v>
      </c>
      <c r="E377" s="58" t="s">
        <v>197</v>
      </c>
      <c r="F377" s="58" t="s">
        <v>486</v>
      </c>
      <c r="G377" s="58" t="s">
        <v>487</v>
      </c>
      <c r="H377" s="58" t="s">
        <v>179</v>
      </c>
      <c r="I377">
        <v>38000</v>
      </c>
      <c r="J377">
        <v>38000</v>
      </c>
      <c r="K377" s="58" t="s">
        <v>185</v>
      </c>
      <c r="L377" s="74">
        <v>14.301</v>
      </c>
      <c r="M377" s="85">
        <v>15</v>
      </c>
      <c r="N377" s="74">
        <v>0.79100000000000004</v>
      </c>
      <c r="O377">
        <v>1</v>
      </c>
      <c r="P377" s="84">
        <v>0.59325000000000006</v>
      </c>
      <c r="Q377" s="86">
        <v>3.45</v>
      </c>
      <c r="R377" s="85">
        <v>3.45</v>
      </c>
      <c r="S377" s="87">
        <v>1650640</v>
      </c>
      <c r="T377" s="1">
        <v>1</v>
      </c>
      <c r="U377" s="88">
        <v>478446.37681159418</v>
      </c>
      <c r="V377" s="59">
        <v>2.0900983860805504</v>
      </c>
      <c r="X377" s="98">
        <v>13.8</v>
      </c>
      <c r="Y377" s="97">
        <v>91.398550724637673</v>
      </c>
    </row>
    <row r="378" spans="1:25">
      <c r="A378" s="58">
        <v>378</v>
      </c>
      <c r="B378" s="58">
        <v>378</v>
      </c>
      <c r="C378" s="58" t="s">
        <v>790</v>
      </c>
      <c r="D378" s="58" t="s">
        <v>176</v>
      </c>
      <c r="E378" s="58" t="s">
        <v>176</v>
      </c>
      <c r="F378" s="58" t="s">
        <v>222</v>
      </c>
      <c r="G378" s="58" t="s">
        <v>223</v>
      </c>
      <c r="H378" s="58" t="s">
        <v>179</v>
      </c>
      <c r="I378">
        <v>38000</v>
      </c>
      <c r="J378">
        <v>38000</v>
      </c>
      <c r="K378">
        <v>20000</v>
      </c>
      <c r="L378" s="74">
        <v>12.593999999999999</v>
      </c>
      <c r="M378" s="85">
        <v>13</v>
      </c>
      <c r="N378" s="74">
        <v>1.657</v>
      </c>
      <c r="O378">
        <v>1</v>
      </c>
      <c r="P378" s="84">
        <v>1.24275</v>
      </c>
      <c r="Q378" s="86">
        <v>10.350000000000001</v>
      </c>
      <c r="R378" s="85">
        <v>10.350000000000001</v>
      </c>
      <c r="S378" s="87">
        <v>1627650</v>
      </c>
      <c r="T378" s="1">
        <v>3</v>
      </c>
      <c r="U378" s="88">
        <v>157260.86956521738</v>
      </c>
      <c r="V378" s="59">
        <v>6.3588609344760867</v>
      </c>
      <c r="X378" s="98">
        <v>3.45</v>
      </c>
      <c r="Y378" s="97">
        <v>478.44637681159418</v>
      </c>
    </row>
    <row r="379" spans="1:25">
      <c r="A379" s="58">
        <v>379</v>
      </c>
      <c r="B379" s="58">
        <v>379</v>
      </c>
      <c r="C379" s="58" t="s">
        <v>791</v>
      </c>
      <c r="D379" s="58" t="s">
        <v>197</v>
      </c>
      <c r="E379" s="58" t="s">
        <v>197</v>
      </c>
      <c r="F379" s="58" t="s">
        <v>494</v>
      </c>
      <c r="G379" s="58" t="s">
        <v>495</v>
      </c>
      <c r="H379" s="58" t="s">
        <v>179</v>
      </c>
      <c r="I379">
        <v>38000</v>
      </c>
      <c r="J379">
        <v>38000</v>
      </c>
      <c r="K379">
        <v>10000</v>
      </c>
      <c r="L379" s="74">
        <v>8.4450000000000003</v>
      </c>
      <c r="M379" s="85">
        <v>9</v>
      </c>
      <c r="N379" s="74">
        <v>1.0980000000000001</v>
      </c>
      <c r="O379">
        <v>1</v>
      </c>
      <c r="P379" s="84">
        <v>0.82350000000000012</v>
      </c>
      <c r="Q379" s="86">
        <v>6.9</v>
      </c>
      <c r="R379" s="85">
        <v>6.9</v>
      </c>
      <c r="S379" s="87">
        <v>1379800</v>
      </c>
      <c r="T379" s="1">
        <v>2</v>
      </c>
      <c r="U379" s="88">
        <v>199971.0144927536</v>
      </c>
      <c r="V379" s="59">
        <v>5.0007247427163355</v>
      </c>
      <c r="X379" s="98">
        <v>10.350000000000001</v>
      </c>
      <c r="Y379" s="97">
        <v>157.26086956521738</v>
      </c>
    </row>
    <row r="380" spans="1:25">
      <c r="A380" s="58">
        <v>380</v>
      </c>
      <c r="B380" s="58">
        <v>380</v>
      </c>
      <c r="C380" s="58" t="s">
        <v>792</v>
      </c>
      <c r="D380" s="58" t="s">
        <v>207</v>
      </c>
      <c r="E380" s="58" t="s">
        <v>207</v>
      </c>
      <c r="F380" s="58" t="s">
        <v>705</v>
      </c>
      <c r="G380" s="58" t="s">
        <v>706</v>
      </c>
      <c r="H380" s="58" t="s">
        <v>179</v>
      </c>
      <c r="I380">
        <v>38000</v>
      </c>
      <c r="J380" s="58" t="s">
        <v>185</v>
      </c>
      <c r="K380">
        <v>38000</v>
      </c>
      <c r="L380" s="74">
        <v>6.1859999999999999</v>
      </c>
      <c r="M380" s="85">
        <v>7</v>
      </c>
      <c r="N380" s="74">
        <v>1.2849999999999999</v>
      </c>
      <c r="O380">
        <v>1</v>
      </c>
      <c r="P380" s="84">
        <v>0.96374999999999988</v>
      </c>
      <c r="Q380" s="86">
        <v>10.350000000000001</v>
      </c>
      <c r="R380" s="85">
        <v>10.350000000000001</v>
      </c>
      <c r="S380" s="87">
        <v>839680</v>
      </c>
      <c r="T380" s="1">
        <v>4</v>
      </c>
      <c r="U380" s="88">
        <v>81128.502415458919</v>
      </c>
      <c r="V380" s="59">
        <v>12.32612423780488</v>
      </c>
      <c r="X380" s="98">
        <v>6.9</v>
      </c>
      <c r="Y380" s="97">
        <v>199.9710144927536</v>
      </c>
    </row>
    <row r="381" spans="1:25">
      <c r="A381" s="58">
        <v>381</v>
      </c>
      <c r="B381" s="58">
        <v>381</v>
      </c>
      <c r="C381" s="58" t="s">
        <v>793</v>
      </c>
      <c r="D381" s="58" t="s">
        <v>187</v>
      </c>
      <c r="E381" s="58" t="s">
        <v>187</v>
      </c>
      <c r="F381" s="58" t="s">
        <v>228</v>
      </c>
      <c r="G381" s="58" t="s">
        <v>229</v>
      </c>
      <c r="H381" s="58" t="s">
        <v>179</v>
      </c>
      <c r="I381">
        <v>38000</v>
      </c>
      <c r="J381">
        <v>38000</v>
      </c>
      <c r="K381" s="58" t="s">
        <v>185</v>
      </c>
      <c r="L381" s="74">
        <v>6.0010000000000003</v>
      </c>
      <c r="M381" s="85">
        <v>7</v>
      </c>
      <c r="N381" s="74">
        <v>4.0380000000000003</v>
      </c>
      <c r="O381">
        <v>1</v>
      </c>
      <c r="P381" s="84">
        <v>3.0285000000000002</v>
      </c>
      <c r="Q381" s="86">
        <v>31.05</v>
      </c>
      <c r="R381" s="85">
        <v>31.05</v>
      </c>
      <c r="S381" s="87">
        <v>1126610</v>
      </c>
      <c r="T381" s="1">
        <v>6</v>
      </c>
      <c r="U381" s="88">
        <v>36283.735909822863</v>
      </c>
      <c r="V381" s="59">
        <v>27.560557779533291</v>
      </c>
      <c r="X381" s="98">
        <v>10.350000000000001</v>
      </c>
      <c r="Y381" s="97">
        <v>81.128502415458925</v>
      </c>
    </row>
    <row r="382" spans="1:25">
      <c r="A382" s="58">
        <v>382</v>
      </c>
      <c r="B382" s="58">
        <v>382</v>
      </c>
      <c r="C382" s="58" t="s">
        <v>794</v>
      </c>
      <c r="D382" s="58" t="s">
        <v>182</v>
      </c>
      <c r="E382" s="58" t="s">
        <v>182</v>
      </c>
      <c r="F382" s="58" t="s">
        <v>595</v>
      </c>
      <c r="G382" s="58" t="s">
        <v>596</v>
      </c>
      <c r="H382" s="58" t="s">
        <v>179</v>
      </c>
      <c r="I382">
        <v>38000</v>
      </c>
      <c r="J382">
        <v>38000</v>
      </c>
      <c r="K382" s="58" t="s">
        <v>185</v>
      </c>
      <c r="L382" s="74">
        <v>10.631</v>
      </c>
      <c r="M382" s="85">
        <v>11</v>
      </c>
      <c r="N382" s="74">
        <v>1.42</v>
      </c>
      <c r="O382">
        <v>1</v>
      </c>
      <c r="P382" s="84">
        <v>1.0649999999999999</v>
      </c>
      <c r="Q382" s="86">
        <v>10.350000000000001</v>
      </c>
      <c r="R382" s="85">
        <v>10.350000000000001</v>
      </c>
      <c r="S382" s="87">
        <v>1522250</v>
      </c>
      <c r="T382" s="1">
        <v>3</v>
      </c>
      <c r="U382" s="88">
        <v>147077.29468599032</v>
      </c>
      <c r="V382" s="59">
        <v>6.7991460009853846</v>
      </c>
      <c r="X382" s="98">
        <v>31.05</v>
      </c>
      <c r="Y382" s="97">
        <v>36.283735909822859</v>
      </c>
    </row>
    <row r="383" spans="1:25">
      <c r="A383" s="58">
        <v>383</v>
      </c>
      <c r="B383" s="58">
        <v>383</v>
      </c>
      <c r="C383" s="58" t="s">
        <v>795</v>
      </c>
      <c r="D383" s="58" t="s">
        <v>234</v>
      </c>
      <c r="E383" s="58" t="s">
        <v>234</v>
      </c>
      <c r="F383" s="58" t="s">
        <v>341</v>
      </c>
      <c r="G383" s="58" t="s">
        <v>342</v>
      </c>
      <c r="H383" s="58" t="s">
        <v>199</v>
      </c>
      <c r="I383">
        <v>110000</v>
      </c>
      <c r="J383" s="58" t="s">
        <v>185</v>
      </c>
      <c r="K383">
        <v>110000</v>
      </c>
      <c r="L383" s="74">
        <v>11.377000000000001</v>
      </c>
      <c r="M383" s="85">
        <v>12</v>
      </c>
      <c r="N383" s="74">
        <v>0.71599999999999997</v>
      </c>
      <c r="O383">
        <v>1</v>
      </c>
      <c r="P383" s="84">
        <v>0.53699999999999992</v>
      </c>
      <c r="Q383" s="86">
        <v>3.45</v>
      </c>
      <c r="R383" s="85">
        <v>3.45</v>
      </c>
      <c r="S383" s="87">
        <v>2048870</v>
      </c>
      <c r="T383" s="1">
        <v>7</v>
      </c>
      <c r="U383" s="88">
        <v>593875.36231884058</v>
      </c>
      <c r="V383" s="59">
        <v>1.6838550030016546</v>
      </c>
      <c r="X383" s="98">
        <v>10.350000000000001</v>
      </c>
      <c r="Y383" s="97">
        <v>147.07729468599032</v>
      </c>
    </row>
    <row r="384" spans="1:25">
      <c r="A384" s="58">
        <v>384</v>
      </c>
      <c r="B384" s="58">
        <v>384</v>
      </c>
      <c r="C384" s="58" t="s">
        <v>796</v>
      </c>
      <c r="D384" s="58" t="s">
        <v>234</v>
      </c>
      <c r="E384" s="58" t="s">
        <v>234</v>
      </c>
      <c r="F384" s="58" t="s">
        <v>595</v>
      </c>
      <c r="G384" s="58" t="s">
        <v>596</v>
      </c>
      <c r="H384" s="58" t="s">
        <v>179</v>
      </c>
      <c r="I384">
        <v>38000</v>
      </c>
      <c r="J384">
        <v>38000</v>
      </c>
      <c r="K384" s="58" t="s">
        <v>185</v>
      </c>
      <c r="L384" s="74">
        <v>12.936</v>
      </c>
      <c r="M384" s="85">
        <v>13</v>
      </c>
      <c r="N384" s="74">
        <v>0.66500000000000004</v>
      </c>
      <c r="O384">
        <v>1</v>
      </c>
      <c r="P384" s="84">
        <v>0.49875000000000003</v>
      </c>
      <c r="Q384" s="86">
        <v>3.45</v>
      </c>
      <c r="R384" s="85">
        <v>3.45</v>
      </c>
      <c r="S384" s="87">
        <v>1545240</v>
      </c>
      <c r="T384" s="1">
        <v>1</v>
      </c>
      <c r="U384" s="88">
        <v>447895.65217391303</v>
      </c>
      <c r="V384" s="59">
        <v>2.2326628873184746</v>
      </c>
      <c r="X384" s="98">
        <v>3.45</v>
      </c>
      <c r="Y384" s="97">
        <v>593.87536231884053</v>
      </c>
    </row>
    <row r="385" spans="1:25">
      <c r="A385" s="58">
        <v>385</v>
      </c>
      <c r="B385" s="58">
        <v>385</v>
      </c>
      <c r="C385" s="58" t="s">
        <v>797</v>
      </c>
      <c r="D385" s="58" t="s">
        <v>187</v>
      </c>
      <c r="E385" s="58" t="s">
        <v>187</v>
      </c>
      <c r="F385" s="58" t="s">
        <v>231</v>
      </c>
      <c r="G385" s="58" t="s">
        <v>232</v>
      </c>
      <c r="H385" s="58" t="s">
        <v>179</v>
      </c>
      <c r="I385">
        <v>38000</v>
      </c>
      <c r="J385" s="58" t="s">
        <v>185</v>
      </c>
      <c r="K385">
        <v>38000</v>
      </c>
      <c r="L385" s="74">
        <v>5.4619999999999997</v>
      </c>
      <c r="M385" s="85">
        <v>6</v>
      </c>
      <c r="N385" s="74">
        <v>0.80400000000000005</v>
      </c>
      <c r="O385">
        <v>1</v>
      </c>
      <c r="P385" s="84">
        <v>0.60299999999999998</v>
      </c>
      <c r="Q385" s="86">
        <v>6.9</v>
      </c>
      <c r="R385" s="85">
        <v>6.9</v>
      </c>
      <c r="S385" s="87">
        <v>769410</v>
      </c>
      <c r="T385" s="1">
        <v>4</v>
      </c>
      <c r="U385" s="88">
        <v>111508.6956521739</v>
      </c>
      <c r="V385" s="59">
        <v>8.9679104768588918</v>
      </c>
      <c r="X385" s="98">
        <v>3.45</v>
      </c>
      <c r="Y385" s="97">
        <v>447.89565217391305</v>
      </c>
    </row>
    <row r="386" spans="1:25">
      <c r="A386" s="58">
        <v>386</v>
      </c>
      <c r="B386" s="58">
        <v>386</v>
      </c>
      <c r="C386" s="58" t="s">
        <v>798</v>
      </c>
      <c r="D386" s="58" t="s">
        <v>234</v>
      </c>
      <c r="E386" s="58" t="s">
        <v>234</v>
      </c>
      <c r="F386" s="58" t="s">
        <v>623</v>
      </c>
      <c r="G386" s="58" t="s">
        <v>624</v>
      </c>
      <c r="H386" s="58" t="s">
        <v>179</v>
      </c>
      <c r="I386">
        <v>38000</v>
      </c>
      <c r="J386">
        <v>38000</v>
      </c>
      <c r="K386" s="58" t="s">
        <v>185</v>
      </c>
      <c r="L386" s="74">
        <v>13.255000000000001</v>
      </c>
      <c r="M386" s="85">
        <v>14</v>
      </c>
      <c r="N386" s="74">
        <v>1.149</v>
      </c>
      <c r="O386">
        <v>1</v>
      </c>
      <c r="P386" s="84">
        <v>0.86175000000000002</v>
      </c>
      <c r="Q386" s="86">
        <v>6.9</v>
      </c>
      <c r="R386" s="85">
        <v>6.9</v>
      </c>
      <c r="S386" s="87">
        <v>1643300</v>
      </c>
      <c r="T386" s="1">
        <v>2</v>
      </c>
      <c r="U386" s="88">
        <v>238159.42028985507</v>
      </c>
      <c r="V386" s="59">
        <v>4.1988681311994158</v>
      </c>
      <c r="X386" s="98">
        <v>6.9</v>
      </c>
      <c r="Y386" s="97">
        <v>111.5086956521739</v>
      </c>
    </row>
    <row r="387" spans="1:25">
      <c r="A387" s="58">
        <v>387</v>
      </c>
      <c r="B387" s="58">
        <v>387</v>
      </c>
      <c r="C387" s="58" t="s">
        <v>799</v>
      </c>
      <c r="D387" s="58" t="s">
        <v>187</v>
      </c>
      <c r="E387" s="58" t="s">
        <v>187</v>
      </c>
      <c r="F387" s="58" t="s">
        <v>800</v>
      </c>
      <c r="G387" s="58" t="s">
        <v>801</v>
      </c>
      <c r="H387" s="58" t="s">
        <v>199</v>
      </c>
      <c r="I387">
        <v>110000</v>
      </c>
      <c r="J387">
        <v>20000</v>
      </c>
      <c r="K387">
        <v>110000</v>
      </c>
      <c r="L387" s="74">
        <v>1.5189999999999999</v>
      </c>
      <c r="M387" s="85">
        <v>2</v>
      </c>
      <c r="N387" s="74">
        <v>0.13600000000000001</v>
      </c>
      <c r="O387">
        <v>2</v>
      </c>
      <c r="P387" s="84">
        <v>0.13600000000000001</v>
      </c>
      <c r="Q387" s="86">
        <v>4.2</v>
      </c>
      <c r="R387" s="85">
        <v>4.2</v>
      </c>
      <c r="S387" s="87">
        <v>1340080</v>
      </c>
      <c r="T387" s="1">
        <v>11</v>
      </c>
      <c r="U387" s="88">
        <v>319066.66666666663</v>
      </c>
      <c r="V387" s="59">
        <v>3.134141245298788</v>
      </c>
      <c r="X387" s="98">
        <v>6.9</v>
      </c>
      <c r="Y387" s="97">
        <v>238.15942028985506</v>
      </c>
    </row>
    <row r="388" spans="1:25">
      <c r="A388" s="58">
        <v>388</v>
      </c>
      <c r="B388" s="58">
        <v>388</v>
      </c>
      <c r="C388" s="58" t="s">
        <v>802</v>
      </c>
      <c r="D388" s="58" t="s">
        <v>187</v>
      </c>
      <c r="E388" s="58" t="s">
        <v>187</v>
      </c>
      <c r="F388" s="58" t="s">
        <v>432</v>
      </c>
      <c r="G388" s="58" t="s">
        <v>433</v>
      </c>
      <c r="H388" s="58" t="s">
        <v>199</v>
      </c>
      <c r="I388">
        <v>110000</v>
      </c>
      <c r="L388" s="74">
        <v>2.0459999999999998</v>
      </c>
      <c r="M388" s="85">
        <v>3</v>
      </c>
      <c r="N388" s="74">
        <v>0.29199999999999998</v>
      </c>
      <c r="O388">
        <v>2</v>
      </c>
      <c r="P388" s="84">
        <v>0.29199999999999998</v>
      </c>
      <c r="Q388" s="86">
        <v>4.2</v>
      </c>
      <c r="R388" s="85">
        <v>4.2</v>
      </c>
      <c r="S388" s="87">
        <v>1574570</v>
      </c>
      <c r="T388" s="1">
        <v>7</v>
      </c>
      <c r="U388" s="88">
        <v>374897.61904761905</v>
      </c>
      <c r="V388" s="59">
        <v>2.6673949078161021</v>
      </c>
      <c r="X388" s="98">
        <v>4.2</v>
      </c>
      <c r="Y388" s="97">
        <v>319.06666666666661</v>
      </c>
    </row>
    <row r="389" spans="1:25">
      <c r="A389" s="58">
        <v>389</v>
      </c>
      <c r="B389" s="58">
        <v>389</v>
      </c>
      <c r="C389" s="58" t="s">
        <v>803</v>
      </c>
      <c r="D389" s="58" t="s">
        <v>187</v>
      </c>
      <c r="E389" s="58" t="s">
        <v>187</v>
      </c>
      <c r="F389" s="58" t="s">
        <v>429</v>
      </c>
      <c r="G389" s="58" t="s">
        <v>430</v>
      </c>
      <c r="H389" s="58" t="s">
        <v>179</v>
      </c>
      <c r="I389">
        <v>38000</v>
      </c>
      <c r="J389">
        <v>38000</v>
      </c>
      <c r="K389" s="58" t="s">
        <v>185</v>
      </c>
      <c r="L389" s="74">
        <v>4.9450000000000003</v>
      </c>
      <c r="M389" s="85">
        <v>5</v>
      </c>
      <c r="N389" s="74">
        <v>0.28799999999999998</v>
      </c>
      <c r="O389">
        <v>2</v>
      </c>
      <c r="P389" s="84">
        <v>0.28799999999999998</v>
      </c>
      <c r="Q389" s="86">
        <v>4.2</v>
      </c>
      <c r="R389" s="85">
        <v>4.2</v>
      </c>
      <c r="S389" s="87">
        <v>699140</v>
      </c>
      <c r="T389" s="1">
        <v>4</v>
      </c>
      <c r="U389" s="88">
        <v>166461.90476190476</v>
      </c>
      <c r="V389" s="59">
        <v>6.0073804960379897</v>
      </c>
      <c r="X389" s="98">
        <v>4.2</v>
      </c>
      <c r="Y389" s="97">
        <v>374.89761904761906</v>
      </c>
    </row>
    <row r="390" spans="1:25">
      <c r="A390" s="58">
        <v>390</v>
      </c>
      <c r="B390" s="58">
        <v>390</v>
      </c>
      <c r="C390" s="58" t="s">
        <v>804</v>
      </c>
      <c r="D390" s="58" t="s">
        <v>384</v>
      </c>
      <c r="E390" s="58" t="s">
        <v>384</v>
      </c>
      <c r="F390" s="58" t="s">
        <v>805</v>
      </c>
      <c r="G390" s="58" t="s">
        <v>806</v>
      </c>
      <c r="H390" s="58" t="s">
        <v>179</v>
      </c>
      <c r="I390">
        <v>38000</v>
      </c>
      <c r="J390">
        <v>20000</v>
      </c>
      <c r="K390">
        <v>38000</v>
      </c>
      <c r="L390" s="74">
        <v>2.0699999999999998</v>
      </c>
      <c r="M390" s="85">
        <v>3</v>
      </c>
      <c r="N390" s="74">
        <v>9.0999999999999998E-2</v>
      </c>
      <c r="O390">
        <v>2</v>
      </c>
      <c r="P390" s="84">
        <v>9.0999999999999998E-2</v>
      </c>
      <c r="Q390" s="86">
        <v>4.2</v>
      </c>
      <c r="R390" s="85">
        <v>4.2</v>
      </c>
      <c r="S390" s="87">
        <v>558600</v>
      </c>
      <c r="T390" s="1">
        <v>4</v>
      </c>
      <c r="U390" s="88">
        <v>133000</v>
      </c>
      <c r="V390" s="59">
        <v>7.518796992481203</v>
      </c>
      <c r="X390" s="98">
        <v>4.2</v>
      </c>
      <c r="Y390" s="97">
        <v>166.46190476190475</v>
      </c>
    </row>
    <row r="391" spans="1:25">
      <c r="A391" s="58">
        <v>391</v>
      </c>
      <c r="B391" s="58">
        <v>391</v>
      </c>
      <c r="C391" s="58" t="s">
        <v>807</v>
      </c>
      <c r="D391" s="58" t="s">
        <v>176</v>
      </c>
      <c r="E391" s="58" t="s">
        <v>176</v>
      </c>
      <c r="F391" s="58" t="s">
        <v>222</v>
      </c>
      <c r="G391" s="58" t="s">
        <v>223</v>
      </c>
      <c r="H391" s="58" t="s">
        <v>179</v>
      </c>
      <c r="I391">
        <v>38000</v>
      </c>
      <c r="J391">
        <v>38000</v>
      </c>
      <c r="K391">
        <v>20000</v>
      </c>
      <c r="L391" s="74">
        <v>6.1449999999999996</v>
      </c>
      <c r="M391" s="85">
        <v>7</v>
      </c>
      <c r="N391" s="74">
        <v>9.4E-2</v>
      </c>
      <c r="O391">
        <v>2</v>
      </c>
      <c r="P391" s="84">
        <v>9.4E-2</v>
      </c>
      <c r="Q391" s="86">
        <v>4.2</v>
      </c>
      <c r="R391" s="85">
        <v>4.2</v>
      </c>
      <c r="S391" s="87">
        <v>839680</v>
      </c>
      <c r="T391" s="1">
        <v>4</v>
      </c>
      <c r="U391" s="88">
        <v>199923.80952380953</v>
      </c>
      <c r="V391" s="59">
        <v>5.0019054878048781</v>
      </c>
      <c r="X391" s="98">
        <v>4.2</v>
      </c>
      <c r="Y391" s="97">
        <v>133</v>
      </c>
    </row>
    <row r="392" spans="1:25">
      <c r="A392" s="58">
        <v>392</v>
      </c>
      <c r="B392" s="58">
        <v>392</v>
      </c>
      <c r="C392" s="58" t="s">
        <v>808</v>
      </c>
      <c r="D392" s="58" t="s">
        <v>197</v>
      </c>
      <c r="E392" s="58" t="s">
        <v>197</v>
      </c>
      <c r="F392" s="58" t="s">
        <v>296</v>
      </c>
      <c r="G392" s="58" t="s">
        <v>297</v>
      </c>
      <c r="H392" s="58" t="s">
        <v>179</v>
      </c>
      <c r="I392">
        <v>38000</v>
      </c>
      <c r="J392">
        <v>38000</v>
      </c>
      <c r="K392" s="58" t="s">
        <v>185</v>
      </c>
      <c r="L392" s="74">
        <v>5.6680000000000001</v>
      </c>
      <c r="M392" s="85">
        <v>6</v>
      </c>
      <c r="N392" s="74">
        <v>0.09</v>
      </c>
      <c r="O392">
        <v>2</v>
      </c>
      <c r="P392" s="84">
        <v>0.09</v>
      </c>
      <c r="Q392" s="86">
        <v>4.2</v>
      </c>
      <c r="R392" s="85">
        <v>4.2</v>
      </c>
      <c r="S392" s="87">
        <v>769410</v>
      </c>
      <c r="T392" s="1">
        <v>4</v>
      </c>
      <c r="U392" s="88">
        <v>183192.85714285713</v>
      </c>
      <c r="V392" s="59">
        <v>5.4587281163488903</v>
      </c>
      <c r="X392" s="98">
        <v>4.2</v>
      </c>
      <c r="Y392" s="97">
        <v>199.92380952380952</v>
      </c>
    </row>
    <row r="393" spans="1:25">
      <c r="A393" s="58">
        <v>393</v>
      </c>
      <c r="B393" s="58">
        <v>393</v>
      </c>
      <c r="C393" s="58" t="s">
        <v>809</v>
      </c>
      <c r="D393" s="58" t="s">
        <v>197</v>
      </c>
      <c r="E393" s="58" t="s">
        <v>197</v>
      </c>
      <c r="F393" s="58" t="s">
        <v>296</v>
      </c>
      <c r="G393" s="58" t="s">
        <v>297</v>
      </c>
      <c r="H393" s="58" t="s">
        <v>179</v>
      </c>
      <c r="I393">
        <v>38000</v>
      </c>
      <c r="J393">
        <v>38000</v>
      </c>
      <c r="K393" s="58" t="s">
        <v>185</v>
      </c>
      <c r="L393" s="74">
        <v>5.3849999999999998</v>
      </c>
      <c r="M393" s="85">
        <v>6</v>
      </c>
      <c r="N393" s="74">
        <v>0.192</v>
      </c>
      <c r="O393">
        <v>2</v>
      </c>
      <c r="P393" s="84">
        <v>0.192</v>
      </c>
      <c r="Q393" s="86">
        <v>4.2</v>
      </c>
      <c r="R393" s="85">
        <v>4.2</v>
      </c>
      <c r="S393" s="87">
        <v>769410</v>
      </c>
      <c r="T393" s="1">
        <v>4</v>
      </c>
      <c r="U393" s="88">
        <v>183192.85714285713</v>
      </c>
      <c r="V393" s="59">
        <v>5.4587281163488903</v>
      </c>
      <c r="X393" s="98">
        <v>4.2</v>
      </c>
      <c r="Y393" s="97">
        <v>183.19285714285712</v>
      </c>
    </row>
    <row r="394" spans="1:25">
      <c r="A394" s="58">
        <v>394</v>
      </c>
      <c r="B394" s="58">
        <v>394</v>
      </c>
      <c r="C394" s="58" t="s">
        <v>810</v>
      </c>
      <c r="D394" s="58" t="s">
        <v>234</v>
      </c>
      <c r="E394" s="58" t="s">
        <v>234</v>
      </c>
      <c r="F394" s="58" t="s">
        <v>326</v>
      </c>
      <c r="G394" s="58" t="s">
        <v>327</v>
      </c>
      <c r="H394" s="58" t="s">
        <v>199</v>
      </c>
      <c r="I394">
        <v>110000</v>
      </c>
      <c r="J394">
        <v>110000</v>
      </c>
      <c r="K394">
        <v>38000</v>
      </c>
      <c r="L394" s="74">
        <v>3.407</v>
      </c>
      <c r="M394" s="85">
        <v>4</v>
      </c>
      <c r="N394" s="74">
        <v>0.14299999999999999</v>
      </c>
      <c r="O394">
        <v>2</v>
      </c>
      <c r="P394" s="84">
        <v>0.14299999999999999</v>
      </c>
      <c r="Q394" s="86">
        <v>4.2</v>
      </c>
      <c r="R394" s="85">
        <v>4.2</v>
      </c>
      <c r="S394" s="87">
        <v>1627270</v>
      </c>
      <c r="T394" s="1">
        <v>7</v>
      </c>
      <c r="U394" s="88">
        <v>387445.23809523811</v>
      </c>
      <c r="V394" s="59">
        <v>2.5810099123071155</v>
      </c>
      <c r="X394" s="98">
        <v>4.2</v>
      </c>
      <c r="Y394" s="97">
        <v>183.19285714285712</v>
      </c>
    </row>
    <row r="395" spans="1:25">
      <c r="A395" s="58">
        <v>395</v>
      </c>
      <c r="B395" s="58">
        <v>395</v>
      </c>
      <c r="C395" s="58" t="s">
        <v>811</v>
      </c>
      <c r="D395" s="58" t="s">
        <v>234</v>
      </c>
      <c r="E395" s="58" t="s">
        <v>234</v>
      </c>
      <c r="F395" s="58" t="s">
        <v>235</v>
      </c>
      <c r="G395" s="58" t="s">
        <v>236</v>
      </c>
      <c r="H395" s="58" t="s">
        <v>179</v>
      </c>
      <c r="I395">
        <v>38000</v>
      </c>
      <c r="J395">
        <v>38000</v>
      </c>
      <c r="K395">
        <v>20000</v>
      </c>
      <c r="L395" s="74">
        <v>12.305</v>
      </c>
      <c r="M395" s="85">
        <v>13</v>
      </c>
      <c r="N395" s="74">
        <v>0.114</v>
      </c>
      <c r="O395">
        <v>2</v>
      </c>
      <c r="P395" s="84">
        <v>0.114</v>
      </c>
      <c r="Q395" s="86">
        <v>4.2</v>
      </c>
      <c r="R395" s="85">
        <v>4.2</v>
      </c>
      <c r="S395" s="87">
        <v>1545240</v>
      </c>
      <c r="T395" s="1">
        <v>1</v>
      </c>
      <c r="U395" s="88">
        <v>367914.28571428568</v>
      </c>
      <c r="V395" s="59">
        <v>2.7180243845616214</v>
      </c>
      <c r="X395" s="98">
        <v>4.2</v>
      </c>
      <c r="Y395" s="97">
        <v>387.4452380952381</v>
      </c>
    </row>
    <row r="396" spans="1:25">
      <c r="A396" s="58">
        <v>396</v>
      </c>
      <c r="B396" s="58">
        <v>396</v>
      </c>
      <c r="C396" s="58" t="s">
        <v>812</v>
      </c>
      <c r="D396" s="58" t="s">
        <v>234</v>
      </c>
      <c r="E396" s="58" t="s">
        <v>234</v>
      </c>
      <c r="F396" s="58" t="s">
        <v>235</v>
      </c>
      <c r="G396" s="58" t="s">
        <v>236</v>
      </c>
      <c r="H396" s="58" t="s">
        <v>179</v>
      </c>
      <c r="I396">
        <v>38000</v>
      </c>
      <c r="J396">
        <v>38000</v>
      </c>
      <c r="K396">
        <v>20000</v>
      </c>
      <c r="L396" s="74">
        <v>6.6239999999999997</v>
      </c>
      <c r="M396" s="85">
        <v>7</v>
      </c>
      <c r="N396" s="74">
        <v>0.09</v>
      </c>
      <c r="O396">
        <v>2</v>
      </c>
      <c r="P396" s="84">
        <v>0.09</v>
      </c>
      <c r="Q396" s="86">
        <v>4.2</v>
      </c>
      <c r="R396" s="85">
        <v>4.2</v>
      </c>
      <c r="S396" s="87">
        <v>839680</v>
      </c>
      <c r="T396" s="1">
        <v>4</v>
      </c>
      <c r="U396" s="88">
        <v>199923.80952380953</v>
      </c>
      <c r="V396" s="59">
        <v>5.0019054878048781</v>
      </c>
      <c r="X396" s="98">
        <v>4.2</v>
      </c>
      <c r="Y396" s="97">
        <v>367.91428571428571</v>
      </c>
    </row>
    <row r="397" spans="1:25">
      <c r="A397" s="58">
        <v>397</v>
      </c>
      <c r="B397" s="58">
        <v>397</v>
      </c>
      <c r="C397" s="58" t="s">
        <v>813</v>
      </c>
      <c r="D397" s="58" t="s">
        <v>234</v>
      </c>
      <c r="E397" s="58" t="s">
        <v>234</v>
      </c>
      <c r="F397" s="58" t="s">
        <v>630</v>
      </c>
      <c r="G397" s="58" t="s">
        <v>631</v>
      </c>
      <c r="H397" s="58" t="s">
        <v>179</v>
      </c>
      <c r="I397">
        <v>38000</v>
      </c>
      <c r="J397" s="58" t="s">
        <v>185</v>
      </c>
      <c r="K397">
        <v>38000</v>
      </c>
      <c r="L397" s="74">
        <v>7.282</v>
      </c>
      <c r="M397" s="85">
        <v>8</v>
      </c>
      <c r="N397" s="74">
        <v>0.14399999999999999</v>
      </c>
      <c r="O397">
        <v>2</v>
      </c>
      <c r="P397" s="84">
        <v>0.14399999999999999</v>
      </c>
      <c r="Q397" s="86">
        <v>4.2</v>
      </c>
      <c r="R397" s="85">
        <v>4.2</v>
      </c>
      <c r="S397" s="87">
        <v>909950</v>
      </c>
      <c r="T397" s="1">
        <v>4</v>
      </c>
      <c r="U397" s="88">
        <v>216654.76190476189</v>
      </c>
      <c r="V397" s="59">
        <v>4.6156382218803227</v>
      </c>
      <c r="X397" s="98">
        <v>4.2</v>
      </c>
      <c r="Y397" s="97">
        <v>199.92380952380952</v>
      </c>
    </row>
    <row r="398" spans="1:25">
      <c r="A398" s="58">
        <v>398</v>
      </c>
      <c r="B398" s="58">
        <v>398</v>
      </c>
      <c r="C398" s="58" t="s">
        <v>814</v>
      </c>
      <c r="D398" s="58" t="s">
        <v>234</v>
      </c>
      <c r="E398" s="58" t="s">
        <v>234</v>
      </c>
      <c r="F398" s="58" t="s">
        <v>329</v>
      </c>
      <c r="G398" s="58" t="s">
        <v>330</v>
      </c>
      <c r="H398" s="58" t="s">
        <v>179</v>
      </c>
      <c r="I398">
        <v>38000</v>
      </c>
      <c r="J398">
        <v>38000</v>
      </c>
      <c r="K398" s="58" t="s">
        <v>185</v>
      </c>
      <c r="L398" s="74">
        <v>17.352</v>
      </c>
      <c r="M398" s="85">
        <v>18</v>
      </c>
      <c r="N398" s="74">
        <v>9.6000000000000002E-2</v>
      </c>
      <c r="O398">
        <v>2</v>
      </c>
      <c r="P398" s="84">
        <v>9.6000000000000002E-2</v>
      </c>
      <c r="Q398" s="86">
        <v>4.2</v>
      </c>
      <c r="R398" s="85">
        <v>4.2</v>
      </c>
      <c r="S398" s="87">
        <v>1808740</v>
      </c>
      <c r="T398" s="1">
        <v>1</v>
      </c>
      <c r="U398" s="88">
        <v>430652.38095238095</v>
      </c>
      <c r="V398" s="59">
        <v>2.3220584495284009</v>
      </c>
      <c r="X398" s="98">
        <v>4.2</v>
      </c>
      <c r="Y398" s="97">
        <v>216.6547619047619</v>
      </c>
    </row>
    <row r="399" spans="1:25">
      <c r="A399" s="58">
        <v>399</v>
      </c>
      <c r="B399" s="58">
        <v>399</v>
      </c>
      <c r="C399" s="58" t="s">
        <v>815</v>
      </c>
      <c r="D399" s="58" t="s">
        <v>234</v>
      </c>
      <c r="E399" s="58" t="s">
        <v>234</v>
      </c>
      <c r="F399" s="58" t="s">
        <v>326</v>
      </c>
      <c r="G399" s="58" t="s">
        <v>327</v>
      </c>
      <c r="H399" s="58" t="s">
        <v>199</v>
      </c>
      <c r="I399">
        <v>110000</v>
      </c>
      <c r="J399">
        <v>110000</v>
      </c>
      <c r="K399">
        <v>38000</v>
      </c>
      <c r="L399" s="74">
        <v>21.42</v>
      </c>
      <c r="M399" s="85">
        <v>22</v>
      </c>
      <c r="N399" s="74">
        <v>9.9000000000000005E-2</v>
      </c>
      <c r="O399">
        <v>2</v>
      </c>
      <c r="P399" s="84">
        <v>9.9000000000000005E-2</v>
      </c>
      <c r="Q399" s="86">
        <v>4.2</v>
      </c>
      <c r="R399" s="85">
        <v>4.2</v>
      </c>
      <c r="S399" s="87">
        <v>2575870</v>
      </c>
      <c r="T399" s="1">
        <v>7</v>
      </c>
      <c r="U399" s="88">
        <v>613302.38095238095</v>
      </c>
      <c r="V399" s="59">
        <v>1.6305170680197369</v>
      </c>
      <c r="X399" s="98">
        <v>4.2</v>
      </c>
      <c r="Y399" s="97">
        <v>430.65238095238095</v>
      </c>
    </row>
    <row r="400" spans="1:25">
      <c r="A400" s="58">
        <v>400</v>
      </c>
      <c r="B400" s="58">
        <v>400</v>
      </c>
      <c r="C400" s="58" t="s">
        <v>816</v>
      </c>
      <c r="D400" s="58" t="s">
        <v>234</v>
      </c>
      <c r="E400" s="58" t="s">
        <v>234</v>
      </c>
      <c r="F400" s="58" t="s">
        <v>329</v>
      </c>
      <c r="G400" s="58" t="s">
        <v>330</v>
      </c>
      <c r="H400" s="58" t="s">
        <v>179</v>
      </c>
      <c r="I400">
        <v>38000</v>
      </c>
      <c r="J400">
        <v>38000</v>
      </c>
      <c r="K400" s="58" t="s">
        <v>185</v>
      </c>
      <c r="L400" s="74">
        <v>7.4240000000000004</v>
      </c>
      <c r="M400" s="85">
        <v>8</v>
      </c>
      <c r="N400" s="74">
        <v>9.4E-2</v>
      </c>
      <c r="O400">
        <v>2</v>
      </c>
      <c r="P400" s="84">
        <v>9.4E-2</v>
      </c>
      <c r="Q400" s="86">
        <v>4.2</v>
      </c>
      <c r="R400" s="85">
        <v>4.2</v>
      </c>
      <c r="S400" s="87">
        <v>909950</v>
      </c>
      <c r="T400" s="1">
        <v>4</v>
      </c>
      <c r="U400" s="88">
        <v>216654.76190476189</v>
      </c>
      <c r="V400" s="59">
        <v>4.6156382218803227</v>
      </c>
      <c r="X400" s="98">
        <v>4.2</v>
      </c>
      <c r="Y400" s="97">
        <v>613.30238095238099</v>
      </c>
    </row>
    <row r="401" spans="1:25">
      <c r="A401" s="58">
        <v>401</v>
      </c>
      <c r="B401" s="58">
        <v>401</v>
      </c>
      <c r="C401" s="58" t="s">
        <v>817</v>
      </c>
      <c r="D401" s="58" t="s">
        <v>346</v>
      </c>
      <c r="E401" s="58" t="s">
        <v>346</v>
      </c>
      <c r="F401" s="58" t="s">
        <v>347</v>
      </c>
      <c r="G401" s="58" t="s">
        <v>348</v>
      </c>
      <c r="H401" s="58" t="s">
        <v>199</v>
      </c>
      <c r="I401">
        <v>110000</v>
      </c>
      <c r="J401">
        <v>110000</v>
      </c>
      <c r="K401" s="58" t="s">
        <v>200</v>
      </c>
      <c r="L401" s="74">
        <v>8.3149999999999995</v>
      </c>
      <c r="M401" s="85">
        <v>9</v>
      </c>
      <c r="N401" s="74">
        <v>0.10100000000000001</v>
      </c>
      <c r="O401">
        <v>2</v>
      </c>
      <c r="P401" s="84">
        <v>0.10100000000000001</v>
      </c>
      <c r="Q401" s="86">
        <v>4.2</v>
      </c>
      <c r="R401" s="85">
        <v>4.2</v>
      </c>
      <c r="S401" s="87">
        <v>1890770</v>
      </c>
      <c r="T401" s="1">
        <v>7</v>
      </c>
      <c r="U401" s="88">
        <v>450183.33333333331</v>
      </c>
      <c r="V401" s="59">
        <v>2.2213172411239865</v>
      </c>
      <c r="X401" s="98">
        <v>4.2</v>
      </c>
      <c r="Y401" s="97">
        <v>216.6547619047619</v>
      </c>
    </row>
    <row r="402" spans="1:25">
      <c r="A402" s="58">
        <v>402</v>
      </c>
      <c r="B402" s="58">
        <v>402</v>
      </c>
      <c r="C402" s="58" t="s">
        <v>818</v>
      </c>
      <c r="D402" s="58" t="s">
        <v>346</v>
      </c>
      <c r="E402" s="58" t="s">
        <v>346</v>
      </c>
      <c r="F402" s="58" t="s">
        <v>352</v>
      </c>
      <c r="G402" s="58" t="s">
        <v>353</v>
      </c>
      <c r="H402" s="58" t="s">
        <v>179</v>
      </c>
      <c r="I402">
        <v>38000</v>
      </c>
      <c r="J402">
        <v>38000</v>
      </c>
      <c r="K402">
        <v>10000</v>
      </c>
      <c r="L402" s="74">
        <v>9.4870000000000001</v>
      </c>
      <c r="M402" s="85">
        <v>10</v>
      </c>
      <c r="N402" s="74">
        <v>0.16500000000000001</v>
      </c>
      <c r="O402">
        <v>2</v>
      </c>
      <c r="P402" s="84">
        <v>0.16500000000000001</v>
      </c>
      <c r="Q402" s="86">
        <v>4.2</v>
      </c>
      <c r="R402" s="85">
        <v>4.2</v>
      </c>
      <c r="S402" s="87">
        <v>1387140</v>
      </c>
      <c r="T402" s="1">
        <v>1</v>
      </c>
      <c r="U402" s="88">
        <v>330271.42857142858</v>
      </c>
      <c r="V402" s="59">
        <v>3.0278126216531858</v>
      </c>
      <c r="X402" s="98">
        <v>4.2</v>
      </c>
      <c r="Y402" s="97">
        <v>450.18333333333334</v>
      </c>
    </row>
    <row r="403" spans="1:25">
      <c r="A403" s="58">
        <v>403</v>
      </c>
      <c r="B403" s="58">
        <v>403</v>
      </c>
      <c r="C403" s="58" t="s">
        <v>819</v>
      </c>
      <c r="D403" s="58" t="s">
        <v>187</v>
      </c>
      <c r="E403" s="58" t="s">
        <v>187</v>
      </c>
      <c r="F403" s="58" t="s">
        <v>820</v>
      </c>
      <c r="G403" s="58" t="s">
        <v>821</v>
      </c>
      <c r="H403" s="58" t="s">
        <v>179</v>
      </c>
      <c r="I403">
        <v>38000</v>
      </c>
      <c r="J403">
        <v>20000</v>
      </c>
      <c r="K403">
        <v>38000</v>
      </c>
      <c r="L403" s="74">
        <v>6.0880000000000001</v>
      </c>
      <c r="M403" s="85">
        <v>7</v>
      </c>
      <c r="N403" s="74">
        <v>0.14399999999999999</v>
      </c>
      <c r="O403">
        <v>2</v>
      </c>
      <c r="P403" s="84">
        <v>0.14399999999999999</v>
      </c>
      <c r="Q403" s="86">
        <v>4.2</v>
      </c>
      <c r="R403" s="85">
        <v>4.2</v>
      </c>
      <c r="S403" s="87">
        <v>839680</v>
      </c>
      <c r="T403" s="1">
        <v>4</v>
      </c>
      <c r="U403" s="88">
        <v>199923.80952380953</v>
      </c>
      <c r="V403" s="59">
        <v>5.0019054878048781</v>
      </c>
      <c r="X403" s="98">
        <v>4.2</v>
      </c>
      <c r="Y403" s="97">
        <v>330.2714285714286</v>
      </c>
    </row>
    <row r="404" spans="1:25">
      <c r="A404" s="58">
        <v>404</v>
      </c>
      <c r="B404" s="58">
        <v>404</v>
      </c>
      <c r="C404" s="58" t="s">
        <v>822</v>
      </c>
      <c r="D404" s="58" t="s">
        <v>187</v>
      </c>
      <c r="E404" s="58" t="s">
        <v>187</v>
      </c>
      <c r="F404" s="58" t="s">
        <v>823</v>
      </c>
      <c r="G404" s="58" t="s">
        <v>824</v>
      </c>
      <c r="H404" s="58" t="s">
        <v>179</v>
      </c>
      <c r="I404">
        <v>38000</v>
      </c>
      <c r="J404" s="58" t="s">
        <v>185</v>
      </c>
      <c r="K404">
        <v>38000</v>
      </c>
      <c r="L404" s="74">
        <v>1.1879999999999999</v>
      </c>
      <c r="M404" s="85">
        <v>2</v>
      </c>
      <c r="N404" s="74">
        <v>0.16900000000000001</v>
      </c>
      <c r="O404">
        <v>2</v>
      </c>
      <c r="P404" s="84">
        <v>0.16900000000000001</v>
      </c>
      <c r="Q404" s="86">
        <v>4.2</v>
      </c>
      <c r="R404" s="85">
        <v>4.2</v>
      </c>
      <c r="S404" s="87">
        <v>488330</v>
      </c>
      <c r="T404" s="1">
        <v>4</v>
      </c>
      <c r="U404" s="88">
        <v>116269.04761904762</v>
      </c>
      <c r="V404" s="59">
        <v>8.6007413019884087</v>
      </c>
      <c r="X404" s="98">
        <v>4.2</v>
      </c>
      <c r="Y404" s="97">
        <v>199.92380952380952</v>
      </c>
    </row>
    <row r="405" spans="1:25">
      <c r="A405" s="58">
        <v>405</v>
      </c>
      <c r="B405" s="58">
        <v>405</v>
      </c>
      <c r="C405" s="58" t="s">
        <v>825</v>
      </c>
      <c r="D405" s="58" t="s">
        <v>187</v>
      </c>
      <c r="E405" s="58" t="s">
        <v>187</v>
      </c>
      <c r="F405" s="58" t="s">
        <v>365</v>
      </c>
      <c r="G405" s="58" t="s">
        <v>366</v>
      </c>
      <c r="H405" s="58" t="s">
        <v>179</v>
      </c>
      <c r="I405">
        <v>38000</v>
      </c>
      <c r="J405">
        <v>38000</v>
      </c>
      <c r="K405">
        <v>10000</v>
      </c>
      <c r="L405" s="74">
        <v>4.8840000000000003</v>
      </c>
      <c r="M405" s="85">
        <v>5</v>
      </c>
      <c r="N405" s="74">
        <v>9.4E-2</v>
      </c>
      <c r="O405">
        <v>2</v>
      </c>
      <c r="P405" s="84">
        <v>9.4E-2</v>
      </c>
      <c r="Q405" s="86">
        <v>4.2</v>
      </c>
      <c r="R405" s="85">
        <v>4.2</v>
      </c>
      <c r="S405" s="87">
        <v>699140</v>
      </c>
      <c r="T405" s="1">
        <v>4</v>
      </c>
      <c r="U405" s="88">
        <v>166461.90476190476</v>
      </c>
      <c r="V405" s="59">
        <v>6.0073804960379897</v>
      </c>
      <c r="X405" s="98">
        <v>4.2</v>
      </c>
      <c r="Y405" s="97">
        <v>116.26904761904763</v>
      </c>
    </row>
    <row r="406" spans="1:25">
      <c r="A406" s="58">
        <v>406</v>
      </c>
      <c r="B406" s="58">
        <v>406</v>
      </c>
      <c r="C406" s="58" t="s">
        <v>826</v>
      </c>
      <c r="D406" s="58" t="s">
        <v>187</v>
      </c>
      <c r="E406" s="58" t="s">
        <v>187</v>
      </c>
      <c r="F406" s="58" t="s">
        <v>677</v>
      </c>
      <c r="G406" s="58" t="s">
        <v>678</v>
      </c>
      <c r="H406" s="58" t="s">
        <v>179</v>
      </c>
      <c r="I406">
        <v>38000</v>
      </c>
      <c r="J406" s="58" t="s">
        <v>185</v>
      </c>
      <c r="K406">
        <v>38000</v>
      </c>
      <c r="L406" s="74">
        <v>4.6340000000000003</v>
      </c>
      <c r="M406" s="85">
        <v>5</v>
      </c>
      <c r="N406" s="74">
        <v>0.129</v>
      </c>
      <c r="O406">
        <v>2</v>
      </c>
      <c r="P406" s="84">
        <v>0.129</v>
      </c>
      <c r="Q406" s="86">
        <v>4.2</v>
      </c>
      <c r="R406" s="85">
        <v>4.2</v>
      </c>
      <c r="S406" s="87">
        <v>699140</v>
      </c>
      <c r="T406" s="1">
        <v>4</v>
      </c>
      <c r="U406" s="88">
        <v>166461.90476190476</v>
      </c>
      <c r="V406" s="59">
        <v>6.0073804960379897</v>
      </c>
      <c r="X406" s="98">
        <v>4.2</v>
      </c>
      <c r="Y406" s="97">
        <v>166.46190476190475</v>
      </c>
    </row>
    <row r="407" spans="1:25">
      <c r="A407" s="58">
        <v>407</v>
      </c>
      <c r="B407" s="58">
        <v>407</v>
      </c>
      <c r="C407" s="58" t="s">
        <v>827</v>
      </c>
      <c r="D407" s="58" t="s">
        <v>187</v>
      </c>
      <c r="E407" s="58" t="s">
        <v>187</v>
      </c>
      <c r="F407" s="58" t="s">
        <v>377</v>
      </c>
      <c r="H407" s="58" t="s">
        <v>179</v>
      </c>
      <c r="I407">
        <v>38000</v>
      </c>
      <c r="L407" s="74">
        <v>5.5869999999999997</v>
      </c>
      <c r="M407" s="85">
        <v>6</v>
      </c>
      <c r="N407" s="74">
        <v>0.12</v>
      </c>
      <c r="O407">
        <v>2</v>
      </c>
      <c r="P407" s="84">
        <v>0.12</v>
      </c>
      <c r="Q407" s="86">
        <v>4.2</v>
      </c>
      <c r="R407" s="85">
        <v>4.2</v>
      </c>
      <c r="S407" s="87">
        <v>769410</v>
      </c>
      <c r="T407" s="1">
        <v>4</v>
      </c>
      <c r="U407" s="88">
        <v>183192.85714285713</v>
      </c>
      <c r="V407" s="59">
        <v>5.4587281163488903</v>
      </c>
      <c r="X407" s="98">
        <v>4.2</v>
      </c>
      <c r="Y407" s="97">
        <v>166.46190476190475</v>
      </c>
    </row>
    <row r="408" spans="1:25">
      <c r="A408" s="58">
        <v>408</v>
      </c>
      <c r="B408" s="58">
        <v>408</v>
      </c>
      <c r="C408" s="58" t="s">
        <v>828</v>
      </c>
      <c r="D408" s="58" t="s">
        <v>187</v>
      </c>
      <c r="E408" s="58" t="s">
        <v>187</v>
      </c>
      <c r="F408" s="58" t="s">
        <v>415</v>
      </c>
      <c r="G408" s="58" t="s">
        <v>416</v>
      </c>
      <c r="H408" s="58" t="s">
        <v>179</v>
      </c>
      <c r="I408">
        <v>38000</v>
      </c>
      <c r="J408">
        <v>38000</v>
      </c>
      <c r="K408" s="58" t="s">
        <v>185</v>
      </c>
      <c r="L408" s="74">
        <v>3.2869999999999999</v>
      </c>
      <c r="M408" s="85">
        <v>4</v>
      </c>
      <c r="N408" s="74">
        <v>0.33600000000000002</v>
      </c>
      <c r="O408">
        <v>2</v>
      </c>
      <c r="P408" s="84">
        <v>0.33600000000000002</v>
      </c>
      <c r="Q408" s="86">
        <v>4.2</v>
      </c>
      <c r="R408" s="85">
        <v>4.2</v>
      </c>
      <c r="S408" s="87">
        <v>628870</v>
      </c>
      <c r="T408" s="1">
        <v>4</v>
      </c>
      <c r="U408" s="88">
        <v>149730.95238095237</v>
      </c>
      <c r="V408" s="59">
        <v>6.6786458250512828</v>
      </c>
      <c r="X408" s="98">
        <v>4.2</v>
      </c>
      <c r="Y408" s="97">
        <v>183.19285714285712</v>
      </c>
    </row>
    <row r="409" spans="1:25">
      <c r="A409" s="58">
        <v>409</v>
      </c>
      <c r="B409" s="58">
        <v>409</v>
      </c>
      <c r="C409" s="58" t="s">
        <v>829</v>
      </c>
      <c r="D409" s="58" t="s">
        <v>234</v>
      </c>
      <c r="E409" s="58" t="s">
        <v>234</v>
      </c>
      <c r="F409" s="58" t="s">
        <v>326</v>
      </c>
      <c r="G409" s="58" t="s">
        <v>327</v>
      </c>
      <c r="H409" s="58" t="s">
        <v>199</v>
      </c>
      <c r="I409">
        <v>110000</v>
      </c>
      <c r="J409">
        <v>110000</v>
      </c>
      <c r="K409">
        <v>38000</v>
      </c>
      <c r="L409" s="74">
        <v>4.9450000000000003</v>
      </c>
      <c r="M409" s="85">
        <v>5</v>
      </c>
      <c r="N409" s="74">
        <v>0.105</v>
      </c>
      <c r="O409">
        <v>2</v>
      </c>
      <c r="P409" s="84">
        <v>0.105</v>
      </c>
      <c r="Q409" s="86">
        <v>4.2</v>
      </c>
      <c r="R409" s="85">
        <v>4.2</v>
      </c>
      <c r="S409" s="87">
        <v>1679970</v>
      </c>
      <c r="T409" s="1">
        <v>7</v>
      </c>
      <c r="U409" s="88">
        <v>399992.8571428571</v>
      </c>
      <c r="V409" s="59">
        <v>2.5000446436543511</v>
      </c>
      <c r="X409" s="98">
        <v>4.2</v>
      </c>
      <c r="Y409" s="97">
        <v>149.73095238095235</v>
      </c>
    </row>
    <row r="410" spans="1:25">
      <c r="A410" s="58">
        <v>410</v>
      </c>
      <c r="B410" s="58">
        <v>410</v>
      </c>
      <c r="C410" s="58" t="s">
        <v>830</v>
      </c>
      <c r="D410" s="58" t="s">
        <v>234</v>
      </c>
      <c r="E410" s="58" t="s">
        <v>234</v>
      </c>
      <c r="F410" s="58" t="s">
        <v>831</v>
      </c>
      <c r="H410" s="58" t="s">
        <v>179</v>
      </c>
      <c r="I410">
        <v>38000</v>
      </c>
      <c r="J410" s="58" t="s">
        <v>185</v>
      </c>
      <c r="K410">
        <v>38000</v>
      </c>
      <c r="L410" s="74">
        <v>1.4550000000000001</v>
      </c>
      <c r="M410" s="85">
        <v>2</v>
      </c>
      <c r="N410" s="74">
        <v>0.10100000000000001</v>
      </c>
      <c r="O410">
        <v>2</v>
      </c>
      <c r="P410" s="84">
        <v>0.10100000000000001</v>
      </c>
      <c r="Q410" s="86">
        <v>4.2</v>
      </c>
      <c r="R410" s="85">
        <v>4.2</v>
      </c>
      <c r="S410" s="87">
        <v>488330</v>
      </c>
      <c r="T410" s="1">
        <v>4</v>
      </c>
      <c r="U410" s="88">
        <v>116269.04761904762</v>
      </c>
      <c r="V410" s="59">
        <v>8.6007413019884087</v>
      </c>
      <c r="X410" s="98">
        <v>4.2</v>
      </c>
      <c r="Y410" s="97">
        <v>399.99285714285708</v>
      </c>
    </row>
    <row r="411" spans="1:25">
      <c r="A411" s="58">
        <v>411</v>
      </c>
      <c r="B411" s="58">
        <v>411</v>
      </c>
      <c r="C411" s="58" t="s">
        <v>832</v>
      </c>
      <c r="D411" s="58" t="s">
        <v>380</v>
      </c>
      <c r="E411" s="58" t="s">
        <v>380</v>
      </c>
      <c r="F411" s="58" t="s">
        <v>386</v>
      </c>
      <c r="G411" s="58" t="s">
        <v>387</v>
      </c>
      <c r="H411" s="58" t="s">
        <v>179</v>
      </c>
      <c r="I411">
        <v>38000</v>
      </c>
      <c r="J411">
        <v>38000</v>
      </c>
      <c r="K411">
        <v>20000</v>
      </c>
      <c r="L411" s="74">
        <v>6.3860000000000001</v>
      </c>
      <c r="M411" s="85">
        <v>7</v>
      </c>
      <c r="N411" s="74">
        <v>9.9000000000000005E-2</v>
      </c>
      <c r="O411">
        <v>2</v>
      </c>
      <c r="P411" s="84">
        <v>9.9000000000000005E-2</v>
      </c>
      <c r="Q411" s="86">
        <v>4.2</v>
      </c>
      <c r="R411" s="85">
        <v>4.2</v>
      </c>
      <c r="S411" s="87">
        <v>839680</v>
      </c>
      <c r="T411" s="1">
        <v>4</v>
      </c>
      <c r="U411" s="88">
        <v>199923.80952380953</v>
      </c>
      <c r="V411" s="59">
        <v>5.0019054878048781</v>
      </c>
      <c r="X411" s="98">
        <v>4.2</v>
      </c>
      <c r="Y411" s="97">
        <v>116.26904761904763</v>
      </c>
    </row>
    <row r="412" spans="1:25">
      <c r="A412" s="58">
        <v>412</v>
      </c>
      <c r="B412" s="58">
        <v>412</v>
      </c>
      <c r="C412" s="58" t="s">
        <v>833</v>
      </c>
      <c r="D412" s="58" t="s">
        <v>207</v>
      </c>
      <c r="E412" s="58" t="s">
        <v>207</v>
      </c>
      <c r="F412" s="58" t="s">
        <v>698</v>
      </c>
      <c r="G412" s="58" t="s">
        <v>699</v>
      </c>
      <c r="H412" s="58" t="s">
        <v>199</v>
      </c>
      <c r="I412">
        <v>110000</v>
      </c>
      <c r="J412" s="58" t="s">
        <v>185</v>
      </c>
      <c r="K412">
        <v>110000</v>
      </c>
      <c r="L412" s="74">
        <v>10.122</v>
      </c>
      <c r="M412" s="85">
        <v>11</v>
      </c>
      <c r="N412" s="74">
        <v>9.4E-2</v>
      </c>
      <c r="O412">
        <v>2</v>
      </c>
      <c r="P412" s="84">
        <v>9.4E-2</v>
      </c>
      <c r="Q412" s="86">
        <v>4.2</v>
      </c>
      <c r="R412" s="85">
        <v>4.2</v>
      </c>
      <c r="S412" s="87">
        <v>1996170</v>
      </c>
      <c r="T412" s="1">
        <v>7</v>
      </c>
      <c r="U412" s="88">
        <v>475278.57142857142</v>
      </c>
      <c r="V412" s="59">
        <v>2.1040292159485414</v>
      </c>
      <c r="X412" s="98">
        <v>4.2</v>
      </c>
      <c r="Y412" s="97">
        <v>199.92380952380952</v>
      </c>
    </row>
    <row r="413" spans="1:25">
      <c r="A413" s="58">
        <v>413</v>
      </c>
      <c r="B413" s="58">
        <v>413</v>
      </c>
      <c r="C413" s="58" t="s">
        <v>834</v>
      </c>
      <c r="D413" s="58" t="s">
        <v>207</v>
      </c>
      <c r="E413" s="58" t="s">
        <v>207</v>
      </c>
      <c r="F413" s="58" t="s">
        <v>698</v>
      </c>
      <c r="G413" s="58" t="s">
        <v>699</v>
      </c>
      <c r="H413" s="58" t="s">
        <v>199</v>
      </c>
      <c r="I413">
        <v>110000</v>
      </c>
      <c r="J413" s="58" t="s">
        <v>185</v>
      </c>
      <c r="K413">
        <v>110000</v>
      </c>
      <c r="L413" s="74">
        <v>10.942</v>
      </c>
      <c r="M413" s="85">
        <v>11</v>
      </c>
      <c r="N413" s="74">
        <v>0.13200000000000001</v>
      </c>
      <c r="O413">
        <v>2</v>
      </c>
      <c r="P413" s="84">
        <v>0.13200000000000001</v>
      </c>
      <c r="Q413" s="86">
        <v>4.2</v>
      </c>
      <c r="R413" s="85">
        <v>4.2</v>
      </c>
      <c r="S413" s="87">
        <v>1996170</v>
      </c>
      <c r="T413" s="1">
        <v>7</v>
      </c>
      <c r="U413" s="88">
        <v>475278.57142857142</v>
      </c>
      <c r="V413" s="59">
        <v>2.1040292159485414</v>
      </c>
      <c r="X413" s="98">
        <v>4.2</v>
      </c>
      <c r="Y413" s="97">
        <v>475.27857142857147</v>
      </c>
    </row>
    <row r="414" spans="1:25">
      <c r="A414" s="58">
        <v>414</v>
      </c>
      <c r="B414" s="58">
        <v>414</v>
      </c>
      <c r="C414" s="58" t="s">
        <v>835</v>
      </c>
      <c r="D414" s="58" t="s">
        <v>207</v>
      </c>
      <c r="E414" s="58" t="s">
        <v>207</v>
      </c>
      <c r="F414" s="58" t="s">
        <v>698</v>
      </c>
      <c r="G414" s="58" t="s">
        <v>699</v>
      </c>
      <c r="H414" s="58" t="s">
        <v>199</v>
      </c>
      <c r="I414">
        <v>110000</v>
      </c>
      <c r="J414" s="58" t="s">
        <v>185</v>
      </c>
      <c r="K414">
        <v>110000</v>
      </c>
      <c r="L414" s="74">
        <v>8.5779999999999994</v>
      </c>
      <c r="M414" s="85">
        <v>9</v>
      </c>
      <c r="N414" s="74">
        <v>0.14499999999999999</v>
      </c>
      <c r="O414">
        <v>2</v>
      </c>
      <c r="P414" s="84">
        <v>0.14499999999999999</v>
      </c>
      <c r="Q414" s="86">
        <v>4.2</v>
      </c>
      <c r="R414" s="85">
        <v>4.2</v>
      </c>
      <c r="S414" s="87">
        <v>1890770</v>
      </c>
      <c r="T414" s="1">
        <v>7</v>
      </c>
      <c r="U414" s="88">
        <v>450183.33333333331</v>
      </c>
      <c r="V414" s="59">
        <v>2.2213172411239865</v>
      </c>
      <c r="X414" s="98">
        <v>4.2</v>
      </c>
      <c r="Y414" s="97">
        <v>475.27857142857147</v>
      </c>
    </row>
    <row r="415" spans="1:25">
      <c r="A415" s="58">
        <v>415</v>
      </c>
      <c r="B415" s="58">
        <v>415</v>
      </c>
      <c r="C415" s="58" t="s">
        <v>836</v>
      </c>
      <c r="D415" s="58" t="s">
        <v>202</v>
      </c>
      <c r="E415" s="58" t="s">
        <v>202</v>
      </c>
      <c r="F415" s="58" t="s">
        <v>398</v>
      </c>
      <c r="G415" s="58" t="s">
        <v>399</v>
      </c>
      <c r="H415" s="58" t="s">
        <v>179</v>
      </c>
      <c r="I415">
        <v>38000</v>
      </c>
      <c r="J415">
        <v>38000</v>
      </c>
      <c r="K415">
        <v>10000</v>
      </c>
      <c r="L415" s="74">
        <v>7.02</v>
      </c>
      <c r="M415" s="85">
        <v>8</v>
      </c>
      <c r="N415" s="74">
        <v>0.27200000000000002</v>
      </c>
      <c r="O415">
        <v>2</v>
      </c>
      <c r="P415" s="84">
        <v>0.27200000000000002</v>
      </c>
      <c r="Q415" s="86">
        <v>4.2</v>
      </c>
      <c r="R415" s="85">
        <v>4.2</v>
      </c>
      <c r="S415" s="87">
        <v>909950</v>
      </c>
      <c r="T415" s="1">
        <v>4</v>
      </c>
      <c r="U415" s="88">
        <v>216654.76190476189</v>
      </c>
      <c r="V415" s="59">
        <v>4.6156382218803227</v>
      </c>
      <c r="X415" s="98">
        <v>4.2</v>
      </c>
      <c r="Y415" s="97">
        <v>450.18333333333334</v>
      </c>
    </row>
    <row r="416" spans="1:25">
      <c r="A416" s="58">
        <v>416</v>
      </c>
      <c r="B416" s="58">
        <v>416</v>
      </c>
      <c r="C416" s="58" t="s">
        <v>837</v>
      </c>
      <c r="D416" s="58" t="s">
        <v>207</v>
      </c>
      <c r="E416" s="58" t="s">
        <v>207</v>
      </c>
      <c r="F416" s="58" t="s">
        <v>208</v>
      </c>
      <c r="G416" s="58" t="s">
        <v>209</v>
      </c>
      <c r="H416" s="58" t="s">
        <v>199</v>
      </c>
      <c r="I416">
        <v>110000</v>
      </c>
      <c r="J416">
        <v>110000</v>
      </c>
      <c r="K416">
        <v>38000</v>
      </c>
      <c r="L416" s="74">
        <v>7.03</v>
      </c>
      <c r="M416" s="85">
        <v>8</v>
      </c>
      <c r="N416" s="74">
        <v>0.156</v>
      </c>
      <c r="O416">
        <v>2</v>
      </c>
      <c r="P416" s="84">
        <v>0.156</v>
      </c>
      <c r="Q416" s="86">
        <v>4.2</v>
      </c>
      <c r="R416" s="85">
        <v>4.2</v>
      </c>
      <c r="S416" s="87">
        <v>1838070</v>
      </c>
      <c r="T416" s="1">
        <v>7</v>
      </c>
      <c r="U416" s="88">
        <v>437635.71428571426</v>
      </c>
      <c r="V416" s="59">
        <v>2.2850054676916547</v>
      </c>
      <c r="X416" s="98">
        <v>4.2</v>
      </c>
      <c r="Y416" s="97">
        <v>216.6547619047619</v>
      </c>
    </row>
    <row r="417" spans="1:25">
      <c r="A417" s="58">
        <v>417</v>
      </c>
      <c r="B417" s="58">
        <v>417</v>
      </c>
      <c r="C417" s="58" t="s">
        <v>838</v>
      </c>
      <c r="D417" s="58" t="s">
        <v>207</v>
      </c>
      <c r="E417" s="58" t="s">
        <v>207</v>
      </c>
      <c r="F417" s="58" t="s">
        <v>393</v>
      </c>
      <c r="G417" s="58" t="s">
        <v>394</v>
      </c>
      <c r="H417" s="58" t="s">
        <v>179</v>
      </c>
      <c r="I417">
        <v>38000</v>
      </c>
      <c r="J417">
        <v>38000</v>
      </c>
      <c r="K417" s="58" t="s">
        <v>185</v>
      </c>
      <c r="L417" s="74">
        <v>2.9780000000000002</v>
      </c>
      <c r="M417" s="85">
        <v>3</v>
      </c>
      <c r="N417" s="74">
        <v>0.152</v>
      </c>
      <c r="O417">
        <v>2</v>
      </c>
      <c r="P417" s="84">
        <v>0.152</v>
      </c>
      <c r="Q417" s="86">
        <v>4.2</v>
      </c>
      <c r="R417" s="85">
        <v>4.2</v>
      </c>
      <c r="S417" s="87">
        <v>558600</v>
      </c>
      <c r="T417" s="1">
        <v>4</v>
      </c>
      <c r="U417" s="88">
        <v>133000</v>
      </c>
      <c r="V417" s="59">
        <v>7.518796992481203</v>
      </c>
      <c r="X417" s="98">
        <v>4.2</v>
      </c>
      <c r="Y417" s="97">
        <v>437.63571428571424</v>
      </c>
    </row>
    <row r="418" spans="1:25">
      <c r="A418" s="58">
        <v>418</v>
      </c>
      <c r="B418" s="58">
        <v>418</v>
      </c>
      <c r="C418" s="58" t="s">
        <v>839</v>
      </c>
      <c r="D418" s="58" t="s">
        <v>215</v>
      </c>
      <c r="E418" s="58" t="s">
        <v>215</v>
      </c>
      <c r="F418" s="58" t="s">
        <v>840</v>
      </c>
      <c r="G418" s="58" t="s">
        <v>841</v>
      </c>
      <c r="H418" s="58" t="s">
        <v>199</v>
      </c>
      <c r="I418">
        <v>110000</v>
      </c>
      <c r="J418" s="58" t="s">
        <v>185</v>
      </c>
      <c r="K418">
        <v>110000</v>
      </c>
      <c r="L418" s="74">
        <v>1.5680000000000001</v>
      </c>
      <c r="M418" s="85">
        <v>2</v>
      </c>
      <c r="N418" s="74">
        <v>0.247</v>
      </c>
      <c r="O418">
        <v>2</v>
      </c>
      <c r="P418" s="84">
        <v>0.247</v>
      </c>
      <c r="Q418" s="86">
        <v>4.2</v>
      </c>
      <c r="R418" s="85">
        <v>4.2</v>
      </c>
      <c r="S418" s="87">
        <v>1340080</v>
      </c>
      <c r="T418" s="1">
        <v>11</v>
      </c>
      <c r="U418" s="88">
        <v>319066.66666666663</v>
      </c>
      <c r="V418" s="59">
        <v>3.134141245298788</v>
      </c>
      <c r="X418" s="98">
        <v>4.2</v>
      </c>
      <c r="Y418" s="97">
        <v>133</v>
      </c>
    </row>
    <row r="419" spans="1:25">
      <c r="A419" s="58">
        <v>419</v>
      </c>
      <c r="B419" s="58">
        <v>419</v>
      </c>
      <c r="C419" s="58" t="s">
        <v>842</v>
      </c>
      <c r="D419" s="58" t="s">
        <v>215</v>
      </c>
      <c r="E419" s="58" t="s">
        <v>215</v>
      </c>
      <c r="F419" s="58" t="s">
        <v>719</v>
      </c>
      <c r="G419" s="58" t="s">
        <v>720</v>
      </c>
      <c r="H419" s="58" t="s">
        <v>199</v>
      </c>
      <c r="I419">
        <v>110000</v>
      </c>
      <c r="J419">
        <v>38000</v>
      </c>
      <c r="K419">
        <v>110000</v>
      </c>
      <c r="L419" s="74">
        <v>3.66</v>
      </c>
      <c r="M419" s="85">
        <v>4</v>
      </c>
      <c r="N419" s="74">
        <v>0.13700000000000001</v>
      </c>
      <c r="O419">
        <v>2</v>
      </c>
      <c r="P419" s="84">
        <v>0.13700000000000001</v>
      </c>
      <c r="Q419" s="86">
        <v>4.2</v>
      </c>
      <c r="R419" s="85">
        <v>4.2</v>
      </c>
      <c r="S419" s="87">
        <v>1627270</v>
      </c>
      <c r="T419" s="1">
        <v>7</v>
      </c>
      <c r="U419" s="88">
        <v>387445.23809523811</v>
      </c>
      <c r="V419" s="59">
        <v>2.5810099123071155</v>
      </c>
      <c r="X419" s="98">
        <v>4.2</v>
      </c>
      <c r="Y419" s="97">
        <v>319.06666666666661</v>
      </c>
    </row>
    <row r="420" spans="1:25">
      <c r="A420" s="58">
        <v>420</v>
      </c>
      <c r="B420" s="58">
        <v>420</v>
      </c>
      <c r="C420" s="58" t="s">
        <v>843</v>
      </c>
      <c r="D420" s="58" t="s">
        <v>215</v>
      </c>
      <c r="E420" s="58" t="s">
        <v>215</v>
      </c>
      <c r="F420" s="58" t="s">
        <v>724</v>
      </c>
      <c r="G420" s="58" t="s">
        <v>725</v>
      </c>
      <c r="H420" s="58" t="s">
        <v>179</v>
      </c>
      <c r="I420">
        <v>38000</v>
      </c>
      <c r="J420" s="58" t="s">
        <v>185</v>
      </c>
      <c r="K420">
        <v>38000</v>
      </c>
      <c r="L420" s="74">
        <v>5.7869999999999999</v>
      </c>
      <c r="M420" s="85">
        <v>6</v>
      </c>
      <c r="N420" s="74">
        <v>9.0999999999999998E-2</v>
      </c>
      <c r="O420">
        <v>2</v>
      </c>
      <c r="P420" s="84">
        <v>9.0999999999999998E-2</v>
      </c>
      <c r="Q420" s="86">
        <v>4.2</v>
      </c>
      <c r="R420" s="85">
        <v>4.2</v>
      </c>
      <c r="S420" s="87">
        <v>769410</v>
      </c>
      <c r="T420" s="1">
        <v>4</v>
      </c>
      <c r="U420" s="88">
        <v>183192.85714285713</v>
      </c>
      <c r="V420" s="59">
        <v>5.4587281163488903</v>
      </c>
      <c r="X420" s="98">
        <v>4.2</v>
      </c>
      <c r="Y420" s="97">
        <v>387.4452380952381</v>
      </c>
    </row>
    <row r="421" spans="1:25">
      <c r="A421" s="58">
        <v>421</v>
      </c>
      <c r="B421" s="58">
        <v>421</v>
      </c>
      <c r="C421" s="58" t="s">
        <v>844</v>
      </c>
      <c r="D421" s="58" t="s">
        <v>215</v>
      </c>
      <c r="E421" s="58" t="s">
        <v>215</v>
      </c>
      <c r="F421" s="58" t="s">
        <v>845</v>
      </c>
      <c r="G421" s="58" t="s">
        <v>846</v>
      </c>
      <c r="H421" s="58" t="s">
        <v>199</v>
      </c>
      <c r="I421">
        <v>110000</v>
      </c>
      <c r="L421" s="74">
        <v>3.7309999999999999</v>
      </c>
      <c r="M421" s="85">
        <v>4</v>
      </c>
      <c r="N421" s="74">
        <v>0.13600000000000001</v>
      </c>
      <c r="O421">
        <v>2</v>
      </c>
      <c r="P421" s="84">
        <v>0.13600000000000001</v>
      </c>
      <c r="Q421" s="86">
        <v>4.2</v>
      </c>
      <c r="R421" s="85">
        <v>4.2</v>
      </c>
      <c r="S421" s="87">
        <v>1627270</v>
      </c>
      <c r="T421" s="1">
        <v>7</v>
      </c>
      <c r="U421" s="88">
        <v>387445.23809523811</v>
      </c>
      <c r="V421" s="59">
        <v>2.5810099123071155</v>
      </c>
      <c r="X421" s="98">
        <v>4.2</v>
      </c>
      <c r="Y421" s="97">
        <v>183.19285714285712</v>
      </c>
    </row>
    <row r="422" spans="1:25">
      <c r="A422" s="58">
        <v>422</v>
      </c>
      <c r="B422" s="58">
        <v>422</v>
      </c>
      <c r="C422" s="58" t="s">
        <v>847</v>
      </c>
      <c r="D422" s="58" t="s">
        <v>775</v>
      </c>
      <c r="E422" s="58" t="s">
        <v>775</v>
      </c>
      <c r="F422" s="58" t="s">
        <v>848</v>
      </c>
      <c r="G422" s="58" t="s">
        <v>849</v>
      </c>
      <c r="H422" s="58" t="s">
        <v>179</v>
      </c>
      <c r="I422">
        <v>38000</v>
      </c>
      <c r="J422">
        <v>38000</v>
      </c>
      <c r="K422" s="58" t="s">
        <v>185</v>
      </c>
      <c r="L422" s="74">
        <v>4.6609999999999996</v>
      </c>
      <c r="M422" s="85">
        <v>5</v>
      </c>
      <c r="N422" s="74">
        <v>0.17799999999999999</v>
      </c>
      <c r="O422">
        <v>2</v>
      </c>
      <c r="P422" s="84">
        <v>0.17799999999999999</v>
      </c>
      <c r="Q422" s="86">
        <v>4.2</v>
      </c>
      <c r="R422" s="85">
        <v>4.2</v>
      </c>
      <c r="S422" s="87">
        <v>699140</v>
      </c>
      <c r="T422" s="1">
        <v>4</v>
      </c>
      <c r="U422" s="88">
        <v>166461.90476190476</v>
      </c>
      <c r="V422" s="59">
        <v>6.0073804960379897</v>
      </c>
      <c r="X422" s="98">
        <v>4.2</v>
      </c>
      <c r="Y422" s="97">
        <v>387.4452380952381</v>
      </c>
    </row>
    <row r="423" spans="1:25">
      <c r="A423" s="58">
        <v>423</v>
      </c>
      <c r="B423" s="58">
        <v>423</v>
      </c>
      <c r="C423" s="58" t="s">
        <v>850</v>
      </c>
      <c r="D423" s="58" t="s">
        <v>187</v>
      </c>
      <c r="E423" s="58" t="s">
        <v>187</v>
      </c>
      <c r="F423" s="58" t="s">
        <v>359</v>
      </c>
      <c r="G423" s="58" t="s">
        <v>360</v>
      </c>
      <c r="H423" s="58" t="s">
        <v>179</v>
      </c>
      <c r="I423">
        <v>38000</v>
      </c>
      <c r="J423" s="58" t="s">
        <v>185</v>
      </c>
      <c r="K423">
        <v>38000</v>
      </c>
      <c r="L423" s="74">
        <v>1.3240000000000001</v>
      </c>
      <c r="M423" s="85">
        <v>2</v>
      </c>
      <c r="N423" s="74">
        <v>0.127</v>
      </c>
      <c r="O423">
        <v>2</v>
      </c>
      <c r="P423" s="84">
        <v>0.127</v>
      </c>
      <c r="Q423" s="86">
        <v>4.2</v>
      </c>
      <c r="R423" s="85">
        <v>4.2</v>
      </c>
      <c r="S423" s="87">
        <v>488330</v>
      </c>
      <c r="T423" s="1">
        <v>4</v>
      </c>
      <c r="U423" s="88">
        <v>116269.04761904762</v>
      </c>
      <c r="V423" s="59">
        <v>8.6007413019884087</v>
      </c>
      <c r="X423" s="98">
        <v>4.2</v>
      </c>
      <c r="Y423" s="97">
        <v>166.46190476190475</v>
      </c>
    </row>
    <row r="424" spans="1:25">
      <c r="A424" s="58">
        <v>424</v>
      </c>
      <c r="B424" s="58">
        <v>424</v>
      </c>
      <c r="C424" s="58" t="s">
        <v>851</v>
      </c>
      <c r="D424" s="58" t="s">
        <v>852</v>
      </c>
      <c r="E424" s="58" t="s">
        <v>852</v>
      </c>
      <c r="F424" s="58" t="s">
        <v>853</v>
      </c>
      <c r="G424" s="58" t="s">
        <v>854</v>
      </c>
      <c r="H424" s="58" t="s">
        <v>179</v>
      </c>
      <c r="I424">
        <v>38000</v>
      </c>
      <c r="J424" s="58" t="s">
        <v>185</v>
      </c>
      <c r="K424">
        <v>38000</v>
      </c>
      <c r="L424" s="74">
        <v>1.345</v>
      </c>
      <c r="M424" s="85">
        <v>2</v>
      </c>
      <c r="N424" s="74">
        <v>0.108</v>
      </c>
      <c r="O424">
        <v>2</v>
      </c>
      <c r="P424" s="84">
        <v>0.108</v>
      </c>
      <c r="Q424" s="86">
        <v>4.2</v>
      </c>
      <c r="R424" s="85">
        <v>4.2</v>
      </c>
      <c r="S424" s="87">
        <v>488330</v>
      </c>
      <c r="T424" s="1">
        <v>4</v>
      </c>
      <c r="U424" s="88">
        <v>116269.04761904762</v>
      </c>
      <c r="V424" s="59">
        <v>8.6007413019884087</v>
      </c>
      <c r="X424" s="98">
        <v>4.2</v>
      </c>
      <c r="Y424" s="97">
        <v>116.26904761904763</v>
      </c>
    </row>
    <row r="425" spans="1:25">
      <c r="A425" s="58">
        <v>425</v>
      </c>
      <c r="B425" s="58">
        <v>425</v>
      </c>
      <c r="C425" s="58" t="s">
        <v>855</v>
      </c>
      <c r="D425" s="58" t="s">
        <v>187</v>
      </c>
      <c r="E425" s="58" t="s">
        <v>187</v>
      </c>
      <c r="F425" s="58" t="s">
        <v>752</v>
      </c>
      <c r="G425" s="58" t="s">
        <v>753</v>
      </c>
      <c r="H425" s="58" t="s">
        <v>199</v>
      </c>
      <c r="I425">
        <v>110000</v>
      </c>
      <c r="J425" s="58" t="s">
        <v>185</v>
      </c>
      <c r="K425">
        <v>110000</v>
      </c>
      <c r="L425" s="74">
        <v>2.274</v>
      </c>
      <c r="M425" s="85">
        <v>3</v>
      </c>
      <c r="N425" s="74">
        <v>0.189</v>
      </c>
      <c r="O425">
        <v>2</v>
      </c>
      <c r="P425" s="84">
        <v>0.189</v>
      </c>
      <c r="Q425" s="86">
        <v>4.2</v>
      </c>
      <c r="R425" s="85">
        <v>4.2</v>
      </c>
      <c r="S425" s="87">
        <v>1574570</v>
      </c>
      <c r="T425" s="1">
        <v>7</v>
      </c>
      <c r="U425" s="88">
        <v>374897.61904761905</v>
      </c>
      <c r="V425" s="59">
        <v>2.6673949078161021</v>
      </c>
      <c r="X425" s="98">
        <v>4.2</v>
      </c>
      <c r="Y425" s="97">
        <v>116.26904761904763</v>
      </c>
    </row>
    <row r="426" spans="1:25">
      <c r="A426" s="58">
        <v>426</v>
      </c>
      <c r="B426" s="58">
        <v>426</v>
      </c>
      <c r="C426" s="58" t="s">
        <v>856</v>
      </c>
      <c r="D426" s="58" t="s">
        <v>187</v>
      </c>
      <c r="E426" s="58" t="s">
        <v>187</v>
      </c>
      <c r="F426" s="58" t="s">
        <v>752</v>
      </c>
      <c r="G426" s="58" t="s">
        <v>753</v>
      </c>
      <c r="H426" s="58" t="s">
        <v>199</v>
      </c>
      <c r="I426">
        <v>110000</v>
      </c>
      <c r="J426" s="58" t="s">
        <v>185</v>
      </c>
      <c r="K426">
        <v>110000</v>
      </c>
      <c r="L426" s="74">
        <v>9.9030000000000005</v>
      </c>
      <c r="M426" s="85">
        <v>10</v>
      </c>
      <c r="N426" s="74">
        <v>0.224</v>
      </c>
      <c r="O426">
        <v>2</v>
      </c>
      <c r="P426" s="84">
        <v>0.224</v>
      </c>
      <c r="Q426" s="86">
        <v>4.2</v>
      </c>
      <c r="R426" s="85">
        <v>4.2</v>
      </c>
      <c r="S426" s="87">
        <v>1943470</v>
      </c>
      <c r="T426" s="1">
        <v>7</v>
      </c>
      <c r="U426" s="88">
        <v>462730.95238095237</v>
      </c>
      <c r="V426" s="59">
        <v>2.1610830113148132</v>
      </c>
      <c r="X426" s="98">
        <v>4.2</v>
      </c>
      <c r="Y426" s="97">
        <v>374.89761904761906</v>
      </c>
    </row>
    <row r="427" spans="1:25">
      <c r="A427" s="58">
        <v>427</v>
      </c>
      <c r="B427" s="58">
        <v>427</v>
      </c>
      <c r="C427" s="58" t="s">
        <v>857</v>
      </c>
      <c r="D427" s="58" t="s">
        <v>182</v>
      </c>
      <c r="E427" s="58" t="s">
        <v>182</v>
      </c>
      <c r="F427" s="58" t="s">
        <v>440</v>
      </c>
      <c r="G427" s="58" t="s">
        <v>441</v>
      </c>
      <c r="H427" s="58" t="s">
        <v>199</v>
      </c>
      <c r="I427">
        <v>110000</v>
      </c>
      <c r="L427" s="74">
        <v>8.4670000000000005</v>
      </c>
      <c r="M427" s="85">
        <v>9</v>
      </c>
      <c r="N427" s="74">
        <v>0.16600000000000001</v>
      </c>
      <c r="O427">
        <v>2</v>
      </c>
      <c r="P427" s="84">
        <v>0.16600000000000001</v>
      </c>
      <c r="Q427" s="86">
        <v>4.2</v>
      </c>
      <c r="R427" s="85">
        <v>4.2</v>
      </c>
      <c r="S427" s="87">
        <v>1890770</v>
      </c>
      <c r="T427" s="1">
        <v>7</v>
      </c>
      <c r="U427" s="88">
        <v>450183.33333333331</v>
      </c>
      <c r="V427" s="59">
        <v>2.2213172411239865</v>
      </c>
      <c r="X427" s="98">
        <v>4.2</v>
      </c>
      <c r="Y427" s="97">
        <v>462.73095238095237</v>
      </c>
    </row>
    <row r="428" spans="1:25">
      <c r="A428" s="58">
        <v>428</v>
      </c>
      <c r="B428" s="58">
        <v>428</v>
      </c>
      <c r="C428" s="58" t="s">
        <v>858</v>
      </c>
      <c r="D428" s="58" t="s">
        <v>187</v>
      </c>
      <c r="E428" s="58" t="s">
        <v>187</v>
      </c>
      <c r="F428" s="58" t="s">
        <v>859</v>
      </c>
      <c r="G428" s="58" t="s">
        <v>860</v>
      </c>
      <c r="H428" s="58" t="s">
        <v>179</v>
      </c>
      <c r="I428">
        <v>38000</v>
      </c>
      <c r="J428">
        <v>38000</v>
      </c>
      <c r="K428" s="58" t="s">
        <v>185</v>
      </c>
      <c r="L428" s="74">
        <v>3.52</v>
      </c>
      <c r="M428" s="85">
        <v>4</v>
      </c>
      <c r="N428" s="74">
        <v>0.17</v>
      </c>
      <c r="O428">
        <v>2</v>
      </c>
      <c r="P428" s="84">
        <v>0.17</v>
      </c>
      <c r="Q428" s="86">
        <v>4.2</v>
      </c>
      <c r="R428" s="85">
        <v>4.2</v>
      </c>
      <c r="S428" s="87">
        <v>628870</v>
      </c>
      <c r="T428" s="1">
        <v>4</v>
      </c>
      <c r="U428" s="88">
        <v>149730.95238095237</v>
      </c>
      <c r="V428" s="59">
        <v>6.6786458250512828</v>
      </c>
      <c r="X428" s="98">
        <v>4.2</v>
      </c>
      <c r="Y428" s="97">
        <v>450.18333333333334</v>
      </c>
    </row>
    <row r="429" spans="1:25">
      <c r="A429" s="58">
        <v>429</v>
      </c>
      <c r="B429" s="58">
        <v>429</v>
      </c>
      <c r="C429" s="58" t="s">
        <v>861</v>
      </c>
      <c r="D429" s="58" t="s">
        <v>176</v>
      </c>
      <c r="E429" s="58" t="s">
        <v>176</v>
      </c>
      <c r="F429" s="58" t="s">
        <v>177</v>
      </c>
      <c r="G429" s="58" t="s">
        <v>178</v>
      </c>
      <c r="H429" s="58" t="s">
        <v>179</v>
      </c>
      <c r="I429">
        <v>38000</v>
      </c>
      <c r="J429">
        <v>38000</v>
      </c>
      <c r="K429">
        <v>20000</v>
      </c>
      <c r="L429" s="74">
        <v>7.1260000000000003</v>
      </c>
      <c r="M429" s="85">
        <v>8</v>
      </c>
      <c r="N429" s="74">
        <v>0.224</v>
      </c>
      <c r="O429">
        <v>2</v>
      </c>
      <c r="P429" s="84">
        <v>0.224</v>
      </c>
      <c r="Q429" s="86">
        <v>4.2</v>
      </c>
      <c r="R429" s="85">
        <v>4.2</v>
      </c>
      <c r="S429" s="87">
        <v>909950</v>
      </c>
      <c r="T429" s="1">
        <v>4</v>
      </c>
      <c r="U429" s="88">
        <v>216654.76190476189</v>
      </c>
      <c r="V429" s="59">
        <v>4.6156382218803227</v>
      </c>
      <c r="X429" s="98">
        <v>4.2</v>
      </c>
      <c r="Y429" s="97">
        <v>149.73095238095235</v>
      </c>
    </row>
    <row r="430" spans="1:25">
      <c r="A430" s="58">
        <v>430</v>
      </c>
      <c r="B430" s="58">
        <v>430</v>
      </c>
      <c r="C430" s="58" t="s">
        <v>862</v>
      </c>
      <c r="D430" s="58" t="s">
        <v>410</v>
      </c>
      <c r="E430" s="58" t="s">
        <v>410</v>
      </c>
      <c r="F430" s="58" t="s">
        <v>863</v>
      </c>
      <c r="G430" s="58" t="s">
        <v>864</v>
      </c>
      <c r="H430" s="58" t="s">
        <v>179</v>
      </c>
      <c r="I430">
        <v>38000</v>
      </c>
      <c r="J430">
        <v>38000</v>
      </c>
      <c r="K430" s="58" t="s">
        <v>185</v>
      </c>
      <c r="L430" s="74">
        <v>8.4440000000000008</v>
      </c>
      <c r="M430" s="85">
        <v>9</v>
      </c>
      <c r="N430" s="74">
        <v>0.104</v>
      </c>
      <c r="O430">
        <v>2</v>
      </c>
      <c r="P430" s="84">
        <v>0.104</v>
      </c>
      <c r="Q430" s="86">
        <v>4.2</v>
      </c>
      <c r="R430" s="85">
        <v>4.2</v>
      </c>
      <c r="S430" s="87">
        <v>1334440</v>
      </c>
      <c r="T430" s="1">
        <v>1</v>
      </c>
      <c r="U430" s="88">
        <v>317723.80952380953</v>
      </c>
      <c r="V430" s="59">
        <v>3.1473876682353645</v>
      </c>
      <c r="X430" s="98">
        <v>4.2</v>
      </c>
      <c r="Y430" s="97">
        <v>216.6547619047619</v>
      </c>
    </row>
    <row r="431" spans="1:25">
      <c r="A431" s="58">
        <v>431</v>
      </c>
      <c r="B431" s="58">
        <v>431</v>
      </c>
      <c r="C431" s="58" t="s">
        <v>865</v>
      </c>
      <c r="D431" s="58" t="s">
        <v>384</v>
      </c>
      <c r="E431" s="58" t="s">
        <v>384</v>
      </c>
      <c r="F431" s="58" t="s">
        <v>866</v>
      </c>
      <c r="G431" s="58" t="s">
        <v>867</v>
      </c>
      <c r="H431" s="58" t="s">
        <v>179</v>
      </c>
      <c r="I431">
        <v>38000</v>
      </c>
      <c r="J431">
        <v>38000</v>
      </c>
      <c r="K431" s="58" t="s">
        <v>185</v>
      </c>
      <c r="L431" s="74">
        <v>1.758</v>
      </c>
      <c r="M431" s="85">
        <v>2</v>
      </c>
      <c r="N431" s="74">
        <v>0.19500000000000001</v>
      </c>
      <c r="O431">
        <v>2</v>
      </c>
      <c r="P431" s="84">
        <v>0.19500000000000001</v>
      </c>
      <c r="Q431" s="86">
        <v>4.2</v>
      </c>
      <c r="R431" s="85">
        <v>4.2</v>
      </c>
      <c r="S431" s="87">
        <v>488330</v>
      </c>
      <c r="T431" s="1">
        <v>4</v>
      </c>
      <c r="U431" s="88">
        <v>116269.04761904762</v>
      </c>
      <c r="V431" s="59">
        <v>8.6007413019884087</v>
      </c>
      <c r="X431" s="98">
        <v>4.2</v>
      </c>
      <c r="Y431" s="97">
        <v>317.72380952380951</v>
      </c>
    </row>
    <row r="432" spans="1:25">
      <c r="A432" s="58">
        <v>432</v>
      </c>
      <c r="B432" s="58">
        <v>432</v>
      </c>
      <c r="C432" s="58" t="s">
        <v>868</v>
      </c>
      <c r="D432" s="58" t="s">
        <v>489</v>
      </c>
      <c r="E432" s="58" t="s">
        <v>489</v>
      </c>
      <c r="F432" s="58" t="s">
        <v>869</v>
      </c>
      <c r="G432" s="58" t="s">
        <v>870</v>
      </c>
      <c r="H432" s="58" t="s">
        <v>179</v>
      </c>
      <c r="I432">
        <v>38000</v>
      </c>
      <c r="J432">
        <v>38000</v>
      </c>
      <c r="K432" s="58" t="s">
        <v>185</v>
      </c>
      <c r="L432" s="74">
        <v>12.023999999999999</v>
      </c>
      <c r="M432" s="85">
        <v>13</v>
      </c>
      <c r="N432" s="74">
        <v>0.19700000000000001</v>
      </c>
      <c r="O432">
        <v>2</v>
      </c>
      <c r="P432" s="84">
        <v>0.19700000000000001</v>
      </c>
      <c r="Q432" s="86">
        <v>4.2</v>
      </c>
      <c r="R432" s="85">
        <v>4.2</v>
      </c>
      <c r="S432" s="87">
        <v>1545240</v>
      </c>
      <c r="T432" s="1">
        <v>1</v>
      </c>
      <c r="U432" s="88">
        <v>367914.28571428568</v>
      </c>
      <c r="V432" s="59">
        <v>2.7180243845616214</v>
      </c>
      <c r="X432" s="98">
        <v>4.2</v>
      </c>
      <c r="Y432" s="97">
        <v>116.26904761904763</v>
      </c>
    </row>
    <row r="433" spans="1:25">
      <c r="A433" s="58">
        <v>433</v>
      </c>
      <c r="B433" s="58">
        <v>433</v>
      </c>
      <c r="C433" s="58" t="s">
        <v>871</v>
      </c>
      <c r="D433" s="58" t="s">
        <v>410</v>
      </c>
      <c r="E433" s="58" t="s">
        <v>410</v>
      </c>
      <c r="F433" s="58" t="s">
        <v>411</v>
      </c>
      <c r="G433" s="58" t="s">
        <v>412</v>
      </c>
      <c r="H433" s="58" t="s">
        <v>179</v>
      </c>
      <c r="I433">
        <v>38000</v>
      </c>
      <c r="J433">
        <v>38000</v>
      </c>
      <c r="K433" s="58" t="s">
        <v>185</v>
      </c>
      <c r="L433" s="74">
        <v>7.5410000000000004</v>
      </c>
      <c r="M433" s="85">
        <v>8</v>
      </c>
      <c r="N433" s="74">
        <v>0.13800000000000001</v>
      </c>
      <c r="O433">
        <v>2</v>
      </c>
      <c r="P433" s="84">
        <v>0.13800000000000001</v>
      </c>
      <c r="Q433" s="86">
        <v>4.2</v>
      </c>
      <c r="R433" s="85">
        <v>4.2</v>
      </c>
      <c r="S433" s="87">
        <v>909950</v>
      </c>
      <c r="T433" s="1">
        <v>4</v>
      </c>
      <c r="U433" s="88">
        <v>216654.76190476189</v>
      </c>
      <c r="V433" s="59">
        <v>4.6156382218803227</v>
      </c>
      <c r="X433" s="98">
        <v>4.2</v>
      </c>
      <c r="Y433" s="97">
        <v>367.91428571428571</v>
      </c>
    </row>
    <row r="434" spans="1:25">
      <c r="A434" s="58">
        <v>434</v>
      </c>
      <c r="B434" s="58">
        <v>434</v>
      </c>
      <c r="C434" s="58" t="s">
        <v>872</v>
      </c>
      <c r="D434" s="58" t="s">
        <v>182</v>
      </c>
      <c r="E434" s="58" t="s">
        <v>182</v>
      </c>
      <c r="F434" s="58" t="s">
        <v>873</v>
      </c>
      <c r="G434" s="58" t="s">
        <v>874</v>
      </c>
      <c r="H434" s="58" t="s">
        <v>179</v>
      </c>
      <c r="I434">
        <v>38000</v>
      </c>
      <c r="J434">
        <v>38000</v>
      </c>
      <c r="K434" s="58" t="s">
        <v>185</v>
      </c>
      <c r="L434" s="74">
        <v>10.763999999999999</v>
      </c>
      <c r="M434" s="85">
        <v>11</v>
      </c>
      <c r="N434" s="74">
        <v>0.33200000000000002</v>
      </c>
      <c r="O434">
        <v>2</v>
      </c>
      <c r="P434" s="84">
        <v>0.33200000000000002</v>
      </c>
      <c r="Q434" s="86">
        <v>4.2</v>
      </c>
      <c r="R434" s="85">
        <v>4.2</v>
      </c>
      <c r="S434" s="87">
        <v>1439840</v>
      </c>
      <c r="T434" s="1">
        <v>1</v>
      </c>
      <c r="U434" s="88">
        <v>342819.04761904763</v>
      </c>
      <c r="V434" s="59">
        <v>2.9169907767529724</v>
      </c>
      <c r="X434" s="98">
        <v>4.2</v>
      </c>
      <c r="Y434" s="97">
        <v>216.6547619047619</v>
      </c>
    </row>
    <row r="435" spans="1:25">
      <c r="A435" s="58">
        <v>435</v>
      </c>
      <c r="B435" s="58">
        <v>435</v>
      </c>
      <c r="C435" s="58" t="s">
        <v>875</v>
      </c>
      <c r="D435" s="58" t="s">
        <v>410</v>
      </c>
      <c r="E435" s="58" t="s">
        <v>410</v>
      </c>
      <c r="F435" s="58" t="s">
        <v>876</v>
      </c>
      <c r="G435" s="58" t="s">
        <v>877</v>
      </c>
      <c r="H435" s="58" t="s">
        <v>179</v>
      </c>
      <c r="I435">
        <v>38000</v>
      </c>
      <c r="J435">
        <v>38000</v>
      </c>
      <c r="K435" s="58" t="s">
        <v>185</v>
      </c>
      <c r="L435" s="74">
        <v>9.3209999999999997</v>
      </c>
      <c r="M435" s="85">
        <v>10</v>
      </c>
      <c r="N435" s="74">
        <v>0.12</v>
      </c>
      <c r="O435">
        <v>2</v>
      </c>
      <c r="P435" s="84">
        <v>0.12</v>
      </c>
      <c r="Q435" s="86">
        <v>4.2</v>
      </c>
      <c r="R435" s="85">
        <v>4.2</v>
      </c>
      <c r="S435" s="87">
        <v>1387140</v>
      </c>
      <c r="T435" s="1">
        <v>1</v>
      </c>
      <c r="U435" s="88">
        <v>330271.42857142858</v>
      </c>
      <c r="V435" s="59">
        <v>3.0278126216531858</v>
      </c>
      <c r="X435" s="98">
        <v>4.2</v>
      </c>
      <c r="Y435" s="97">
        <v>342.81904761904764</v>
      </c>
    </row>
    <row r="436" spans="1:25">
      <c r="A436" s="58">
        <v>436</v>
      </c>
      <c r="B436" s="58">
        <v>436</v>
      </c>
      <c r="C436" s="58" t="s">
        <v>878</v>
      </c>
      <c r="D436" s="58" t="s">
        <v>410</v>
      </c>
      <c r="E436" s="58" t="s">
        <v>410</v>
      </c>
      <c r="F436" s="58" t="s">
        <v>879</v>
      </c>
      <c r="G436" s="58" t="s">
        <v>880</v>
      </c>
      <c r="H436" s="58" t="s">
        <v>179</v>
      </c>
      <c r="I436">
        <v>38000</v>
      </c>
      <c r="J436" s="58" t="s">
        <v>185</v>
      </c>
      <c r="K436">
        <v>38000</v>
      </c>
      <c r="L436" s="74">
        <v>5.7960000000000003</v>
      </c>
      <c r="M436" s="85">
        <v>6</v>
      </c>
      <c r="N436" s="74">
        <v>0.218</v>
      </c>
      <c r="O436">
        <v>2</v>
      </c>
      <c r="P436" s="84">
        <v>0.218</v>
      </c>
      <c r="Q436" s="86">
        <v>4.2</v>
      </c>
      <c r="R436" s="85">
        <v>4.2</v>
      </c>
      <c r="S436" s="87">
        <v>769410</v>
      </c>
      <c r="T436" s="1">
        <v>4</v>
      </c>
      <c r="U436" s="88">
        <v>183192.85714285713</v>
      </c>
      <c r="V436" s="59">
        <v>5.4587281163488903</v>
      </c>
      <c r="X436" s="98">
        <v>4.2</v>
      </c>
      <c r="Y436" s="97">
        <v>330.2714285714286</v>
      </c>
    </row>
    <row r="437" spans="1:25">
      <c r="A437" s="58">
        <v>437</v>
      </c>
      <c r="B437" s="58">
        <v>437</v>
      </c>
      <c r="C437" s="58" t="s">
        <v>881</v>
      </c>
      <c r="D437" s="58" t="s">
        <v>882</v>
      </c>
      <c r="E437" s="58" t="s">
        <v>882</v>
      </c>
      <c r="F437" s="58" t="s">
        <v>883</v>
      </c>
      <c r="G437" s="58" t="s">
        <v>884</v>
      </c>
      <c r="H437" s="58" t="s">
        <v>179</v>
      </c>
      <c r="I437">
        <v>38000</v>
      </c>
      <c r="J437">
        <v>20000</v>
      </c>
      <c r="K437">
        <v>38000</v>
      </c>
      <c r="L437" s="74">
        <v>8.0549999999999997</v>
      </c>
      <c r="M437" s="85">
        <v>9</v>
      </c>
      <c r="N437" s="74">
        <v>0.20599999999999999</v>
      </c>
      <c r="O437">
        <v>2</v>
      </c>
      <c r="P437" s="84">
        <v>0.20599999999999999</v>
      </c>
      <c r="Q437" s="86">
        <v>4.2</v>
      </c>
      <c r="R437" s="85">
        <v>4.2</v>
      </c>
      <c r="S437" s="87">
        <v>1334440</v>
      </c>
      <c r="T437" s="1">
        <v>1</v>
      </c>
      <c r="U437" s="88">
        <v>317723.80952380953</v>
      </c>
      <c r="V437" s="59">
        <v>3.1473876682353645</v>
      </c>
      <c r="X437" s="98">
        <v>4.2</v>
      </c>
      <c r="Y437" s="97">
        <v>183.19285714285712</v>
      </c>
    </row>
    <row r="438" spans="1:25">
      <c r="A438" s="58">
        <v>438</v>
      </c>
      <c r="B438" s="58">
        <v>438</v>
      </c>
      <c r="C438" s="58" t="s">
        <v>885</v>
      </c>
      <c r="D438" s="58" t="s">
        <v>207</v>
      </c>
      <c r="E438" s="58" t="s">
        <v>207</v>
      </c>
      <c r="F438" s="58" t="s">
        <v>242</v>
      </c>
      <c r="G438" s="58" t="s">
        <v>243</v>
      </c>
      <c r="H438" s="58" t="s">
        <v>179</v>
      </c>
      <c r="I438">
        <v>38000</v>
      </c>
      <c r="J438">
        <v>38000</v>
      </c>
      <c r="K438">
        <v>20000</v>
      </c>
      <c r="L438" s="74">
        <v>6.7530000000000001</v>
      </c>
      <c r="M438" s="85">
        <v>7</v>
      </c>
      <c r="N438" s="74">
        <v>0.128</v>
      </c>
      <c r="O438">
        <v>2</v>
      </c>
      <c r="P438" s="84">
        <v>0.128</v>
      </c>
      <c r="Q438" s="86">
        <v>4.2</v>
      </c>
      <c r="R438" s="85">
        <v>4.2</v>
      </c>
      <c r="S438" s="87">
        <v>839680</v>
      </c>
      <c r="T438" s="1">
        <v>4</v>
      </c>
      <c r="U438" s="88">
        <v>199923.80952380953</v>
      </c>
      <c r="V438" s="59">
        <v>5.0019054878048781</v>
      </c>
      <c r="X438" s="98">
        <v>4.2</v>
      </c>
      <c r="Y438" s="97">
        <v>317.72380952380951</v>
      </c>
    </row>
    <row r="439" spans="1:25">
      <c r="A439" s="58">
        <v>439</v>
      </c>
      <c r="B439" s="58">
        <v>439</v>
      </c>
      <c r="C439" s="58" t="s">
        <v>886</v>
      </c>
      <c r="D439" s="58" t="s">
        <v>207</v>
      </c>
      <c r="E439" s="58" t="s">
        <v>207</v>
      </c>
      <c r="F439" s="58" t="s">
        <v>698</v>
      </c>
      <c r="G439" s="58" t="s">
        <v>699</v>
      </c>
      <c r="H439" s="58" t="s">
        <v>199</v>
      </c>
      <c r="I439">
        <v>110000</v>
      </c>
      <c r="J439" s="58" t="s">
        <v>185</v>
      </c>
      <c r="K439">
        <v>110000</v>
      </c>
      <c r="L439" s="74">
        <v>7.819</v>
      </c>
      <c r="M439" s="85">
        <v>8</v>
      </c>
      <c r="N439" s="74">
        <v>0.112</v>
      </c>
      <c r="O439">
        <v>2</v>
      </c>
      <c r="P439" s="84">
        <v>0.112</v>
      </c>
      <c r="Q439" s="86">
        <v>4.2</v>
      </c>
      <c r="R439" s="85">
        <v>4.2</v>
      </c>
      <c r="S439" s="87">
        <v>1838070</v>
      </c>
      <c r="T439" s="1">
        <v>7</v>
      </c>
      <c r="U439" s="88">
        <v>437635.71428571426</v>
      </c>
      <c r="V439" s="59">
        <v>2.2850054676916547</v>
      </c>
      <c r="X439" s="98">
        <v>4.2</v>
      </c>
      <c r="Y439" s="97">
        <v>199.92380952380952</v>
      </c>
    </row>
    <row r="440" spans="1:25">
      <c r="A440" s="58">
        <v>440</v>
      </c>
      <c r="B440" s="58">
        <v>440</v>
      </c>
      <c r="C440" s="58" t="s">
        <v>887</v>
      </c>
      <c r="D440" s="58" t="s">
        <v>182</v>
      </c>
      <c r="E440" s="58" t="s">
        <v>182</v>
      </c>
      <c r="F440" s="58" t="s">
        <v>888</v>
      </c>
      <c r="G440" s="58" t="s">
        <v>889</v>
      </c>
      <c r="H440" s="58" t="s">
        <v>199</v>
      </c>
      <c r="I440">
        <v>110000</v>
      </c>
      <c r="J440">
        <v>110000</v>
      </c>
      <c r="K440">
        <v>38000</v>
      </c>
      <c r="L440" s="74">
        <v>5.1360000000000001</v>
      </c>
      <c r="M440" s="85">
        <v>6</v>
      </c>
      <c r="N440" s="74">
        <v>0.28999999999999998</v>
      </c>
      <c r="O440">
        <v>2</v>
      </c>
      <c r="P440" s="84">
        <v>0.28999999999999998</v>
      </c>
      <c r="Q440" s="86">
        <v>4.2</v>
      </c>
      <c r="R440" s="85">
        <v>4.2</v>
      </c>
      <c r="S440" s="87">
        <v>1732670</v>
      </c>
      <c r="T440" s="1">
        <v>7</v>
      </c>
      <c r="U440" s="88">
        <v>412540.47619047615</v>
      </c>
      <c r="V440" s="59">
        <v>2.4240045709800482</v>
      </c>
      <c r="X440" s="98">
        <v>4.2</v>
      </c>
      <c r="Y440" s="97">
        <v>437.63571428571424</v>
      </c>
    </row>
    <row r="441" spans="1:25">
      <c r="A441" s="58">
        <v>441</v>
      </c>
      <c r="B441" s="58">
        <v>441</v>
      </c>
      <c r="C441" s="58" t="s">
        <v>890</v>
      </c>
      <c r="D441" s="58" t="s">
        <v>182</v>
      </c>
      <c r="E441" s="58" t="s">
        <v>182</v>
      </c>
      <c r="F441" s="58" t="s">
        <v>891</v>
      </c>
      <c r="G441" s="58" t="s">
        <v>892</v>
      </c>
      <c r="H441" s="58" t="s">
        <v>199</v>
      </c>
      <c r="I441">
        <v>110000</v>
      </c>
      <c r="J441">
        <v>110000</v>
      </c>
      <c r="K441">
        <v>38000</v>
      </c>
      <c r="L441" s="74">
        <v>6.375</v>
      </c>
      <c r="M441" s="85">
        <v>7</v>
      </c>
      <c r="N441" s="74">
        <v>0.21</v>
      </c>
      <c r="O441">
        <v>2</v>
      </c>
      <c r="P441" s="84">
        <v>0.21</v>
      </c>
      <c r="Q441" s="86">
        <v>4.2</v>
      </c>
      <c r="R441" s="85">
        <v>4.2</v>
      </c>
      <c r="S441" s="87">
        <v>1785370</v>
      </c>
      <c r="T441" s="1">
        <v>7</v>
      </c>
      <c r="U441" s="88">
        <v>425088.09523809521</v>
      </c>
      <c r="V441" s="59">
        <v>2.3524535530450272</v>
      </c>
      <c r="X441" s="98">
        <v>4.2</v>
      </c>
      <c r="Y441" s="97">
        <v>412.54047619047617</v>
      </c>
    </row>
    <row r="442" spans="1:25">
      <c r="A442" s="58">
        <v>442</v>
      </c>
      <c r="B442" s="58">
        <v>442</v>
      </c>
      <c r="C442" s="58" t="s">
        <v>893</v>
      </c>
      <c r="D442" s="58" t="s">
        <v>215</v>
      </c>
      <c r="E442" s="58" t="s">
        <v>215</v>
      </c>
      <c r="F442" s="58" t="s">
        <v>479</v>
      </c>
      <c r="G442" s="58" t="s">
        <v>480</v>
      </c>
      <c r="H442" s="58" t="s">
        <v>179</v>
      </c>
      <c r="I442">
        <v>38000</v>
      </c>
      <c r="J442">
        <v>38000</v>
      </c>
      <c r="K442" s="58" t="s">
        <v>185</v>
      </c>
      <c r="L442" s="74">
        <v>6.7919999999999998</v>
      </c>
      <c r="M442" s="85">
        <v>7</v>
      </c>
      <c r="N442" s="74">
        <v>0.16300000000000001</v>
      </c>
      <c r="O442">
        <v>2</v>
      </c>
      <c r="P442" s="84">
        <v>0.16300000000000001</v>
      </c>
      <c r="Q442" s="86">
        <v>4.2</v>
      </c>
      <c r="R442" s="85">
        <v>4.2</v>
      </c>
      <c r="S442" s="87">
        <v>839680</v>
      </c>
      <c r="T442" s="1">
        <v>4</v>
      </c>
      <c r="U442" s="88">
        <v>199923.80952380953</v>
      </c>
      <c r="V442" s="59">
        <v>5.0019054878048781</v>
      </c>
      <c r="X442" s="98">
        <v>4.2</v>
      </c>
      <c r="Y442" s="97">
        <v>425.08809523809521</v>
      </c>
    </row>
    <row r="443" spans="1:25">
      <c r="A443" s="58">
        <v>443</v>
      </c>
      <c r="B443" s="58">
        <v>443</v>
      </c>
      <c r="C443" s="58" t="s">
        <v>894</v>
      </c>
      <c r="D443" s="58" t="s">
        <v>182</v>
      </c>
      <c r="E443" s="58" t="s">
        <v>182</v>
      </c>
      <c r="F443" s="58" t="s">
        <v>873</v>
      </c>
      <c r="G443" s="58" t="s">
        <v>874</v>
      </c>
      <c r="H443" s="58" t="s">
        <v>179</v>
      </c>
      <c r="I443">
        <v>38000</v>
      </c>
      <c r="J443">
        <v>38000</v>
      </c>
      <c r="K443" s="58" t="s">
        <v>185</v>
      </c>
      <c r="L443" s="74">
        <v>2.1800000000000002</v>
      </c>
      <c r="M443" s="85">
        <v>3</v>
      </c>
      <c r="N443" s="74">
        <v>0.255</v>
      </c>
      <c r="O443">
        <v>2</v>
      </c>
      <c r="P443" s="84">
        <v>0.255</v>
      </c>
      <c r="Q443" s="86">
        <v>4.2</v>
      </c>
      <c r="R443" s="85">
        <v>4.2</v>
      </c>
      <c r="S443" s="87">
        <v>558600</v>
      </c>
      <c r="T443" s="1">
        <v>4</v>
      </c>
      <c r="U443" s="88">
        <v>133000</v>
      </c>
      <c r="V443" s="59">
        <v>7.518796992481203</v>
      </c>
      <c r="X443" s="98">
        <v>4.2</v>
      </c>
      <c r="Y443" s="97">
        <v>199.92380952380952</v>
      </c>
    </row>
    <row r="444" spans="1:25">
      <c r="A444" s="58">
        <v>444</v>
      </c>
      <c r="B444" s="58">
        <v>444</v>
      </c>
      <c r="C444" s="58" t="s">
        <v>895</v>
      </c>
      <c r="D444" s="58" t="s">
        <v>215</v>
      </c>
      <c r="E444" s="58" t="s">
        <v>215</v>
      </c>
      <c r="F444" s="58" t="s">
        <v>406</v>
      </c>
      <c r="G444" s="58" t="s">
        <v>407</v>
      </c>
      <c r="H444" s="58" t="s">
        <v>179</v>
      </c>
      <c r="I444">
        <v>38000</v>
      </c>
      <c r="J444" s="58" t="s">
        <v>185</v>
      </c>
      <c r="K444">
        <v>38000</v>
      </c>
      <c r="L444" s="74">
        <v>6.5140000000000002</v>
      </c>
      <c r="M444" s="85">
        <v>7</v>
      </c>
      <c r="N444" s="74">
        <v>0.16600000000000001</v>
      </c>
      <c r="O444">
        <v>2</v>
      </c>
      <c r="P444" s="84">
        <v>0.16600000000000001</v>
      </c>
      <c r="Q444" s="86">
        <v>4.2</v>
      </c>
      <c r="R444" s="85">
        <v>4.2</v>
      </c>
      <c r="S444" s="87">
        <v>839680</v>
      </c>
      <c r="T444" s="1">
        <v>4</v>
      </c>
      <c r="U444" s="88">
        <v>199923.80952380953</v>
      </c>
      <c r="V444" s="59">
        <v>5.0019054878048781</v>
      </c>
      <c r="X444" s="98">
        <v>4.2</v>
      </c>
      <c r="Y444" s="97">
        <v>133</v>
      </c>
    </row>
    <row r="445" spans="1:25">
      <c r="A445" s="58">
        <v>445</v>
      </c>
      <c r="B445" s="58">
        <v>445</v>
      </c>
      <c r="C445" s="58" t="s">
        <v>896</v>
      </c>
      <c r="D445" s="58" t="s">
        <v>182</v>
      </c>
      <c r="E445" s="58" t="s">
        <v>182</v>
      </c>
      <c r="F445" s="58" t="s">
        <v>595</v>
      </c>
      <c r="G445" s="58" t="s">
        <v>596</v>
      </c>
      <c r="H445" s="58" t="s">
        <v>179</v>
      </c>
      <c r="I445">
        <v>38000</v>
      </c>
      <c r="J445">
        <v>38000</v>
      </c>
      <c r="K445" s="58" t="s">
        <v>185</v>
      </c>
      <c r="L445" s="74">
        <v>5.907</v>
      </c>
      <c r="M445" s="85">
        <v>6</v>
      </c>
      <c r="N445" s="74">
        <v>0.109</v>
      </c>
      <c r="O445">
        <v>2</v>
      </c>
      <c r="P445" s="84">
        <v>0.109</v>
      </c>
      <c r="Q445" s="86">
        <v>4.2</v>
      </c>
      <c r="R445" s="85">
        <v>4.2</v>
      </c>
      <c r="S445" s="87">
        <v>769410</v>
      </c>
      <c r="T445" s="1">
        <v>4</v>
      </c>
      <c r="U445" s="88">
        <v>183192.85714285713</v>
      </c>
      <c r="V445" s="59">
        <v>5.4587281163488903</v>
      </c>
      <c r="X445" s="98">
        <v>4.2</v>
      </c>
      <c r="Y445" s="97">
        <v>199.92380952380952</v>
      </c>
    </row>
    <row r="446" spans="1:25">
      <c r="A446" s="58">
        <v>446</v>
      </c>
      <c r="B446" s="58">
        <v>446</v>
      </c>
      <c r="C446" s="58" t="s">
        <v>897</v>
      </c>
      <c r="D446" s="58" t="s">
        <v>182</v>
      </c>
      <c r="E446" s="58" t="s">
        <v>182</v>
      </c>
      <c r="F446" s="58" t="s">
        <v>312</v>
      </c>
      <c r="G446" s="58" t="s">
        <v>313</v>
      </c>
      <c r="H446" s="58" t="s">
        <v>179</v>
      </c>
      <c r="I446">
        <v>38000</v>
      </c>
      <c r="J446">
        <v>38000</v>
      </c>
      <c r="K446">
        <v>10000</v>
      </c>
      <c r="L446" s="74">
        <v>4.42</v>
      </c>
      <c r="M446" s="85">
        <v>5</v>
      </c>
      <c r="N446" s="74">
        <v>0.13100000000000001</v>
      </c>
      <c r="O446">
        <v>2</v>
      </c>
      <c r="P446" s="84">
        <v>0.13100000000000001</v>
      </c>
      <c r="Q446" s="86">
        <v>4.2</v>
      </c>
      <c r="R446" s="85">
        <v>4.2</v>
      </c>
      <c r="S446" s="87">
        <v>699140</v>
      </c>
      <c r="T446" s="1">
        <v>4</v>
      </c>
      <c r="U446" s="88">
        <v>166461.90476190476</v>
      </c>
      <c r="V446" s="59">
        <v>6.0073804960379897</v>
      </c>
      <c r="X446" s="98">
        <v>4.2</v>
      </c>
      <c r="Y446" s="97">
        <v>183.19285714285712</v>
      </c>
    </row>
    <row r="447" spans="1:25">
      <c r="A447" s="58">
        <v>447</v>
      </c>
      <c r="B447" s="58">
        <v>447</v>
      </c>
      <c r="C447" s="58" t="s">
        <v>898</v>
      </c>
      <c r="D447" s="58" t="s">
        <v>176</v>
      </c>
      <c r="E447" s="58" t="s">
        <v>176</v>
      </c>
      <c r="F447" s="58" t="s">
        <v>257</v>
      </c>
      <c r="G447" s="58" t="s">
        <v>258</v>
      </c>
      <c r="H447" s="58" t="s">
        <v>179</v>
      </c>
      <c r="I447">
        <v>38000</v>
      </c>
      <c r="J447">
        <v>38000</v>
      </c>
      <c r="K447" s="58" t="s">
        <v>185</v>
      </c>
      <c r="L447" s="74">
        <v>10.053000000000001</v>
      </c>
      <c r="M447" s="85">
        <v>11</v>
      </c>
      <c r="N447" s="74">
        <v>0.112</v>
      </c>
      <c r="O447">
        <v>2</v>
      </c>
      <c r="P447" s="84">
        <v>0.112</v>
      </c>
      <c r="Q447" s="86">
        <v>4.2</v>
      </c>
      <c r="R447" s="85">
        <v>4.2</v>
      </c>
      <c r="S447" s="87">
        <v>1439840</v>
      </c>
      <c r="T447" s="1">
        <v>1</v>
      </c>
      <c r="U447" s="88">
        <v>342819.04761904763</v>
      </c>
      <c r="V447" s="59">
        <v>2.9169907767529724</v>
      </c>
      <c r="X447" s="98">
        <v>4.2</v>
      </c>
      <c r="Y447" s="97">
        <v>166.46190476190475</v>
      </c>
    </row>
    <row r="448" spans="1:25">
      <c r="A448" s="58">
        <v>448</v>
      </c>
      <c r="B448" s="58">
        <v>448</v>
      </c>
      <c r="C448" s="58" t="s">
        <v>899</v>
      </c>
      <c r="D448" s="58" t="s">
        <v>197</v>
      </c>
      <c r="E448" s="58" t="s">
        <v>197</v>
      </c>
      <c r="F448" s="58" t="s">
        <v>296</v>
      </c>
      <c r="G448" s="58" t="s">
        <v>297</v>
      </c>
      <c r="H448" s="58" t="s">
        <v>179</v>
      </c>
      <c r="I448">
        <v>38000</v>
      </c>
      <c r="J448">
        <v>38000</v>
      </c>
      <c r="K448" s="58" t="s">
        <v>185</v>
      </c>
      <c r="L448" s="74">
        <v>4.87</v>
      </c>
      <c r="M448" s="85">
        <v>5</v>
      </c>
      <c r="N448" s="74">
        <v>0.127</v>
      </c>
      <c r="O448">
        <v>2</v>
      </c>
      <c r="P448" s="84">
        <v>0.127</v>
      </c>
      <c r="Q448" s="86">
        <v>4.2</v>
      </c>
      <c r="R448" s="85">
        <v>4.2</v>
      </c>
      <c r="S448" s="87">
        <v>699140</v>
      </c>
      <c r="T448" s="1">
        <v>4</v>
      </c>
      <c r="U448" s="88">
        <v>166461.90476190476</v>
      </c>
      <c r="V448" s="59">
        <v>6.0073804960379897</v>
      </c>
      <c r="X448" s="98">
        <v>4.2</v>
      </c>
      <c r="Y448" s="97">
        <v>342.81904761904764</v>
      </c>
    </row>
    <row r="449" spans="1:25">
      <c r="A449" s="58">
        <v>449</v>
      </c>
      <c r="B449" s="58">
        <v>449</v>
      </c>
      <c r="C449" s="58" t="s">
        <v>900</v>
      </c>
      <c r="D449" s="58" t="s">
        <v>450</v>
      </c>
      <c r="E449" s="58" t="s">
        <v>450</v>
      </c>
      <c r="F449" s="58" t="s">
        <v>901</v>
      </c>
      <c r="G449" s="58" t="s">
        <v>407</v>
      </c>
      <c r="H449" s="58" t="s">
        <v>179</v>
      </c>
      <c r="I449">
        <v>38000</v>
      </c>
      <c r="J449">
        <v>38000</v>
      </c>
      <c r="K449" s="58" t="s">
        <v>185</v>
      </c>
      <c r="L449" s="74">
        <v>8.5489999999999995</v>
      </c>
      <c r="M449" s="85">
        <v>9</v>
      </c>
      <c r="N449" s="74">
        <v>0.28199999999999997</v>
      </c>
      <c r="O449">
        <v>2</v>
      </c>
      <c r="P449" s="84">
        <v>0.28199999999999997</v>
      </c>
      <c r="Q449" s="86">
        <v>4.2</v>
      </c>
      <c r="R449" s="85">
        <v>4.2</v>
      </c>
      <c r="S449" s="87">
        <v>1334440</v>
      </c>
      <c r="T449" s="1">
        <v>1</v>
      </c>
      <c r="U449" s="88">
        <v>317723.80952380953</v>
      </c>
      <c r="V449" s="59">
        <v>3.1473876682353645</v>
      </c>
      <c r="X449" s="98">
        <v>4.2</v>
      </c>
      <c r="Y449" s="97">
        <v>166.46190476190475</v>
      </c>
    </row>
    <row r="450" spans="1:25">
      <c r="A450" s="58">
        <v>450</v>
      </c>
      <c r="B450" s="58">
        <v>450</v>
      </c>
      <c r="C450" s="58" t="s">
        <v>902</v>
      </c>
      <c r="D450" s="58" t="s">
        <v>775</v>
      </c>
      <c r="E450" s="58" t="s">
        <v>775</v>
      </c>
      <c r="F450" s="58" t="s">
        <v>903</v>
      </c>
      <c r="G450" s="58" t="s">
        <v>904</v>
      </c>
      <c r="H450" s="58" t="s">
        <v>179</v>
      </c>
      <c r="I450">
        <v>38000</v>
      </c>
      <c r="J450">
        <v>38000</v>
      </c>
      <c r="K450" s="58" t="s">
        <v>185</v>
      </c>
      <c r="L450" s="74">
        <v>6.1130000000000004</v>
      </c>
      <c r="M450" s="85">
        <v>7</v>
      </c>
      <c r="N450" s="74">
        <v>9.7000000000000003E-2</v>
      </c>
      <c r="O450">
        <v>2</v>
      </c>
      <c r="P450" s="84">
        <v>9.7000000000000003E-2</v>
      </c>
      <c r="Q450" s="86">
        <v>4.2</v>
      </c>
      <c r="R450" s="85">
        <v>4.2</v>
      </c>
      <c r="S450" s="87">
        <v>839680</v>
      </c>
      <c r="T450" s="1">
        <v>4</v>
      </c>
      <c r="U450" s="88">
        <v>199923.80952380953</v>
      </c>
      <c r="V450" s="59">
        <v>5.0019054878048781</v>
      </c>
      <c r="X450" s="98">
        <v>4.2</v>
      </c>
      <c r="Y450" s="97">
        <v>317.72380952380951</v>
      </c>
    </row>
    <row r="451" spans="1:25">
      <c r="A451" s="58">
        <v>451</v>
      </c>
      <c r="B451" s="58">
        <v>451</v>
      </c>
      <c r="C451" s="58" t="s">
        <v>905</v>
      </c>
      <c r="D451" s="58" t="s">
        <v>182</v>
      </c>
      <c r="E451" s="58" t="s">
        <v>182</v>
      </c>
      <c r="F451" s="58" t="s">
        <v>440</v>
      </c>
      <c r="G451" s="58" t="s">
        <v>441</v>
      </c>
      <c r="H451" s="58" t="s">
        <v>199</v>
      </c>
      <c r="I451">
        <v>110000</v>
      </c>
      <c r="L451" s="74">
        <v>2.5670000000000002</v>
      </c>
      <c r="M451" s="85">
        <v>3</v>
      </c>
      <c r="N451" s="74">
        <v>0.20799999999999999</v>
      </c>
      <c r="O451">
        <v>2</v>
      </c>
      <c r="P451" s="84">
        <v>0.20799999999999999</v>
      </c>
      <c r="Q451" s="86">
        <v>4.2</v>
      </c>
      <c r="R451" s="85">
        <v>4.2</v>
      </c>
      <c r="S451" s="87">
        <v>1574570</v>
      </c>
      <c r="T451" s="1">
        <v>7</v>
      </c>
      <c r="U451" s="88">
        <v>374897.61904761905</v>
      </c>
      <c r="V451" s="59">
        <v>2.6673949078161021</v>
      </c>
      <c r="X451" s="98">
        <v>4.2</v>
      </c>
      <c r="Y451" s="97">
        <v>199.92380952380952</v>
      </c>
    </row>
    <row r="452" spans="1:25">
      <c r="A452" s="58">
        <v>452</v>
      </c>
      <c r="B452" s="58">
        <v>452</v>
      </c>
      <c r="C452" s="58" t="s">
        <v>906</v>
      </c>
      <c r="D452" s="58" t="s">
        <v>215</v>
      </c>
      <c r="E452" s="58" t="s">
        <v>215</v>
      </c>
      <c r="F452" s="58" t="s">
        <v>901</v>
      </c>
      <c r="G452" s="58" t="s">
        <v>407</v>
      </c>
      <c r="H452" s="58" t="s">
        <v>179</v>
      </c>
      <c r="I452">
        <v>38000</v>
      </c>
      <c r="J452">
        <v>38000</v>
      </c>
      <c r="K452" s="58" t="s">
        <v>185</v>
      </c>
      <c r="L452" s="74">
        <v>8.6050000000000004</v>
      </c>
      <c r="M452" s="85">
        <v>9</v>
      </c>
      <c r="N452" s="74">
        <v>9.4E-2</v>
      </c>
      <c r="O452">
        <v>2</v>
      </c>
      <c r="P452" s="84">
        <v>9.4E-2</v>
      </c>
      <c r="Q452" s="86">
        <v>4.2</v>
      </c>
      <c r="R452" s="85">
        <v>4.2</v>
      </c>
      <c r="S452" s="87">
        <v>1334440</v>
      </c>
      <c r="T452" s="1">
        <v>1</v>
      </c>
      <c r="U452" s="88">
        <v>317723.80952380953</v>
      </c>
      <c r="V452" s="59">
        <v>3.1473876682353645</v>
      </c>
      <c r="X452" s="98">
        <v>4.2</v>
      </c>
      <c r="Y452" s="97">
        <v>374.89761904761906</v>
      </c>
    </row>
    <row r="453" spans="1:25">
      <c r="A453" s="58">
        <v>453</v>
      </c>
      <c r="B453" s="58">
        <v>453</v>
      </c>
      <c r="C453" s="58" t="s">
        <v>907</v>
      </c>
      <c r="D453" s="58" t="s">
        <v>215</v>
      </c>
      <c r="E453" s="58" t="s">
        <v>215</v>
      </c>
      <c r="F453" s="58" t="s">
        <v>908</v>
      </c>
      <c r="G453" s="58" t="s">
        <v>909</v>
      </c>
      <c r="H453" s="58" t="s">
        <v>199</v>
      </c>
      <c r="I453">
        <v>110000</v>
      </c>
      <c r="J453">
        <v>20000</v>
      </c>
      <c r="K453">
        <v>110000</v>
      </c>
      <c r="L453" s="74">
        <v>4.4820000000000002</v>
      </c>
      <c r="M453" s="85">
        <v>5</v>
      </c>
      <c r="N453" s="74">
        <v>9.9000000000000005E-2</v>
      </c>
      <c r="O453">
        <v>2</v>
      </c>
      <c r="P453" s="84">
        <v>9.9000000000000005E-2</v>
      </c>
      <c r="Q453" s="86">
        <v>4.2</v>
      </c>
      <c r="R453" s="85">
        <v>4.2</v>
      </c>
      <c r="S453" s="87">
        <v>1679970</v>
      </c>
      <c r="T453" s="1">
        <v>7</v>
      </c>
      <c r="U453" s="88">
        <v>399992.8571428571</v>
      </c>
      <c r="V453" s="59">
        <v>2.5000446436543511</v>
      </c>
      <c r="X453" s="98">
        <v>4.2</v>
      </c>
      <c r="Y453" s="97">
        <v>317.72380952380951</v>
      </c>
    </row>
    <row r="454" spans="1:25">
      <c r="A454" s="58">
        <v>454</v>
      </c>
      <c r="B454" s="58">
        <v>454</v>
      </c>
      <c r="C454" s="58" t="s">
        <v>910</v>
      </c>
      <c r="D454" s="58" t="s">
        <v>207</v>
      </c>
      <c r="E454" s="58" t="s">
        <v>207</v>
      </c>
      <c r="F454" s="58" t="s">
        <v>476</v>
      </c>
      <c r="G454" s="58" t="s">
        <v>477</v>
      </c>
      <c r="H454" s="58" t="s">
        <v>179</v>
      </c>
      <c r="I454">
        <v>38000</v>
      </c>
      <c r="J454">
        <v>20000</v>
      </c>
      <c r="K454">
        <v>38000</v>
      </c>
      <c r="L454" s="74">
        <v>9.1639999999999997</v>
      </c>
      <c r="M454" s="85">
        <v>10</v>
      </c>
      <c r="N454" s="74">
        <v>0.111</v>
      </c>
      <c r="O454">
        <v>2</v>
      </c>
      <c r="P454" s="84">
        <v>0.111</v>
      </c>
      <c r="Q454" s="86">
        <v>4.2</v>
      </c>
      <c r="R454" s="85">
        <v>4.2</v>
      </c>
      <c r="S454" s="87">
        <v>1387140</v>
      </c>
      <c r="T454" s="1">
        <v>1</v>
      </c>
      <c r="U454" s="88">
        <v>330271.42857142858</v>
      </c>
      <c r="V454" s="59">
        <v>3.0278126216531858</v>
      </c>
      <c r="X454" s="98">
        <v>4.2</v>
      </c>
      <c r="Y454" s="97">
        <v>399.99285714285708</v>
      </c>
    </row>
    <row r="455" spans="1:25">
      <c r="A455" s="58">
        <v>455</v>
      </c>
      <c r="B455" s="58">
        <v>455</v>
      </c>
      <c r="C455" s="58" t="s">
        <v>911</v>
      </c>
      <c r="D455" s="58" t="s">
        <v>182</v>
      </c>
      <c r="E455" s="58" t="s">
        <v>182</v>
      </c>
      <c r="F455" s="58" t="s">
        <v>912</v>
      </c>
      <c r="G455" s="58" t="s">
        <v>913</v>
      </c>
      <c r="H455" s="58" t="s">
        <v>179</v>
      </c>
      <c r="I455">
        <v>38000</v>
      </c>
      <c r="J455">
        <v>38000</v>
      </c>
      <c r="K455" s="58" t="s">
        <v>185</v>
      </c>
      <c r="L455" s="74">
        <v>4.7439999999999998</v>
      </c>
      <c r="M455" s="85">
        <v>5</v>
      </c>
      <c r="N455" s="74">
        <v>0.108</v>
      </c>
      <c r="O455">
        <v>2</v>
      </c>
      <c r="P455" s="84">
        <v>0.108</v>
      </c>
      <c r="Q455" s="86">
        <v>4.2</v>
      </c>
      <c r="R455" s="85">
        <v>4.2</v>
      </c>
      <c r="S455" s="87">
        <v>699140</v>
      </c>
      <c r="T455" s="1">
        <v>4</v>
      </c>
      <c r="U455" s="88">
        <v>166461.90476190476</v>
      </c>
      <c r="V455" s="59">
        <v>6.0073804960379897</v>
      </c>
      <c r="X455" s="98">
        <v>4.2</v>
      </c>
      <c r="Y455" s="97">
        <v>330.2714285714286</v>
      </c>
    </row>
    <row r="456" spans="1:25">
      <c r="A456" s="58">
        <v>456</v>
      </c>
      <c r="B456" s="58">
        <v>456</v>
      </c>
      <c r="C456" s="58" t="s">
        <v>914</v>
      </c>
      <c r="D456" s="58" t="s">
        <v>384</v>
      </c>
      <c r="E456" s="58" t="s">
        <v>384</v>
      </c>
      <c r="F456" s="58" t="s">
        <v>915</v>
      </c>
      <c r="G456" s="58" t="s">
        <v>916</v>
      </c>
      <c r="H456" s="58" t="s">
        <v>199</v>
      </c>
      <c r="I456">
        <v>110000</v>
      </c>
      <c r="J456" s="58" t="s">
        <v>185</v>
      </c>
      <c r="K456">
        <v>110000</v>
      </c>
      <c r="L456" s="74">
        <v>7.5739999999999998</v>
      </c>
      <c r="M456" s="85">
        <v>8</v>
      </c>
      <c r="N456" s="74">
        <v>0.317</v>
      </c>
      <c r="O456">
        <v>2</v>
      </c>
      <c r="P456" s="84">
        <v>0.317</v>
      </c>
      <c r="Q456" s="86">
        <v>4.2</v>
      </c>
      <c r="R456" s="85">
        <v>4.2</v>
      </c>
      <c r="S456" s="87">
        <v>1838070</v>
      </c>
      <c r="T456" s="1">
        <v>7</v>
      </c>
      <c r="U456" s="88">
        <v>437635.71428571426</v>
      </c>
      <c r="V456" s="59">
        <v>2.2850054676916547</v>
      </c>
      <c r="X456" s="98">
        <v>4.2</v>
      </c>
      <c r="Y456" s="97">
        <v>166.46190476190475</v>
      </c>
    </row>
    <row r="457" spans="1:25">
      <c r="A457" s="58">
        <v>457</v>
      </c>
      <c r="B457" s="58">
        <v>457</v>
      </c>
      <c r="C457" s="58" t="s">
        <v>917</v>
      </c>
      <c r="D457" s="58" t="s">
        <v>410</v>
      </c>
      <c r="E457" s="58" t="s">
        <v>410</v>
      </c>
      <c r="F457" s="58" t="s">
        <v>918</v>
      </c>
      <c r="G457" s="58" t="s">
        <v>919</v>
      </c>
      <c r="H457" s="58" t="s">
        <v>179</v>
      </c>
      <c r="I457">
        <v>38000</v>
      </c>
      <c r="J457" s="58" t="s">
        <v>185</v>
      </c>
      <c r="K457">
        <v>38000</v>
      </c>
      <c r="L457" s="74">
        <v>7.4429999999999996</v>
      </c>
      <c r="M457" s="85">
        <v>8</v>
      </c>
      <c r="N457" s="74">
        <v>0.29399999999999998</v>
      </c>
      <c r="O457">
        <v>2</v>
      </c>
      <c r="P457" s="84">
        <v>0.29399999999999998</v>
      </c>
      <c r="Q457" s="86">
        <v>4.2</v>
      </c>
      <c r="R457" s="85">
        <v>4.2</v>
      </c>
      <c r="S457" s="87">
        <v>909950</v>
      </c>
      <c r="T457" s="1">
        <v>4</v>
      </c>
      <c r="U457" s="88">
        <v>216654.76190476189</v>
      </c>
      <c r="V457" s="59">
        <v>4.6156382218803227</v>
      </c>
      <c r="X457" s="98">
        <v>4.2</v>
      </c>
      <c r="Y457" s="97">
        <v>437.63571428571424</v>
      </c>
    </row>
    <row r="458" spans="1:25">
      <c r="A458" s="58">
        <v>458</v>
      </c>
      <c r="B458" s="58">
        <v>458</v>
      </c>
      <c r="C458" s="58" t="s">
        <v>920</v>
      </c>
      <c r="D458" s="58" t="s">
        <v>176</v>
      </c>
      <c r="E458" s="58" t="s">
        <v>775</v>
      </c>
      <c r="F458" s="58" t="s">
        <v>921</v>
      </c>
      <c r="H458" s="58" t="s">
        <v>199</v>
      </c>
      <c r="I458">
        <v>110000</v>
      </c>
      <c r="J458" s="58" t="s">
        <v>185</v>
      </c>
      <c r="K458">
        <v>110000</v>
      </c>
      <c r="L458" s="74">
        <v>7.2240000000000002</v>
      </c>
      <c r="M458" s="85">
        <v>8</v>
      </c>
      <c r="N458" s="74">
        <v>0.111</v>
      </c>
      <c r="O458">
        <v>2</v>
      </c>
      <c r="P458" s="84">
        <v>0.111</v>
      </c>
      <c r="Q458" s="86">
        <v>4.2</v>
      </c>
      <c r="R458" s="85">
        <v>4.2</v>
      </c>
      <c r="S458" s="87">
        <v>1838070</v>
      </c>
      <c r="T458" s="1">
        <v>7</v>
      </c>
      <c r="U458" s="88">
        <v>437635.71428571426</v>
      </c>
      <c r="V458" s="59">
        <v>2.2850054676916547</v>
      </c>
      <c r="X458" s="98">
        <v>4.2</v>
      </c>
      <c r="Y458" s="97">
        <v>216.6547619047619</v>
      </c>
    </row>
    <row r="459" spans="1:25">
      <c r="A459" s="58">
        <v>459</v>
      </c>
      <c r="B459" s="58">
        <v>459</v>
      </c>
      <c r="C459" s="58" t="s">
        <v>922</v>
      </c>
      <c r="D459" s="58" t="s">
        <v>234</v>
      </c>
      <c r="E459" s="58" t="s">
        <v>234</v>
      </c>
      <c r="F459" s="58" t="s">
        <v>326</v>
      </c>
      <c r="G459" s="58" t="s">
        <v>327</v>
      </c>
      <c r="H459" s="58" t="s">
        <v>199</v>
      </c>
      <c r="I459">
        <v>110000</v>
      </c>
      <c r="J459">
        <v>110000</v>
      </c>
      <c r="K459">
        <v>38000</v>
      </c>
      <c r="L459" s="74">
        <v>7.8220000000000001</v>
      </c>
      <c r="M459" s="85">
        <v>8</v>
      </c>
      <c r="N459" s="74">
        <v>0.114</v>
      </c>
      <c r="O459">
        <v>2</v>
      </c>
      <c r="P459" s="84">
        <v>0.114</v>
      </c>
      <c r="Q459" s="86">
        <v>4.2</v>
      </c>
      <c r="R459" s="85">
        <v>4.2</v>
      </c>
      <c r="S459" s="87">
        <v>1838070</v>
      </c>
      <c r="T459" s="1">
        <v>7</v>
      </c>
      <c r="U459" s="88">
        <v>437635.71428571426</v>
      </c>
      <c r="V459" s="59">
        <v>2.2850054676916547</v>
      </c>
      <c r="X459" s="98">
        <v>4.2</v>
      </c>
      <c r="Y459" s="97">
        <v>437.63571428571424</v>
      </c>
    </row>
    <row r="460" spans="1:25">
      <c r="A460" s="58">
        <v>460</v>
      </c>
      <c r="B460" s="58">
        <v>460</v>
      </c>
      <c r="C460" s="58" t="s">
        <v>923</v>
      </c>
      <c r="D460" s="58" t="s">
        <v>182</v>
      </c>
      <c r="E460" s="58" t="s">
        <v>182</v>
      </c>
      <c r="F460" s="58" t="s">
        <v>873</v>
      </c>
      <c r="G460" s="58" t="s">
        <v>874</v>
      </c>
      <c r="H460" s="58" t="s">
        <v>179</v>
      </c>
      <c r="I460">
        <v>38000</v>
      </c>
      <c r="J460">
        <v>38000</v>
      </c>
      <c r="K460" s="58" t="s">
        <v>185</v>
      </c>
      <c r="L460" s="74">
        <v>5.1760000000000002</v>
      </c>
      <c r="M460" s="85">
        <v>6</v>
      </c>
      <c r="N460" s="74">
        <v>0.115</v>
      </c>
      <c r="O460">
        <v>2</v>
      </c>
      <c r="P460" s="84">
        <v>0.115</v>
      </c>
      <c r="Q460" s="86">
        <v>4.2</v>
      </c>
      <c r="R460" s="85">
        <v>4.2</v>
      </c>
      <c r="S460" s="87">
        <v>769410</v>
      </c>
      <c r="T460" s="1">
        <v>4</v>
      </c>
      <c r="U460" s="88">
        <v>183192.85714285713</v>
      </c>
      <c r="V460" s="59">
        <v>5.4587281163488903</v>
      </c>
      <c r="X460" s="98">
        <v>4.2</v>
      </c>
      <c r="Y460" s="97">
        <v>437.63571428571424</v>
      </c>
    </row>
    <row r="461" spans="1:25">
      <c r="A461" s="58">
        <v>461</v>
      </c>
      <c r="B461" s="58">
        <v>461</v>
      </c>
      <c r="C461" s="58" t="s">
        <v>924</v>
      </c>
      <c r="D461" s="58" t="s">
        <v>215</v>
      </c>
      <c r="E461" s="58" t="s">
        <v>215</v>
      </c>
      <c r="F461" s="58" t="s">
        <v>925</v>
      </c>
      <c r="G461" s="58" t="s">
        <v>926</v>
      </c>
      <c r="H461" s="58" t="s">
        <v>179</v>
      </c>
      <c r="I461">
        <v>38000</v>
      </c>
      <c r="J461">
        <v>38000</v>
      </c>
      <c r="K461" s="58" t="s">
        <v>185</v>
      </c>
      <c r="L461" s="74">
        <v>4.2249999999999996</v>
      </c>
      <c r="M461" s="85">
        <v>5</v>
      </c>
      <c r="N461" s="74">
        <v>0.38300000000000001</v>
      </c>
      <c r="O461">
        <v>2</v>
      </c>
      <c r="P461" s="84">
        <v>0.38300000000000001</v>
      </c>
      <c r="Q461" s="86">
        <v>4.2</v>
      </c>
      <c r="R461" s="85">
        <v>4.2</v>
      </c>
      <c r="S461" s="87">
        <v>699140</v>
      </c>
      <c r="T461" s="1">
        <v>4</v>
      </c>
      <c r="U461" s="88">
        <v>166461.90476190476</v>
      </c>
      <c r="V461" s="59">
        <v>6.0073804960379897</v>
      </c>
      <c r="X461" s="98">
        <v>4.2</v>
      </c>
      <c r="Y461" s="97">
        <v>183.19285714285712</v>
      </c>
    </row>
    <row r="462" spans="1:25">
      <c r="A462" s="58">
        <v>462</v>
      </c>
      <c r="B462" s="58">
        <v>462</v>
      </c>
      <c r="C462" s="58" t="s">
        <v>927</v>
      </c>
      <c r="D462" s="58" t="s">
        <v>176</v>
      </c>
      <c r="E462" s="58" t="s">
        <v>176</v>
      </c>
      <c r="F462" s="58" t="s">
        <v>928</v>
      </c>
      <c r="G462" s="58" t="s">
        <v>929</v>
      </c>
      <c r="H462" s="58" t="s">
        <v>199</v>
      </c>
      <c r="I462">
        <v>110000</v>
      </c>
      <c r="J462">
        <v>110000</v>
      </c>
      <c r="K462">
        <v>38000</v>
      </c>
      <c r="L462" s="74">
        <v>6.5259999999999998</v>
      </c>
      <c r="M462" s="85">
        <v>7</v>
      </c>
      <c r="N462" s="74">
        <v>0.113</v>
      </c>
      <c r="O462">
        <v>2</v>
      </c>
      <c r="P462" s="84">
        <v>0.113</v>
      </c>
      <c r="Q462" s="86">
        <v>4.2</v>
      </c>
      <c r="R462" s="85">
        <v>4.2</v>
      </c>
      <c r="S462" s="87">
        <v>1785370</v>
      </c>
      <c r="T462" s="1">
        <v>7</v>
      </c>
      <c r="U462" s="88">
        <v>425088.09523809521</v>
      </c>
      <c r="V462" s="59">
        <v>2.3524535530450272</v>
      </c>
      <c r="X462" s="98">
        <v>4.2</v>
      </c>
      <c r="Y462" s="97">
        <v>166.46190476190475</v>
      </c>
    </row>
    <row r="463" spans="1:25">
      <c r="A463" s="58">
        <v>463</v>
      </c>
      <c r="B463" s="58">
        <v>463</v>
      </c>
      <c r="C463" s="58" t="s">
        <v>930</v>
      </c>
      <c r="D463" s="58" t="s">
        <v>450</v>
      </c>
      <c r="E463" s="58" t="s">
        <v>450</v>
      </c>
      <c r="F463" s="58" t="s">
        <v>931</v>
      </c>
      <c r="G463" s="58" t="s">
        <v>932</v>
      </c>
      <c r="H463" s="58" t="s">
        <v>199</v>
      </c>
      <c r="I463">
        <v>110000</v>
      </c>
      <c r="J463">
        <v>20000</v>
      </c>
      <c r="K463">
        <v>110000</v>
      </c>
      <c r="L463" s="74">
        <v>5.9859999999999998</v>
      </c>
      <c r="M463" s="85">
        <v>6</v>
      </c>
      <c r="N463" s="74">
        <v>0.28499999999999998</v>
      </c>
      <c r="O463">
        <v>2</v>
      </c>
      <c r="P463" s="84">
        <v>0.28499999999999998</v>
      </c>
      <c r="Q463" s="86">
        <v>4.2</v>
      </c>
      <c r="R463" s="85">
        <v>4.2</v>
      </c>
      <c r="S463" s="87">
        <v>1732670</v>
      </c>
      <c r="T463" s="1">
        <v>7</v>
      </c>
      <c r="U463" s="88">
        <v>412540.47619047615</v>
      </c>
      <c r="V463" s="59">
        <v>2.4240045709800482</v>
      </c>
      <c r="X463" s="98">
        <v>4.2</v>
      </c>
      <c r="Y463" s="97">
        <v>425.08809523809521</v>
      </c>
    </row>
    <row r="464" spans="1:25">
      <c r="A464" s="58">
        <v>464</v>
      </c>
      <c r="B464" s="58">
        <v>464</v>
      </c>
      <c r="C464" s="58" t="s">
        <v>933</v>
      </c>
      <c r="D464" s="58" t="s">
        <v>234</v>
      </c>
      <c r="E464" s="58" t="s">
        <v>234</v>
      </c>
      <c r="F464" s="58" t="s">
        <v>524</v>
      </c>
      <c r="G464" s="58" t="s">
        <v>525</v>
      </c>
      <c r="H464" s="58" t="s">
        <v>179</v>
      </c>
      <c r="I464">
        <v>38000</v>
      </c>
      <c r="L464" s="74">
        <v>6.1689999999999996</v>
      </c>
      <c r="M464" s="85">
        <v>7</v>
      </c>
      <c r="N464" s="74">
        <v>0.19600000000000001</v>
      </c>
      <c r="O464">
        <v>2</v>
      </c>
      <c r="P464" s="84">
        <v>0.19600000000000001</v>
      </c>
      <c r="Q464" s="86">
        <v>4.2</v>
      </c>
      <c r="R464" s="85">
        <v>4.2</v>
      </c>
      <c r="S464" s="87">
        <v>839680</v>
      </c>
      <c r="T464" s="1">
        <v>4</v>
      </c>
      <c r="U464" s="88">
        <v>199923.80952380953</v>
      </c>
      <c r="V464" s="59">
        <v>5.0019054878048781</v>
      </c>
      <c r="X464" s="98">
        <v>4.2</v>
      </c>
      <c r="Y464" s="97">
        <v>412.54047619047617</v>
      </c>
    </row>
    <row r="465" spans="1:25">
      <c r="A465" s="58">
        <v>465</v>
      </c>
      <c r="B465" s="58">
        <v>465</v>
      </c>
      <c r="C465" s="58" t="s">
        <v>934</v>
      </c>
      <c r="D465" s="58" t="s">
        <v>234</v>
      </c>
      <c r="E465" s="58" t="s">
        <v>234</v>
      </c>
      <c r="F465" s="58" t="s">
        <v>935</v>
      </c>
      <c r="G465" s="58" t="s">
        <v>936</v>
      </c>
      <c r="H465" s="58" t="s">
        <v>179</v>
      </c>
      <c r="I465">
        <v>38000</v>
      </c>
      <c r="J465">
        <v>38000</v>
      </c>
      <c r="K465" s="58" t="s">
        <v>185</v>
      </c>
      <c r="L465" s="74">
        <v>6.835</v>
      </c>
      <c r="M465" s="85">
        <v>7</v>
      </c>
      <c r="N465" s="74">
        <v>0.108</v>
      </c>
      <c r="O465">
        <v>2</v>
      </c>
      <c r="P465" s="84">
        <v>0.108</v>
      </c>
      <c r="Q465" s="86">
        <v>4.2</v>
      </c>
      <c r="R465" s="85">
        <v>4.2</v>
      </c>
      <c r="S465" s="87">
        <v>839680</v>
      </c>
      <c r="T465" s="1">
        <v>4</v>
      </c>
      <c r="U465" s="88">
        <v>199923.80952380953</v>
      </c>
      <c r="V465" s="59">
        <v>5.0019054878048781</v>
      </c>
      <c r="X465" s="98">
        <v>4.2</v>
      </c>
      <c r="Y465" s="97">
        <v>199.92380952380952</v>
      </c>
    </row>
    <row r="466" spans="1:25">
      <c r="A466" s="58">
        <v>466</v>
      </c>
      <c r="B466" s="58">
        <v>466</v>
      </c>
      <c r="C466" s="58" t="s">
        <v>937</v>
      </c>
      <c r="D466" s="58" t="s">
        <v>234</v>
      </c>
      <c r="E466" s="58" t="s">
        <v>234</v>
      </c>
      <c r="F466" s="58" t="s">
        <v>938</v>
      </c>
      <c r="G466" s="58" t="s">
        <v>939</v>
      </c>
      <c r="H466" s="58" t="s">
        <v>179</v>
      </c>
      <c r="I466">
        <v>38000</v>
      </c>
      <c r="J466">
        <v>38000</v>
      </c>
      <c r="K466" s="58" t="s">
        <v>185</v>
      </c>
      <c r="L466" s="74">
        <v>11.055999999999999</v>
      </c>
      <c r="M466" s="85">
        <v>12</v>
      </c>
      <c r="N466" s="74">
        <v>0.16600000000000001</v>
      </c>
      <c r="O466">
        <v>2</v>
      </c>
      <c r="P466" s="84">
        <v>0.16600000000000001</v>
      </c>
      <c r="Q466" s="86">
        <v>4.2</v>
      </c>
      <c r="R466" s="85">
        <v>4.2</v>
      </c>
      <c r="S466" s="87">
        <v>1492540</v>
      </c>
      <c r="T466" s="1">
        <v>1</v>
      </c>
      <c r="U466" s="88">
        <v>355366.66666666663</v>
      </c>
      <c r="V466" s="59">
        <v>2.8139949348091173</v>
      </c>
      <c r="X466" s="98">
        <v>4.2</v>
      </c>
      <c r="Y466" s="97">
        <v>199.92380952380952</v>
      </c>
    </row>
    <row r="467" spans="1:25">
      <c r="A467" s="58">
        <v>467</v>
      </c>
      <c r="B467" s="58">
        <v>467</v>
      </c>
      <c r="C467" s="58" t="s">
        <v>940</v>
      </c>
      <c r="D467" s="58" t="s">
        <v>346</v>
      </c>
      <c r="E467" s="58" t="s">
        <v>346</v>
      </c>
      <c r="F467" s="58" t="s">
        <v>941</v>
      </c>
      <c r="G467" s="58" t="s">
        <v>942</v>
      </c>
      <c r="H467" s="58" t="s">
        <v>179</v>
      </c>
      <c r="I467">
        <v>38000</v>
      </c>
      <c r="J467">
        <v>38000</v>
      </c>
      <c r="K467">
        <v>10000</v>
      </c>
      <c r="L467" s="74">
        <v>6.0990000000000002</v>
      </c>
      <c r="M467" s="85">
        <v>7</v>
      </c>
      <c r="N467" s="74">
        <v>0.13700000000000001</v>
      </c>
      <c r="O467">
        <v>2</v>
      </c>
      <c r="P467" s="84">
        <v>0.13700000000000001</v>
      </c>
      <c r="Q467" s="86">
        <v>4.2</v>
      </c>
      <c r="R467" s="85">
        <v>4.2</v>
      </c>
      <c r="S467" s="87">
        <v>839680</v>
      </c>
      <c r="T467" s="1">
        <v>4</v>
      </c>
      <c r="U467" s="88">
        <v>199923.80952380953</v>
      </c>
      <c r="V467" s="59">
        <v>5.0019054878048781</v>
      </c>
      <c r="X467" s="98">
        <v>4.2</v>
      </c>
      <c r="Y467" s="97">
        <v>355.36666666666662</v>
      </c>
    </row>
    <row r="468" spans="1:25">
      <c r="A468" s="58">
        <v>468</v>
      </c>
      <c r="B468" s="58">
        <v>468</v>
      </c>
      <c r="C468" s="58" t="s">
        <v>943</v>
      </c>
      <c r="D468" s="58" t="s">
        <v>346</v>
      </c>
      <c r="E468" s="58" t="s">
        <v>346</v>
      </c>
      <c r="F468" s="58" t="s">
        <v>941</v>
      </c>
      <c r="G468" s="58" t="s">
        <v>942</v>
      </c>
      <c r="H468" s="58" t="s">
        <v>179</v>
      </c>
      <c r="I468">
        <v>38000</v>
      </c>
      <c r="J468">
        <v>38000</v>
      </c>
      <c r="K468">
        <v>10000</v>
      </c>
      <c r="L468" s="74">
        <v>3.0859999999999999</v>
      </c>
      <c r="M468" s="85">
        <v>4</v>
      </c>
      <c r="N468" s="74">
        <v>0.157</v>
      </c>
      <c r="O468">
        <v>2</v>
      </c>
      <c r="P468" s="84">
        <v>0.157</v>
      </c>
      <c r="Q468" s="86">
        <v>4.2</v>
      </c>
      <c r="R468" s="85">
        <v>4.2</v>
      </c>
      <c r="S468" s="87">
        <v>628870</v>
      </c>
      <c r="T468" s="1">
        <v>4</v>
      </c>
      <c r="U468" s="88">
        <v>149730.95238095237</v>
      </c>
      <c r="V468" s="59">
        <v>6.6786458250512828</v>
      </c>
      <c r="X468" s="98">
        <v>4.2</v>
      </c>
      <c r="Y468" s="97">
        <v>199.92380952380952</v>
      </c>
    </row>
    <row r="469" spans="1:25">
      <c r="A469" s="58">
        <v>469</v>
      </c>
      <c r="B469" s="58">
        <v>469</v>
      </c>
      <c r="C469" s="58" t="s">
        <v>944</v>
      </c>
      <c r="D469" s="58" t="s">
        <v>346</v>
      </c>
      <c r="E469" s="58" t="s">
        <v>234</v>
      </c>
      <c r="F469" s="58" t="s">
        <v>945</v>
      </c>
      <c r="G469" s="58" t="s">
        <v>946</v>
      </c>
      <c r="H469" s="58" t="s">
        <v>179</v>
      </c>
      <c r="I469">
        <v>38000</v>
      </c>
      <c r="J469">
        <v>38000</v>
      </c>
      <c r="K469" s="58" t="s">
        <v>185</v>
      </c>
      <c r="L469" s="74">
        <v>8.7240000000000002</v>
      </c>
      <c r="M469" s="85">
        <v>9</v>
      </c>
      <c r="N469" s="74">
        <v>0.28000000000000003</v>
      </c>
      <c r="O469">
        <v>2</v>
      </c>
      <c r="P469" s="84">
        <v>0.28000000000000003</v>
      </c>
      <c r="Q469" s="86">
        <v>4.2</v>
      </c>
      <c r="R469" s="85">
        <v>4.2</v>
      </c>
      <c r="S469" s="87">
        <v>1334440</v>
      </c>
      <c r="T469" s="1">
        <v>1</v>
      </c>
      <c r="U469" s="88">
        <v>317723.80952380953</v>
      </c>
      <c r="V469" s="59">
        <v>3.1473876682353645</v>
      </c>
      <c r="X469" s="98">
        <v>4.2</v>
      </c>
      <c r="Y469" s="97">
        <v>149.73095238095235</v>
      </c>
    </row>
    <row r="470" spans="1:25">
      <c r="A470" s="58">
        <v>470</v>
      </c>
      <c r="B470" s="58">
        <v>470</v>
      </c>
      <c r="C470" s="58" t="s">
        <v>947</v>
      </c>
      <c r="D470" s="58" t="s">
        <v>234</v>
      </c>
      <c r="E470" s="58" t="s">
        <v>234</v>
      </c>
      <c r="F470" s="58" t="s">
        <v>630</v>
      </c>
      <c r="G470" s="58" t="s">
        <v>631</v>
      </c>
      <c r="H470" s="58" t="s">
        <v>179</v>
      </c>
      <c r="I470">
        <v>38000</v>
      </c>
      <c r="J470" s="58" t="s">
        <v>185</v>
      </c>
      <c r="K470">
        <v>38000</v>
      </c>
      <c r="L470" s="74">
        <v>11.465999999999999</v>
      </c>
      <c r="M470" s="85">
        <v>12</v>
      </c>
      <c r="N470" s="74">
        <v>0.13</v>
      </c>
      <c r="O470">
        <v>2</v>
      </c>
      <c r="P470" s="84">
        <v>0.13</v>
      </c>
      <c r="Q470" s="86">
        <v>4.2</v>
      </c>
      <c r="R470" s="85">
        <v>4.2</v>
      </c>
      <c r="S470" s="87">
        <v>1492540</v>
      </c>
      <c r="T470" s="1">
        <v>1</v>
      </c>
      <c r="U470" s="88">
        <v>355366.66666666663</v>
      </c>
      <c r="V470" s="59">
        <v>2.8139949348091173</v>
      </c>
      <c r="X470" s="98">
        <v>4.2</v>
      </c>
      <c r="Y470" s="97">
        <v>317.72380952380951</v>
      </c>
    </row>
    <row r="471" spans="1:25">
      <c r="A471" s="58">
        <v>471</v>
      </c>
      <c r="B471" s="58">
        <v>471</v>
      </c>
      <c r="C471" s="58" t="s">
        <v>948</v>
      </c>
      <c r="D471" s="58" t="s">
        <v>182</v>
      </c>
      <c r="E471" s="58" t="s">
        <v>182</v>
      </c>
      <c r="F471" s="58" t="s">
        <v>949</v>
      </c>
      <c r="G471" s="58" t="s">
        <v>950</v>
      </c>
      <c r="H471" s="58" t="s">
        <v>179</v>
      </c>
      <c r="I471">
        <v>38000</v>
      </c>
      <c r="J471">
        <v>38000</v>
      </c>
      <c r="K471">
        <v>20000</v>
      </c>
      <c r="L471" s="74">
        <v>6.6040000000000001</v>
      </c>
      <c r="M471" s="85">
        <v>7</v>
      </c>
      <c r="N471" s="74">
        <v>0.214</v>
      </c>
      <c r="O471">
        <v>2</v>
      </c>
      <c r="P471" s="84">
        <v>0.214</v>
      </c>
      <c r="Q471" s="86">
        <v>4.2</v>
      </c>
      <c r="R471" s="85">
        <v>4.2</v>
      </c>
      <c r="S471" s="87">
        <v>839680</v>
      </c>
      <c r="T471" s="1">
        <v>4</v>
      </c>
      <c r="U471" s="88">
        <v>199923.80952380953</v>
      </c>
      <c r="V471" s="59">
        <v>5.0019054878048781</v>
      </c>
      <c r="X471" s="98">
        <v>4.2</v>
      </c>
      <c r="Y471" s="97">
        <v>355.36666666666662</v>
      </c>
    </row>
    <row r="472" spans="1:25">
      <c r="A472" s="58">
        <v>472</v>
      </c>
      <c r="B472" s="58">
        <v>472</v>
      </c>
      <c r="C472" s="58" t="s">
        <v>951</v>
      </c>
      <c r="D472" s="58" t="s">
        <v>182</v>
      </c>
      <c r="E472" s="58" t="s">
        <v>182</v>
      </c>
      <c r="F472" s="58" t="s">
        <v>949</v>
      </c>
      <c r="G472" s="58" t="s">
        <v>950</v>
      </c>
      <c r="H472" s="58" t="s">
        <v>179</v>
      </c>
      <c r="I472">
        <v>38000</v>
      </c>
      <c r="J472">
        <v>38000</v>
      </c>
      <c r="K472">
        <v>20000</v>
      </c>
      <c r="L472" s="74">
        <v>7.383</v>
      </c>
      <c r="M472" s="85">
        <v>8</v>
      </c>
      <c r="N472" s="74">
        <v>0.10299999999999999</v>
      </c>
      <c r="O472">
        <v>2</v>
      </c>
      <c r="P472" s="84">
        <v>0.10299999999999999</v>
      </c>
      <c r="Q472" s="86">
        <v>4.2</v>
      </c>
      <c r="R472" s="85">
        <v>4.2</v>
      </c>
      <c r="S472" s="87">
        <v>909950</v>
      </c>
      <c r="T472" s="1">
        <v>4</v>
      </c>
      <c r="U472" s="88">
        <v>216654.76190476189</v>
      </c>
      <c r="V472" s="59">
        <v>4.6156382218803227</v>
      </c>
      <c r="X472" s="98">
        <v>4.2</v>
      </c>
      <c r="Y472" s="97">
        <v>199.92380952380952</v>
      </c>
    </row>
    <row r="473" spans="1:25">
      <c r="A473" s="58">
        <v>473</v>
      </c>
      <c r="B473" s="58">
        <v>473</v>
      </c>
      <c r="C473" s="58" t="s">
        <v>952</v>
      </c>
      <c r="D473" s="58" t="s">
        <v>182</v>
      </c>
      <c r="E473" s="58" t="s">
        <v>182</v>
      </c>
      <c r="F473" s="58" t="s">
        <v>949</v>
      </c>
      <c r="G473" s="58" t="s">
        <v>950</v>
      </c>
      <c r="H473" s="58" t="s">
        <v>179</v>
      </c>
      <c r="I473">
        <v>38000</v>
      </c>
      <c r="J473">
        <v>38000</v>
      </c>
      <c r="K473">
        <v>20000</v>
      </c>
      <c r="L473" s="74">
        <v>7.0789999999999997</v>
      </c>
      <c r="M473" s="85">
        <v>8</v>
      </c>
      <c r="N473" s="74">
        <v>0.124</v>
      </c>
      <c r="O473">
        <v>2</v>
      </c>
      <c r="P473" s="84">
        <v>0.124</v>
      </c>
      <c r="Q473" s="86">
        <v>4.2</v>
      </c>
      <c r="R473" s="85">
        <v>4.2</v>
      </c>
      <c r="S473" s="87">
        <v>909950</v>
      </c>
      <c r="T473" s="1">
        <v>4</v>
      </c>
      <c r="U473" s="88">
        <v>216654.76190476189</v>
      </c>
      <c r="V473" s="59">
        <v>4.6156382218803227</v>
      </c>
      <c r="X473" s="98">
        <v>4.2</v>
      </c>
      <c r="Y473" s="97">
        <v>216.6547619047619</v>
      </c>
    </row>
    <row r="474" spans="1:25">
      <c r="A474" s="58">
        <v>474</v>
      </c>
      <c r="B474" s="58">
        <v>474</v>
      </c>
      <c r="C474" s="58" t="s">
        <v>953</v>
      </c>
      <c r="D474" s="58" t="s">
        <v>234</v>
      </c>
      <c r="E474" s="58" t="s">
        <v>234</v>
      </c>
      <c r="F474" s="58" t="s">
        <v>337</v>
      </c>
      <c r="G474" s="58" t="s">
        <v>338</v>
      </c>
      <c r="H474" s="58" t="s">
        <v>179</v>
      </c>
      <c r="I474">
        <v>38000</v>
      </c>
      <c r="J474">
        <v>38000</v>
      </c>
      <c r="K474" s="58" t="s">
        <v>185</v>
      </c>
      <c r="L474" s="74">
        <v>5.9829999999999997</v>
      </c>
      <c r="M474" s="85">
        <v>6</v>
      </c>
      <c r="N474" s="74">
        <v>0.20799999999999999</v>
      </c>
      <c r="O474">
        <v>2</v>
      </c>
      <c r="P474" s="84">
        <v>0.20799999999999999</v>
      </c>
      <c r="Q474" s="86">
        <v>4.2</v>
      </c>
      <c r="R474" s="85">
        <v>4.2</v>
      </c>
      <c r="S474" s="87">
        <v>769410</v>
      </c>
      <c r="T474" s="1">
        <v>4</v>
      </c>
      <c r="U474" s="88">
        <v>183192.85714285713</v>
      </c>
      <c r="V474" s="59">
        <v>5.4587281163488903</v>
      </c>
      <c r="X474" s="98">
        <v>4.2</v>
      </c>
      <c r="Y474" s="97">
        <v>216.6547619047619</v>
      </c>
    </row>
    <row r="475" spans="1:25">
      <c r="A475" s="58">
        <v>475</v>
      </c>
      <c r="B475" s="58">
        <v>475</v>
      </c>
      <c r="C475" s="58" t="s">
        <v>954</v>
      </c>
      <c r="D475" s="58" t="s">
        <v>253</v>
      </c>
      <c r="E475" s="58" t="s">
        <v>253</v>
      </c>
      <c r="F475" s="58" t="s">
        <v>254</v>
      </c>
      <c r="G475" s="58" t="s">
        <v>255</v>
      </c>
      <c r="H475" s="58" t="s">
        <v>179</v>
      </c>
      <c r="I475">
        <v>38000</v>
      </c>
      <c r="J475">
        <v>38000</v>
      </c>
      <c r="K475" s="58" t="s">
        <v>185</v>
      </c>
      <c r="L475" s="74">
        <v>1.639</v>
      </c>
      <c r="M475" s="85">
        <v>2</v>
      </c>
      <c r="N475" s="74">
        <v>0.222</v>
      </c>
      <c r="O475">
        <v>2</v>
      </c>
      <c r="P475" s="84">
        <v>0.222</v>
      </c>
      <c r="Q475" s="86">
        <v>4.2</v>
      </c>
      <c r="R475" s="85">
        <v>4.2</v>
      </c>
      <c r="S475" s="87">
        <v>488330</v>
      </c>
      <c r="T475" s="1">
        <v>4</v>
      </c>
      <c r="U475" s="88">
        <v>116269.04761904762</v>
      </c>
      <c r="V475" s="59">
        <v>8.6007413019884087</v>
      </c>
      <c r="X475" s="98">
        <v>4.2</v>
      </c>
      <c r="Y475" s="97">
        <v>183.19285714285712</v>
      </c>
    </row>
    <row r="476" spans="1:25">
      <c r="A476" s="58">
        <v>476</v>
      </c>
      <c r="B476" s="58">
        <v>476</v>
      </c>
      <c r="C476" s="58" t="s">
        <v>955</v>
      </c>
      <c r="D476" s="58" t="s">
        <v>182</v>
      </c>
      <c r="E476" s="58" t="s">
        <v>182</v>
      </c>
      <c r="F476" s="58" t="s">
        <v>956</v>
      </c>
      <c r="G476" s="58" t="s">
        <v>957</v>
      </c>
      <c r="H476" s="58" t="s">
        <v>179</v>
      </c>
      <c r="I476">
        <v>38000</v>
      </c>
      <c r="J476">
        <v>38000</v>
      </c>
      <c r="K476" s="58" t="s">
        <v>185</v>
      </c>
      <c r="L476" s="74">
        <v>6.7130000000000001</v>
      </c>
      <c r="M476" s="85">
        <v>7</v>
      </c>
      <c r="N476" s="74">
        <v>0.34300000000000003</v>
      </c>
      <c r="O476">
        <v>2</v>
      </c>
      <c r="P476" s="84">
        <v>0.34300000000000003</v>
      </c>
      <c r="Q476" s="86">
        <v>4.2</v>
      </c>
      <c r="R476" s="85">
        <v>4.2</v>
      </c>
      <c r="S476" s="87">
        <v>839680</v>
      </c>
      <c r="T476" s="1">
        <v>4</v>
      </c>
      <c r="U476" s="88">
        <v>199923.80952380953</v>
      </c>
      <c r="V476" s="59">
        <v>5.0019054878048781</v>
      </c>
      <c r="X476" s="98">
        <v>4.2</v>
      </c>
      <c r="Y476" s="97">
        <v>116.26904761904763</v>
      </c>
    </row>
    <row r="477" spans="1:25">
      <c r="A477" s="58">
        <v>477</v>
      </c>
      <c r="B477" s="58">
        <v>477</v>
      </c>
      <c r="C477" s="58" t="s">
        <v>958</v>
      </c>
      <c r="D477" s="58" t="s">
        <v>234</v>
      </c>
      <c r="E477" s="58" t="s">
        <v>234</v>
      </c>
      <c r="F477" s="58" t="s">
        <v>959</v>
      </c>
      <c r="G477" s="58" t="s">
        <v>960</v>
      </c>
      <c r="H477" s="58" t="s">
        <v>179</v>
      </c>
      <c r="I477">
        <v>38000</v>
      </c>
      <c r="J477">
        <v>38000</v>
      </c>
      <c r="K477" s="58" t="s">
        <v>185</v>
      </c>
      <c r="L477" s="74">
        <v>8.2119999999999997</v>
      </c>
      <c r="M477" s="85">
        <v>9</v>
      </c>
      <c r="N477" s="74">
        <v>0.38500000000000001</v>
      </c>
      <c r="O477">
        <v>2</v>
      </c>
      <c r="P477" s="84">
        <v>0.38500000000000001</v>
      </c>
      <c r="Q477" s="86">
        <v>4.2</v>
      </c>
      <c r="R477" s="85">
        <v>4.2</v>
      </c>
      <c r="S477" s="87">
        <v>1334440</v>
      </c>
      <c r="T477" s="1">
        <v>1</v>
      </c>
      <c r="U477" s="88">
        <v>317723.80952380953</v>
      </c>
      <c r="V477" s="59">
        <v>3.1473876682353645</v>
      </c>
      <c r="X477" s="98">
        <v>4.2</v>
      </c>
      <c r="Y477" s="97">
        <v>199.92380952380952</v>
      </c>
    </row>
    <row r="478" spans="1:25">
      <c r="A478" s="58">
        <v>478</v>
      </c>
      <c r="B478" s="58">
        <v>478</v>
      </c>
      <c r="C478" s="58" t="s">
        <v>961</v>
      </c>
      <c r="D478" s="58" t="s">
        <v>234</v>
      </c>
      <c r="E478" s="58" t="s">
        <v>234</v>
      </c>
      <c r="F478" s="58" t="s">
        <v>935</v>
      </c>
      <c r="G478" s="58" t="s">
        <v>936</v>
      </c>
      <c r="H478" s="58" t="s">
        <v>179</v>
      </c>
      <c r="I478">
        <v>38000</v>
      </c>
      <c r="J478">
        <v>38000</v>
      </c>
      <c r="K478" s="58" t="s">
        <v>185</v>
      </c>
      <c r="L478" s="74">
        <v>6.7439999999999998</v>
      </c>
      <c r="M478" s="85">
        <v>7</v>
      </c>
      <c r="N478" s="74">
        <v>0.21099999999999999</v>
      </c>
      <c r="O478">
        <v>2</v>
      </c>
      <c r="P478" s="84">
        <v>0.21099999999999999</v>
      </c>
      <c r="Q478" s="86">
        <v>4.2</v>
      </c>
      <c r="R478" s="85">
        <v>4.2</v>
      </c>
      <c r="S478" s="87">
        <v>839680</v>
      </c>
      <c r="T478" s="1">
        <v>4</v>
      </c>
      <c r="U478" s="88">
        <v>199923.80952380953</v>
      </c>
      <c r="V478" s="59">
        <v>5.0019054878048781</v>
      </c>
      <c r="X478" s="98">
        <v>4.2</v>
      </c>
      <c r="Y478" s="97">
        <v>317.72380952380951</v>
      </c>
    </row>
    <row r="479" spans="1:25">
      <c r="A479" s="58">
        <v>479</v>
      </c>
      <c r="B479" s="58">
        <v>479</v>
      </c>
      <c r="C479" s="58" t="s">
        <v>962</v>
      </c>
      <c r="D479" s="58" t="s">
        <v>234</v>
      </c>
      <c r="E479" s="58" t="s">
        <v>234</v>
      </c>
      <c r="F479" s="58" t="s">
        <v>935</v>
      </c>
      <c r="G479" s="58" t="s">
        <v>936</v>
      </c>
      <c r="H479" s="58" t="s">
        <v>179</v>
      </c>
      <c r="I479">
        <v>38000</v>
      </c>
      <c r="J479">
        <v>38000</v>
      </c>
      <c r="K479" s="58" t="s">
        <v>185</v>
      </c>
      <c r="L479" s="74">
        <v>7.2919999999999998</v>
      </c>
      <c r="M479" s="85">
        <v>8</v>
      </c>
      <c r="N479" s="74">
        <v>0.27400000000000002</v>
      </c>
      <c r="O479">
        <v>2</v>
      </c>
      <c r="P479" s="84">
        <v>0.27400000000000002</v>
      </c>
      <c r="Q479" s="86">
        <v>4.2</v>
      </c>
      <c r="R479" s="85">
        <v>4.2</v>
      </c>
      <c r="S479" s="87">
        <v>909950</v>
      </c>
      <c r="T479" s="1">
        <v>4</v>
      </c>
      <c r="U479" s="88">
        <v>216654.76190476189</v>
      </c>
      <c r="V479" s="59">
        <v>4.6156382218803227</v>
      </c>
      <c r="X479" s="98">
        <v>4.2</v>
      </c>
      <c r="Y479" s="97">
        <v>199.92380952380952</v>
      </c>
    </row>
    <row r="480" spans="1:25">
      <c r="A480" s="58">
        <v>480</v>
      </c>
      <c r="B480" s="58">
        <v>480</v>
      </c>
      <c r="C480" s="58" t="s">
        <v>963</v>
      </c>
      <c r="D480" s="58" t="s">
        <v>187</v>
      </c>
      <c r="E480" s="58" t="s">
        <v>187</v>
      </c>
      <c r="F480" s="58" t="s">
        <v>531</v>
      </c>
      <c r="G480" s="58" t="s">
        <v>532</v>
      </c>
      <c r="H480" s="58" t="s">
        <v>179</v>
      </c>
      <c r="I480">
        <v>38000</v>
      </c>
      <c r="J480">
        <v>38000</v>
      </c>
      <c r="K480" s="58" t="s">
        <v>185</v>
      </c>
      <c r="L480" s="74">
        <v>6.06</v>
      </c>
      <c r="M480" s="85">
        <v>7</v>
      </c>
      <c r="N480" s="74">
        <v>0.13400000000000001</v>
      </c>
      <c r="O480">
        <v>2</v>
      </c>
      <c r="P480" s="84">
        <v>0.13400000000000001</v>
      </c>
      <c r="Q480" s="86">
        <v>4.2</v>
      </c>
      <c r="R480" s="85">
        <v>4.2</v>
      </c>
      <c r="S480" s="87">
        <v>839680</v>
      </c>
      <c r="T480" s="1">
        <v>4</v>
      </c>
      <c r="U480" s="88">
        <v>199923.80952380953</v>
      </c>
      <c r="V480" s="59">
        <v>5.0019054878048781</v>
      </c>
      <c r="X480" s="98">
        <v>4.2</v>
      </c>
      <c r="Y480" s="97">
        <v>216.6547619047619</v>
      </c>
    </row>
    <row r="481" spans="1:25">
      <c r="A481" s="58">
        <v>481</v>
      </c>
      <c r="B481" s="58">
        <v>481</v>
      </c>
      <c r="C481" s="58" t="s">
        <v>964</v>
      </c>
      <c r="D481" s="58" t="s">
        <v>182</v>
      </c>
      <c r="E481" s="58" t="s">
        <v>182</v>
      </c>
      <c r="F481" s="58" t="s">
        <v>183</v>
      </c>
      <c r="G481" s="58" t="s">
        <v>184</v>
      </c>
      <c r="H481" s="58" t="s">
        <v>179</v>
      </c>
      <c r="I481">
        <v>38000</v>
      </c>
      <c r="J481">
        <v>38000</v>
      </c>
      <c r="K481" s="58" t="s">
        <v>185</v>
      </c>
      <c r="L481" s="74">
        <v>9.3719999999999999</v>
      </c>
      <c r="M481" s="85">
        <v>10</v>
      </c>
      <c r="N481" s="74">
        <v>0.128</v>
      </c>
      <c r="O481">
        <v>2</v>
      </c>
      <c r="P481" s="84">
        <v>0.128</v>
      </c>
      <c r="Q481" s="86">
        <v>4.2</v>
      </c>
      <c r="R481" s="85">
        <v>4.2</v>
      </c>
      <c r="S481" s="87">
        <v>1387140</v>
      </c>
      <c r="T481" s="1">
        <v>1</v>
      </c>
      <c r="U481" s="88">
        <v>330271.42857142858</v>
      </c>
      <c r="V481" s="59">
        <v>3.0278126216531858</v>
      </c>
      <c r="X481" s="98">
        <v>4.2</v>
      </c>
      <c r="Y481" s="97">
        <v>199.92380952380952</v>
      </c>
    </row>
    <row r="482" spans="1:25">
      <c r="A482" s="58">
        <v>482</v>
      </c>
      <c r="B482" s="58">
        <v>482</v>
      </c>
      <c r="C482" s="58" t="s">
        <v>965</v>
      </c>
      <c r="D482" s="58" t="s">
        <v>234</v>
      </c>
      <c r="E482" s="58" t="s">
        <v>234</v>
      </c>
      <c r="F482" s="58" t="s">
        <v>326</v>
      </c>
      <c r="G482" s="58" t="s">
        <v>327</v>
      </c>
      <c r="H482" s="58" t="s">
        <v>199</v>
      </c>
      <c r="I482">
        <v>110000</v>
      </c>
      <c r="J482">
        <v>110000</v>
      </c>
      <c r="K482">
        <v>38000</v>
      </c>
      <c r="L482" s="74">
        <v>12.004</v>
      </c>
      <c r="M482" s="85">
        <v>13</v>
      </c>
      <c r="N482" s="74">
        <v>0.10299999999999999</v>
      </c>
      <c r="O482">
        <v>2</v>
      </c>
      <c r="P482" s="84">
        <v>0.10299999999999999</v>
      </c>
      <c r="Q482" s="86">
        <v>4.2</v>
      </c>
      <c r="R482" s="85">
        <v>4.2</v>
      </c>
      <c r="S482" s="87">
        <v>2101570</v>
      </c>
      <c r="T482" s="1">
        <v>7</v>
      </c>
      <c r="U482" s="88">
        <v>500373.80952380953</v>
      </c>
      <c r="V482" s="59">
        <v>1.9985058789381271</v>
      </c>
      <c r="X482" s="98">
        <v>4.2</v>
      </c>
      <c r="Y482" s="97">
        <v>330.2714285714286</v>
      </c>
    </row>
    <row r="483" spans="1:25">
      <c r="A483" s="58">
        <v>483</v>
      </c>
      <c r="B483" s="58">
        <v>483</v>
      </c>
      <c r="C483" s="58" t="s">
        <v>966</v>
      </c>
      <c r="D483" s="58" t="s">
        <v>346</v>
      </c>
      <c r="E483" s="58" t="s">
        <v>346</v>
      </c>
      <c r="F483" s="58" t="s">
        <v>646</v>
      </c>
      <c r="G483" s="58" t="s">
        <v>647</v>
      </c>
      <c r="H483" s="58" t="s">
        <v>179</v>
      </c>
      <c r="I483">
        <v>38000</v>
      </c>
      <c r="J483" s="58" t="s">
        <v>185</v>
      </c>
      <c r="K483">
        <v>38000</v>
      </c>
      <c r="L483" s="74">
        <v>8.5649999999999995</v>
      </c>
      <c r="M483" s="85">
        <v>9</v>
      </c>
      <c r="N483" s="74">
        <v>0.113</v>
      </c>
      <c r="O483">
        <v>2</v>
      </c>
      <c r="P483" s="84">
        <v>0.113</v>
      </c>
      <c r="Q483" s="86">
        <v>4.2</v>
      </c>
      <c r="R483" s="85">
        <v>4.2</v>
      </c>
      <c r="S483" s="87">
        <v>1334440</v>
      </c>
      <c r="T483" s="1">
        <v>1</v>
      </c>
      <c r="U483" s="88">
        <v>317723.80952380953</v>
      </c>
      <c r="V483" s="59">
        <v>3.1473876682353645</v>
      </c>
      <c r="X483" s="98">
        <v>4.2</v>
      </c>
      <c r="Y483" s="97">
        <v>500.37380952380948</v>
      </c>
    </row>
    <row r="484" spans="1:25">
      <c r="A484" s="58">
        <v>484</v>
      </c>
      <c r="B484" s="58">
        <v>484</v>
      </c>
      <c r="C484" s="58" t="s">
        <v>967</v>
      </c>
      <c r="D484" s="58" t="s">
        <v>234</v>
      </c>
      <c r="E484" s="58" t="s">
        <v>234</v>
      </c>
      <c r="F484" s="58" t="s">
        <v>595</v>
      </c>
      <c r="G484" s="58" t="s">
        <v>596</v>
      </c>
      <c r="H484" s="58" t="s">
        <v>179</v>
      </c>
      <c r="I484">
        <v>38000</v>
      </c>
      <c r="J484">
        <v>38000</v>
      </c>
      <c r="K484" s="58" t="s">
        <v>185</v>
      </c>
      <c r="L484" s="74">
        <v>5.78</v>
      </c>
      <c r="M484" s="85">
        <v>6</v>
      </c>
      <c r="N484" s="74">
        <v>0.109</v>
      </c>
      <c r="O484">
        <v>2</v>
      </c>
      <c r="P484" s="84">
        <v>0.109</v>
      </c>
      <c r="Q484" s="86">
        <v>4.2</v>
      </c>
      <c r="R484" s="85">
        <v>4.2</v>
      </c>
      <c r="S484" s="87">
        <v>769410</v>
      </c>
      <c r="T484" s="1">
        <v>4</v>
      </c>
      <c r="U484" s="88">
        <v>183192.85714285713</v>
      </c>
      <c r="V484" s="59">
        <v>5.4587281163488903</v>
      </c>
      <c r="X484" s="98">
        <v>4.2</v>
      </c>
      <c r="Y484" s="97">
        <v>317.72380952380951</v>
      </c>
    </row>
    <row r="485" spans="1:25">
      <c r="A485" s="58">
        <v>485</v>
      </c>
      <c r="B485" s="58">
        <v>485</v>
      </c>
      <c r="C485" s="58" t="s">
        <v>968</v>
      </c>
      <c r="D485" s="58" t="s">
        <v>187</v>
      </c>
      <c r="E485" s="58" t="s">
        <v>187</v>
      </c>
      <c r="F485" s="58" t="s">
        <v>435</v>
      </c>
      <c r="G485" s="58" t="s">
        <v>436</v>
      </c>
      <c r="H485" s="58" t="s">
        <v>199</v>
      </c>
      <c r="I485">
        <v>110000</v>
      </c>
      <c r="J485">
        <v>38000</v>
      </c>
      <c r="K485">
        <v>110000</v>
      </c>
      <c r="L485" s="74">
        <v>1.2789999999999999</v>
      </c>
      <c r="M485" s="85">
        <v>2</v>
      </c>
      <c r="N485" s="74">
        <v>0.32900000000000001</v>
      </c>
      <c r="O485">
        <v>2</v>
      </c>
      <c r="P485" s="84">
        <v>0.32900000000000001</v>
      </c>
      <c r="Q485" s="86">
        <v>4.2</v>
      </c>
      <c r="R485" s="85">
        <v>4.2</v>
      </c>
      <c r="S485" s="87">
        <v>1340080</v>
      </c>
      <c r="T485" s="1">
        <v>11</v>
      </c>
      <c r="U485" s="88">
        <v>319066.66666666663</v>
      </c>
      <c r="V485" s="59">
        <v>3.134141245298788</v>
      </c>
      <c r="X485" s="98">
        <v>4.2</v>
      </c>
      <c r="Y485" s="97">
        <v>183.19285714285712</v>
      </c>
    </row>
    <row r="486" spans="1:25">
      <c r="A486" s="58">
        <v>486</v>
      </c>
      <c r="B486" s="58">
        <v>486</v>
      </c>
      <c r="C486" s="58" t="s">
        <v>969</v>
      </c>
      <c r="D486" s="58" t="s">
        <v>234</v>
      </c>
      <c r="E486" s="58" t="s">
        <v>234</v>
      </c>
      <c r="F486" s="58" t="s">
        <v>630</v>
      </c>
      <c r="G486" s="58" t="s">
        <v>631</v>
      </c>
      <c r="H486" s="58" t="s">
        <v>179</v>
      </c>
      <c r="I486">
        <v>38000</v>
      </c>
      <c r="J486" s="58" t="s">
        <v>185</v>
      </c>
      <c r="K486">
        <v>38000</v>
      </c>
      <c r="L486" s="74">
        <v>1.8180000000000001</v>
      </c>
      <c r="M486" s="85">
        <v>2</v>
      </c>
      <c r="N486" s="74">
        <v>0.30099999999999999</v>
      </c>
      <c r="O486">
        <v>2</v>
      </c>
      <c r="P486" s="84">
        <v>0.30099999999999999</v>
      </c>
      <c r="Q486" s="86">
        <v>4.2</v>
      </c>
      <c r="R486" s="85">
        <v>4.2</v>
      </c>
      <c r="S486" s="87">
        <v>488330</v>
      </c>
      <c r="T486" s="1">
        <v>4</v>
      </c>
      <c r="U486" s="88">
        <v>116269.04761904762</v>
      </c>
      <c r="V486" s="59">
        <v>8.6007413019884087</v>
      </c>
      <c r="X486" s="98">
        <v>4.2</v>
      </c>
      <c r="Y486" s="97">
        <v>319.06666666666661</v>
      </c>
    </row>
    <row r="487" spans="1:25">
      <c r="A487" s="58">
        <v>487</v>
      </c>
      <c r="B487" s="58">
        <v>487</v>
      </c>
      <c r="C487" s="58" t="s">
        <v>970</v>
      </c>
      <c r="D487" s="58" t="s">
        <v>182</v>
      </c>
      <c r="E487" s="58" t="s">
        <v>182</v>
      </c>
      <c r="F487" s="58" t="s">
        <v>971</v>
      </c>
      <c r="G487" s="58" t="s">
        <v>972</v>
      </c>
      <c r="H487" s="58" t="s">
        <v>199</v>
      </c>
      <c r="I487">
        <v>110000</v>
      </c>
      <c r="J487">
        <v>110000</v>
      </c>
      <c r="K487">
        <v>38000</v>
      </c>
      <c r="L487" s="74">
        <v>9.6310000000000002</v>
      </c>
      <c r="M487" s="85">
        <v>10</v>
      </c>
      <c r="N487" s="74">
        <v>0.51700000000000002</v>
      </c>
      <c r="O487">
        <v>2</v>
      </c>
      <c r="P487" s="84">
        <v>0.51700000000000002</v>
      </c>
      <c r="Q487" s="86">
        <v>4.2</v>
      </c>
      <c r="R487" s="85">
        <v>4.2</v>
      </c>
      <c r="S487" s="87">
        <v>1943470</v>
      </c>
      <c r="T487" s="1">
        <v>7</v>
      </c>
      <c r="U487" s="88">
        <v>462730.95238095237</v>
      </c>
      <c r="V487" s="59">
        <v>2.1610830113148132</v>
      </c>
      <c r="X487" s="98">
        <v>4.2</v>
      </c>
      <c r="Y487" s="97">
        <v>116.26904761904763</v>
      </c>
    </row>
    <row r="488" spans="1:25">
      <c r="A488" s="58">
        <v>488</v>
      </c>
      <c r="B488" s="58">
        <v>488</v>
      </c>
      <c r="C488" s="58" t="s">
        <v>973</v>
      </c>
      <c r="D488" s="58" t="s">
        <v>215</v>
      </c>
      <c r="E488" s="58" t="s">
        <v>215</v>
      </c>
      <c r="F488" s="58" t="s">
        <v>724</v>
      </c>
      <c r="G488" s="58" t="s">
        <v>725</v>
      </c>
      <c r="H488" s="58" t="s">
        <v>179</v>
      </c>
      <c r="I488">
        <v>38000</v>
      </c>
      <c r="J488" s="58" t="s">
        <v>185</v>
      </c>
      <c r="K488">
        <v>38000</v>
      </c>
      <c r="L488" s="74">
        <v>2.3380000000000001</v>
      </c>
      <c r="M488" s="85">
        <v>3</v>
      </c>
      <c r="N488" s="74">
        <v>0.51200000000000001</v>
      </c>
      <c r="O488">
        <v>2</v>
      </c>
      <c r="P488" s="84">
        <v>0.51200000000000001</v>
      </c>
      <c r="Q488" s="86">
        <v>4.2</v>
      </c>
      <c r="R488" s="85">
        <v>4.2</v>
      </c>
      <c r="S488" s="87">
        <v>558600</v>
      </c>
      <c r="T488" s="1">
        <v>4</v>
      </c>
      <c r="U488" s="88">
        <v>133000</v>
      </c>
      <c r="V488" s="59">
        <v>7.518796992481203</v>
      </c>
      <c r="X488" s="98">
        <v>4.2</v>
      </c>
      <c r="Y488" s="97">
        <v>462.73095238095237</v>
      </c>
    </row>
    <row r="489" spans="1:25">
      <c r="A489" s="58">
        <v>489</v>
      </c>
      <c r="B489" s="58">
        <v>489</v>
      </c>
      <c r="C489" s="58" t="s">
        <v>974</v>
      </c>
      <c r="D489" s="58" t="s">
        <v>176</v>
      </c>
      <c r="E489" s="58" t="s">
        <v>176</v>
      </c>
      <c r="F489" s="58" t="s">
        <v>177</v>
      </c>
      <c r="G489" s="58" t="s">
        <v>178</v>
      </c>
      <c r="H489" s="58" t="s">
        <v>179</v>
      </c>
      <c r="I489">
        <v>38000</v>
      </c>
      <c r="J489">
        <v>38000</v>
      </c>
      <c r="K489">
        <v>20000</v>
      </c>
      <c r="L489" s="74">
        <v>10.234999999999999</v>
      </c>
      <c r="M489" s="85">
        <v>11</v>
      </c>
      <c r="N489" s="74">
        <v>0.48799999999999999</v>
      </c>
      <c r="O489">
        <v>2</v>
      </c>
      <c r="P489" s="84">
        <v>0.48799999999999999</v>
      </c>
      <c r="Q489" s="86">
        <v>4.2</v>
      </c>
      <c r="R489" s="85">
        <v>4.2</v>
      </c>
      <c r="S489" s="87">
        <v>1439840</v>
      </c>
      <c r="T489" s="1">
        <v>1</v>
      </c>
      <c r="U489" s="88">
        <v>342819.04761904763</v>
      </c>
      <c r="V489" s="59">
        <v>2.9169907767529724</v>
      </c>
      <c r="X489" s="98">
        <v>4.2</v>
      </c>
      <c r="Y489" s="97">
        <v>133</v>
      </c>
    </row>
    <row r="490" spans="1:25">
      <c r="A490" s="58">
        <v>490</v>
      </c>
      <c r="B490" s="58">
        <v>490</v>
      </c>
      <c r="C490" s="58" t="s">
        <v>975</v>
      </c>
      <c r="D490" s="58" t="s">
        <v>215</v>
      </c>
      <c r="E490" s="58" t="s">
        <v>215</v>
      </c>
      <c r="F490" s="58" t="s">
        <v>225</v>
      </c>
      <c r="G490" s="58" t="s">
        <v>226</v>
      </c>
      <c r="H490" s="58" t="s">
        <v>179</v>
      </c>
      <c r="I490">
        <v>38000</v>
      </c>
      <c r="J490">
        <v>38000</v>
      </c>
      <c r="K490">
        <v>20000</v>
      </c>
      <c r="L490" s="74">
        <v>8.3460000000000001</v>
      </c>
      <c r="M490" s="85">
        <v>9</v>
      </c>
      <c r="N490" s="74">
        <v>0.10299999999999999</v>
      </c>
      <c r="O490">
        <v>2</v>
      </c>
      <c r="P490" s="84">
        <v>0.10299999999999999</v>
      </c>
      <c r="Q490" s="86">
        <v>4.2</v>
      </c>
      <c r="R490" s="85">
        <v>4.2</v>
      </c>
      <c r="S490" s="87">
        <v>1334440</v>
      </c>
      <c r="T490" s="1">
        <v>1</v>
      </c>
      <c r="U490" s="88">
        <v>317723.80952380953</v>
      </c>
      <c r="V490" s="59">
        <v>3.1473876682353645</v>
      </c>
      <c r="X490" s="98">
        <v>4.2</v>
      </c>
      <c r="Y490" s="97">
        <v>342.81904761904764</v>
      </c>
    </row>
    <row r="491" spans="1:25">
      <c r="A491" s="58">
        <v>491</v>
      </c>
      <c r="B491" s="58">
        <v>491</v>
      </c>
      <c r="C491" s="58" t="s">
        <v>976</v>
      </c>
      <c r="D491" s="58" t="s">
        <v>489</v>
      </c>
      <c r="E491" s="58" t="s">
        <v>489</v>
      </c>
      <c r="F491" s="58" t="s">
        <v>863</v>
      </c>
      <c r="G491" s="58" t="s">
        <v>864</v>
      </c>
      <c r="H491" s="58" t="s">
        <v>179</v>
      </c>
      <c r="I491">
        <v>38000</v>
      </c>
      <c r="J491">
        <v>38000</v>
      </c>
      <c r="K491" s="58" t="s">
        <v>185</v>
      </c>
      <c r="L491" s="74">
        <v>11.804</v>
      </c>
      <c r="M491" s="85">
        <v>12</v>
      </c>
      <c r="N491" s="74">
        <v>0.154</v>
      </c>
      <c r="O491">
        <v>2</v>
      </c>
      <c r="P491" s="84">
        <v>0.154</v>
      </c>
      <c r="Q491" s="86">
        <v>4.2</v>
      </c>
      <c r="R491" s="85">
        <v>4.2</v>
      </c>
      <c r="S491" s="87">
        <v>1492540</v>
      </c>
      <c r="T491" s="1">
        <v>1</v>
      </c>
      <c r="U491" s="88">
        <v>355366.66666666663</v>
      </c>
      <c r="V491" s="59">
        <v>2.8139949348091173</v>
      </c>
      <c r="X491" s="98">
        <v>4.2</v>
      </c>
      <c r="Y491" s="97">
        <v>317.72380952380951</v>
      </c>
    </row>
    <row r="492" spans="1:25">
      <c r="A492" s="58">
        <v>492</v>
      </c>
      <c r="B492" s="58">
        <v>492</v>
      </c>
      <c r="C492" s="58" t="s">
        <v>977</v>
      </c>
      <c r="D492" s="58" t="s">
        <v>450</v>
      </c>
      <c r="E492" s="58" t="s">
        <v>450</v>
      </c>
      <c r="F492" s="58" t="s">
        <v>772</v>
      </c>
      <c r="G492" s="58" t="s">
        <v>773</v>
      </c>
      <c r="H492" s="58" t="s">
        <v>179</v>
      </c>
      <c r="I492">
        <v>38000</v>
      </c>
      <c r="J492">
        <v>38000</v>
      </c>
      <c r="K492" s="58" t="s">
        <v>185</v>
      </c>
      <c r="L492" s="74">
        <v>6.3209999999999997</v>
      </c>
      <c r="M492" s="85">
        <v>7</v>
      </c>
      <c r="N492" s="74">
        <v>0.41199999999999998</v>
      </c>
      <c r="O492">
        <v>2</v>
      </c>
      <c r="P492" s="84">
        <v>0.41199999999999998</v>
      </c>
      <c r="Q492" s="86">
        <v>4.2</v>
      </c>
      <c r="R492" s="85">
        <v>4.2</v>
      </c>
      <c r="S492" s="87">
        <v>839680</v>
      </c>
      <c r="T492" s="1">
        <v>4</v>
      </c>
      <c r="U492" s="88">
        <v>199923.80952380953</v>
      </c>
      <c r="V492" s="59">
        <v>5.0019054878048781</v>
      </c>
      <c r="X492" s="98">
        <v>4.2</v>
      </c>
      <c r="Y492" s="97">
        <v>355.36666666666662</v>
      </c>
    </row>
    <row r="493" spans="1:25">
      <c r="A493" s="58">
        <v>493</v>
      </c>
      <c r="B493" s="58">
        <v>493</v>
      </c>
      <c r="C493" s="58" t="s">
        <v>978</v>
      </c>
      <c r="D493" s="58" t="s">
        <v>187</v>
      </c>
      <c r="E493" s="58" t="s">
        <v>187</v>
      </c>
      <c r="F493" s="58" t="s">
        <v>377</v>
      </c>
      <c r="H493" s="58" t="s">
        <v>179</v>
      </c>
      <c r="I493">
        <v>38000</v>
      </c>
      <c r="L493" s="74">
        <v>11.25</v>
      </c>
      <c r="M493" s="85">
        <v>12</v>
      </c>
      <c r="N493" s="74">
        <v>0.312</v>
      </c>
      <c r="O493">
        <v>2</v>
      </c>
      <c r="P493" s="84">
        <v>0.312</v>
      </c>
      <c r="Q493" s="86">
        <v>4.2</v>
      </c>
      <c r="R493" s="85">
        <v>4.2</v>
      </c>
      <c r="S493" s="87">
        <v>1492540</v>
      </c>
      <c r="T493" s="1">
        <v>1</v>
      </c>
      <c r="U493" s="88">
        <v>355366.66666666663</v>
      </c>
      <c r="V493" s="59">
        <v>2.8139949348091173</v>
      </c>
      <c r="X493" s="98">
        <v>4.2</v>
      </c>
      <c r="Y493" s="97">
        <v>199.92380952380952</v>
      </c>
    </row>
    <row r="494" spans="1:25">
      <c r="A494" s="58">
        <v>494</v>
      </c>
      <c r="B494" s="58">
        <v>494</v>
      </c>
      <c r="C494" s="58" t="s">
        <v>979</v>
      </c>
      <c r="D494" s="58" t="s">
        <v>346</v>
      </c>
      <c r="E494" s="58" t="s">
        <v>346</v>
      </c>
      <c r="F494" s="58" t="s">
        <v>652</v>
      </c>
      <c r="G494" s="58" t="s">
        <v>653</v>
      </c>
      <c r="H494" s="58" t="s">
        <v>179</v>
      </c>
      <c r="I494">
        <v>38000</v>
      </c>
      <c r="J494">
        <v>38000</v>
      </c>
      <c r="K494" s="58" t="s">
        <v>185</v>
      </c>
      <c r="L494" s="74">
        <v>12.622</v>
      </c>
      <c r="M494" s="85">
        <v>13</v>
      </c>
      <c r="N494" s="74">
        <v>0.39300000000000002</v>
      </c>
      <c r="O494">
        <v>2</v>
      </c>
      <c r="P494" s="84">
        <v>0.39300000000000002</v>
      </c>
      <c r="Q494" s="86">
        <v>4.2</v>
      </c>
      <c r="R494" s="85">
        <v>4.2</v>
      </c>
      <c r="S494" s="87">
        <v>1545240</v>
      </c>
      <c r="T494" s="1">
        <v>1</v>
      </c>
      <c r="U494" s="88">
        <v>367914.28571428568</v>
      </c>
      <c r="V494" s="59">
        <v>2.7180243845616214</v>
      </c>
      <c r="X494" s="98">
        <v>4.2</v>
      </c>
      <c r="Y494" s="97">
        <v>355.36666666666662</v>
      </c>
    </row>
    <row r="495" spans="1:25">
      <c r="A495" s="58">
        <v>495</v>
      </c>
      <c r="B495" s="58">
        <v>495</v>
      </c>
      <c r="C495" s="58" t="s">
        <v>980</v>
      </c>
      <c r="D495" s="58" t="s">
        <v>234</v>
      </c>
      <c r="E495" s="58" t="s">
        <v>234</v>
      </c>
      <c r="F495" s="58" t="s">
        <v>945</v>
      </c>
      <c r="G495" s="58" t="s">
        <v>946</v>
      </c>
      <c r="H495" s="58" t="s">
        <v>179</v>
      </c>
      <c r="I495">
        <v>38000</v>
      </c>
      <c r="J495">
        <v>38000</v>
      </c>
      <c r="K495" s="58" t="s">
        <v>185</v>
      </c>
      <c r="L495" s="74">
        <v>7.3330000000000002</v>
      </c>
      <c r="M495" s="85">
        <v>8</v>
      </c>
      <c r="N495" s="74">
        <v>0.14799999999999999</v>
      </c>
      <c r="O495">
        <v>2</v>
      </c>
      <c r="P495" s="84">
        <v>0.14799999999999999</v>
      </c>
      <c r="Q495" s="86">
        <v>4.2</v>
      </c>
      <c r="R495" s="85">
        <v>4.2</v>
      </c>
      <c r="S495" s="87">
        <v>909950</v>
      </c>
      <c r="T495" s="1">
        <v>4</v>
      </c>
      <c r="U495" s="88">
        <v>216654.76190476189</v>
      </c>
      <c r="V495" s="59">
        <v>4.6156382218803227</v>
      </c>
      <c r="X495" s="98">
        <v>4.2</v>
      </c>
      <c r="Y495" s="97">
        <v>367.91428571428571</v>
      </c>
    </row>
    <row r="496" spans="1:25">
      <c r="A496" s="58">
        <v>496</v>
      </c>
      <c r="B496" s="58">
        <v>496</v>
      </c>
      <c r="C496" s="58" t="s">
        <v>981</v>
      </c>
      <c r="D496" s="58" t="s">
        <v>234</v>
      </c>
      <c r="E496" s="58" t="s">
        <v>234</v>
      </c>
      <c r="F496" s="58" t="s">
        <v>235</v>
      </c>
      <c r="G496" s="58" t="s">
        <v>236</v>
      </c>
      <c r="H496" s="58" t="s">
        <v>179</v>
      </c>
      <c r="I496">
        <v>38000</v>
      </c>
      <c r="J496">
        <v>38000</v>
      </c>
      <c r="K496">
        <v>20000</v>
      </c>
      <c r="L496" s="74">
        <v>10.874000000000001</v>
      </c>
      <c r="M496" s="85">
        <v>11</v>
      </c>
      <c r="N496" s="74">
        <v>0.438</v>
      </c>
      <c r="O496">
        <v>2</v>
      </c>
      <c r="P496" s="84">
        <v>0.438</v>
      </c>
      <c r="Q496" s="86">
        <v>4.2</v>
      </c>
      <c r="R496" s="85">
        <v>4.2</v>
      </c>
      <c r="S496" s="87">
        <v>1439840</v>
      </c>
      <c r="T496" s="1">
        <v>1</v>
      </c>
      <c r="U496" s="88">
        <v>342819.04761904763</v>
      </c>
      <c r="V496" s="59">
        <v>2.9169907767529724</v>
      </c>
      <c r="X496" s="98">
        <v>4.2</v>
      </c>
      <c r="Y496" s="97">
        <v>216.6547619047619</v>
      </c>
    </row>
    <row r="497" spans="1:25">
      <c r="A497" s="58">
        <v>497</v>
      </c>
      <c r="B497" s="58">
        <v>497</v>
      </c>
      <c r="C497" s="58" t="s">
        <v>982</v>
      </c>
      <c r="D497" s="58" t="s">
        <v>187</v>
      </c>
      <c r="E497" s="58" t="s">
        <v>187</v>
      </c>
      <c r="F497" s="58" t="s">
        <v>246</v>
      </c>
      <c r="G497" s="58" t="s">
        <v>247</v>
      </c>
      <c r="H497" s="58" t="s">
        <v>199</v>
      </c>
      <c r="I497">
        <v>110000</v>
      </c>
      <c r="J497">
        <v>33000</v>
      </c>
      <c r="K497">
        <v>110000</v>
      </c>
      <c r="L497" s="74">
        <v>8.8070000000000004</v>
      </c>
      <c r="M497" s="85">
        <v>9</v>
      </c>
      <c r="N497" s="74">
        <v>0.316</v>
      </c>
      <c r="O497">
        <v>2</v>
      </c>
      <c r="P497" s="84">
        <v>0.316</v>
      </c>
      <c r="Q497" s="86">
        <v>4.2</v>
      </c>
      <c r="R497" s="85">
        <v>4.2</v>
      </c>
      <c r="S497" s="87">
        <v>1890770</v>
      </c>
      <c r="T497" s="1">
        <v>7</v>
      </c>
      <c r="U497" s="88">
        <v>450183.33333333331</v>
      </c>
      <c r="V497" s="59">
        <v>2.2213172411239865</v>
      </c>
      <c r="X497" s="98">
        <v>4.2</v>
      </c>
      <c r="Y497" s="97">
        <v>342.81904761904764</v>
      </c>
    </row>
    <row r="498" spans="1:25">
      <c r="A498" s="58">
        <v>498</v>
      </c>
      <c r="B498" s="58">
        <v>498</v>
      </c>
      <c r="C498" s="58" t="s">
        <v>983</v>
      </c>
      <c r="D498" s="58" t="s">
        <v>253</v>
      </c>
      <c r="E498" s="58" t="s">
        <v>253</v>
      </c>
      <c r="F498" s="58" t="s">
        <v>538</v>
      </c>
      <c r="G498" s="58" t="s">
        <v>539</v>
      </c>
      <c r="H498" s="58" t="s">
        <v>179</v>
      </c>
      <c r="I498">
        <v>38000</v>
      </c>
      <c r="J498">
        <v>38000</v>
      </c>
      <c r="K498" s="58" t="s">
        <v>185</v>
      </c>
      <c r="L498" s="74">
        <v>6.1239999999999997</v>
      </c>
      <c r="M498" s="85">
        <v>7</v>
      </c>
      <c r="N498" s="74">
        <v>0.109</v>
      </c>
      <c r="O498">
        <v>2</v>
      </c>
      <c r="P498" s="84">
        <v>0.109</v>
      </c>
      <c r="Q498" s="86">
        <v>4.2</v>
      </c>
      <c r="R498" s="85">
        <v>4.2</v>
      </c>
      <c r="S498" s="87">
        <v>839680</v>
      </c>
      <c r="T498" s="1">
        <v>4</v>
      </c>
      <c r="U498" s="88">
        <v>199923.80952380953</v>
      </c>
      <c r="V498" s="59">
        <v>5.0019054878048781</v>
      </c>
      <c r="X498" s="98">
        <v>4.2</v>
      </c>
      <c r="Y498" s="97">
        <v>450.18333333333334</v>
      </c>
    </row>
    <row r="499" spans="1:25">
      <c r="A499" s="58">
        <v>499</v>
      </c>
      <c r="B499" s="58">
        <v>499</v>
      </c>
      <c r="C499" s="58" t="s">
        <v>984</v>
      </c>
      <c r="D499" s="58" t="s">
        <v>253</v>
      </c>
      <c r="E499" s="58" t="s">
        <v>253</v>
      </c>
      <c r="F499" s="58" t="s">
        <v>538</v>
      </c>
      <c r="G499" s="58" t="s">
        <v>539</v>
      </c>
      <c r="H499" s="58" t="s">
        <v>179</v>
      </c>
      <c r="I499">
        <v>38000</v>
      </c>
      <c r="J499">
        <v>38000</v>
      </c>
      <c r="K499" s="58" t="s">
        <v>185</v>
      </c>
      <c r="L499" s="74">
        <v>4.5090000000000003</v>
      </c>
      <c r="M499" s="85">
        <v>5</v>
      </c>
      <c r="N499" s="74">
        <v>9.2999999999999999E-2</v>
      </c>
      <c r="O499">
        <v>2</v>
      </c>
      <c r="P499" s="84">
        <v>9.2999999999999999E-2</v>
      </c>
      <c r="Q499" s="86">
        <v>4.2</v>
      </c>
      <c r="R499" s="85">
        <v>4.2</v>
      </c>
      <c r="S499" s="87">
        <v>699140</v>
      </c>
      <c r="T499" s="1">
        <v>4</v>
      </c>
      <c r="U499" s="88">
        <v>166461.90476190476</v>
      </c>
      <c r="V499" s="59">
        <v>6.0073804960379897</v>
      </c>
      <c r="X499" s="98">
        <v>4.2</v>
      </c>
      <c r="Y499" s="97">
        <v>199.92380952380952</v>
      </c>
    </row>
    <row r="500" spans="1:25">
      <c r="A500" s="58">
        <v>500</v>
      </c>
      <c r="B500" s="58">
        <v>500</v>
      </c>
      <c r="C500" s="58" t="s">
        <v>985</v>
      </c>
      <c r="D500" s="58" t="s">
        <v>253</v>
      </c>
      <c r="E500" s="58" t="s">
        <v>253</v>
      </c>
      <c r="F500" s="58" t="s">
        <v>254</v>
      </c>
      <c r="G500" s="58" t="s">
        <v>255</v>
      </c>
      <c r="H500" s="58" t="s">
        <v>179</v>
      </c>
      <c r="I500">
        <v>38000</v>
      </c>
      <c r="J500">
        <v>38000</v>
      </c>
      <c r="K500" s="58" t="s">
        <v>185</v>
      </c>
      <c r="L500" s="74">
        <v>8.5960000000000001</v>
      </c>
      <c r="M500" s="85">
        <v>9</v>
      </c>
      <c r="N500" s="74">
        <v>0.27200000000000002</v>
      </c>
      <c r="O500">
        <v>2</v>
      </c>
      <c r="P500" s="84">
        <v>0.27200000000000002</v>
      </c>
      <c r="Q500" s="86">
        <v>4.2</v>
      </c>
      <c r="R500" s="85">
        <v>4.2</v>
      </c>
      <c r="S500" s="87">
        <v>1334440</v>
      </c>
      <c r="T500" s="1">
        <v>1</v>
      </c>
      <c r="U500" s="88">
        <v>317723.80952380953</v>
      </c>
      <c r="V500" s="59">
        <v>3.1473876682353645</v>
      </c>
      <c r="X500" s="98">
        <v>4.2</v>
      </c>
      <c r="Y500" s="97">
        <v>166.46190476190475</v>
      </c>
    </row>
    <row r="501" spans="1:25">
      <c r="A501" s="58">
        <v>501</v>
      </c>
      <c r="B501" s="58">
        <v>501</v>
      </c>
      <c r="C501" s="58" t="s">
        <v>986</v>
      </c>
      <c r="D501" s="58" t="s">
        <v>215</v>
      </c>
      <c r="E501" s="58" t="s">
        <v>215</v>
      </c>
      <c r="F501" s="58" t="s">
        <v>216</v>
      </c>
      <c r="G501" s="58" t="s">
        <v>217</v>
      </c>
      <c r="H501" s="58" t="s">
        <v>179</v>
      </c>
      <c r="I501">
        <v>38000</v>
      </c>
      <c r="J501">
        <v>38000</v>
      </c>
      <c r="K501" s="58" t="s">
        <v>185</v>
      </c>
      <c r="L501" s="74">
        <v>20.361999999999998</v>
      </c>
      <c r="M501" s="85">
        <v>21</v>
      </c>
      <c r="N501" s="74">
        <v>0.19</v>
      </c>
      <c r="O501">
        <v>2</v>
      </c>
      <c r="P501" s="84">
        <v>0.19</v>
      </c>
      <c r="Q501" s="86">
        <v>4.2</v>
      </c>
      <c r="R501" s="85">
        <v>4.2</v>
      </c>
      <c r="S501" s="87">
        <v>1966840</v>
      </c>
      <c r="T501" s="1">
        <v>1</v>
      </c>
      <c r="U501" s="88">
        <v>468295.23809523805</v>
      </c>
      <c r="V501" s="59">
        <v>2.135405015151207</v>
      </c>
      <c r="X501" s="98">
        <v>4.2</v>
      </c>
      <c r="Y501" s="97">
        <v>317.72380952380951</v>
      </c>
    </row>
    <row r="502" spans="1:25">
      <c r="A502" s="58">
        <v>502</v>
      </c>
      <c r="B502" s="58">
        <v>502</v>
      </c>
      <c r="C502" s="58" t="s">
        <v>987</v>
      </c>
      <c r="D502" s="58" t="s">
        <v>215</v>
      </c>
      <c r="E502" s="58" t="s">
        <v>215</v>
      </c>
      <c r="F502" s="58" t="s">
        <v>479</v>
      </c>
      <c r="G502" s="58" t="s">
        <v>480</v>
      </c>
      <c r="H502" s="58" t="s">
        <v>179</v>
      </c>
      <c r="I502">
        <v>38000</v>
      </c>
      <c r="J502">
        <v>38000</v>
      </c>
      <c r="K502" s="58" t="s">
        <v>185</v>
      </c>
      <c r="L502" s="74">
        <v>25.701000000000001</v>
      </c>
      <c r="M502" s="85">
        <v>26</v>
      </c>
      <c r="N502" s="74">
        <v>0.154</v>
      </c>
      <c r="O502">
        <v>2</v>
      </c>
      <c r="P502" s="84">
        <v>0.154</v>
      </c>
      <c r="Q502" s="86">
        <v>4.2</v>
      </c>
      <c r="R502" s="85">
        <v>4.2</v>
      </c>
      <c r="S502" s="87">
        <v>2230340</v>
      </c>
      <c r="T502" s="1">
        <v>1</v>
      </c>
      <c r="U502" s="88">
        <v>531033.33333333326</v>
      </c>
      <c r="V502" s="59">
        <v>1.8831209591362752</v>
      </c>
      <c r="X502" s="98">
        <v>4.2</v>
      </c>
      <c r="Y502" s="97">
        <v>468.29523809523806</v>
      </c>
    </row>
    <row r="503" spans="1:25">
      <c r="A503" s="58">
        <v>503</v>
      </c>
      <c r="B503" s="58">
        <v>503</v>
      </c>
      <c r="C503" s="58" t="s">
        <v>988</v>
      </c>
      <c r="D503" s="58" t="s">
        <v>215</v>
      </c>
      <c r="E503" s="58" t="s">
        <v>215</v>
      </c>
      <c r="F503" s="58" t="s">
        <v>479</v>
      </c>
      <c r="G503" s="58" t="s">
        <v>480</v>
      </c>
      <c r="H503" s="58" t="s">
        <v>179</v>
      </c>
      <c r="I503">
        <v>38000</v>
      </c>
      <c r="J503">
        <v>38000</v>
      </c>
      <c r="K503" s="58" t="s">
        <v>185</v>
      </c>
      <c r="L503" s="74">
        <v>15.634</v>
      </c>
      <c r="M503" s="85">
        <v>16</v>
      </c>
      <c r="N503" s="74">
        <v>0.15</v>
      </c>
      <c r="O503">
        <v>2</v>
      </c>
      <c r="P503" s="84">
        <v>0.15</v>
      </c>
      <c r="Q503" s="86">
        <v>4.2</v>
      </c>
      <c r="R503" s="85">
        <v>4.2</v>
      </c>
      <c r="S503" s="87">
        <v>1703340</v>
      </c>
      <c r="T503" s="1">
        <v>1</v>
      </c>
      <c r="U503" s="88">
        <v>405557.14285714284</v>
      </c>
      <c r="V503" s="59">
        <v>2.4657437739969708</v>
      </c>
      <c r="X503" s="98">
        <v>4.2</v>
      </c>
      <c r="Y503" s="97">
        <v>531.0333333333333</v>
      </c>
    </row>
    <row r="504" spans="1:25">
      <c r="A504" s="58">
        <v>504</v>
      </c>
      <c r="B504" s="58">
        <v>504</v>
      </c>
      <c r="C504" s="58" t="s">
        <v>989</v>
      </c>
      <c r="D504" s="58" t="s">
        <v>215</v>
      </c>
      <c r="E504" s="58" t="s">
        <v>215</v>
      </c>
      <c r="F504" s="58" t="s">
        <v>257</v>
      </c>
      <c r="G504" s="58" t="s">
        <v>258</v>
      </c>
      <c r="H504" s="58" t="s">
        <v>179</v>
      </c>
      <c r="I504">
        <v>38000</v>
      </c>
      <c r="J504">
        <v>38000</v>
      </c>
      <c r="K504">
        <v>20000</v>
      </c>
      <c r="L504" s="74">
        <v>10.195</v>
      </c>
      <c r="M504" s="85">
        <v>11</v>
      </c>
      <c r="N504" s="74">
        <v>0.12</v>
      </c>
      <c r="O504">
        <v>2</v>
      </c>
      <c r="P504" s="84">
        <v>0.12</v>
      </c>
      <c r="Q504" s="86">
        <v>4.2</v>
      </c>
      <c r="R504" s="85">
        <v>4.2</v>
      </c>
      <c r="S504" s="87">
        <v>1439840</v>
      </c>
      <c r="T504" s="1">
        <v>1</v>
      </c>
      <c r="U504" s="88">
        <v>342819.04761904763</v>
      </c>
      <c r="V504" s="59">
        <v>2.9169907767529724</v>
      </c>
      <c r="X504" s="98">
        <v>4.2</v>
      </c>
      <c r="Y504" s="97">
        <v>405.55714285714282</v>
      </c>
    </row>
    <row r="505" spans="1:25">
      <c r="A505" s="58">
        <v>505</v>
      </c>
      <c r="B505" s="58">
        <v>505</v>
      </c>
      <c r="C505" s="58" t="s">
        <v>990</v>
      </c>
      <c r="D505" s="58" t="s">
        <v>176</v>
      </c>
      <c r="E505" s="58" t="s">
        <v>176</v>
      </c>
      <c r="F505" s="58" t="s">
        <v>257</v>
      </c>
      <c r="G505" s="58" t="s">
        <v>258</v>
      </c>
      <c r="H505" s="58" t="s">
        <v>179</v>
      </c>
      <c r="I505">
        <v>38000</v>
      </c>
      <c r="J505">
        <v>38000</v>
      </c>
      <c r="K505">
        <v>20000</v>
      </c>
      <c r="L505" s="74">
        <v>6.5030000000000001</v>
      </c>
      <c r="M505" s="85">
        <v>7</v>
      </c>
      <c r="N505" s="74">
        <v>0.13900000000000001</v>
      </c>
      <c r="O505">
        <v>2</v>
      </c>
      <c r="P505" s="84">
        <v>0.13900000000000001</v>
      </c>
      <c r="Q505" s="86">
        <v>4.2</v>
      </c>
      <c r="R505" s="85">
        <v>4.2</v>
      </c>
      <c r="S505" s="87">
        <v>839680</v>
      </c>
      <c r="T505" s="1">
        <v>4</v>
      </c>
      <c r="U505" s="88">
        <v>199923.80952380953</v>
      </c>
      <c r="V505" s="59">
        <v>5.0019054878048781</v>
      </c>
      <c r="X505" s="98">
        <v>4.2</v>
      </c>
      <c r="Y505" s="97">
        <v>342.81904761904764</v>
      </c>
    </row>
    <row r="506" spans="1:25">
      <c r="A506" s="58">
        <v>506</v>
      </c>
      <c r="B506" s="58">
        <v>506</v>
      </c>
      <c r="C506" s="58" t="s">
        <v>991</v>
      </c>
      <c r="D506" s="58" t="s">
        <v>215</v>
      </c>
      <c r="E506" s="58" t="s">
        <v>176</v>
      </c>
      <c r="F506" s="58" t="s">
        <v>257</v>
      </c>
      <c r="G506" s="58" t="s">
        <v>258</v>
      </c>
      <c r="H506" s="58" t="s">
        <v>179</v>
      </c>
      <c r="I506">
        <v>38000</v>
      </c>
      <c r="J506">
        <v>38000</v>
      </c>
      <c r="K506">
        <v>20000</v>
      </c>
      <c r="L506" s="74">
        <v>5.0679999999999996</v>
      </c>
      <c r="M506" s="85">
        <v>6</v>
      </c>
      <c r="N506" s="74">
        <v>0.151</v>
      </c>
      <c r="O506">
        <v>2</v>
      </c>
      <c r="P506" s="84">
        <v>0.151</v>
      </c>
      <c r="Q506" s="86">
        <v>4.2</v>
      </c>
      <c r="R506" s="85">
        <v>4.2</v>
      </c>
      <c r="S506" s="87">
        <v>769410</v>
      </c>
      <c r="T506" s="1">
        <v>4</v>
      </c>
      <c r="U506" s="88">
        <v>183192.85714285713</v>
      </c>
      <c r="V506" s="59">
        <v>5.4587281163488903</v>
      </c>
      <c r="X506" s="98">
        <v>4.2</v>
      </c>
      <c r="Y506" s="97">
        <v>199.92380952380952</v>
      </c>
    </row>
    <row r="507" spans="1:25">
      <c r="A507" s="58">
        <v>507</v>
      </c>
      <c r="B507" s="58">
        <v>507</v>
      </c>
      <c r="C507" s="58" t="s">
        <v>992</v>
      </c>
      <c r="D507" s="58" t="s">
        <v>176</v>
      </c>
      <c r="E507" s="58" t="s">
        <v>176</v>
      </c>
      <c r="F507" s="58" t="s">
        <v>265</v>
      </c>
      <c r="G507" s="58" t="s">
        <v>266</v>
      </c>
      <c r="H507" s="58" t="s">
        <v>179</v>
      </c>
      <c r="I507">
        <v>38000</v>
      </c>
      <c r="J507">
        <v>38000</v>
      </c>
      <c r="K507" s="58" t="s">
        <v>185</v>
      </c>
      <c r="L507" s="74">
        <v>13.211</v>
      </c>
      <c r="M507" s="85">
        <v>14</v>
      </c>
      <c r="N507" s="74">
        <v>0.26900000000000002</v>
      </c>
      <c r="O507">
        <v>2</v>
      </c>
      <c r="P507" s="84">
        <v>0.26900000000000002</v>
      </c>
      <c r="Q507" s="86">
        <v>4.2</v>
      </c>
      <c r="R507" s="85">
        <v>4.2</v>
      </c>
      <c r="S507" s="87">
        <v>1597940</v>
      </c>
      <c r="T507" s="1">
        <v>1</v>
      </c>
      <c r="U507" s="88">
        <v>380461.90476190473</v>
      </c>
      <c r="V507" s="59">
        <v>2.6283840444572388</v>
      </c>
      <c r="X507" s="98">
        <v>4.2</v>
      </c>
      <c r="Y507" s="97">
        <v>183.19285714285712</v>
      </c>
    </row>
    <row r="508" spans="1:25">
      <c r="A508" s="58">
        <v>508</v>
      </c>
      <c r="B508" s="58">
        <v>508</v>
      </c>
      <c r="C508" s="58" t="s">
        <v>993</v>
      </c>
      <c r="D508" s="58" t="s">
        <v>176</v>
      </c>
      <c r="E508" s="58" t="s">
        <v>176</v>
      </c>
      <c r="F508" s="58" t="s">
        <v>265</v>
      </c>
      <c r="G508" s="58" t="s">
        <v>266</v>
      </c>
      <c r="H508" s="58" t="s">
        <v>179</v>
      </c>
      <c r="I508">
        <v>38000</v>
      </c>
      <c r="J508">
        <v>38000</v>
      </c>
      <c r="K508" s="58" t="s">
        <v>185</v>
      </c>
      <c r="L508" s="74">
        <v>17.54</v>
      </c>
      <c r="M508" s="85">
        <v>18</v>
      </c>
      <c r="N508" s="74">
        <v>0.24099999999999999</v>
      </c>
      <c r="O508">
        <v>2</v>
      </c>
      <c r="P508" s="84">
        <v>0.24099999999999999</v>
      </c>
      <c r="Q508" s="86">
        <v>4.2</v>
      </c>
      <c r="R508" s="85">
        <v>4.2</v>
      </c>
      <c r="S508" s="87">
        <v>1808740</v>
      </c>
      <c r="T508" s="1">
        <v>1</v>
      </c>
      <c r="U508" s="88">
        <v>430652.38095238095</v>
      </c>
      <c r="V508" s="59">
        <v>2.3220584495284009</v>
      </c>
      <c r="X508" s="98">
        <v>4.2</v>
      </c>
      <c r="Y508" s="97">
        <v>380.46190476190475</v>
      </c>
    </row>
    <row r="509" spans="1:25">
      <c r="A509" s="58">
        <v>509</v>
      </c>
      <c r="B509" s="58">
        <v>509</v>
      </c>
      <c r="C509" s="58" t="s">
        <v>994</v>
      </c>
      <c r="D509" s="58" t="s">
        <v>176</v>
      </c>
      <c r="E509" s="58" t="s">
        <v>176</v>
      </c>
      <c r="F509" s="58" t="s">
        <v>265</v>
      </c>
      <c r="G509" s="58" t="s">
        <v>266</v>
      </c>
      <c r="H509" s="58" t="s">
        <v>179</v>
      </c>
      <c r="I509">
        <v>38000</v>
      </c>
      <c r="J509">
        <v>38000</v>
      </c>
      <c r="K509" s="58" t="s">
        <v>185</v>
      </c>
      <c r="L509" s="74">
        <v>17.443000000000001</v>
      </c>
      <c r="M509" s="85">
        <v>18</v>
      </c>
      <c r="N509" s="74">
        <v>0.34799999999999998</v>
      </c>
      <c r="O509">
        <v>2</v>
      </c>
      <c r="P509" s="84">
        <v>0.34799999999999998</v>
      </c>
      <c r="Q509" s="86">
        <v>4.2</v>
      </c>
      <c r="R509" s="85">
        <v>4.2</v>
      </c>
      <c r="S509" s="87">
        <v>1808740</v>
      </c>
      <c r="T509" s="1">
        <v>1</v>
      </c>
      <c r="U509" s="88">
        <v>430652.38095238095</v>
      </c>
      <c r="V509" s="59">
        <v>2.3220584495284009</v>
      </c>
      <c r="X509" s="98">
        <v>4.2</v>
      </c>
      <c r="Y509" s="97">
        <v>430.65238095238095</v>
      </c>
    </row>
    <row r="510" spans="1:25">
      <c r="A510" s="58">
        <v>510</v>
      </c>
      <c r="B510" s="58">
        <v>510</v>
      </c>
      <c r="C510" s="58" t="s">
        <v>995</v>
      </c>
      <c r="D510" s="58" t="s">
        <v>176</v>
      </c>
      <c r="E510" s="58" t="s">
        <v>176</v>
      </c>
      <c r="F510" s="58" t="s">
        <v>265</v>
      </c>
      <c r="G510" s="58" t="s">
        <v>266</v>
      </c>
      <c r="H510" s="58" t="s">
        <v>179</v>
      </c>
      <c r="I510">
        <v>38000</v>
      </c>
      <c r="J510">
        <v>38000</v>
      </c>
      <c r="K510" s="58" t="s">
        <v>185</v>
      </c>
      <c r="L510" s="74">
        <v>8.8480000000000008</v>
      </c>
      <c r="M510" s="85">
        <v>9</v>
      </c>
      <c r="N510" s="74">
        <v>0.19900000000000001</v>
      </c>
      <c r="O510">
        <v>2</v>
      </c>
      <c r="P510" s="84">
        <v>0.19900000000000001</v>
      </c>
      <c r="Q510" s="86">
        <v>4.2</v>
      </c>
      <c r="R510" s="85">
        <v>4.2</v>
      </c>
      <c r="S510" s="87">
        <v>1334440</v>
      </c>
      <c r="T510" s="1">
        <v>1</v>
      </c>
      <c r="U510" s="88">
        <v>317723.80952380953</v>
      </c>
      <c r="V510" s="59">
        <v>3.1473876682353645</v>
      </c>
      <c r="X510" s="98">
        <v>4.2</v>
      </c>
      <c r="Y510" s="97">
        <v>430.65238095238095</v>
      </c>
    </row>
    <row r="511" spans="1:25">
      <c r="A511" s="58">
        <v>511</v>
      </c>
      <c r="B511" s="58">
        <v>511</v>
      </c>
      <c r="C511" s="58" t="s">
        <v>996</v>
      </c>
      <c r="D511" s="58" t="s">
        <v>176</v>
      </c>
      <c r="E511" s="58" t="s">
        <v>176</v>
      </c>
      <c r="F511" s="58" t="s">
        <v>265</v>
      </c>
      <c r="G511" s="58" t="s">
        <v>266</v>
      </c>
      <c r="H511" s="58" t="s">
        <v>179</v>
      </c>
      <c r="I511">
        <v>38000</v>
      </c>
      <c r="J511">
        <v>38000</v>
      </c>
      <c r="K511" s="58" t="s">
        <v>185</v>
      </c>
      <c r="L511" s="74">
        <v>8.6430000000000007</v>
      </c>
      <c r="M511" s="85">
        <v>9</v>
      </c>
      <c r="N511" s="74">
        <v>0.155</v>
      </c>
      <c r="O511">
        <v>2</v>
      </c>
      <c r="P511" s="84">
        <v>0.155</v>
      </c>
      <c r="Q511" s="86">
        <v>4.2</v>
      </c>
      <c r="R511" s="85">
        <v>4.2</v>
      </c>
      <c r="S511" s="87">
        <v>1334440</v>
      </c>
      <c r="T511" s="1">
        <v>1</v>
      </c>
      <c r="U511" s="88">
        <v>317723.80952380953</v>
      </c>
      <c r="V511" s="59">
        <v>3.1473876682353645</v>
      </c>
      <c r="X511" s="98">
        <v>4.2</v>
      </c>
      <c r="Y511" s="97">
        <v>317.72380952380951</v>
      </c>
    </row>
    <row r="512" spans="1:25">
      <c r="A512" s="58">
        <v>512</v>
      </c>
      <c r="B512" s="58">
        <v>512</v>
      </c>
      <c r="C512" s="58" t="s">
        <v>997</v>
      </c>
      <c r="D512" s="58" t="s">
        <v>176</v>
      </c>
      <c r="E512" s="58" t="s">
        <v>176</v>
      </c>
      <c r="F512" s="58" t="s">
        <v>265</v>
      </c>
      <c r="G512" s="58" t="s">
        <v>266</v>
      </c>
      <c r="H512" s="58" t="s">
        <v>179</v>
      </c>
      <c r="I512">
        <v>38000</v>
      </c>
      <c r="J512">
        <v>38000</v>
      </c>
      <c r="K512" s="58" t="s">
        <v>185</v>
      </c>
      <c r="L512" s="74">
        <v>18.411999999999999</v>
      </c>
      <c r="M512" s="85">
        <v>19</v>
      </c>
      <c r="N512" s="74">
        <v>0.11799999999999999</v>
      </c>
      <c r="O512">
        <v>2</v>
      </c>
      <c r="P512" s="84">
        <v>0.11799999999999999</v>
      </c>
      <c r="Q512" s="86">
        <v>4.2</v>
      </c>
      <c r="R512" s="85">
        <v>4.2</v>
      </c>
      <c r="S512" s="87">
        <v>1861440</v>
      </c>
      <c r="T512" s="1">
        <v>1</v>
      </c>
      <c r="U512" s="88">
        <v>443200</v>
      </c>
      <c r="V512" s="59">
        <v>2.256317689530686</v>
      </c>
      <c r="X512" s="98">
        <v>4.2</v>
      </c>
      <c r="Y512" s="97">
        <v>317.72380952380951</v>
      </c>
    </row>
    <row r="513" spans="1:25">
      <c r="A513" s="58">
        <v>513</v>
      </c>
      <c r="B513" s="58">
        <v>513</v>
      </c>
      <c r="C513" s="58" t="s">
        <v>998</v>
      </c>
      <c r="D513" s="58" t="s">
        <v>176</v>
      </c>
      <c r="E513" s="58" t="s">
        <v>176</v>
      </c>
      <c r="F513" s="58" t="s">
        <v>269</v>
      </c>
      <c r="G513" s="58" t="s">
        <v>270</v>
      </c>
      <c r="H513" s="58" t="s">
        <v>179</v>
      </c>
      <c r="I513">
        <v>38000</v>
      </c>
      <c r="J513">
        <v>38000</v>
      </c>
      <c r="K513">
        <v>20000</v>
      </c>
      <c r="L513" s="74">
        <v>19.015000000000001</v>
      </c>
      <c r="M513" s="85">
        <v>20</v>
      </c>
      <c r="N513" s="74">
        <v>0.4</v>
      </c>
      <c r="O513">
        <v>2</v>
      </c>
      <c r="P513" s="84">
        <v>0.4</v>
      </c>
      <c r="Q513" s="86">
        <v>4.2</v>
      </c>
      <c r="R513" s="85">
        <v>4.2</v>
      </c>
      <c r="S513" s="87">
        <v>1914140</v>
      </c>
      <c r="T513" s="1">
        <v>1</v>
      </c>
      <c r="U513" s="88">
        <v>455747.61904761905</v>
      </c>
      <c r="V513" s="59">
        <v>2.1941968717021743</v>
      </c>
      <c r="X513" s="98">
        <v>4.2</v>
      </c>
      <c r="Y513" s="97">
        <v>443.2</v>
      </c>
    </row>
    <row r="514" spans="1:25">
      <c r="A514" s="58">
        <v>514</v>
      </c>
      <c r="B514" s="58">
        <v>514</v>
      </c>
      <c r="C514" s="58" t="s">
        <v>999</v>
      </c>
      <c r="D514" s="58" t="s">
        <v>176</v>
      </c>
      <c r="E514" s="58" t="s">
        <v>176</v>
      </c>
      <c r="F514" s="58" t="s">
        <v>272</v>
      </c>
      <c r="G514" s="58" t="s">
        <v>273</v>
      </c>
      <c r="H514" s="58" t="s">
        <v>179</v>
      </c>
      <c r="I514">
        <v>38000</v>
      </c>
      <c r="J514">
        <v>38000</v>
      </c>
      <c r="K514" s="58" t="s">
        <v>185</v>
      </c>
      <c r="L514" s="74">
        <v>8.843</v>
      </c>
      <c r="M514" s="85">
        <v>9</v>
      </c>
      <c r="N514" s="74">
        <v>0.45400000000000001</v>
      </c>
      <c r="O514">
        <v>2</v>
      </c>
      <c r="P514" s="84">
        <v>0.45400000000000001</v>
      </c>
      <c r="Q514" s="86">
        <v>4.2</v>
      </c>
      <c r="R514" s="85">
        <v>4.2</v>
      </c>
      <c r="S514" s="87">
        <v>1334440</v>
      </c>
      <c r="T514" s="1">
        <v>1</v>
      </c>
      <c r="U514" s="88">
        <v>317723.80952380953</v>
      </c>
      <c r="V514" s="59">
        <v>3.1473876682353645</v>
      </c>
      <c r="X514" s="98">
        <v>4.2</v>
      </c>
      <c r="Y514" s="97">
        <v>455.74761904761908</v>
      </c>
    </row>
    <row r="515" spans="1:25">
      <c r="A515" s="58">
        <v>515</v>
      </c>
      <c r="B515" s="58">
        <v>515</v>
      </c>
      <c r="C515" s="58" t="s">
        <v>1000</v>
      </c>
      <c r="D515" s="58" t="s">
        <v>176</v>
      </c>
      <c r="E515" s="58" t="s">
        <v>176</v>
      </c>
      <c r="F515" s="58" t="s">
        <v>265</v>
      </c>
      <c r="G515" s="58" t="s">
        <v>266</v>
      </c>
      <c r="H515" s="58" t="s">
        <v>179</v>
      </c>
      <c r="I515">
        <v>38000</v>
      </c>
      <c r="J515">
        <v>38000</v>
      </c>
      <c r="K515" s="58" t="s">
        <v>185</v>
      </c>
      <c r="L515" s="74">
        <v>14.157999999999999</v>
      </c>
      <c r="M515" s="85">
        <v>15</v>
      </c>
      <c r="N515" s="74">
        <v>0.156</v>
      </c>
      <c r="O515">
        <v>2</v>
      </c>
      <c r="P515" s="84">
        <v>0.156</v>
      </c>
      <c r="Q515" s="86">
        <v>4.2</v>
      </c>
      <c r="R515" s="85">
        <v>4.2</v>
      </c>
      <c r="S515" s="87">
        <v>1650640</v>
      </c>
      <c r="T515" s="1">
        <v>1</v>
      </c>
      <c r="U515" s="88">
        <v>393009.52380952379</v>
      </c>
      <c r="V515" s="59">
        <v>2.5444676004458877</v>
      </c>
      <c r="X515" s="98">
        <v>4.2</v>
      </c>
      <c r="Y515" s="97">
        <v>317.72380952380951</v>
      </c>
    </row>
    <row r="516" spans="1:25">
      <c r="A516" s="58">
        <v>516</v>
      </c>
      <c r="B516" s="58">
        <v>516</v>
      </c>
      <c r="C516" s="58" t="s">
        <v>1001</v>
      </c>
      <c r="D516" s="58" t="s">
        <v>176</v>
      </c>
      <c r="E516" s="58" t="s">
        <v>176</v>
      </c>
      <c r="F516" s="58" t="s">
        <v>265</v>
      </c>
      <c r="G516" s="58" t="s">
        <v>266</v>
      </c>
      <c r="H516" s="58" t="s">
        <v>179</v>
      </c>
      <c r="I516">
        <v>38000</v>
      </c>
      <c r="J516">
        <v>38000</v>
      </c>
      <c r="K516" s="58" t="s">
        <v>185</v>
      </c>
      <c r="L516" s="74">
        <v>7.7080000000000002</v>
      </c>
      <c r="M516" s="85">
        <v>8</v>
      </c>
      <c r="N516" s="74">
        <v>0.13200000000000001</v>
      </c>
      <c r="O516">
        <v>2</v>
      </c>
      <c r="P516" s="84">
        <v>0.13200000000000001</v>
      </c>
      <c r="Q516" s="86">
        <v>4.2</v>
      </c>
      <c r="R516" s="85">
        <v>4.2</v>
      </c>
      <c r="S516" s="87">
        <v>909950</v>
      </c>
      <c r="T516" s="1">
        <v>4</v>
      </c>
      <c r="U516" s="88">
        <v>216654.76190476189</v>
      </c>
      <c r="V516" s="59">
        <v>4.6156382218803227</v>
      </c>
      <c r="X516" s="98">
        <v>4.2</v>
      </c>
      <c r="Y516" s="97">
        <v>393.00952380952378</v>
      </c>
    </row>
    <row r="517" spans="1:25">
      <c r="A517" s="58">
        <v>517</v>
      </c>
      <c r="B517" s="58">
        <v>517</v>
      </c>
      <c r="C517" s="58" t="s">
        <v>1002</v>
      </c>
      <c r="D517" s="58" t="s">
        <v>176</v>
      </c>
      <c r="E517" s="58" t="s">
        <v>176</v>
      </c>
      <c r="F517" s="58" t="s">
        <v>177</v>
      </c>
      <c r="G517" s="58" t="s">
        <v>178</v>
      </c>
      <c r="H517" s="58" t="s">
        <v>179</v>
      </c>
      <c r="I517">
        <v>38000</v>
      </c>
      <c r="J517">
        <v>38000</v>
      </c>
      <c r="K517">
        <v>20000</v>
      </c>
      <c r="L517" s="74">
        <v>8.8010000000000002</v>
      </c>
      <c r="M517" s="85">
        <v>9</v>
      </c>
      <c r="N517" s="74">
        <v>0.109</v>
      </c>
      <c r="O517">
        <v>2</v>
      </c>
      <c r="P517" s="84">
        <v>0.109</v>
      </c>
      <c r="Q517" s="86">
        <v>4.2</v>
      </c>
      <c r="R517" s="85">
        <v>4.2</v>
      </c>
      <c r="S517" s="87">
        <v>1334440</v>
      </c>
      <c r="T517" s="1">
        <v>1</v>
      </c>
      <c r="U517" s="88">
        <v>317723.80952380953</v>
      </c>
      <c r="V517" s="59">
        <v>3.1473876682353645</v>
      </c>
      <c r="X517" s="98">
        <v>4.2</v>
      </c>
      <c r="Y517" s="97">
        <v>216.6547619047619</v>
      </c>
    </row>
    <row r="518" spans="1:25">
      <c r="A518" s="58">
        <v>518</v>
      </c>
      <c r="B518" s="58">
        <v>518</v>
      </c>
      <c r="C518" s="58" t="s">
        <v>1003</v>
      </c>
      <c r="D518" s="58" t="s">
        <v>176</v>
      </c>
      <c r="E518" s="58" t="s">
        <v>176</v>
      </c>
      <c r="F518" s="58" t="s">
        <v>269</v>
      </c>
      <c r="G518" s="58" t="s">
        <v>270</v>
      </c>
      <c r="H518" s="58" t="s">
        <v>179</v>
      </c>
      <c r="I518">
        <v>38000</v>
      </c>
      <c r="J518">
        <v>38000</v>
      </c>
      <c r="K518">
        <v>20000</v>
      </c>
      <c r="L518" s="74">
        <v>16.282</v>
      </c>
      <c r="M518" s="85">
        <v>17</v>
      </c>
      <c r="N518" s="74">
        <v>0.14399999999999999</v>
      </c>
      <c r="O518">
        <v>2</v>
      </c>
      <c r="P518" s="84">
        <v>0.14399999999999999</v>
      </c>
      <c r="Q518" s="86">
        <v>4.2</v>
      </c>
      <c r="R518" s="85">
        <v>4.2</v>
      </c>
      <c r="S518" s="87">
        <v>1756040</v>
      </c>
      <c r="T518" s="1">
        <v>1</v>
      </c>
      <c r="U518" s="88">
        <v>418104.76190476189</v>
      </c>
      <c r="V518" s="59">
        <v>2.3917450627548349</v>
      </c>
      <c r="X518" s="98">
        <v>4.2</v>
      </c>
      <c r="Y518" s="97">
        <v>317.72380952380951</v>
      </c>
    </row>
    <row r="519" spans="1:25">
      <c r="A519" s="58">
        <v>519</v>
      </c>
      <c r="B519" s="58">
        <v>519</v>
      </c>
      <c r="C519" s="58" t="s">
        <v>1004</v>
      </c>
      <c r="D519" s="58" t="s">
        <v>176</v>
      </c>
      <c r="E519" s="58" t="s">
        <v>176</v>
      </c>
      <c r="F519" s="58" t="s">
        <v>262</v>
      </c>
      <c r="G519" s="58" t="s">
        <v>263</v>
      </c>
      <c r="H519" s="58" t="s">
        <v>179</v>
      </c>
      <c r="I519">
        <v>38000</v>
      </c>
      <c r="J519" s="58" t="s">
        <v>185</v>
      </c>
      <c r="K519">
        <v>38000</v>
      </c>
      <c r="L519" s="74">
        <v>2.4319999999999999</v>
      </c>
      <c r="M519" s="85">
        <v>3</v>
      </c>
      <c r="N519" s="74">
        <v>0.20799999999999999</v>
      </c>
      <c r="O519">
        <v>2</v>
      </c>
      <c r="P519" s="84">
        <v>0.20799999999999999</v>
      </c>
      <c r="Q519" s="86">
        <v>4.2</v>
      </c>
      <c r="R519" s="85">
        <v>4.2</v>
      </c>
      <c r="S519" s="87">
        <v>558600</v>
      </c>
      <c r="T519" s="1">
        <v>4</v>
      </c>
      <c r="U519" s="88">
        <v>133000</v>
      </c>
      <c r="V519" s="59">
        <v>7.518796992481203</v>
      </c>
      <c r="X519" s="98">
        <v>4.2</v>
      </c>
      <c r="Y519" s="97">
        <v>418.10476190476186</v>
      </c>
    </row>
    <row r="520" spans="1:25">
      <c r="A520" s="58">
        <v>520</v>
      </c>
      <c r="B520" s="58">
        <v>520</v>
      </c>
      <c r="C520" s="58" t="s">
        <v>1005</v>
      </c>
      <c r="D520" s="58" t="s">
        <v>176</v>
      </c>
      <c r="E520" s="58" t="s">
        <v>176</v>
      </c>
      <c r="F520" s="58" t="s">
        <v>262</v>
      </c>
      <c r="G520" s="58" t="s">
        <v>263</v>
      </c>
      <c r="H520" s="58" t="s">
        <v>179</v>
      </c>
      <c r="I520">
        <v>38000</v>
      </c>
      <c r="J520" s="58" t="s">
        <v>185</v>
      </c>
      <c r="K520">
        <v>38000</v>
      </c>
      <c r="L520" s="74">
        <v>1.5449999999999999</v>
      </c>
      <c r="M520" s="85">
        <v>2</v>
      </c>
      <c r="N520" s="74">
        <v>9.2999999999999999E-2</v>
      </c>
      <c r="O520">
        <v>2</v>
      </c>
      <c r="P520" s="84">
        <v>9.2999999999999999E-2</v>
      </c>
      <c r="Q520" s="86">
        <v>4.2</v>
      </c>
      <c r="R520" s="85">
        <v>4.2</v>
      </c>
      <c r="S520" s="87">
        <v>488330</v>
      </c>
      <c r="T520" s="1">
        <v>4</v>
      </c>
      <c r="U520" s="88">
        <v>116269.04761904762</v>
      </c>
      <c r="V520" s="59">
        <v>8.6007413019884087</v>
      </c>
      <c r="X520" s="98">
        <v>4.2</v>
      </c>
      <c r="Y520" s="97">
        <v>133</v>
      </c>
    </row>
    <row r="521" spans="1:25">
      <c r="A521" s="58">
        <v>521</v>
      </c>
      <c r="B521" s="58">
        <v>521</v>
      </c>
      <c r="C521" s="58" t="s">
        <v>1006</v>
      </c>
      <c r="D521" s="58" t="s">
        <v>176</v>
      </c>
      <c r="E521" s="58" t="s">
        <v>176</v>
      </c>
      <c r="F521" s="58" t="s">
        <v>262</v>
      </c>
      <c r="G521" s="58" t="s">
        <v>263</v>
      </c>
      <c r="H521" s="58" t="s">
        <v>179</v>
      </c>
      <c r="I521">
        <v>38000</v>
      </c>
      <c r="J521" s="58" t="s">
        <v>185</v>
      </c>
      <c r="K521">
        <v>38000</v>
      </c>
      <c r="L521" s="74">
        <v>2.2999999999999998</v>
      </c>
      <c r="M521" s="85">
        <v>3</v>
      </c>
      <c r="N521" s="74">
        <v>0.40500000000000003</v>
      </c>
      <c r="O521">
        <v>2</v>
      </c>
      <c r="P521" s="84">
        <v>0.40500000000000003</v>
      </c>
      <c r="Q521" s="86">
        <v>4.2</v>
      </c>
      <c r="R521" s="85">
        <v>4.2</v>
      </c>
      <c r="S521" s="87">
        <v>558600</v>
      </c>
      <c r="T521" s="1">
        <v>4</v>
      </c>
      <c r="U521" s="88">
        <v>133000</v>
      </c>
      <c r="V521" s="59">
        <v>7.518796992481203</v>
      </c>
      <c r="X521" s="98">
        <v>4.2</v>
      </c>
      <c r="Y521" s="97">
        <v>116.26904761904763</v>
      </c>
    </row>
    <row r="522" spans="1:25">
      <c r="A522" s="58">
        <v>522</v>
      </c>
      <c r="B522" s="58">
        <v>522</v>
      </c>
      <c r="C522" s="58" t="s">
        <v>1007</v>
      </c>
      <c r="D522" s="58" t="s">
        <v>176</v>
      </c>
      <c r="E522" s="58" t="s">
        <v>176</v>
      </c>
      <c r="F522" s="58" t="s">
        <v>222</v>
      </c>
      <c r="G522" s="58" t="s">
        <v>223</v>
      </c>
      <c r="H522" s="58" t="s">
        <v>179</v>
      </c>
      <c r="I522">
        <v>38000</v>
      </c>
      <c r="J522">
        <v>38000</v>
      </c>
      <c r="K522">
        <v>20000</v>
      </c>
      <c r="L522" s="74">
        <v>12.420999999999999</v>
      </c>
      <c r="M522" s="85">
        <v>13</v>
      </c>
      <c r="N522" s="74">
        <v>0.108</v>
      </c>
      <c r="O522">
        <v>2</v>
      </c>
      <c r="P522" s="84">
        <v>0.108</v>
      </c>
      <c r="Q522" s="86">
        <v>4.2</v>
      </c>
      <c r="R522" s="85">
        <v>4.2</v>
      </c>
      <c r="S522" s="87">
        <v>1545240</v>
      </c>
      <c r="T522" s="1">
        <v>1</v>
      </c>
      <c r="U522" s="88">
        <v>367914.28571428568</v>
      </c>
      <c r="V522" s="59">
        <v>2.7180243845616214</v>
      </c>
      <c r="X522" s="98">
        <v>4.2</v>
      </c>
      <c r="Y522" s="97">
        <v>133</v>
      </c>
    </row>
    <row r="523" spans="1:25">
      <c r="A523" s="58">
        <v>523</v>
      </c>
      <c r="B523" s="58">
        <v>523</v>
      </c>
      <c r="C523" s="58" t="s">
        <v>1008</v>
      </c>
      <c r="D523" s="58" t="s">
        <v>176</v>
      </c>
      <c r="E523" s="58" t="s">
        <v>176</v>
      </c>
      <c r="F523" s="58" t="s">
        <v>290</v>
      </c>
      <c r="G523" s="58" t="s">
        <v>291</v>
      </c>
      <c r="H523" s="58" t="s">
        <v>179</v>
      </c>
      <c r="I523">
        <v>38000</v>
      </c>
      <c r="J523">
        <v>38000</v>
      </c>
      <c r="K523">
        <v>20000</v>
      </c>
      <c r="L523" s="74">
        <v>8.4190000000000005</v>
      </c>
      <c r="M523" s="85">
        <v>9</v>
      </c>
      <c r="N523" s="74">
        <v>0.495</v>
      </c>
      <c r="O523">
        <v>2</v>
      </c>
      <c r="P523" s="84">
        <v>0.495</v>
      </c>
      <c r="Q523" s="86">
        <v>4.2</v>
      </c>
      <c r="R523" s="85">
        <v>4.2</v>
      </c>
      <c r="S523" s="87">
        <v>1334440</v>
      </c>
      <c r="T523" s="1">
        <v>1</v>
      </c>
      <c r="U523" s="88">
        <v>317723.80952380953</v>
      </c>
      <c r="V523" s="59">
        <v>3.1473876682353645</v>
      </c>
      <c r="X523" s="98">
        <v>4.2</v>
      </c>
      <c r="Y523" s="97">
        <v>367.91428571428571</v>
      </c>
    </row>
    <row r="524" spans="1:25">
      <c r="A524" s="58">
        <v>524</v>
      </c>
      <c r="B524" s="58">
        <v>524</v>
      </c>
      <c r="C524" s="58" t="s">
        <v>1009</v>
      </c>
      <c r="D524" s="58" t="s">
        <v>176</v>
      </c>
      <c r="E524" s="58" t="s">
        <v>176</v>
      </c>
      <c r="F524" s="58" t="s">
        <v>290</v>
      </c>
      <c r="G524" s="58" t="s">
        <v>291</v>
      </c>
      <c r="H524" s="58" t="s">
        <v>179</v>
      </c>
      <c r="I524">
        <v>38000</v>
      </c>
      <c r="J524">
        <v>38000</v>
      </c>
      <c r="K524">
        <v>20000</v>
      </c>
      <c r="L524" s="74">
        <v>3.448</v>
      </c>
      <c r="M524" s="85">
        <v>4</v>
      </c>
      <c r="N524" s="74">
        <v>0.35099999999999998</v>
      </c>
      <c r="O524">
        <v>2</v>
      </c>
      <c r="P524" s="84">
        <v>0.35099999999999998</v>
      </c>
      <c r="Q524" s="86">
        <v>4.2</v>
      </c>
      <c r="R524" s="85">
        <v>4.2</v>
      </c>
      <c r="S524" s="87">
        <v>628870</v>
      </c>
      <c r="T524" s="1">
        <v>4</v>
      </c>
      <c r="U524" s="88">
        <v>149730.95238095237</v>
      </c>
      <c r="V524" s="59">
        <v>6.6786458250512828</v>
      </c>
      <c r="X524" s="98">
        <v>4.2</v>
      </c>
      <c r="Y524" s="97">
        <v>317.72380952380951</v>
      </c>
    </row>
    <row r="525" spans="1:25">
      <c r="A525" s="58">
        <v>525</v>
      </c>
      <c r="B525" s="58">
        <v>525</v>
      </c>
      <c r="C525" s="58" t="s">
        <v>1010</v>
      </c>
      <c r="D525" s="58" t="s">
        <v>176</v>
      </c>
      <c r="E525" s="58" t="s">
        <v>176</v>
      </c>
      <c r="F525" s="58" t="s">
        <v>222</v>
      </c>
      <c r="G525" s="58" t="s">
        <v>223</v>
      </c>
      <c r="H525" s="58" t="s">
        <v>179</v>
      </c>
      <c r="I525">
        <v>38000</v>
      </c>
      <c r="J525">
        <v>38000</v>
      </c>
      <c r="K525">
        <v>20000</v>
      </c>
      <c r="L525" s="74">
        <v>3.6869999999999998</v>
      </c>
      <c r="M525" s="85">
        <v>4</v>
      </c>
      <c r="N525" s="74">
        <v>0.42</v>
      </c>
      <c r="O525">
        <v>2</v>
      </c>
      <c r="P525" s="84">
        <v>0.42</v>
      </c>
      <c r="Q525" s="86">
        <v>4.2</v>
      </c>
      <c r="R525" s="85">
        <v>4.2</v>
      </c>
      <c r="S525" s="87">
        <v>628870</v>
      </c>
      <c r="T525" s="1">
        <v>4</v>
      </c>
      <c r="U525" s="88">
        <v>149730.95238095237</v>
      </c>
      <c r="V525" s="59">
        <v>6.6786458250512828</v>
      </c>
      <c r="X525" s="98">
        <v>4.2</v>
      </c>
      <c r="Y525" s="97">
        <v>149.73095238095235</v>
      </c>
    </row>
    <row r="526" spans="1:25">
      <c r="A526" s="58">
        <v>526</v>
      </c>
      <c r="B526" s="58">
        <v>526</v>
      </c>
      <c r="C526" s="58" t="s">
        <v>1011</v>
      </c>
      <c r="D526" s="58" t="s">
        <v>176</v>
      </c>
      <c r="E526" s="58" t="s">
        <v>176</v>
      </c>
      <c r="F526" s="58" t="s">
        <v>222</v>
      </c>
      <c r="G526" s="58" t="s">
        <v>223</v>
      </c>
      <c r="H526" s="58" t="s">
        <v>179</v>
      </c>
      <c r="I526">
        <v>38000</v>
      </c>
      <c r="J526">
        <v>38000</v>
      </c>
      <c r="K526">
        <v>20000</v>
      </c>
      <c r="L526" s="74">
        <v>6.867</v>
      </c>
      <c r="M526" s="85">
        <v>7</v>
      </c>
      <c r="N526" s="74">
        <v>0.21</v>
      </c>
      <c r="O526">
        <v>2</v>
      </c>
      <c r="P526" s="84">
        <v>0.21</v>
      </c>
      <c r="Q526" s="86">
        <v>4.2</v>
      </c>
      <c r="R526" s="85">
        <v>4.2</v>
      </c>
      <c r="S526" s="87">
        <v>839680</v>
      </c>
      <c r="T526" s="1">
        <v>4</v>
      </c>
      <c r="U526" s="88">
        <v>199923.80952380953</v>
      </c>
      <c r="V526" s="59">
        <v>5.0019054878048781</v>
      </c>
      <c r="X526" s="98">
        <v>4.2</v>
      </c>
      <c r="Y526" s="97">
        <v>149.73095238095235</v>
      </c>
    </row>
    <row r="527" spans="1:25">
      <c r="A527" s="58">
        <v>527</v>
      </c>
      <c r="B527" s="58">
        <v>527</v>
      </c>
      <c r="C527" s="58" t="s">
        <v>1012</v>
      </c>
      <c r="D527" s="58" t="s">
        <v>176</v>
      </c>
      <c r="E527" s="58" t="s">
        <v>176</v>
      </c>
      <c r="F527" s="58" t="s">
        <v>1013</v>
      </c>
      <c r="G527" s="58" t="s">
        <v>1014</v>
      </c>
      <c r="H527" s="58" t="s">
        <v>179</v>
      </c>
      <c r="I527">
        <v>38000</v>
      </c>
      <c r="J527">
        <v>38000</v>
      </c>
      <c r="K527">
        <v>20000</v>
      </c>
      <c r="L527" s="74">
        <v>5.1890000000000001</v>
      </c>
      <c r="M527" s="85">
        <v>6</v>
      </c>
      <c r="N527" s="74">
        <v>0.14699999999999999</v>
      </c>
      <c r="O527">
        <v>2</v>
      </c>
      <c r="P527" s="84">
        <v>0.14699999999999999</v>
      </c>
      <c r="Q527" s="86">
        <v>4.2</v>
      </c>
      <c r="R527" s="85">
        <v>4.2</v>
      </c>
      <c r="S527" s="87">
        <v>769410</v>
      </c>
      <c r="T527" s="1">
        <v>4</v>
      </c>
      <c r="U527" s="88">
        <v>183192.85714285713</v>
      </c>
      <c r="V527" s="59">
        <v>5.4587281163488903</v>
      </c>
      <c r="X527" s="98">
        <v>4.2</v>
      </c>
      <c r="Y527" s="97">
        <v>199.92380952380952</v>
      </c>
    </row>
    <row r="528" spans="1:25">
      <c r="A528" s="58">
        <v>528</v>
      </c>
      <c r="B528" s="58">
        <v>528</v>
      </c>
      <c r="C528" s="58" t="s">
        <v>1015</v>
      </c>
      <c r="D528" s="58" t="s">
        <v>197</v>
      </c>
      <c r="E528" s="58" t="s">
        <v>197</v>
      </c>
      <c r="F528" s="58" t="s">
        <v>299</v>
      </c>
      <c r="G528" s="58" t="s">
        <v>300</v>
      </c>
      <c r="H528" s="58" t="s">
        <v>179</v>
      </c>
      <c r="I528">
        <v>38000</v>
      </c>
      <c r="J528">
        <v>38000</v>
      </c>
      <c r="K528" s="58" t="s">
        <v>185</v>
      </c>
      <c r="L528" s="74">
        <v>20.277999999999999</v>
      </c>
      <c r="M528" s="85">
        <v>21</v>
      </c>
      <c r="N528" s="74">
        <v>0.33</v>
      </c>
      <c r="O528">
        <v>2</v>
      </c>
      <c r="P528" s="84">
        <v>0.33</v>
      </c>
      <c r="Q528" s="86">
        <v>4.2</v>
      </c>
      <c r="R528" s="85">
        <v>4.2</v>
      </c>
      <c r="S528" s="87">
        <v>1966840</v>
      </c>
      <c r="T528" s="1">
        <v>1</v>
      </c>
      <c r="U528" s="88">
        <v>468295.23809523805</v>
      </c>
      <c r="V528" s="59">
        <v>2.135405015151207</v>
      </c>
      <c r="X528" s="98">
        <v>4.2</v>
      </c>
      <c r="Y528" s="97">
        <v>183.19285714285712</v>
      </c>
    </row>
    <row r="529" spans="1:25">
      <c r="A529" s="58">
        <v>529</v>
      </c>
      <c r="B529" s="58">
        <v>529</v>
      </c>
      <c r="C529" s="58" t="s">
        <v>1016</v>
      </c>
      <c r="D529" s="58" t="s">
        <v>197</v>
      </c>
      <c r="E529" s="58" t="s">
        <v>197</v>
      </c>
      <c r="F529" s="58" t="s">
        <v>299</v>
      </c>
      <c r="G529" s="58" t="s">
        <v>300</v>
      </c>
      <c r="H529" s="58" t="s">
        <v>179</v>
      </c>
      <c r="I529">
        <v>38000</v>
      </c>
      <c r="J529">
        <v>38000</v>
      </c>
      <c r="K529" s="58" t="s">
        <v>185</v>
      </c>
      <c r="L529" s="74">
        <v>22.224</v>
      </c>
      <c r="M529" s="85">
        <v>23</v>
      </c>
      <c r="N529" s="74">
        <v>9.1999999999999998E-2</v>
      </c>
      <c r="O529">
        <v>2</v>
      </c>
      <c r="P529" s="84">
        <v>9.1999999999999998E-2</v>
      </c>
      <c r="Q529" s="86">
        <v>4.2</v>
      </c>
      <c r="R529" s="85">
        <v>4.2</v>
      </c>
      <c r="S529" s="87">
        <v>2072240</v>
      </c>
      <c r="T529" s="1">
        <v>1</v>
      </c>
      <c r="U529" s="88">
        <v>493390.47619047615</v>
      </c>
      <c r="V529" s="59">
        <v>2.0267922634443889</v>
      </c>
      <c r="X529" s="98">
        <v>4.2</v>
      </c>
      <c r="Y529" s="97">
        <v>468.29523809523806</v>
      </c>
    </row>
    <row r="530" spans="1:25">
      <c r="A530" s="58">
        <v>530</v>
      </c>
      <c r="B530" s="58">
        <v>530</v>
      </c>
      <c r="C530" s="58" t="s">
        <v>1017</v>
      </c>
      <c r="D530" s="58" t="s">
        <v>197</v>
      </c>
      <c r="E530" s="58" t="s">
        <v>197</v>
      </c>
      <c r="F530" s="58" t="s">
        <v>299</v>
      </c>
      <c r="G530" s="58" t="s">
        <v>300</v>
      </c>
      <c r="H530" s="58" t="s">
        <v>179</v>
      </c>
      <c r="I530">
        <v>38000</v>
      </c>
      <c r="J530">
        <v>38000</v>
      </c>
      <c r="K530" s="58" t="s">
        <v>185</v>
      </c>
      <c r="L530" s="74">
        <v>14.654999999999999</v>
      </c>
      <c r="M530" s="85">
        <v>15</v>
      </c>
      <c r="N530" s="74">
        <v>0.17100000000000001</v>
      </c>
      <c r="O530">
        <v>2</v>
      </c>
      <c r="P530" s="84">
        <v>0.17100000000000001</v>
      </c>
      <c r="Q530" s="86">
        <v>4.2</v>
      </c>
      <c r="R530" s="85">
        <v>4.2</v>
      </c>
      <c r="S530" s="87">
        <v>1650640</v>
      </c>
      <c r="T530" s="1">
        <v>1</v>
      </c>
      <c r="U530" s="88">
        <v>393009.52380952379</v>
      </c>
      <c r="V530" s="59">
        <v>2.5444676004458877</v>
      </c>
      <c r="X530" s="98">
        <v>4.2</v>
      </c>
      <c r="Y530" s="97">
        <v>493.39047619047614</v>
      </c>
    </row>
    <row r="531" spans="1:25">
      <c r="A531" s="58">
        <v>531</v>
      </c>
      <c r="B531" s="58">
        <v>531</v>
      </c>
      <c r="C531" s="58" t="s">
        <v>1018</v>
      </c>
      <c r="D531" s="58" t="s">
        <v>197</v>
      </c>
      <c r="E531" s="58" t="s">
        <v>197</v>
      </c>
      <c r="F531" s="58" t="s">
        <v>486</v>
      </c>
      <c r="G531" s="58" t="s">
        <v>487</v>
      </c>
      <c r="H531" s="58" t="s">
        <v>179</v>
      </c>
      <c r="I531">
        <v>38000</v>
      </c>
      <c r="J531">
        <v>38000</v>
      </c>
      <c r="K531" s="58" t="s">
        <v>185</v>
      </c>
      <c r="L531" s="74">
        <v>18.608000000000001</v>
      </c>
      <c r="M531" s="85">
        <v>19</v>
      </c>
      <c r="N531" s="74">
        <v>0.312</v>
      </c>
      <c r="O531">
        <v>2</v>
      </c>
      <c r="P531" s="84">
        <v>0.312</v>
      </c>
      <c r="Q531" s="86">
        <v>4.2</v>
      </c>
      <c r="R531" s="85">
        <v>4.2</v>
      </c>
      <c r="S531" s="87">
        <v>1861440</v>
      </c>
      <c r="T531" s="1">
        <v>1</v>
      </c>
      <c r="U531" s="88">
        <v>443200</v>
      </c>
      <c r="V531" s="59">
        <v>2.256317689530686</v>
      </c>
      <c r="X531" s="98">
        <v>4.2</v>
      </c>
      <c r="Y531" s="97">
        <v>393.00952380952378</v>
      </c>
    </row>
    <row r="532" spans="1:25">
      <c r="A532" s="58">
        <v>532</v>
      </c>
      <c r="B532" s="58">
        <v>532</v>
      </c>
      <c r="C532" s="58" t="s">
        <v>1019</v>
      </c>
      <c r="D532" s="58" t="s">
        <v>182</v>
      </c>
      <c r="E532" s="58" t="s">
        <v>182</v>
      </c>
      <c r="F532" s="58" t="s">
        <v>183</v>
      </c>
      <c r="G532" s="58" t="s">
        <v>184</v>
      </c>
      <c r="H532" s="58" t="s">
        <v>179</v>
      </c>
      <c r="I532">
        <v>38000</v>
      </c>
      <c r="J532">
        <v>38000</v>
      </c>
      <c r="K532" s="58" t="s">
        <v>185</v>
      </c>
      <c r="L532" s="74">
        <v>10.936</v>
      </c>
      <c r="M532" s="85">
        <v>11</v>
      </c>
      <c r="N532" s="74">
        <v>0.17199999999999999</v>
      </c>
      <c r="O532">
        <v>2</v>
      </c>
      <c r="P532" s="84">
        <v>0.17199999999999999</v>
      </c>
      <c r="Q532" s="86">
        <v>4.2</v>
      </c>
      <c r="R532" s="85">
        <v>4.2</v>
      </c>
      <c r="S532" s="87">
        <v>1439840</v>
      </c>
      <c r="T532" s="1">
        <v>1</v>
      </c>
      <c r="U532" s="88">
        <v>342819.04761904763</v>
      </c>
      <c r="V532" s="59">
        <v>2.9169907767529724</v>
      </c>
      <c r="X532" s="98">
        <v>4.2</v>
      </c>
      <c r="Y532" s="97">
        <v>443.2</v>
      </c>
    </row>
    <row r="533" spans="1:25">
      <c r="A533" s="58">
        <v>533</v>
      </c>
      <c r="B533" s="58">
        <v>533</v>
      </c>
      <c r="C533" s="58" t="s">
        <v>1020</v>
      </c>
      <c r="D533" s="58" t="s">
        <v>182</v>
      </c>
      <c r="E533" s="58" t="s">
        <v>182</v>
      </c>
      <c r="F533" s="58" t="s">
        <v>183</v>
      </c>
      <c r="G533" s="58" t="s">
        <v>184</v>
      </c>
      <c r="H533" s="58" t="s">
        <v>179</v>
      </c>
      <c r="I533">
        <v>38000</v>
      </c>
      <c r="J533">
        <v>38000</v>
      </c>
      <c r="K533" s="58" t="s">
        <v>185</v>
      </c>
      <c r="L533" s="74">
        <v>14.888</v>
      </c>
      <c r="M533" s="85">
        <v>15</v>
      </c>
      <c r="N533" s="74">
        <v>0.17399999999999999</v>
      </c>
      <c r="O533">
        <v>2</v>
      </c>
      <c r="P533" s="84">
        <v>0.17399999999999999</v>
      </c>
      <c r="Q533" s="86">
        <v>4.2</v>
      </c>
      <c r="R533" s="85">
        <v>4.2</v>
      </c>
      <c r="S533" s="87">
        <v>1650640</v>
      </c>
      <c r="T533" s="1">
        <v>1</v>
      </c>
      <c r="U533" s="88">
        <v>393009.52380952379</v>
      </c>
      <c r="V533" s="59">
        <v>2.5444676004458877</v>
      </c>
      <c r="X533" s="98">
        <v>4.2</v>
      </c>
      <c r="Y533" s="97">
        <v>342.81904761904764</v>
      </c>
    </row>
    <row r="534" spans="1:25">
      <c r="A534" s="58">
        <v>534</v>
      </c>
      <c r="B534" s="58">
        <v>534</v>
      </c>
      <c r="C534" s="58" t="s">
        <v>1021</v>
      </c>
      <c r="D534" s="58" t="s">
        <v>182</v>
      </c>
      <c r="E534" s="58" t="s">
        <v>182</v>
      </c>
      <c r="F534" s="58" t="s">
        <v>302</v>
      </c>
      <c r="G534" s="58" t="s">
        <v>303</v>
      </c>
      <c r="H534" s="58" t="s">
        <v>179</v>
      </c>
      <c r="I534">
        <v>38000</v>
      </c>
      <c r="J534">
        <v>38000</v>
      </c>
      <c r="K534" s="58" t="s">
        <v>185</v>
      </c>
      <c r="L534" s="74">
        <v>11.564</v>
      </c>
      <c r="M534" s="85">
        <v>12</v>
      </c>
      <c r="N534" s="74">
        <v>0.433</v>
      </c>
      <c r="O534">
        <v>2</v>
      </c>
      <c r="P534" s="84">
        <v>0.433</v>
      </c>
      <c r="Q534" s="86">
        <v>4.2</v>
      </c>
      <c r="R534" s="85">
        <v>4.2</v>
      </c>
      <c r="S534" s="87">
        <v>1492540</v>
      </c>
      <c r="T534" s="1">
        <v>1</v>
      </c>
      <c r="U534" s="88">
        <v>355366.66666666663</v>
      </c>
      <c r="V534" s="59">
        <v>2.8139949348091173</v>
      </c>
      <c r="X534" s="98">
        <v>4.2</v>
      </c>
      <c r="Y534" s="97">
        <v>393.00952380952378</v>
      </c>
    </row>
    <row r="535" spans="1:25">
      <c r="A535" s="58">
        <v>535</v>
      </c>
      <c r="B535" s="58">
        <v>535</v>
      </c>
      <c r="C535" s="58" t="s">
        <v>1022</v>
      </c>
      <c r="D535" s="58" t="s">
        <v>182</v>
      </c>
      <c r="E535" s="58" t="s">
        <v>182</v>
      </c>
      <c r="F535" s="58" t="s">
        <v>302</v>
      </c>
      <c r="G535" s="58" t="s">
        <v>303</v>
      </c>
      <c r="H535" s="58" t="s">
        <v>179</v>
      </c>
      <c r="I535">
        <v>38000</v>
      </c>
      <c r="J535">
        <v>38000</v>
      </c>
      <c r="K535" s="58" t="s">
        <v>185</v>
      </c>
      <c r="L535" s="74">
        <v>4.6289999999999996</v>
      </c>
      <c r="M535" s="85">
        <v>5</v>
      </c>
      <c r="N535" s="74">
        <v>0.27200000000000002</v>
      </c>
      <c r="O535">
        <v>2</v>
      </c>
      <c r="P535" s="84">
        <v>0.27200000000000002</v>
      </c>
      <c r="Q535" s="86">
        <v>4.2</v>
      </c>
      <c r="R535" s="85">
        <v>4.2</v>
      </c>
      <c r="S535" s="87">
        <v>699140</v>
      </c>
      <c r="T535" s="1">
        <v>4</v>
      </c>
      <c r="U535" s="88">
        <v>166461.90476190476</v>
      </c>
      <c r="V535" s="59">
        <v>6.0073804960379897</v>
      </c>
      <c r="X535" s="98">
        <v>4.2</v>
      </c>
      <c r="Y535" s="97">
        <v>355.36666666666662</v>
      </c>
    </row>
    <row r="536" spans="1:25">
      <c r="A536" s="58">
        <v>536</v>
      </c>
      <c r="B536" s="58">
        <v>536</v>
      </c>
      <c r="C536" s="58" t="s">
        <v>1023</v>
      </c>
      <c r="D536" s="58" t="s">
        <v>182</v>
      </c>
      <c r="E536" s="58" t="s">
        <v>182</v>
      </c>
      <c r="F536" s="58" t="s">
        <v>302</v>
      </c>
      <c r="G536" s="58" t="s">
        <v>303</v>
      </c>
      <c r="H536" s="58" t="s">
        <v>179</v>
      </c>
      <c r="I536">
        <v>38000</v>
      </c>
      <c r="J536">
        <v>38000</v>
      </c>
      <c r="K536" s="58" t="s">
        <v>185</v>
      </c>
      <c r="L536" s="74">
        <v>5.2220000000000004</v>
      </c>
      <c r="M536" s="85">
        <v>6</v>
      </c>
      <c r="N536" s="74">
        <v>0.248</v>
      </c>
      <c r="O536">
        <v>2</v>
      </c>
      <c r="P536" s="84">
        <v>0.248</v>
      </c>
      <c r="Q536" s="86">
        <v>4.2</v>
      </c>
      <c r="R536" s="85">
        <v>4.2</v>
      </c>
      <c r="S536" s="87">
        <v>769410</v>
      </c>
      <c r="T536" s="1">
        <v>4</v>
      </c>
      <c r="U536" s="88">
        <v>183192.85714285713</v>
      </c>
      <c r="V536" s="59">
        <v>5.4587281163488903</v>
      </c>
      <c r="X536" s="98">
        <v>4.2</v>
      </c>
      <c r="Y536" s="97">
        <v>166.46190476190475</v>
      </c>
    </row>
    <row r="537" spans="1:25">
      <c r="A537" s="58">
        <v>537</v>
      </c>
      <c r="B537" s="58">
        <v>537</v>
      </c>
      <c r="C537" s="58" t="s">
        <v>1024</v>
      </c>
      <c r="D537" s="58" t="s">
        <v>182</v>
      </c>
      <c r="E537" s="58" t="s">
        <v>182</v>
      </c>
      <c r="F537" s="58" t="s">
        <v>302</v>
      </c>
      <c r="G537" s="58" t="s">
        <v>303</v>
      </c>
      <c r="H537" s="58" t="s">
        <v>179</v>
      </c>
      <c r="I537">
        <v>38000</v>
      </c>
      <c r="J537">
        <v>38000</v>
      </c>
      <c r="K537" s="58" t="s">
        <v>185</v>
      </c>
      <c r="L537" s="74">
        <v>8.2880000000000003</v>
      </c>
      <c r="M537" s="85">
        <v>9</v>
      </c>
      <c r="N537" s="74">
        <v>0.20699999999999999</v>
      </c>
      <c r="O537">
        <v>2</v>
      </c>
      <c r="P537" s="84">
        <v>0.20699999999999999</v>
      </c>
      <c r="Q537" s="86">
        <v>4.2</v>
      </c>
      <c r="R537" s="85">
        <v>4.2</v>
      </c>
      <c r="S537" s="87">
        <v>1334440</v>
      </c>
      <c r="T537" s="1">
        <v>1</v>
      </c>
      <c r="U537" s="88">
        <v>317723.80952380953</v>
      </c>
      <c r="V537" s="59">
        <v>3.1473876682353645</v>
      </c>
      <c r="X537" s="98">
        <v>4.2</v>
      </c>
      <c r="Y537" s="97">
        <v>183.19285714285712</v>
      </c>
    </row>
    <row r="538" spans="1:25">
      <c r="A538" s="58">
        <v>538</v>
      </c>
      <c r="B538" s="58">
        <v>538</v>
      </c>
      <c r="C538" s="58" t="s">
        <v>1025</v>
      </c>
      <c r="D538" s="58" t="s">
        <v>234</v>
      </c>
      <c r="E538" s="58" t="s">
        <v>234</v>
      </c>
      <c r="F538" s="58" t="s">
        <v>302</v>
      </c>
      <c r="G538" s="58" t="s">
        <v>303</v>
      </c>
      <c r="H538" s="58" t="s">
        <v>179</v>
      </c>
      <c r="I538">
        <v>38000</v>
      </c>
      <c r="J538">
        <v>38000</v>
      </c>
      <c r="K538" s="58" t="s">
        <v>185</v>
      </c>
      <c r="L538" s="74">
        <v>18.506</v>
      </c>
      <c r="M538" s="85">
        <v>19</v>
      </c>
      <c r="N538" s="74">
        <v>0.21199999999999999</v>
      </c>
      <c r="O538">
        <v>2</v>
      </c>
      <c r="P538" s="84">
        <v>0.21199999999999999</v>
      </c>
      <c r="Q538" s="86">
        <v>4.2</v>
      </c>
      <c r="R538" s="85">
        <v>4.2</v>
      </c>
      <c r="S538" s="87">
        <v>1861440</v>
      </c>
      <c r="T538" s="1">
        <v>1</v>
      </c>
      <c r="U538" s="88">
        <v>443200</v>
      </c>
      <c r="V538" s="59">
        <v>2.256317689530686</v>
      </c>
      <c r="X538" s="98">
        <v>4.2</v>
      </c>
      <c r="Y538" s="97">
        <v>317.72380952380951</v>
      </c>
    </row>
    <row r="539" spans="1:25">
      <c r="A539" s="58">
        <v>539</v>
      </c>
      <c r="B539" s="58">
        <v>539</v>
      </c>
      <c r="C539" s="58" t="s">
        <v>1026</v>
      </c>
      <c r="D539" s="58" t="s">
        <v>234</v>
      </c>
      <c r="E539" s="58" t="s">
        <v>234</v>
      </c>
      <c r="F539" s="58" t="s">
        <v>309</v>
      </c>
      <c r="G539" s="58" t="s">
        <v>310</v>
      </c>
      <c r="H539" s="58" t="s">
        <v>179</v>
      </c>
      <c r="I539">
        <v>38000</v>
      </c>
      <c r="J539">
        <v>38000</v>
      </c>
      <c r="K539">
        <v>20000</v>
      </c>
      <c r="L539" s="74">
        <v>16.36</v>
      </c>
      <c r="M539" s="85">
        <v>17</v>
      </c>
      <c r="N539" s="74">
        <v>0.41</v>
      </c>
      <c r="O539">
        <v>2</v>
      </c>
      <c r="P539" s="84">
        <v>0.41</v>
      </c>
      <c r="Q539" s="86">
        <v>4.2</v>
      </c>
      <c r="R539" s="85">
        <v>4.2</v>
      </c>
      <c r="S539" s="87">
        <v>1756040</v>
      </c>
      <c r="T539" s="1">
        <v>1</v>
      </c>
      <c r="U539" s="88">
        <v>418104.76190476189</v>
      </c>
      <c r="V539" s="59">
        <v>2.3917450627548349</v>
      </c>
      <c r="X539" s="98">
        <v>4.2</v>
      </c>
      <c r="Y539" s="97">
        <v>443.2</v>
      </c>
    </row>
    <row r="540" spans="1:25">
      <c r="A540" s="58">
        <v>540</v>
      </c>
      <c r="B540" s="58">
        <v>540</v>
      </c>
      <c r="C540" s="58" t="s">
        <v>1027</v>
      </c>
      <c r="D540" s="58" t="s">
        <v>182</v>
      </c>
      <c r="E540" s="58" t="s">
        <v>182</v>
      </c>
      <c r="F540" s="58" t="s">
        <v>595</v>
      </c>
      <c r="G540" s="58" t="s">
        <v>596</v>
      </c>
      <c r="H540" s="58" t="s">
        <v>179</v>
      </c>
      <c r="I540">
        <v>38000</v>
      </c>
      <c r="J540">
        <v>38000</v>
      </c>
      <c r="K540" s="58" t="s">
        <v>185</v>
      </c>
      <c r="L540" s="74">
        <v>14.183</v>
      </c>
      <c r="M540" s="85">
        <v>15</v>
      </c>
      <c r="N540" s="74">
        <v>0.47599999999999998</v>
      </c>
      <c r="O540">
        <v>2</v>
      </c>
      <c r="P540" s="84">
        <v>0.47599999999999998</v>
      </c>
      <c r="Q540" s="86">
        <v>4.2</v>
      </c>
      <c r="R540" s="85">
        <v>4.2</v>
      </c>
      <c r="S540" s="87">
        <v>1650640</v>
      </c>
      <c r="T540" s="1">
        <v>1</v>
      </c>
      <c r="U540" s="88">
        <v>393009.52380952379</v>
      </c>
      <c r="V540" s="59">
        <v>2.5444676004458877</v>
      </c>
      <c r="X540" s="98">
        <v>4.2</v>
      </c>
      <c r="Y540" s="97">
        <v>418.10476190476186</v>
      </c>
    </row>
    <row r="541" spans="1:25">
      <c r="A541" s="58">
        <v>541</v>
      </c>
      <c r="B541" s="58">
        <v>541</v>
      </c>
      <c r="C541" s="58" t="s">
        <v>1028</v>
      </c>
      <c r="D541" s="58" t="s">
        <v>182</v>
      </c>
      <c r="E541" s="58" t="s">
        <v>182</v>
      </c>
      <c r="F541" s="58" t="s">
        <v>440</v>
      </c>
      <c r="G541" s="58" t="s">
        <v>441</v>
      </c>
      <c r="H541" s="58" t="s">
        <v>199</v>
      </c>
      <c r="I541">
        <v>110000</v>
      </c>
      <c r="L541" s="74">
        <v>16.065000000000001</v>
      </c>
      <c r="M541" s="85">
        <v>17</v>
      </c>
      <c r="N541" s="74">
        <v>0.11700000000000001</v>
      </c>
      <c r="O541">
        <v>2</v>
      </c>
      <c r="P541" s="84">
        <v>0.11700000000000001</v>
      </c>
      <c r="Q541" s="86">
        <v>4.2</v>
      </c>
      <c r="R541" s="85">
        <v>4.2</v>
      </c>
      <c r="S541" s="87">
        <v>2312370</v>
      </c>
      <c r="T541" s="1">
        <v>7</v>
      </c>
      <c r="U541" s="88">
        <v>550564.28571428568</v>
      </c>
      <c r="V541" s="59">
        <v>1.8163183227597659</v>
      </c>
      <c r="X541" s="98">
        <v>4.2</v>
      </c>
      <c r="Y541" s="97">
        <v>393.00952380952378</v>
      </c>
    </row>
    <row r="542" spans="1:25">
      <c r="A542" s="58">
        <v>542</v>
      </c>
      <c r="B542" s="58">
        <v>542</v>
      </c>
      <c r="C542" s="58" t="s">
        <v>1029</v>
      </c>
      <c r="D542" s="58" t="s">
        <v>182</v>
      </c>
      <c r="E542" s="58" t="s">
        <v>182</v>
      </c>
      <c r="F542" s="58" t="s">
        <v>440</v>
      </c>
      <c r="G542" s="58" t="s">
        <v>441</v>
      </c>
      <c r="H542" s="58" t="s">
        <v>199</v>
      </c>
      <c r="I542">
        <v>110000</v>
      </c>
      <c r="L542" s="74">
        <v>15.196</v>
      </c>
      <c r="M542" s="85">
        <v>16</v>
      </c>
      <c r="N542" s="74">
        <v>0.19800000000000001</v>
      </c>
      <c r="O542">
        <v>2</v>
      </c>
      <c r="P542" s="84">
        <v>0.19800000000000001</v>
      </c>
      <c r="Q542" s="86">
        <v>4.2</v>
      </c>
      <c r="R542" s="85">
        <v>4.2</v>
      </c>
      <c r="S542" s="87">
        <v>2259670</v>
      </c>
      <c r="T542" s="1">
        <v>7</v>
      </c>
      <c r="U542" s="88">
        <v>538016.66666666663</v>
      </c>
      <c r="V542" s="59">
        <v>1.8586784796010036</v>
      </c>
      <c r="X542" s="98">
        <v>4.2</v>
      </c>
      <c r="Y542" s="97">
        <v>550.56428571428569</v>
      </c>
    </row>
    <row r="543" spans="1:25">
      <c r="A543" s="58">
        <v>543</v>
      </c>
      <c r="B543" s="58">
        <v>543</v>
      </c>
      <c r="C543" s="58" t="s">
        <v>1030</v>
      </c>
      <c r="D543" s="58" t="s">
        <v>182</v>
      </c>
      <c r="E543" s="58" t="s">
        <v>182</v>
      </c>
      <c r="F543" s="58" t="s">
        <v>302</v>
      </c>
      <c r="G543" s="58" t="s">
        <v>303</v>
      </c>
      <c r="H543" s="58" t="s">
        <v>179</v>
      </c>
      <c r="I543">
        <v>38000</v>
      </c>
      <c r="J543">
        <v>38000</v>
      </c>
      <c r="K543" s="58" t="s">
        <v>185</v>
      </c>
      <c r="L543" s="74">
        <v>15.058999999999999</v>
      </c>
      <c r="M543" s="85">
        <v>16</v>
      </c>
      <c r="N543" s="74">
        <v>0.27</v>
      </c>
      <c r="O543">
        <v>2</v>
      </c>
      <c r="P543" s="84">
        <v>0.27</v>
      </c>
      <c r="Q543" s="86">
        <v>4.2</v>
      </c>
      <c r="R543" s="85">
        <v>4.2</v>
      </c>
      <c r="S543" s="87">
        <v>1703340</v>
      </c>
      <c r="T543" s="1">
        <v>1</v>
      </c>
      <c r="U543" s="88">
        <v>405557.14285714284</v>
      </c>
      <c r="V543" s="59">
        <v>2.4657437739969708</v>
      </c>
      <c r="X543" s="98">
        <v>4.2</v>
      </c>
      <c r="Y543" s="97">
        <v>538.01666666666654</v>
      </c>
    </row>
    <row r="544" spans="1:25">
      <c r="A544" s="58">
        <v>544</v>
      </c>
      <c r="B544" s="58">
        <v>544</v>
      </c>
      <c r="C544" s="58" t="s">
        <v>1031</v>
      </c>
      <c r="D544" s="58" t="s">
        <v>182</v>
      </c>
      <c r="E544" s="58" t="s">
        <v>182</v>
      </c>
      <c r="F544" s="58" t="s">
        <v>302</v>
      </c>
      <c r="G544" s="58" t="s">
        <v>303</v>
      </c>
      <c r="H544" s="58" t="s">
        <v>179</v>
      </c>
      <c r="I544">
        <v>38000</v>
      </c>
      <c r="J544">
        <v>38000</v>
      </c>
      <c r="K544" s="58" t="s">
        <v>185</v>
      </c>
      <c r="L544" s="74">
        <v>14.984</v>
      </c>
      <c r="M544" s="85">
        <v>15</v>
      </c>
      <c r="N544" s="74">
        <v>0.217</v>
      </c>
      <c r="O544">
        <v>2</v>
      </c>
      <c r="P544" s="84">
        <v>0.217</v>
      </c>
      <c r="Q544" s="86">
        <v>4.2</v>
      </c>
      <c r="R544" s="85">
        <v>4.2</v>
      </c>
      <c r="S544" s="87">
        <v>1650640</v>
      </c>
      <c r="T544" s="1">
        <v>1</v>
      </c>
      <c r="U544" s="88">
        <v>393009.52380952379</v>
      </c>
      <c r="V544" s="59">
        <v>2.5444676004458877</v>
      </c>
      <c r="X544" s="98">
        <v>4.2</v>
      </c>
      <c r="Y544" s="97">
        <v>405.55714285714282</v>
      </c>
    </row>
    <row r="545" spans="1:25">
      <c r="A545" s="58">
        <v>545</v>
      </c>
      <c r="B545" s="58">
        <v>545</v>
      </c>
      <c r="C545" s="58" t="s">
        <v>1032</v>
      </c>
      <c r="D545" s="58" t="s">
        <v>182</v>
      </c>
      <c r="E545" s="58" t="s">
        <v>182</v>
      </c>
      <c r="F545" s="58" t="s">
        <v>302</v>
      </c>
      <c r="G545" s="58" t="s">
        <v>303</v>
      </c>
      <c r="H545" s="58" t="s">
        <v>179</v>
      </c>
      <c r="I545">
        <v>38000</v>
      </c>
      <c r="J545">
        <v>38000</v>
      </c>
      <c r="K545" s="58" t="s">
        <v>185</v>
      </c>
      <c r="L545" s="74">
        <v>14.57</v>
      </c>
      <c r="M545" s="85">
        <v>15</v>
      </c>
      <c r="N545" s="74">
        <v>0.111</v>
      </c>
      <c r="O545">
        <v>2</v>
      </c>
      <c r="P545" s="84">
        <v>0.111</v>
      </c>
      <c r="Q545" s="86">
        <v>4.2</v>
      </c>
      <c r="R545" s="85">
        <v>4.2</v>
      </c>
      <c r="S545" s="87">
        <v>1650640</v>
      </c>
      <c r="T545" s="1">
        <v>1</v>
      </c>
      <c r="U545" s="88">
        <v>393009.52380952379</v>
      </c>
      <c r="V545" s="59">
        <v>2.5444676004458877</v>
      </c>
      <c r="X545" s="98">
        <v>4.2</v>
      </c>
      <c r="Y545" s="97">
        <v>393.00952380952378</v>
      </c>
    </row>
    <row r="546" spans="1:25">
      <c r="A546" s="58">
        <v>546</v>
      </c>
      <c r="B546" s="58">
        <v>546</v>
      </c>
      <c r="C546" s="58" t="s">
        <v>1033</v>
      </c>
      <c r="D546" s="58" t="s">
        <v>182</v>
      </c>
      <c r="E546" s="58" t="s">
        <v>182</v>
      </c>
      <c r="F546" s="58" t="s">
        <v>183</v>
      </c>
      <c r="G546" s="58" t="s">
        <v>184</v>
      </c>
      <c r="H546" s="58" t="s">
        <v>179</v>
      </c>
      <c r="I546">
        <v>38000</v>
      </c>
      <c r="J546">
        <v>38000</v>
      </c>
      <c r="K546" s="58" t="s">
        <v>185</v>
      </c>
      <c r="L546" s="74">
        <v>6.1189999999999998</v>
      </c>
      <c r="M546" s="85">
        <v>7</v>
      </c>
      <c r="N546" s="74">
        <v>0.20100000000000001</v>
      </c>
      <c r="O546">
        <v>2</v>
      </c>
      <c r="P546" s="84">
        <v>0.20100000000000001</v>
      </c>
      <c r="Q546" s="86">
        <v>4.2</v>
      </c>
      <c r="R546" s="85">
        <v>4.2</v>
      </c>
      <c r="S546" s="87">
        <v>839680</v>
      </c>
      <c r="T546" s="1">
        <v>4</v>
      </c>
      <c r="U546" s="88">
        <v>199923.80952380953</v>
      </c>
      <c r="V546" s="59">
        <v>5.0019054878048781</v>
      </c>
      <c r="X546" s="98">
        <v>4.2</v>
      </c>
      <c r="Y546" s="97">
        <v>393.00952380952378</v>
      </c>
    </row>
    <row r="547" spans="1:25">
      <c r="A547" s="58">
        <v>547</v>
      </c>
      <c r="B547" s="58">
        <v>547</v>
      </c>
      <c r="C547" s="58" t="s">
        <v>1034</v>
      </c>
      <c r="D547" s="58" t="s">
        <v>234</v>
      </c>
      <c r="E547" s="58" t="s">
        <v>234</v>
      </c>
      <c r="F547" s="58" t="s">
        <v>309</v>
      </c>
      <c r="G547" s="58" t="s">
        <v>310</v>
      </c>
      <c r="H547" s="58" t="s">
        <v>179</v>
      </c>
      <c r="I547">
        <v>38000</v>
      </c>
      <c r="J547">
        <v>38000</v>
      </c>
      <c r="K547">
        <v>20000</v>
      </c>
      <c r="L547" s="74">
        <v>18.274999999999999</v>
      </c>
      <c r="M547" s="85">
        <v>19</v>
      </c>
      <c r="N547" s="74">
        <v>9.4E-2</v>
      </c>
      <c r="O547">
        <v>2</v>
      </c>
      <c r="P547" s="84">
        <v>9.4E-2</v>
      </c>
      <c r="Q547" s="86">
        <v>4.2</v>
      </c>
      <c r="R547" s="85">
        <v>4.2</v>
      </c>
      <c r="S547" s="87">
        <v>1861440</v>
      </c>
      <c r="T547" s="1">
        <v>1</v>
      </c>
      <c r="U547" s="88">
        <v>443200</v>
      </c>
      <c r="V547" s="59">
        <v>2.256317689530686</v>
      </c>
      <c r="X547" s="98">
        <v>4.2</v>
      </c>
      <c r="Y547" s="97">
        <v>199.92380952380952</v>
      </c>
    </row>
    <row r="548" spans="1:25">
      <c r="A548" s="58">
        <v>548</v>
      </c>
      <c r="B548" s="58">
        <v>548</v>
      </c>
      <c r="C548" s="58" t="s">
        <v>1035</v>
      </c>
      <c r="D548" s="58" t="s">
        <v>234</v>
      </c>
      <c r="E548" s="58" t="s">
        <v>234</v>
      </c>
      <c r="F548" s="58" t="s">
        <v>316</v>
      </c>
      <c r="G548" s="58" t="s">
        <v>317</v>
      </c>
      <c r="H548" s="58" t="s">
        <v>199</v>
      </c>
      <c r="I548">
        <v>110000</v>
      </c>
      <c r="J548">
        <v>110000</v>
      </c>
      <c r="K548">
        <v>38000</v>
      </c>
      <c r="L548" s="74">
        <v>6.1470000000000002</v>
      </c>
      <c r="M548" s="85">
        <v>7</v>
      </c>
      <c r="N548" s="74">
        <v>0.107</v>
      </c>
      <c r="O548">
        <v>2</v>
      </c>
      <c r="P548" s="84">
        <v>0.107</v>
      </c>
      <c r="Q548" s="86">
        <v>4.2</v>
      </c>
      <c r="R548" s="85">
        <v>4.2</v>
      </c>
      <c r="S548" s="87">
        <v>1785370</v>
      </c>
      <c r="T548" s="1">
        <v>7</v>
      </c>
      <c r="U548" s="88">
        <v>425088.09523809521</v>
      </c>
      <c r="V548" s="59">
        <v>2.3524535530450272</v>
      </c>
      <c r="X548" s="98">
        <v>4.2</v>
      </c>
      <c r="Y548" s="97">
        <v>443.2</v>
      </c>
    </row>
    <row r="549" spans="1:25">
      <c r="A549" s="58">
        <v>549</v>
      </c>
      <c r="B549" s="58">
        <v>549</v>
      </c>
      <c r="C549" s="58" t="s">
        <v>1036</v>
      </c>
      <c r="D549" s="58" t="s">
        <v>182</v>
      </c>
      <c r="E549" s="58" t="s">
        <v>182</v>
      </c>
      <c r="F549" s="58" t="s">
        <v>183</v>
      </c>
      <c r="G549" s="58" t="s">
        <v>184</v>
      </c>
      <c r="H549" s="58" t="s">
        <v>179</v>
      </c>
      <c r="I549">
        <v>38000</v>
      </c>
      <c r="J549">
        <v>38000</v>
      </c>
      <c r="K549" s="58" t="s">
        <v>185</v>
      </c>
      <c r="L549" s="74">
        <v>9.2260000000000009</v>
      </c>
      <c r="M549" s="85">
        <v>10</v>
      </c>
      <c r="N549" s="74">
        <v>0.35299999999999998</v>
      </c>
      <c r="O549">
        <v>2</v>
      </c>
      <c r="P549" s="84">
        <v>0.35299999999999998</v>
      </c>
      <c r="Q549" s="86">
        <v>4.2</v>
      </c>
      <c r="R549" s="85">
        <v>4.2</v>
      </c>
      <c r="S549" s="87">
        <v>1387140</v>
      </c>
      <c r="T549" s="1">
        <v>1</v>
      </c>
      <c r="U549" s="88">
        <v>330271.42857142858</v>
      </c>
      <c r="V549" s="59">
        <v>3.0278126216531858</v>
      </c>
      <c r="X549" s="98">
        <v>4.2</v>
      </c>
      <c r="Y549" s="97">
        <v>425.08809523809521</v>
      </c>
    </row>
    <row r="550" spans="1:25">
      <c r="A550" s="58">
        <v>550</v>
      </c>
      <c r="B550" s="58">
        <v>550</v>
      </c>
      <c r="C550" s="58" t="s">
        <v>1037</v>
      </c>
      <c r="D550" s="58" t="s">
        <v>234</v>
      </c>
      <c r="E550" s="58" t="s">
        <v>234</v>
      </c>
      <c r="F550" s="58" t="s">
        <v>235</v>
      </c>
      <c r="G550" s="58" t="s">
        <v>236</v>
      </c>
      <c r="H550" s="58" t="s">
        <v>179</v>
      </c>
      <c r="I550">
        <v>38000</v>
      </c>
      <c r="J550">
        <v>38000</v>
      </c>
      <c r="K550">
        <v>20000</v>
      </c>
      <c r="L550" s="74">
        <v>6.4859999999999998</v>
      </c>
      <c r="M550" s="85">
        <v>7</v>
      </c>
      <c r="N550" s="74">
        <v>0.371</v>
      </c>
      <c r="O550">
        <v>2</v>
      </c>
      <c r="P550" s="84">
        <v>0.371</v>
      </c>
      <c r="Q550" s="86">
        <v>4.2</v>
      </c>
      <c r="R550" s="85">
        <v>4.2</v>
      </c>
      <c r="S550" s="87">
        <v>839680</v>
      </c>
      <c r="T550" s="1">
        <v>4</v>
      </c>
      <c r="U550" s="88">
        <v>199923.80952380953</v>
      </c>
      <c r="V550" s="59">
        <v>5.0019054878048781</v>
      </c>
      <c r="X550" s="98">
        <v>4.2</v>
      </c>
      <c r="Y550" s="97">
        <v>330.2714285714286</v>
      </c>
    </row>
    <row r="551" spans="1:25">
      <c r="A551" s="58">
        <v>551</v>
      </c>
      <c r="B551" s="58">
        <v>551</v>
      </c>
      <c r="C551" s="58" t="s">
        <v>1038</v>
      </c>
      <c r="D551" s="58" t="s">
        <v>234</v>
      </c>
      <c r="E551" s="58" t="s">
        <v>234</v>
      </c>
      <c r="F551" s="58" t="s">
        <v>235</v>
      </c>
      <c r="G551" s="58" t="s">
        <v>236</v>
      </c>
      <c r="H551" s="58" t="s">
        <v>179</v>
      </c>
      <c r="I551">
        <v>38000</v>
      </c>
      <c r="J551">
        <v>38000</v>
      </c>
      <c r="K551">
        <v>20000</v>
      </c>
      <c r="L551" s="74">
        <v>5.2850000000000001</v>
      </c>
      <c r="M551" s="85">
        <v>6</v>
      </c>
      <c r="N551" s="74">
        <v>0.40600000000000003</v>
      </c>
      <c r="O551">
        <v>2</v>
      </c>
      <c r="P551" s="84">
        <v>0.40600000000000003</v>
      </c>
      <c r="Q551" s="86">
        <v>4.2</v>
      </c>
      <c r="R551" s="85">
        <v>4.2</v>
      </c>
      <c r="S551" s="87">
        <v>769410</v>
      </c>
      <c r="T551" s="1">
        <v>4</v>
      </c>
      <c r="U551" s="88">
        <v>183192.85714285713</v>
      </c>
      <c r="V551" s="59">
        <v>5.4587281163488903</v>
      </c>
      <c r="X551" s="98">
        <v>4.2</v>
      </c>
      <c r="Y551" s="97">
        <v>199.92380952380952</v>
      </c>
    </row>
    <row r="552" spans="1:25">
      <c r="A552" s="58">
        <v>552</v>
      </c>
      <c r="B552" s="58">
        <v>552</v>
      </c>
      <c r="C552" s="58" t="s">
        <v>1039</v>
      </c>
      <c r="D552" s="58" t="s">
        <v>234</v>
      </c>
      <c r="E552" s="58" t="s">
        <v>234</v>
      </c>
      <c r="F552" s="58" t="s">
        <v>323</v>
      </c>
      <c r="G552" s="58" t="s">
        <v>324</v>
      </c>
      <c r="H552" s="58" t="s">
        <v>179</v>
      </c>
      <c r="I552">
        <v>38000</v>
      </c>
      <c r="J552">
        <v>38000</v>
      </c>
      <c r="K552">
        <v>20000</v>
      </c>
      <c r="L552" s="74">
        <v>12.324999999999999</v>
      </c>
      <c r="M552" s="85">
        <v>13</v>
      </c>
      <c r="N552" s="74">
        <v>0.11</v>
      </c>
      <c r="O552">
        <v>2</v>
      </c>
      <c r="P552" s="84">
        <v>0.11</v>
      </c>
      <c r="Q552" s="86">
        <v>4.2</v>
      </c>
      <c r="R552" s="85">
        <v>4.2</v>
      </c>
      <c r="S552" s="87">
        <v>1545240</v>
      </c>
      <c r="T552" s="1">
        <v>1</v>
      </c>
      <c r="U552" s="88">
        <v>367914.28571428568</v>
      </c>
      <c r="V552" s="59">
        <v>2.7180243845616214</v>
      </c>
      <c r="X552" s="98">
        <v>4.2</v>
      </c>
      <c r="Y552" s="97">
        <v>183.19285714285712</v>
      </c>
    </row>
    <row r="553" spans="1:25">
      <c r="A553" s="58">
        <v>553</v>
      </c>
      <c r="B553" s="58">
        <v>553</v>
      </c>
      <c r="C553" s="58" t="s">
        <v>1040</v>
      </c>
      <c r="D553" s="58" t="s">
        <v>234</v>
      </c>
      <c r="E553" s="58" t="s">
        <v>234</v>
      </c>
      <c r="F553" s="58" t="s">
        <v>326</v>
      </c>
      <c r="G553" s="58" t="s">
        <v>327</v>
      </c>
      <c r="H553" s="58" t="s">
        <v>199</v>
      </c>
      <c r="I553">
        <v>110000</v>
      </c>
      <c r="J553">
        <v>110000</v>
      </c>
      <c r="K553">
        <v>38000</v>
      </c>
      <c r="L553" s="74">
        <v>12.785</v>
      </c>
      <c r="M553" s="85">
        <v>13</v>
      </c>
      <c r="N553" s="74">
        <v>0.09</v>
      </c>
      <c r="O553">
        <v>2</v>
      </c>
      <c r="P553" s="84">
        <v>0.09</v>
      </c>
      <c r="Q553" s="86">
        <v>4.2</v>
      </c>
      <c r="R553" s="85">
        <v>4.2</v>
      </c>
      <c r="S553" s="87">
        <v>2101570</v>
      </c>
      <c r="T553" s="1">
        <v>7</v>
      </c>
      <c r="U553" s="88">
        <v>500373.80952380953</v>
      </c>
      <c r="V553" s="59">
        <v>1.9985058789381271</v>
      </c>
      <c r="X553" s="98">
        <v>4.2</v>
      </c>
      <c r="Y553" s="97">
        <v>367.91428571428571</v>
      </c>
    </row>
    <row r="554" spans="1:25">
      <c r="A554" s="58">
        <v>554</v>
      </c>
      <c r="B554" s="58">
        <v>554</v>
      </c>
      <c r="C554" s="58" t="s">
        <v>1041</v>
      </c>
      <c r="D554" s="58" t="s">
        <v>234</v>
      </c>
      <c r="E554" s="58" t="s">
        <v>234</v>
      </c>
      <c r="F554" s="58" t="s">
        <v>630</v>
      </c>
      <c r="G554" s="58" t="s">
        <v>631</v>
      </c>
      <c r="H554" s="58" t="s">
        <v>179</v>
      </c>
      <c r="I554">
        <v>38000</v>
      </c>
      <c r="J554" s="58" t="s">
        <v>185</v>
      </c>
      <c r="K554">
        <v>38000</v>
      </c>
      <c r="L554" s="74">
        <v>4.3620000000000001</v>
      </c>
      <c r="M554" s="85">
        <v>5</v>
      </c>
      <c r="N554" s="74">
        <v>0.33</v>
      </c>
      <c r="O554">
        <v>2</v>
      </c>
      <c r="P554" s="84">
        <v>0.33</v>
      </c>
      <c r="Q554" s="86">
        <v>4.2</v>
      </c>
      <c r="R554" s="85">
        <v>4.2</v>
      </c>
      <c r="S554" s="87">
        <v>699140</v>
      </c>
      <c r="T554" s="1">
        <v>4</v>
      </c>
      <c r="U554" s="88">
        <v>166461.90476190476</v>
      </c>
      <c r="V554" s="59">
        <v>6.0073804960379897</v>
      </c>
      <c r="X554" s="98">
        <v>4.2</v>
      </c>
      <c r="Y554" s="97">
        <v>500.37380952380948</v>
      </c>
    </row>
    <row r="555" spans="1:25">
      <c r="A555" s="58">
        <v>555</v>
      </c>
      <c r="B555" s="58">
        <v>555</v>
      </c>
      <c r="C555" s="58" t="s">
        <v>1042</v>
      </c>
      <c r="D555" s="58" t="s">
        <v>234</v>
      </c>
      <c r="E555" s="58" t="s">
        <v>234</v>
      </c>
      <c r="F555" s="58" t="s">
        <v>630</v>
      </c>
      <c r="G555" s="58" t="s">
        <v>631</v>
      </c>
      <c r="H555" s="58" t="s">
        <v>179</v>
      </c>
      <c r="I555">
        <v>38000</v>
      </c>
      <c r="J555" s="58" t="s">
        <v>185</v>
      </c>
      <c r="K555">
        <v>38000</v>
      </c>
      <c r="L555" s="74">
        <v>3.7669999999999999</v>
      </c>
      <c r="M555" s="85">
        <v>4</v>
      </c>
      <c r="N555" s="74">
        <v>0.39100000000000001</v>
      </c>
      <c r="O555">
        <v>2</v>
      </c>
      <c r="P555" s="84">
        <v>0.39100000000000001</v>
      </c>
      <c r="Q555" s="86">
        <v>4.2</v>
      </c>
      <c r="R555" s="85">
        <v>4.2</v>
      </c>
      <c r="S555" s="87">
        <v>628870</v>
      </c>
      <c r="T555" s="1">
        <v>4</v>
      </c>
      <c r="U555" s="88">
        <v>149730.95238095237</v>
      </c>
      <c r="V555" s="59">
        <v>6.6786458250512828</v>
      </c>
      <c r="X555" s="98">
        <v>4.2</v>
      </c>
      <c r="Y555" s="97">
        <v>166.46190476190475</v>
      </c>
    </row>
    <row r="556" spans="1:25">
      <c r="A556" s="58">
        <v>556</v>
      </c>
      <c r="B556" s="58">
        <v>556</v>
      </c>
      <c r="C556" s="58" t="s">
        <v>1043</v>
      </c>
      <c r="D556" s="58" t="s">
        <v>234</v>
      </c>
      <c r="E556" s="58" t="s">
        <v>234</v>
      </c>
      <c r="F556" s="58" t="s">
        <v>329</v>
      </c>
      <c r="G556" s="58" t="s">
        <v>330</v>
      </c>
      <c r="H556" s="58" t="s">
        <v>179</v>
      </c>
      <c r="I556">
        <v>38000</v>
      </c>
      <c r="J556">
        <v>38000</v>
      </c>
      <c r="K556" s="58" t="s">
        <v>185</v>
      </c>
      <c r="L556" s="74">
        <v>11.967000000000001</v>
      </c>
      <c r="M556" s="85">
        <v>12</v>
      </c>
      <c r="N556" s="74">
        <v>0.192</v>
      </c>
      <c r="O556">
        <v>2</v>
      </c>
      <c r="P556" s="84">
        <v>0.192</v>
      </c>
      <c r="Q556" s="86">
        <v>4.2</v>
      </c>
      <c r="R556" s="85">
        <v>4.2</v>
      </c>
      <c r="S556" s="87">
        <v>1492540</v>
      </c>
      <c r="T556" s="1">
        <v>1</v>
      </c>
      <c r="U556" s="88">
        <v>355366.66666666663</v>
      </c>
      <c r="V556" s="59">
        <v>2.8139949348091173</v>
      </c>
      <c r="X556" s="98">
        <v>4.2</v>
      </c>
      <c r="Y556" s="97">
        <v>149.73095238095235</v>
      </c>
    </row>
    <row r="557" spans="1:25">
      <c r="A557" s="58">
        <v>557</v>
      </c>
      <c r="B557" s="58">
        <v>557</v>
      </c>
      <c r="C557" s="58" t="s">
        <v>1044</v>
      </c>
      <c r="D557" s="58" t="s">
        <v>234</v>
      </c>
      <c r="E557" s="58" t="s">
        <v>234</v>
      </c>
      <c r="F557" s="58" t="s">
        <v>329</v>
      </c>
      <c r="G557" s="58" t="s">
        <v>330</v>
      </c>
      <c r="H557" s="58" t="s">
        <v>179</v>
      </c>
      <c r="I557">
        <v>38000</v>
      </c>
      <c r="J557">
        <v>38000</v>
      </c>
      <c r="K557" s="58" t="s">
        <v>185</v>
      </c>
      <c r="L557" s="74">
        <v>16.382999999999999</v>
      </c>
      <c r="M557" s="85">
        <v>17</v>
      </c>
      <c r="N557" s="74">
        <v>0.36</v>
      </c>
      <c r="O557">
        <v>2</v>
      </c>
      <c r="P557" s="84">
        <v>0.36</v>
      </c>
      <c r="Q557" s="86">
        <v>4.2</v>
      </c>
      <c r="R557" s="85">
        <v>4.2</v>
      </c>
      <c r="S557" s="87">
        <v>1756040</v>
      </c>
      <c r="T557" s="1">
        <v>1</v>
      </c>
      <c r="U557" s="88">
        <v>418104.76190476189</v>
      </c>
      <c r="V557" s="59">
        <v>2.3917450627548349</v>
      </c>
      <c r="X557" s="98">
        <v>4.2</v>
      </c>
      <c r="Y557" s="97">
        <v>355.36666666666662</v>
      </c>
    </row>
    <row r="558" spans="1:25">
      <c r="A558" s="58">
        <v>558</v>
      </c>
      <c r="B558" s="58">
        <v>558</v>
      </c>
      <c r="C558" s="58" t="s">
        <v>1045</v>
      </c>
      <c r="D558" s="58" t="s">
        <v>234</v>
      </c>
      <c r="E558" s="58" t="s">
        <v>234</v>
      </c>
      <c r="F558" s="58" t="s">
        <v>329</v>
      </c>
      <c r="G558" s="58" t="s">
        <v>330</v>
      </c>
      <c r="H558" s="58" t="s">
        <v>179</v>
      </c>
      <c r="I558">
        <v>38000</v>
      </c>
      <c r="J558">
        <v>38000</v>
      </c>
      <c r="K558" s="58" t="s">
        <v>185</v>
      </c>
      <c r="L558" s="74">
        <v>19.204000000000001</v>
      </c>
      <c r="M558" s="85">
        <v>20</v>
      </c>
      <c r="N558" s="74">
        <v>0.64800000000000002</v>
      </c>
      <c r="O558">
        <v>2</v>
      </c>
      <c r="P558" s="84">
        <v>0.48599999999999999</v>
      </c>
      <c r="Q558" s="86">
        <v>4.2</v>
      </c>
      <c r="R558" s="85">
        <v>4.2</v>
      </c>
      <c r="S558" s="87">
        <v>1914140</v>
      </c>
      <c r="T558" s="1">
        <v>1</v>
      </c>
      <c r="U558" s="88">
        <v>455747.61904761905</v>
      </c>
      <c r="V558" s="59">
        <v>2.1941968717021743</v>
      </c>
      <c r="X558" s="98">
        <v>4.2</v>
      </c>
      <c r="Y558" s="97">
        <v>418.10476190476186</v>
      </c>
    </row>
    <row r="559" spans="1:25">
      <c r="A559" s="58">
        <v>559</v>
      </c>
      <c r="B559" s="58">
        <v>559</v>
      </c>
      <c r="C559" s="58" t="s">
        <v>1046</v>
      </c>
      <c r="D559" s="58" t="s">
        <v>234</v>
      </c>
      <c r="E559" s="58" t="s">
        <v>234</v>
      </c>
      <c r="F559" s="58" t="s">
        <v>341</v>
      </c>
      <c r="G559" s="58" t="s">
        <v>342</v>
      </c>
      <c r="H559" s="58" t="s">
        <v>199</v>
      </c>
      <c r="I559">
        <v>110000</v>
      </c>
      <c r="J559" s="58" t="s">
        <v>185</v>
      </c>
      <c r="K559">
        <v>110000</v>
      </c>
      <c r="L559" s="74">
        <v>13.532999999999999</v>
      </c>
      <c r="M559" s="85">
        <v>14</v>
      </c>
      <c r="N559" s="74">
        <v>0.24299999999999999</v>
      </c>
      <c r="O559">
        <v>2</v>
      </c>
      <c r="P559" s="84">
        <v>0.24299999999999999</v>
      </c>
      <c r="Q559" s="86">
        <v>4.2</v>
      </c>
      <c r="R559" s="85">
        <v>4.2</v>
      </c>
      <c r="S559" s="87">
        <v>2154270</v>
      </c>
      <c r="T559" s="1">
        <v>7</v>
      </c>
      <c r="U559" s="88">
        <v>512921.42857142852</v>
      </c>
      <c r="V559" s="59">
        <v>1.9496163433552898</v>
      </c>
      <c r="X559" s="98">
        <v>4.2</v>
      </c>
      <c r="Y559" s="97">
        <v>455.74761904761908</v>
      </c>
    </row>
    <row r="560" spans="1:25">
      <c r="A560" s="58">
        <v>560</v>
      </c>
      <c r="B560" s="58">
        <v>560</v>
      </c>
      <c r="C560" s="58" t="s">
        <v>1047</v>
      </c>
      <c r="D560" s="58" t="s">
        <v>234</v>
      </c>
      <c r="E560" s="58" t="s">
        <v>234</v>
      </c>
      <c r="F560" s="58" t="s">
        <v>329</v>
      </c>
      <c r="G560" s="58" t="s">
        <v>330</v>
      </c>
      <c r="H560" s="58" t="s">
        <v>179</v>
      </c>
      <c r="I560">
        <v>38000</v>
      </c>
      <c r="J560">
        <v>38000</v>
      </c>
      <c r="K560" s="58" t="s">
        <v>185</v>
      </c>
      <c r="L560" s="74">
        <v>5.6769999999999996</v>
      </c>
      <c r="M560" s="85">
        <v>6</v>
      </c>
      <c r="N560" s="74">
        <v>0.28100000000000003</v>
      </c>
      <c r="O560">
        <v>2</v>
      </c>
      <c r="P560" s="84">
        <v>0.28100000000000003</v>
      </c>
      <c r="Q560" s="86">
        <v>4.2</v>
      </c>
      <c r="R560" s="85">
        <v>4.2</v>
      </c>
      <c r="S560" s="87">
        <v>769410</v>
      </c>
      <c r="T560" s="1">
        <v>4</v>
      </c>
      <c r="U560" s="88">
        <v>183192.85714285713</v>
      </c>
      <c r="V560" s="59">
        <v>5.4587281163488903</v>
      </c>
      <c r="X560" s="98">
        <v>4.2</v>
      </c>
      <c r="Y560" s="97">
        <v>512.92142857142858</v>
      </c>
    </row>
    <row r="561" spans="1:25">
      <c r="A561" s="58">
        <v>561</v>
      </c>
      <c r="B561" s="58">
        <v>561</v>
      </c>
      <c r="C561" s="58" t="s">
        <v>1048</v>
      </c>
      <c r="D561" s="58" t="s">
        <v>346</v>
      </c>
      <c r="E561" s="58" t="s">
        <v>346</v>
      </c>
      <c r="F561" s="58" t="s">
        <v>1049</v>
      </c>
      <c r="G561" s="58" t="s">
        <v>1050</v>
      </c>
      <c r="H561" s="58" t="s">
        <v>179</v>
      </c>
      <c r="I561">
        <v>38000</v>
      </c>
      <c r="J561">
        <v>38000</v>
      </c>
      <c r="K561">
        <v>10000</v>
      </c>
      <c r="L561" s="74">
        <v>3.2040000000000002</v>
      </c>
      <c r="M561" s="85">
        <v>4</v>
      </c>
      <c r="N561" s="74">
        <v>0.60299999999999998</v>
      </c>
      <c r="O561">
        <v>2</v>
      </c>
      <c r="P561" s="84">
        <v>0.60299999999999998</v>
      </c>
      <c r="Q561" s="86">
        <v>4.2</v>
      </c>
      <c r="R561" s="85">
        <v>4.2</v>
      </c>
      <c r="S561" s="87">
        <v>628870</v>
      </c>
      <c r="T561" s="1">
        <v>4</v>
      </c>
      <c r="U561" s="88">
        <v>149730.95238095237</v>
      </c>
      <c r="V561" s="59">
        <v>6.6786458250512828</v>
      </c>
      <c r="X561" s="98">
        <v>4.2</v>
      </c>
      <c r="Y561" s="97">
        <v>183.19285714285712</v>
      </c>
    </row>
    <row r="562" spans="1:25">
      <c r="A562" s="58">
        <v>562</v>
      </c>
      <c r="B562" s="58">
        <v>562</v>
      </c>
      <c r="C562" s="58" t="s">
        <v>1051</v>
      </c>
      <c r="D562" s="58" t="s">
        <v>346</v>
      </c>
      <c r="E562" s="58" t="s">
        <v>346</v>
      </c>
      <c r="F562" s="58" t="s">
        <v>352</v>
      </c>
      <c r="G562" s="58" t="s">
        <v>353</v>
      </c>
      <c r="H562" s="58" t="s">
        <v>179</v>
      </c>
      <c r="I562">
        <v>38000</v>
      </c>
      <c r="J562">
        <v>38000</v>
      </c>
      <c r="K562">
        <v>10000</v>
      </c>
      <c r="L562" s="74">
        <v>11.372999999999999</v>
      </c>
      <c r="M562" s="85">
        <v>12</v>
      </c>
      <c r="N562" s="74">
        <v>0.28399999999999997</v>
      </c>
      <c r="O562">
        <v>2</v>
      </c>
      <c r="P562" s="84">
        <v>0.28399999999999997</v>
      </c>
      <c r="Q562" s="86">
        <v>4.2</v>
      </c>
      <c r="R562" s="85">
        <v>4.2</v>
      </c>
      <c r="S562" s="87">
        <v>1492540</v>
      </c>
      <c r="T562" s="1">
        <v>1</v>
      </c>
      <c r="U562" s="88">
        <v>355366.66666666663</v>
      </c>
      <c r="V562" s="59">
        <v>2.8139949348091173</v>
      </c>
      <c r="X562" s="98">
        <v>4.2</v>
      </c>
      <c r="Y562" s="97">
        <v>149.73095238095235</v>
      </c>
    </row>
    <row r="563" spans="1:25">
      <c r="A563" s="58">
        <v>563</v>
      </c>
      <c r="B563" s="58">
        <v>563</v>
      </c>
      <c r="C563" s="58" t="s">
        <v>1052</v>
      </c>
      <c r="D563" s="58" t="s">
        <v>346</v>
      </c>
      <c r="E563" s="58" t="s">
        <v>346</v>
      </c>
      <c r="F563" s="58" t="s">
        <v>352</v>
      </c>
      <c r="G563" s="58" t="s">
        <v>353</v>
      </c>
      <c r="H563" s="58" t="s">
        <v>179</v>
      </c>
      <c r="I563">
        <v>38000</v>
      </c>
      <c r="J563">
        <v>38000</v>
      </c>
      <c r="K563">
        <v>10000</v>
      </c>
      <c r="L563" s="74">
        <v>7.9409999999999998</v>
      </c>
      <c r="M563" s="85">
        <v>8</v>
      </c>
      <c r="N563" s="74">
        <v>0.153</v>
      </c>
      <c r="O563">
        <v>2</v>
      </c>
      <c r="P563" s="84">
        <v>0.153</v>
      </c>
      <c r="Q563" s="86">
        <v>4.2</v>
      </c>
      <c r="R563" s="85">
        <v>4.2</v>
      </c>
      <c r="S563" s="87">
        <v>909950</v>
      </c>
      <c r="T563" s="1">
        <v>4</v>
      </c>
      <c r="U563" s="88">
        <v>216654.76190476189</v>
      </c>
      <c r="V563" s="59">
        <v>4.6156382218803227</v>
      </c>
      <c r="X563" s="98">
        <v>4.2</v>
      </c>
      <c r="Y563" s="97">
        <v>355.36666666666662</v>
      </c>
    </row>
    <row r="564" spans="1:25">
      <c r="A564" s="58">
        <v>564</v>
      </c>
      <c r="B564" s="58">
        <v>564</v>
      </c>
      <c r="C564" s="58" t="s">
        <v>1053</v>
      </c>
      <c r="D564" s="58" t="s">
        <v>351</v>
      </c>
      <c r="E564" s="58" t="s">
        <v>351</v>
      </c>
      <c r="F564" s="58" t="s">
        <v>514</v>
      </c>
      <c r="G564" s="58" t="s">
        <v>515</v>
      </c>
      <c r="H564" s="58" t="s">
        <v>179</v>
      </c>
      <c r="I564">
        <v>38000</v>
      </c>
      <c r="J564">
        <v>38000</v>
      </c>
      <c r="K564">
        <v>20000</v>
      </c>
      <c r="L564" s="74">
        <v>6.7510000000000003</v>
      </c>
      <c r="M564" s="85">
        <v>7</v>
      </c>
      <c r="N564" s="74">
        <v>0.34399999999999997</v>
      </c>
      <c r="O564">
        <v>2</v>
      </c>
      <c r="P564" s="84">
        <v>0.34399999999999997</v>
      </c>
      <c r="Q564" s="86">
        <v>4.2</v>
      </c>
      <c r="R564" s="85">
        <v>4.2</v>
      </c>
      <c r="S564" s="87">
        <v>839680</v>
      </c>
      <c r="T564" s="1">
        <v>4</v>
      </c>
      <c r="U564" s="88">
        <v>199923.80952380953</v>
      </c>
      <c r="V564" s="59">
        <v>5.0019054878048781</v>
      </c>
      <c r="X564" s="98">
        <v>4.2</v>
      </c>
      <c r="Y564" s="97">
        <v>216.6547619047619</v>
      </c>
    </row>
    <row r="565" spans="1:25">
      <c r="A565" s="58">
        <v>565</v>
      </c>
      <c r="B565" s="58">
        <v>565</v>
      </c>
      <c r="C565" s="58" t="s">
        <v>1054</v>
      </c>
      <c r="D565" s="58" t="s">
        <v>187</v>
      </c>
      <c r="E565" s="58" t="s">
        <v>187</v>
      </c>
      <c r="F565" s="58" t="s">
        <v>429</v>
      </c>
      <c r="G565" s="58" t="s">
        <v>430</v>
      </c>
      <c r="H565" s="58" t="s">
        <v>179</v>
      </c>
      <c r="I565">
        <v>38000</v>
      </c>
      <c r="J565">
        <v>38000</v>
      </c>
      <c r="K565" s="58" t="s">
        <v>185</v>
      </c>
      <c r="L565" s="74">
        <v>7.0739999999999998</v>
      </c>
      <c r="M565" s="85">
        <v>8</v>
      </c>
      <c r="N565" s="74">
        <v>0.40200000000000002</v>
      </c>
      <c r="O565">
        <v>2</v>
      </c>
      <c r="P565" s="84">
        <v>0.40200000000000002</v>
      </c>
      <c r="Q565" s="86">
        <v>4.2</v>
      </c>
      <c r="R565" s="85">
        <v>4.2</v>
      </c>
      <c r="S565" s="87">
        <v>909950</v>
      </c>
      <c r="T565" s="1">
        <v>4</v>
      </c>
      <c r="U565" s="88">
        <v>216654.76190476189</v>
      </c>
      <c r="V565" s="59">
        <v>4.6156382218803227</v>
      </c>
      <c r="X565" s="98">
        <v>4.2</v>
      </c>
      <c r="Y565" s="97">
        <v>199.92380952380952</v>
      </c>
    </row>
    <row r="566" spans="1:25">
      <c r="A566" s="58">
        <v>566</v>
      </c>
      <c r="B566" s="58">
        <v>566</v>
      </c>
      <c r="C566" s="58" t="s">
        <v>1055</v>
      </c>
      <c r="D566" s="58" t="s">
        <v>187</v>
      </c>
      <c r="E566" s="58" t="s">
        <v>187</v>
      </c>
      <c r="F566" s="58" t="s">
        <v>188</v>
      </c>
      <c r="G566" s="58" t="s">
        <v>189</v>
      </c>
      <c r="H566" s="58" t="s">
        <v>179</v>
      </c>
      <c r="I566">
        <v>38000</v>
      </c>
      <c r="J566">
        <v>38000</v>
      </c>
      <c r="K566">
        <v>10000</v>
      </c>
      <c r="L566" s="74">
        <v>6.8140000000000001</v>
      </c>
      <c r="M566" s="85">
        <v>7</v>
      </c>
      <c r="N566" s="74">
        <v>0.107</v>
      </c>
      <c r="O566">
        <v>2</v>
      </c>
      <c r="P566" s="84">
        <v>0.107</v>
      </c>
      <c r="Q566" s="86">
        <v>4.2</v>
      </c>
      <c r="R566" s="85">
        <v>4.2</v>
      </c>
      <c r="S566" s="87">
        <v>839680</v>
      </c>
      <c r="T566" s="1">
        <v>4</v>
      </c>
      <c r="U566" s="88">
        <v>199923.80952380953</v>
      </c>
      <c r="V566" s="59">
        <v>5.0019054878048781</v>
      </c>
      <c r="X566" s="98">
        <v>4.2</v>
      </c>
      <c r="Y566" s="97">
        <v>216.6547619047619</v>
      </c>
    </row>
    <row r="567" spans="1:25">
      <c r="A567" s="58">
        <v>567</v>
      </c>
      <c r="B567" s="58">
        <v>567</v>
      </c>
      <c r="C567" s="58" t="s">
        <v>1056</v>
      </c>
      <c r="D567" s="58" t="s">
        <v>187</v>
      </c>
      <c r="E567" s="58" t="s">
        <v>187</v>
      </c>
      <c r="F567" s="58" t="s">
        <v>188</v>
      </c>
      <c r="G567" s="58" t="s">
        <v>189</v>
      </c>
      <c r="H567" s="58" t="s">
        <v>179</v>
      </c>
      <c r="I567">
        <v>38000</v>
      </c>
      <c r="J567">
        <v>38000</v>
      </c>
      <c r="K567">
        <v>10000</v>
      </c>
      <c r="L567" s="74">
        <v>5.5330000000000004</v>
      </c>
      <c r="M567" s="85">
        <v>6</v>
      </c>
      <c r="N567" s="74">
        <v>0.33200000000000002</v>
      </c>
      <c r="O567">
        <v>2</v>
      </c>
      <c r="P567" s="84">
        <v>0.33200000000000002</v>
      </c>
      <c r="Q567" s="86">
        <v>4.2</v>
      </c>
      <c r="R567" s="85">
        <v>4.2</v>
      </c>
      <c r="S567" s="87">
        <v>769410</v>
      </c>
      <c r="T567" s="1">
        <v>4</v>
      </c>
      <c r="U567" s="88">
        <v>183192.85714285713</v>
      </c>
      <c r="V567" s="59">
        <v>5.4587281163488903</v>
      </c>
      <c r="X567" s="98">
        <v>4.2</v>
      </c>
      <c r="Y567" s="97">
        <v>199.92380952380952</v>
      </c>
    </row>
    <row r="568" spans="1:25">
      <c r="A568" s="58">
        <v>568</v>
      </c>
      <c r="B568" s="58">
        <v>568</v>
      </c>
      <c r="C568" s="58" t="s">
        <v>1057</v>
      </c>
      <c r="D568" s="58" t="s">
        <v>187</v>
      </c>
      <c r="E568" s="58" t="s">
        <v>187</v>
      </c>
      <c r="F568" s="58" t="s">
        <v>188</v>
      </c>
      <c r="G568" s="58" t="s">
        <v>189</v>
      </c>
      <c r="H568" s="58" t="s">
        <v>179</v>
      </c>
      <c r="I568">
        <v>38000</v>
      </c>
      <c r="J568">
        <v>38000</v>
      </c>
      <c r="K568">
        <v>10000</v>
      </c>
      <c r="L568" s="74">
        <v>5.79</v>
      </c>
      <c r="M568" s="85">
        <v>6</v>
      </c>
      <c r="N568" s="74">
        <v>0.621</v>
      </c>
      <c r="O568">
        <v>2</v>
      </c>
      <c r="P568" s="84">
        <v>0.46575</v>
      </c>
      <c r="Q568" s="86">
        <v>4.2</v>
      </c>
      <c r="R568" s="85">
        <v>4.2</v>
      </c>
      <c r="S568" s="87">
        <v>769410</v>
      </c>
      <c r="T568" s="1">
        <v>4</v>
      </c>
      <c r="U568" s="88">
        <v>183192.85714285713</v>
      </c>
      <c r="V568" s="59">
        <v>5.4587281163488903</v>
      </c>
      <c r="X568" s="98">
        <v>4.2</v>
      </c>
      <c r="Y568" s="97">
        <v>183.19285714285712</v>
      </c>
    </row>
    <row r="569" spans="1:25">
      <c r="A569" s="58">
        <v>569</v>
      </c>
      <c r="B569" s="58">
        <v>569</v>
      </c>
      <c r="C569" s="58" t="s">
        <v>1058</v>
      </c>
      <c r="D569" s="58" t="s">
        <v>187</v>
      </c>
      <c r="E569" s="58" t="s">
        <v>187</v>
      </c>
      <c r="F569" s="58" t="s">
        <v>188</v>
      </c>
      <c r="G569" s="58" t="s">
        <v>189</v>
      </c>
      <c r="H569" s="58" t="s">
        <v>179</v>
      </c>
      <c r="I569">
        <v>38000</v>
      </c>
      <c r="J569">
        <v>38000</v>
      </c>
      <c r="K569">
        <v>10000</v>
      </c>
      <c r="L569" s="74">
        <v>12.903</v>
      </c>
      <c r="M569" s="85">
        <v>13</v>
      </c>
      <c r="N569" s="74">
        <v>0.63800000000000001</v>
      </c>
      <c r="O569">
        <v>2</v>
      </c>
      <c r="P569" s="84">
        <v>0.47850000000000004</v>
      </c>
      <c r="Q569" s="86">
        <v>4.2</v>
      </c>
      <c r="R569" s="85">
        <v>4.2</v>
      </c>
      <c r="S569" s="87">
        <v>1545240</v>
      </c>
      <c r="T569" s="1">
        <v>1</v>
      </c>
      <c r="U569" s="88">
        <v>367914.28571428568</v>
      </c>
      <c r="V569" s="59">
        <v>2.7180243845616214</v>
      </c>
      <c r="X569" s="98">
        <v>4.2</v>
      </c>
      <c r="Y569" s="97">
        <v>183.19285714285712</v>
      </c>
    </row>
    <row r="570" spans="1:25">
      <c r="A570" s="58">
        <v>570</v>
      </c>
      <c r="B570" s="58">
        <v>570</v>
      </c>
      <c r="C570" s="58" t="s">
        <v>1059</v>
      </c>
      <c r="D570" s="58" t="s">
        <v>187</v>
      </c>
      <c r="E570" s="58" t="s">
        <v>187</v>
      </c>
      <c r="F570" s="58" t="s">
        <v>188</v>
      </c>
      <c r="G570" s="58" t="s">
        <v>189</v>
      </c>
      <c r="H570" s="58" t="s">
        <v>179</v>
      </c>
      <c r="I570">
        <v>38000</v>
      </c>
      <c r="J570">
        <v>38000</v>
      </c>
      <c r="K570">
        <v>10000</v>
      </c>
      <c r="L570" s="74">
        <v>8.5890000000000004</v>
      </c>
      <c r="M570" s="85">
        <v>9</v>
      </c>
      <c r="N570" s="74">
        <v>0.30099999999999999</v>
      </c>
      <c r="O570">
        <v>2</v>
      </c>
      <c r="P570" s="84">
        <v>0.30099999999999999</v>
      </c>
      <c r="Q570" s="86">
        <v>4.2</v>
      </c>
      <c r="R570" s="85">
        <v>4.2</v>
      </c>
      <c r="S570" s="87">
        <v>1334440</v>
      </c>
      <c r="T570" s="1">
        <v>1</v>
      </c>
      <c r="U570" s="88">
        <v>317723.80952380953</v>
      </c>
      <c r="V570" s="59">
        <v>3.1473876682353645</v>
      </c>
      <c r="X570" s="98">
        <v>4.2</v>
      </c>
      <c r="Y570" s="97">
        <v>367.91428571428571</v>
      </c>
    </row>
    <row r="571" spans="1:25">
      <c r="A571" s="58">
        <v>571</v>
      </c>
      <c r="B571" s="58">
        <v>571</v>
      </c>
      <c r="C571" s="58" t="s">
        <v>1060</v>
      </c>
      <c r="D571" s="58" t="s">
        <v>187</v>
      </c>
      <c r="E571" s="58" t="s">
        <v>187</v>
      </c>
      <c r="F571" s="58" t="s">
        <v>365</v>
      </c>
      <c r="G571" s="58" t="s">
        <v>366</v>
      </c>
      <c r="H571" s="58" t="s">
        <v>179</v>
      </c>
      <c r="I571">
        <v>38000</v>
      </c>
      <c r="J571">
        <v>38000</v>
      </c>
      <c r="K571">
        <v>10000</v>
      </c>
      <c r="L571" s="74">
        <v>8.0540000000000003</v>
      </c>
      <c r="M571" s="85">
        <v>9</v>
      </c>
      <c r="N571" s="74">
        <v>0.20399999999999999</v>
      </c>
      <c r="O571">
        <v>2</v>
      </c>
      <c r="P571" s="84">
        <v>0.20399999999999999</v>
      </c>
      <c r="Q571" s="86">
        <v>4.2</v>
      </c>
      <c r="R571" s="85">
        <v>4.2</v>
      </c>
      <c r="S571" s="87">
        <v>1334440</v>
      </c>
      <c r="T571" s="1">
        <v>1</v>
      </c>
      <c r="U571" s="88">
        <v>317723.80952380953</v>
      </c>
      <c r="V571" s="59">
        <v>3.1473876682353645</v>
      </c>
      <c r="X571" s="98">
        <v>4.2</v>
      </c>
      <c r="Y571" s="97">
        <v>317.72380952380951</v>
      </c>
    </row>
    <row r="572" spans="1:25">
      <c r="A572" s="58">
        <v>572</v>
      </c>
      <c r="B572" s="58">
        <v>572</v>
      </c>
      <c r="C572" s="58" t="s">
        <v>1061</v>
      </c>
      <c r="D572" s="58" t="s">
        <v>187</v>
      </c>
      <c r="E572" s="58" t="s">
        <v>187</v>
      </c>
      <c r="F572" s="58" t="s">
        <v>365</v>
      </c>
      <c r="G572" s="58" t="s">
        <v>366</v>
      </c>
      <c r="H572" s="58" t="s">
        <v>179</v>
      </c>
      <c r="I572">
        <v>38000</v>
      </c>
      <c r="J572">
        <v>38000</v>
      </c>
      <c r="K572">
        <v>10000</v>
      </c>
      <c r="L572" s="74">
        <v>5.2560000000000002</v>
      </c>
      <c r="M572" s="85">
        <v>6</v>
      </c>
      <c r="N572" s="74">
        <v>0.121</v>
      </c>
      <c r="O572">
        <v>2</v>
      </c>
      <c r="P572" s="84">
        <v>0.121</v>
      </c>
      <c r="Q572" s="86">
        <v>4.2</v>
      </c>
      <c r="R572" s="85">
        <v>4.2</v>
      </c>
      <c r="S572" s="87">
        <v>769410</v>
      </c>
      <c r="T572" s="1">
        <v>4</v>
      </c>
      <c r="U572" s="88">
        <v>183192.85714285713</v>
      </c>
      <c r="V572" s="59">
        <v>5.4587281163488903</v>
      </c>
      <c r="X572" s="98">
        <v>4.2</v>
      </c>
      <c r="Y572" s="97">
        <v>317.72380952380951</v>
      </c>
    </row>
    <row r="573" spans="1:25">
      <c r="A573" s="58">
        <v>573</v>
      </c>
      <c r="B573" s="58">
        <v>573</v>
      </c>
      <c r="C573" s="58" t="s">
        <v>1062</v>
      </c>
      <c r="D573" s="58" t="s">
        <v>187</v>
      </c>
      <c r="E573" s="58" t="s">
        <v>187</v>
      </c>
      <c r="F573" s="58" t="s">
        <v>368</v>
      </c>
      <c r="G573" s="58" t="s">
        <v>369</v>
      </c>
      <c r="H573" s="58" t="s">
        <v>199</v>
      </c>
      <c r="I573">
        <v>110000</v>
      </c>
      <c r="J573">
        <v>110000</v>
      </c>
      <c r="K573">
        <v>38000</v>
      </c>
      <c r="L573" s="74">
        <v>10.587</v>
      </c>
      <c r="M573" s="85">
        <v>11</v>
      </c>
      <c r="N573" s="74">
        <v>0.182</v>
      </c>
      <c r="O573">
        <v>2</v>
      </c>
      <c r="P573" s="84">
        <v>0.182</v>
      </c>
      <c r="Q573" s="86">
        <v>4.2</v>
      </c>
      <c r="R573" s="85">
        <v>4.2</v>
      </c>
      <c r="S573" s="87">
        <v>1996170</v>
      </c>
      <c r="T573" s="1">
        <v>7</v>
      </c>
      <c r="U573" s="88">
        <v>475278.57142857142</v>
      </c>
      <c r="V573" s="59">
        <v>2.1040292159485414</v>
      </c>
      <c r="X573" s="98">
        <v>4.2</v>
      </c>
      <c r="Y573" s="97">
        <v>183.19285714285712</v>
      </c>
    </row>
    <row r="574" spans="1:25">
      <c r="A574" s="58">
        <v>574</v>
      </c>
      <c r="B574" s="58">
        <v>574</v>
      </c>
      <c r="C574" s="58" t="s">
        <v>1063</v>
      </c>
      <c r="D574" s="58" t="s">
        <v>187</v>
      </c>
      <c r="E574" s="58" t="s">
        <v>187</v>
      </c>
      <c r="F574" s="58" t="s">
        <v>415</v>
      </c>
      <c r="G574" s="58" t="s">
        <v>416</v>
      </c>
      <c r="H574" s="58" t="s">
        <v>179</v>
      </c>
      <c r="I574">
        <v>38000</v>
      </c>
      <c r="J574">
        <v>38000</v>
      </c>
      <c r="K574" s="58" t="s">
        <v>185</v>
      </c>
      <c r="L574" s="74">
        <v>7.1159999999999997</v>
      </c>
      <c r="M574" s="85">
        <v>8</v>
      </c>
      <c r="N574" s="74">
        <v>9.8000000000000004E-2</v>
      </c>
      <c r="O574">
        <v>2</v>
      </c>
      <c r="P574" s="84">
        <v>9.8000000000000004E-2</v>
      </c>
      <c r="Q574" s="86">
        <v>4.2</v>
      </c>
      <c r="R574" s="85">
        <v>4.2</v>
      </c>
      <c r="S574" s="87">
        <v>909950</v>
      </c>
      <c r="T574" s="1">
        <v>4</v>
      </c>
      <c r="U574" s="88">
        <v>216654.76190476189</v>
      </c>
      <c r="V574" s="59">
        <v>4.6156382218803227</v>
      </c>
      <c r="X574" s="98">
        <v>4.2</v>
      </c>
      <c r="Y574" s="97">
        <v>475.27857142857147</v>
      </c>
    </row>
    <row r="575" spans="1:25">
      <c r="A575" s="58">
        <v>575</v>
      </c>
      <c r="B575" s="58">
        <v>575</v>
      </c>
      <c r="C575" s="58" t="s">
        <v>1064</v>
      </c>
      <c r="D575" s="58" t="s">
        <v>187</v>
      </c>
      <c r="E575" s="58" t="s">
        <v>187</v>
      </c>
      <c r="F575" s="58" t="s">
        <v>683</v>
      </c>
      <c r="G575" s="58" t="s">
        <v>684</v>
      </c>
      <c r="H575" s="58" t="s">
        <v>179</v>
      </c>
      <c r="I575">
        <v>38000</v>
      </c>
      <c r="J575" s="58" t="s">
        <v>185</v>
      </c>
      <c r="K575">
        <v>38000</v>
      </c>
      <c r="L575" s="74">
        <v>10.865</v>
      </c>
      <c r="M575" s="85">
        <v>11</v>
      </c>
      <c r="N575" s="74">
        <v>0.26100000000000001</v>
      </c>
      <c r="O575">
        <v>2</v>
      </c>
      <c r="P575" s="84">
        <v>0.26100000000000001</v>
      </c>
      <c r="Q575" s="86">
        <v>4.2</v>
      </c>
      <c r="R575" s="85">
        <v>4.2</v>
      </c>
      <c r="S575" s="87">
        <v>1439840</v>
      </c>
      <c r="T575" s="1">
        <v>1</v>
      </c>
      <c r="U575" s="88">
        <v>342819.04761904763</v>
      </c>
      <c r="V575" s="59">
        <v>2.9169907767529724</v>
      </c>
      <c r="X575" s="98">
        <v>4.2</v>
      </c>
      <c r="Y575" s="97">
        <v>216.6547619047619</v>
      </c>
    </row>
    <row r="576" spans="1:25">
      <c r="A576" s="58">
        <v>576</v>
      </c>
      <c r="B576" s="58">
        <v>576</v>
      </c>
      <c r="C576" s="58" t="s">
        <v>1065</v>
      </c>
      <c r="D576" s="58" t="s">
        <v>187</v>
      </c>
      <c r="E576" s="58" t="s">
        <v>187</v>
      </c>
      <c r="F576" s="58" t="s">
        <v>191</v>
      </c>
      <c r="G576" s="58" t="s">
        <v>192</v>
      </c>
      <c r="H576" s="58" t="s">
        <v>179</v>
      </c>
      <c r="I576">
        <v>38000</v>
      </c>
      <c r="J576">
        <v>38000</v>
      </c>
      <c r="K576" s="58" t="s">
        <v>185</v>
      </c>
      <c r="L576" s="74">
        <v>5.1870000000000003</v>
      </c>
      <c r="M576" s="85">
        <v>6</v>
      </c>
      <c r="N576" s="74">
        <v>0.45100000000000001</v>
      </c>
      <c r="O576">
        <v>2</v>
      </c>
      <c r="P576" s="84">
        <v>0.45100000000000001</v>
      </c>
      <c r="Q576" s="86">
        <v>4.2</v>
      </c>
      <c r="R576" s="85">
        <v>4.2</v>
      </c>
      <c r="S576" s="87">
        <v>769410</v>
      </c>
      <c r="T576" s="1">
        <v>4</v>
      </c>
      <c r="U576" s="88">
        <v>183192.85714285713</v>
      </c>
      <c r="V576" s="59">
        <v>5.4587281163488903</v>
      </c>
      <c r="X576" s="98">
        <v>4.2</v>
      </c>
      <c r="Y576" s="97">
        <v>342.81904761904764</v>
      </c>
    </row>
    <row r="577" spans="1:25">
      <c r="A577" s="58">
        <v>577</v>
      </c>
      <c r="B577" s="58">
        <v>577</v>
      </c>
      <c r="C577" s="58" t="s">
        <v>1066</v>
      </c>
      <c r="D577" s="58" t="s">
        <v>187</v>
      </c>
      <c r="E577" s="58" t="s">
        <v>187</v>
      </c>
      <c r="F577" s="58" t="s">
        <v>194</v>
      </c>
      <c r="G577" s="58" t="s">
        <v>195</v>
      </c>
      <c r="H577" s="58" t="s">
        <v>179</v>
      </c>
      <c r="I577">
        <v>38000</v>
      </c>
      <c r="J577" s="58" t="s">
        <v>185</v>
      </c>
      <c r="K577">
        <v>38000</v>
      </c>
      <c r="L577" s="74">
        <v>6.5</v>
      </c>
      <c r="M577" s="85">
        <v>7</v>
      </c>
      <c r="N577" s="74">
        <v>0.41</v>
      </c>
      <c r="O577">
        <v>2</v>
      </c>
      <c r="P577" s="84">
        <v>0.41</v>
      </c>
      <c r="Q577" s="86">
        <v>4.2</v>
      </c>
      <c r="R577" s="85">
        <v>4.2</v>
      </c>
      <c r="S577" s="87">
        <v>839680</v>
      </c>
      <c r="T577" s="1">
        <v>4</v>
      </c>
      <c r="U577" s="88">
        <v>199923.80952380953</v>
      </c>
      <c r="V577" s="59">
        <v>5.0019054878048781</v>
      </c>
      <c r="X577" s="98">
        <v>4.2</v>
      </c>
      <c r="Y577" s="97">
        <v>183.19285714285712</v>
      </c>
    </row>
    <row r="578" spans="1:25">
      <c r="A578" s="58">
        <v>578</v>
      </c>
      <c r="B578" s="58">
        <v>578</v>
      </c>
      <c r="C578" s="58" t="s">
        <v>1067</v>
      </c>
      <c r="D578" s="58" t="s">
        <v>187</v>
      </c>
      <c r="E578" s="58" t="s">
        <v>187</v>
      </c>
      <c r="F578" s="58" t="s">
        <v>194</v>
      </c>
      <c r="G578" s="58" t="s">
        <v>195</v>
      </c>
      <c r="H578" s="58" t="s">
        <v>179</v>
      </c>
      <c r="I578">
        <v>38000</v>
      </c>
      <c r="J578" s="58" t="s">
        <v>185</v>
      </c>
      <c r="K578">
        <v>38000</v>
      </c>
      <c r="L578" s="74">
        <v>3.3620000000000001</v>
      </c>
      <c r="M578" s="85">
        <v>4</v>
      </c>
      <c r="N578" s="74">
        <v>0.16800000000000001</v>
      </c>
      <c r="O578">
        <v>2</v>
      </c>
      <c r="P578" s="84">
        <v>0.16800000000000001</v>
      </c>
      <c r="Q578" s="86">
        <v>4.2</v>
      </c>
      <c r="R578" s="85">
        <v>4.2</v>
      </c>
      <c r="S578" s="87">
        <v>628870</v>
      </c>
      <c r="T578" s="1">
        <v>4</v>
      </c>
      <c r="U578" s="88">
        <v>149730.95238095237</v>
      </c>
      <c r="V578" s="59">
        <v>6.6786458250512828</v>
      </c>
      <c r="X578" s="98">
        <v>4.2</v>
      </c>
      <c r="Y578" s="97">
        <v>199.92380952380952</v>
      </c>
    </row>
    <row r="579" spans="1:25">
      <c r="A579" s="58">
        <v>579</v>
      </c>
      <c r="B579" s="58">
        <v>579</v>
      </c>
      <c r="C579" s="58" t="s">
        <v>1068</v>
      </c>
      <c r="D579" s="58" t="s">
        <v>187</v>
      </c>
      <c r="E579" s="58" t="s">
        <v>187</v>
      </c>
      <c r="F579" s="58" t="s">
        <v>677</v>
      </c>
      <c r="G579" s="58" t="s">
        <v>678</v>
      </c>
      <c r="H579" s="58" t="s">
        <v>179</v>
      </c>
      <c r="I579">
        <v>38000</v>
      </c>
      <c r="J579" s="58" t="s">
        <v>185</v>
      </c>
      <c r="K579">
        <v>38000</v>
      </c>
      <c r="L579" s="74">
        <v>1.583</v>
      </c>
      <c r="M579" s="85">
        <v>2</v>
      </c>
      <c r="N579" s="74">
        <v>0.16</v>
      </c>
      <c r="O579">
        <v>2</v>
      </c>
      <c r="P579" s="84">
        <v>0.16</v>
      </c>
      <c r="Q579" s="86">
        <v>4.2</v>
      </c>
      <c r="R579" s="85">
        <v>4.2</v>
      </c>
      <c r="S579" s="87">
        <v>488330</v>
      </c>
      <c r="T579" s="1">
        <v>4</v>
      </c>
      <c r="U579" s="88">
        <v>116269.04761904762</v>
      </c>
      <c r="V579" s="59">
        <v>8.6007413019884087</v>
      </c>
      <c r="X579" s="98">
        <v>4.2</v>
      </c>
      <c r="Y579" s="97">
        <v>149.73095238095235</v>
      </c>
    </row>
    <row r="580" spans="1:25">
      <c r="A580" s="58">
        <v>580</v>
      </c>
      <c r="B580" s="58">
        <v>580</v>
      </c>
      <c r="C580" s="58" t="s">
        <v>1069</v>
      </c>
      <c r="D580" s="58" t="s">
        <v>187</v>
      </c>
      <c r="E580" s="58" t="s">
        <v>187</v>
      </c>
      <c r="F580" s="58" t="s">
        <v>374</v>
      </c>
      <c r="G580" s="58" t="s">
        <v>375</v>
      </c>
      <c r="H580" s="58" t="s">
        <v>179</v>
      </c>
      <c r="I580">
        <v>38000</v>
      </c>
      <c r="J580">
        <v>38000</v>
      </c>
      <c r="K580">
        <v>20000</v>
      </c>
      <c r="L580" s="74">
        <v>8.4990000000000006</v>
      </c>
      <c r="M580" s="85">
        <v>9</v>
      </c>
      <c r="N580" s="74">
        <v>0.26900000000000002</v>
      </c>
      <c r="O580">
        <v>2</v>
      </c>
      <c r="P580" s="84">
        <v>0.26900000000000002</v>
      </c>
      <c r="Q580" s="86">
        <v>4.2</v>
      </c>
      <c r="R580" s="85">
        <v>4.2</v>
      </c>
      <c r="S580" s="87">
        <v>1334440</v>
      </c>
      <c r="T580" s="1">
        <v>1</v>
      </c>
      <c r="U580" s="88">
        <v>317723.80952380953</v>
      </c>
      <c r="V580" s="59">
        <v>3.1473876682353645</v>
      </c>
      <c r="X580" s="98">
        <v>4.2</v>
      </c>
      <c r="Y580" s="97">
        <v>116.26904761904763</v>
      </c>
    </row>
    <row r="581" spans="1:25">
      <c r="A581" s="58">
        <v>581</v>
      </c>
      <c r="B581" s="58">
        <v>581</v>
      </c>
      <c r="C581" s="58" t="s">
        <v>1070</v>
      </c>
      <c r="D581" s="58" t="s">
        <v>187</v>
      </c>
      <c r="E581" s="58" t="s">
        <v>187</v>
      </c>
      <c r="F581" s="58" t="s">
        <v>531</v>
      </c>
      <c r="G581" s="58" t="s">
        <v>532</v>
      </c>
      <c r="H581" s="58" t="s">
        <v>179</v>
      </c>
      <c r="I581">
        <v>38000</v>
      </c>
      <c r="J581">
        <v>38000</v>
      </c>
      <c r="K581" s="58" t="s">
        <v>185</v>
      </c>
      <c r="L581" s="74">
        <v>3.4060000000000001</v>
      </c>
      <c r="M581" s="85">
        <v>4</v>
      </c>
      <c r="N581" s="74">
        <v>0.14000000000000001</v>
      </c>
      <c r="O581">
        <v>2</v>
      </c>
      <c r="P581" s="84">
        <v>0.14000000000000001</v>
      </c>
      <c r="Q581" s="86">
        <v>4.2</v>
      </c>
      <c r="R581" s="85">
        <v>4.2</v>
      </c>
      <c r="S581" s="87">
        <v>628870</v>
      </c>
      <c r="T581" s="1">
        <v>4</v>
      </c>
      <c r="U581" s="88">
        <v>149730.95238095237</v>
      </c>
      <c r="V581" s="59">
        <v>6.6786458250512828</v>
      </c>
      <c r="X581" s="98">
        <v>4.2</v>
      </c>
      <c r="Y581" s="97">
        <v>317.72380952380951</v>
      </c>
    </row>
    <row r="582" spans="1:25">
      <c r="A582" s="58">
        <v>582</v>
      </c>
      <c r="B582" s="58">
        <v>582</v>
      </c>
      <c r="C582" s="58" t="s">
        <v>1071</v>
      </c>
      <c r="D582" s="58" t="s">
        <v>187</v>
      </c>
      <c r="E582" s="58" t="s">
        <v>187</v>
      </c>
      <c r="F582" s="58" t="s">
        <v>377</v>
      </c>
      <c r="H582" s="58" t="s">
        <v>179</v>
      </c>
      <c r="I582">
        <v>38000</v>
      </c>
      <c r="L582" s="74">
        <v>2.6779999999999999</v>
      </c>
      <c r="M582" s="85">
        <v>3</v>
      </c>
      <c r="N582" s="74">
        <v>0.18099999999999999</v>
      </c>
      <c r="O582">
        <v>2</v>
      </c>
      <c r="P582" s="84">
        <v>0.18099999999999999</v>
      </c>
      <c r="Q582" s="86">
        <v>4.2</v>
      </c>
      <c r="R582" s="85">
        <v>4.2</v>
      </c>
      <c r="S582" s="87">
        <v>558600</v>
      </c>
      <c r="T582" s="1">
        <v>4</v>
      </c>
      <c r="U582" s="88">
        <v>133000</v>
      </c>
      <c r="V582" s="59">
        <v>7.518796992481203</v>
      </c>
      <c r="X582" s="98">
        <v>4.2</v>
      </c>
      <c r="Y582" s="97">
        <v>149.73095238095235</v>
      </c>
    </row>
    <row r="583" spans="1:25">
      <c r="A583" s="58">
        <v>583</v>
      </c>
      <c r="B583" s="58">
        <v>583</v>
      </c>
      <c r="C583" s="58" t="s">
        <v>1072</v>
      </c>
      <c r="D583" s="58" t="s">
        <v>187</v>
      </c>
      <c r="E583" s="58" t="s">
        <v>187</v>
      </c>
      <c r="F583" s="58" t="s">
        <v>683</v>
      </c>
      <c r="G583" s="58" t="s">
        <v>684</v>
      </c>
      <c r="H583" s="58" t="s">
        <v>179</v>
      </c>
      <c r="I583">
        <v>38000</v>
      </c>
      <c r="J583" s="58" t="s">
        <v>185</v>
      </c>
      <c r="K583">
        <v>38000</v>
      </c>
      <c r="L583" s="74">
        <v>2.0670000000000002</v>
      </c>
      <c r="M583" s="85">
        <v>3</v>
      </c>
      <c r="N583" s="74">
        <v>9.5000000000000001E-2</v>
      </c>
      <c r="O583">
        <v>2</v>
      </c>
      <c r="P583" s="84">
        <v>9.5000000000000001E-2</v>
      </c>
      <c r="Q583" s="86">
        <v>4.2</v>
      </c>
      <c r="R583" s="85">
        <v>4.2</v>
      </c>
      <c r="S583" s="87">
        <v>558600</v>
      </c>
      <c r="T583" s="1">
        <v>4</v>
      </c>
      <c r="U583" s="88">
        <v>133000</v>
      </c>
      <c r="V583" s="59">
        <v>7.518796992481203</v>
      </c>
      <c r="X583" s="98">
        <v>4.2</v>
      </c>
      <c r="Y583" s="97">
        <v>133</v>
      </c>
    </row>
    <row r="584" spans="1:25">
      <c r="A584" s="58">
        <v>584</v>
      </c>
      <c r="B584" s="58">
        <v>584</v>
      </c>
      <c r="C584" s="58" t="s">
        <v>1073</v>
      </c>
      <c r="D584" s="58" t="s">
        <v>234</v>
      </c>
      <c r="E584" s="58" t="s">
        <v>234</v>
      </c>
      <c r="F584" s="58" t="s">
        <v>235</v>
      </c>
      <c r="G584" s="58" t="s">
        <v>236</v>
      </c>
      <c r="H584" s="58" t="s">
        <v>179</v>
      </c>
      <c r="I584">
        <v>38000</v>
      </c>
      <c r="J584">
        <v>38000</v>
      </c>
      <c r="K584">
        <v>20000</v>
      </c>
      <c r="L584" s="74">
        <v>5.3479999999999999</v>
      </c>
      <c r="M584" s="85">
        <v>6</v>
      </c>
      <c r="N584" s="74">
        <v>0.13600000000000001</v>
      </c>
      <c r="O584">
        <v>2</v>
      </c>
      <c r="P584" s="84">
        <v>0.13600000000000001</v>
      </c>
      <c r="Q584" s="86">
        <v>4.2</v>
      </c>
      <c r="R584" s="85">
        <v>4.2</v>
      </c>
      <c r="S584" s="87">
        <v>769410</v>
      </c>
      <c r="T584" s="1">
        <v>4</v>
      </c>
      <c r="U584" s="88">
        <v>183192.85714285713</v>
      </c>
      <c r="V584" s="59">
        <v>5.4587281163488903</v>
      </c>
      <c r="X584" s="98">
        <v>4.2</v>
      </c>
      <c r="Y584" s="97">
        <v>133</v>
      </c>
    </row>
    <row r="585" spans="1:25">
      <c r="A585" s="58">
        <v>585</v>
      </c>
      <c r="B585" s="58">
        <v>585</v>
      </c>
      <c r="C585" s="58" t="s">
        <v>1074</v>
      </c>
      <c r="D585" s="58" t="s">
        <v>234</v>
      </c>
      <c r="E585" s="58" t="s">
        <v>234</v>
      </c>
      <c r="F585" s="58" t="s">
        <v>235</v>
      </c>
      <c r="G585" s="58" t="s">
        <v>236</v>
      </c>
      <c r="H585" s="58" t="s">
        <v>179</v>
      </c>
      <c r="I585">
        <v>38000</v>
      </c>
      <c r="J585">
        <v>38000</v>
      </c>
      <c r="K585">
        <v>20000</v>
      </c>
      <c r="L585" s="74">
        <v>10.028</v>
      </c>
      <c r="M585" s="85">
        <v>11</v>
      </c>
      <c r="N585" s="74">
        <v>0.43</v>
      </c>
      <c r="O585">
        <v>2</v>
      </c>
      <c r="P585" s="84">
        <v>0.43</v>
      </c>
      <c r="Q585" s="86">
        <v>4.2</v>
      </c>
      <c r="R585" s="85">
        <v>4.2</v>
      </c>
      <c r="S585" s="87">
        <v>1439840</v>
      </c>
      <c r="T585" s="1">
        <v>1</v>
      </c>
      <c r="U585" s="88">
        <v>342819.04761904763</v>
      </c>
      <c r="V585" s="59">
        <v>2.9169907767529724</v>
      </c>
      <c r="X585" s="98">
        <v>4.2</v>
      </c>
      <c r="Y585" s="97">
        <v>183.19285714285712</v>
      </c>
    </row>
    <row r="586" spans="1:25">
      <c r="A586" s="58">
        <v>586</v>
      </c>
      <c r="B586" s="58">
        <v>586</v>
      </c>
      <c r="C586" s="58" t="s">
        <v>1075</v>
      </c>
      <c r="D586" s="58" t="s">
        <v>215</v>
      </c>
      <c r="E586" s="58" t="s">
        <v>176</v>
      </c>
      <c r="F586" s="58" t="s">
        <v>235</v>
      </c>
      <c r="G586" s="58" t="s">
        <v>236</v>
      </c>
      <c r="H586" s="58" t="s">
        <v>179</v>
      </c>
      <c r="I586">
        <v>38000</v>
      </c>
      <c r="J586">
        <v>38000</v>
      </c>
      <c r="K586">
        <v>20000</v>
      </c>
      <c r="L586" s="74">
        <v>10.494</v>
      </c>
      <c r="M586" s="85">
        <v>11</v>
      </c>
      <c r="N586" s="74">
        <v>0.13200000000000001</v>
      </c>
      <c r="O586">
        <v>2</v>
      </c>
      <c r="P586" s="84">
        <v>0.13200000000000001</v>
      </c>
      <c r="Q586" s="86">
        <v>4.2</v>
      </c>
      <c r="R586" s="85">
        <v>4.2</v>
      </c>
      <c r="S586" s="87">
        <v>1439840</v>
      </c>
      <c r="T586" s="1">
        <v>1</v>
      </c>
      <c r="U586" s="88">
        <v>342819.04761904763</v>
      </c>
      <c r="V586" s="59">
        <v>2.9169907767529724</v>
      </c>
      <c r="X586" s="98">
        <v>4.2</v>
      </c>
      <c r="Y586" s="97">
        <v>342.81904761904764</v>
      </c>
    </row>
    <row r="587" spans="1:25">
      <c r="A587" s="58">
        <v>587</v>
      </c>
      <c r="B587" s="58">
        <v>587</v>
      </c>
      <c r="C587" s="58" t="s">
        <v>1076</v>
      </c>
      <c r="D587" s="58" t="s">
        <v>234</v>
      </c>
      <c r="E587" s="58" t="s">
        <v>234</v>
      </c>
      <c r="F587" s="58" t="s">
        <v>235</v>
      </c>
      <c r="G587" s="58" t="s">
        <v>236</v>
      </c>
      <c r="H587" s="58" t="s">
        <v>179</v>
      </c>
      <c r="I587">
        <v>38000</v>
      </c>
      <c r="J587">
        <v>38000</v>
      </c>
      <c r="K587">
        <v>20000</v>
      </c>
      <c r="L587" s="74">
        <v>18.922000000000001</v>
      </c>
      <c r="M587" s="85">
        <v>19</v>
      </c>
      <c r="N587" s="74">
        <v>0.36599999999999999</v>
      </c>
      <c r="O587">
        <v>2</v>
      </c>
      <c r="P587" s="84">
        <v>0.36599999999999999</v>
      </c>
      <c r="Q587" s="86">
        <v>4.2</v>
      </c>
      <c r="R587" s="85">
        <v>4.2</v>
      </c>
      <c r="S587" s="87">
        <v>1861440</v>
      </c>
      <c r="T587" s="1">
        <v>1</v>
      </c>
      <c r="U587" s="88">
        <v>443200</v>
      </c>
      <c r="V587" s="59">
        <v>2.256317689530686</v>
      </c>
      <c r="X587" s="98">
        <v>4.2</v>
      </c>
      <c r="Y587" s="97">
        <v>342.81904761904764</v>
      </c>
    </row>
    <row r="588" spans="1:25">
      <c r="A588" s="58">
        <v>588</v>
      </c>
      <c r="B588" s="58">
        <v>588</v>
      </c>
      <c r="C588" s="58" t="s">
        <v>1077</v>
      </c>
      <c r="D588" s="58" t="s">
        <v>351</v>
      </c>
      <c r="E588" s="58" t="s">
        <v>351</v>
      </c>
      <c r="F588" s="58" t="s">
        <v>1078</v>
      </c>
      <c r="G588" s="58" t="s">
        <v>1079</v>
      </c>
      <c r="H588" s="58" t="s">
        <v>199</v>
      </c>
      <c r="I588">
        <v>110000</v>
      </c>
      <c r="J588">
        <v>20000</v>
      </c>
      <c r="K588">
        <v>110000</v>
      </c>
      <c r="L588" s="74">
        <v>2.0739999999999998</v>
      </c>
      <c r="M588" s="85">
        <v>3</v>
      </c>
      <c r="N588" s="74">
        <v>0.23599999999999999</v>
      </c>
      <c r="O588">
        <v>2</v>
      </c>
      <c r="P588" s="84">
        <v>0.23599999999999999</v>
      </c>
      <c r="Q588" s="86">
        <v>4.2</v>
      </c>
      <c r="R588" s="85">
        <v>4.2</v>
      </c>
      <c r="S588" s="87">
        <v>1574570</v>
      </c>
      <c r="T588" s="1">
        <v>7</v>
      </c>
      <c r="U588" s="88">
        <v>374897.61904761905</v>
      </c>
      <c r="V588" s="59">
        <v>2.6673949078161021</v>
      </c>
      <c r="X588" s="98">
        <v>4.2</v>
      </c>
      <c r="Y588" s="97">
        <v>443.2</v>
      </c>
    </row>
    <row r="589" spans="1:25">
      <c r="A589" s="58">
        <v>589</v>
      </c>
      <c r="B589" s="58">
        <v>589</v>
      </c>
      <c r="C589" s="58" t="s">
        <v>1080</v>
      </c>
      <c r="D589" s="58" t="s">
        <v>207</v>
      </c>
      <c r="E589" s="58" t="s">
        <v>207</v>
      </c>
      <c r="F589" s="58" t="s">
        <v>698</v>
      </c>
      <c r="G589" s="58" t="s">
        <v>699</v>
      </c>
      <c r="H589" s="58" t="s">
        <v>199</v>
      </c>
      <c r="I589">
        <v>110000</v>
      </c>
      <c r="J589" s="58" t="s">
        <v>185</v>
      </c>
      <c r="K589">
        <v>110000</v>
      </c>
      <c r="L589" s="74">
        <v>11.628</v>
      </c>
      <c r="M589" s="85">
        <v>12</v>
      </c>
      <c r="N589" s="74">
        <v>0.41099999999999998</v>
      </c>
      <c r="O589">
        <v>2</v>
      </c>
      <c r="P589" s="84">
        <v>0.41099999999999998</v>
      </c>
      <c r="Q589" s="86">
        <v>4.2</v>
      </c>
      <c r="R589" s="85">
        <v>4.2</v>
      </c>
      <c r="S589" s="87">
        <v>2048870</v>
      </c>
      <c r="T589" s="1">
        <v>7</v>
      </c>
      <c r="U589" s="88">
        <v>487826.19047619047</v>
      </c>
      <c r="V589" s="59">
        <v>2.0499104384367968</v>
      </c>
      <c r="X589" s="98">
        <v>4.2</v>
      </c>
      <c r="Y589" s="97">
        <v>374.89761904761906</v>
      </c>
    </row>
    <row r="590" spans="1:25">
      <c r="A590" s="58">
        <v>590</v>
      </c>
      <c r="B590" s="58">
        <v>590</v>
      </c>
      <c r="C590" s="58" t="s">
        <v>1081</v>
      </c>
      <c r="D590" s="58" t="s">
        <v>207</v>
      </c>
      <c r="E590" s="58" t="s">
        <v>207</v>
      </c>
      <c r="F590" s="58" t="s">
        <v>393</v>
      </c>
      <c r="G590" s="58" t="s">
        <v>394</v>
      </c>
      <c r="H590" s="58" t="s">
        <v>179</v>
      </c>
      <c r="I590">
        <v>38000</v>
      </c>
      <c r="J590">
        <v>38000</v>
      </c>
      <c r="K590" s="58" t="s">
        <v>185</v>
      </c>
      <c r="L590" s="74">
        <v>8.2710000000000008</v>
      </c>
      <c r="M590" s="85">
        <v>9</v>
      </c>
      <c r="N590" s="74">
        <v>0.128</v>
      </c>
      <c r="O590">
        <v>2</v>
      </c>
      <c r="P590" s="84">
        <v>0.128</v>
      </c>
      <c r="Q590" s="86">
        <v>4.2</v>
      </c>
      <c r="R590" s="85">
        <v>4.2</v>
      </c>
      <c r="S590" s="87">
        <v>1334440</v>
      </c>
      <c r="T590" s="1">
        <v>1</v>
      </c>
      <c r="U590" s="88">
        <v>317723.80952380953</v>
      </c>
      <c r="V590" s="59">
        <v>3.1473876682353645</v>
      </c>
      <c r="X590" s="98">
        <v>4.2</v>
      </c>
      <c r="Y590" s="97">
        <v>487.82619047619045</v>
      </c>
    </row>
    <row r="591" spans="1:25">
      <c r="A591" s="58">
        <v>591</v>
      </c>
      <c r="B591" s="58">
        <v>591</v>
      </c>
      <c r="C591" s="58" t="s">
        <v>1082</v>
      </c>
      <c r="D591" s="58" t="s">
        <v>207</v>
      </c>
      <c r="E591" s="58" t="s">
        <v>207</v>
      </c>
      <c r="F591" s="58" t="s">
        <v>393</v>
      </c>
      <c r="G591" s="58" t="s">
        <v>394</v>
      </c>
      <c r="H591" s="58" t="s">
        <v>179</v>
      </c>
      <c r="I591">
        <v>38000</v>
      </c>
      <c r="J591">
        <v>38000</v>
      </c>
      <c r="K591" s="58" t="s">
        <v>185</v>
      </c>
      <c r="L591" s="74">
        <v>10.191000000000001</v>
      </c>
      <c r="M591" s="85">
        <v>11</v>
      </c>
      <c r="N591" s="74">
        <v>0.39500000000000002</v>
      </c>
      <c r="O591">
        <v>2</v>
      </c>
      <c r="P591" s="84">
        <v>0.39500000000000002</v>
      </c>
      <c r="Q591" s="86">
        <v>4.2</v>
      </c>
      <c r="R591" s="85">
        <v>4.2</v>
      </c>
      <c r="S591" s="87">
        <v>1439840</v>
      </c>
      <c r="T591" s="1">
        <v>1</v>
      </c>
      <c r="U591" s="88">
        <v>342819.04761904763</v>
      </c>
      <c r="V591" s="59">
        <v>2.9169907767529724</v>
      </c>
      <c r="X591" s="98">
        <v>4.2</v>
      </c>
      <c r="Y591" s="97">
        <v>317.72380952380951</v>
      </c>
    </row>
    <row r="592" spans="1:25">
      <c r="A592" s="58">
        <v>592</v>
      </c>
      <c r="B592" s="58">
        <v>592</v>
      </c>
      <c r="C592" s="58" t="s">
        <v>1083</v>
      </c>
      <c r="D592" s="58" t="s">
        <v>207</v>
      </c>
      <c r="E592" s="58" t="s">
        <v>207</v>
      </c>
      <c r="F592" s="58" t="s">
        <v>389</v>
      </c>
      <c r="G592" s="58" t="s">
        <v>390</v>
      </c>
      <c r="H592" s="58" t="s">
        <v>199</v>
      </c>
      <c r="I592">
        <v>110000</v>
      </c>
      <c r="J592">
        <v>110000</v>
      </c>
      <c r="K592">
        <v>38000</v>
      </c>
      <c r="L592" s="74">
        <v>7.0289999999999999</v>
      </c>
      <c r="M592" s="85">
        <v>8</v>
      </c>
      <c r="N592" s="74">
        <v>0.315</v>
      </c>
      <c r="O592">
        <v>2</v>
      </c>
      <c r="P592" s="84">
        <v>0.315</v>
      </c>
      <c r="Q592" s="86">
        <v>4.2</v>
      </c>
      <c r="R592" s="85">
        <v>4.2</v>
      </c>
      <c r="S592" s="87">
        <v>1838070</v>
      </c>
      <c r="T592" s="1">
        <v>7</v>
      </c>
      <c r="U592" s="88">
        <v>437635.71428571426</v>
      </c>
      <c r="V592" s="59">
        <v>2.2850054676916547</v>
      </c>
      <c r="X592" s="98">
        <v>4.2</v>
      </c>
      <c r="Y592" s="97">
        <v>342.81904761904764</v>
      </c>
    </row>
    <row r="593" spans="1:25">
      <c r="A593" s="58">
        <v>593</v>
      </c>
      <c r="B593" s="58">
        <v>593</v>
      </c>
      <c r="C593" s="58" t="s">
        <v>1084</v>
      </c>
      <c r="D593" s="58" t="s">
        <v>207</v>
      </c>
      <c r="E593" s="58" t="s">
        <v>207</v>
      </c>
      <c r="F593" s="58" t="s">
        <v>242</v>
      </c>
      <c r="G593" s="58" t="s">
        <v>243</v>
      </c>
      <c r="H593" s="58" t="s">
        <v>179</v>
      </c>
      <c r="I593">
        <v>38000</v>
      </c>
      <c r="J593">
        <v>38000</v>
      </c>
      <c r="K593">
        <v>20000</v>
      </c>
      <c r="L593" s="74">
        <v>6.407</v>
      </c>
      <c r="M593" s="85">
        <v>7</v>
      </c>
      <c r="N593" s="74">
        <v>0.41399999999999998</v>
      </c>
      <c r="O593">
        <v>2</v>
      </c>
      <c r="P593" s="84">
        <v>0.41399999999999998</v>
      </c>
      <c r="Q593" s="86">
        <v>4.2</v>
      </c>
      <c r="R593" s="85">
        <v>4.2</v>
      </c>
      <c r="S593" s="87">
        <v>839680</v>
      </c>
      <c r="T593" s="1">
        <v>4</v>
      </c>
      <c r="U593" s="88">
        <v>199923.80952380953</v>
      </c>
      <c r="V593" s="59">
        <v>5.0019054878048781</v>
      </c>
      <c r="X593" s="98">
        <v>4.2</v>
      </c>
      <c r="Y593" s="97">
        <v>437.63571428571424</v>
      </c>
    </row>
    <row r="594" spans="1:25">
      <c r="A594" s="58">
        <v>594</v>
      </c>
      <c r="B594" s="58">
        <v>594</v>
      </c>
      <c r="C594" s="58" t="s">
        <v>1085</v>
      </c>
      <c r="D594" s="58" t="s">
        <v>207</v>
      </c>
      <c r="E594" s="58" t="s">
        <v>207</v>
      </c>
      <c r="F594" s="58" t="s">
        <v>242</v>
      </c>
      <c r="G594" s="58" t="s">
        <v>243</v>
      </c>
      <c r="H594" s="58" t="s">
        <v>179</v>
      </c>
      <c r="I594">
        <v>38000</v>
      </c>
      <c r="J594">
        <v>38000</v>
      </c>
      <c r="K594">
        <v>20000</v>
      </c>
      <c r="L594" s="74">
        <v>4.9569999999999999</v>
      </c>
      <c r="M594" s="85">
        <v>5</v>
      </c>
      <c r="N594" s="74">
        <v>0.128</v>
      </c>
      <c r="O594">
        <v>2</v>
      </c>
      <c r="P594" s="84">
        <v>0.128</v>
      </c>
      <c r="Q594" s="86">
        <v>4.2</v>
      </c>
      <c r="R594" s="85">
        <v>4.2</v>
      </c>
      <c r="S594" s="87">
        <v>699140</v>
      </c>
      <c r="T594" s="1">
        <v>4</v>
      </c>
      <c r="U594" s="88">
        <v>166461.90476190476</v>
      </c>
      <c r="V594" s="59">
        <v>6.0073804960379897</v>
      </c>
      <c r="X594" s="98">
        <v>4.2</v>
      </c>
      <c r="Y594" s="97">
        <v>199.92380952380952</v>
      </c>
    </row>
    <row r="595" spans="1:25">
      <c r="A595" s="58">
        <v>595</v>
      </c>
      <c r="B595" s="58">
        <v>595</v>
      </c>
      <c r="C595" s="58" t="s">
        <v>1086</v>
      </c>
      <c r="D595" s="58" t="s">
        <v>207</v>
      </c>
      <c r="E595" s="58" t="s">
        <v>207</v>
      </c>
      <c r="F595" s="58" t="s">
        <v>242</v>
      </c>
      <c r="G595" s="58" t="s">
        <v>243</v>
      </c>
      <c r="H595" s="58" t="s">
        <v>179</v>
      </c>
      <c r="I595">
        <v>38000</v>
      </c>
      <c r="J595">
        <v>38000</v>
      </c>
      <c r="K595">
        <v>20000</v>
      </c>
      <c r="L595" s="74">
        <v>11.185</v>
      </c>
      <c r="M595" s="85">
        <v>12</v>
      </c>
      <c r="N595" s="74">
        <v>0.21299999999999999</v>
      </c>
      <c r="O595">
        <v>2</v>
      </c>
      <c r="P595" s="84">
        <v>0.21299999999999999</v>
      </c>
      <c r="Q595" s="86">
        <v>4.2</v>
      </c>
      <c r="R595" s="85">
        <v>4.2</v>
      </c>
      <c r="S595" s="87">
        <v>1492540</v>
      </c>
      <c r="T595" s="1">
        <v>1</v>
      </c>
      <c r="U595" s="88">
        <v>355366.66666666663</v>
      </c>
      <c r="V595" s="59">
        <v>2.8139949348091173</v>
      </c>
      <c r="X595" s="98">
        <v>4.2</v>
      </c>
      <c r="Y595" s="97">
        <v>166.46190476190475</v>
      </c>
    </row>
    <row r="596" spans="1:25">
      <c r="A596" s="58">
        <v>596</v>
      </c>
      <c r="B596" s="58">
        <v>596</v>
      </c>
      <c r="C596" s="58" t="s">
        <v>1087</v>
      </c>
      <c r="D596" s="58" t="s">
        <v>207</v>
      </c>
      <c r="E596" s="58" t="s">
        <v>207</v>
      </c>
      <c r="F596" s="58" t="s">
        <v>502</v>
      </c>
      <c r="G596" s="58" t="s">
        <v>503</v>
      </c>
      <c r="H596" s="58" t="s">
        <v>179</v>
      </c>
      <c r="I596">
        <v>38000</v>
      </c>
      <c r="J596">
        <v>38000</v>
      </c>
      <c r="K596" s="58" t="s">
        <v>185</v>
      </c>
      <c r="L596" s="74">
        <v>11.539</v>
      </c>
      <c r="M596" s="85">
        <v>12</v>
      </c>
      <c r="N596" s="74">
        <v>9.4E-2</v>
      </c>
      <c r="O596">
        <v>2</v>
      </c>
      <c r="P596" s="84">
        <v>9.4E-2</v>
      </c>
      <c r="Q596" s="86">
        <v>4.2</v>
      </c>
      <c r="R596" s="85">
        <v>4.2</v>
      </c>
      <c r="S596" s="87">
        <v>1492540</v>
      </c>
      <c r="T596" s="1">
        <v>1</v>
      </c>
      <c r="U596" s="88">
        <v>355366.66666666663</v>
      </c>
      <c r="V596" s="59">
        <v>2.8139949348091173</v>
      </c>
      <c r="X596" s="98">
        <v>4.2</v>
      </c>
      <c r="Y596" s="97">
        <v>355.36666666666662</v>
      </c>
    </row>
    <row r="597" spans="1:25">
      <c r="A597" s="58">
        <v>597</v>
      </c>
      <c r="B597" s="58">
        <v>597</v>
      </c>
      <c r="C597" s="58" t="s">
        <v>1088</v>
      </c>
      <c r="D597" s="58" t="s">
        <v>202</v>
      </c>
      <c r="E597" s="58" t="s">
        <v>202</v>
      </c>
      <c r="F597" s="58" t="s">
        <v>1089</v>
      </c>
      <c r="G597" s="58" t="s">
        <v>1090</v>
      </c>
      <c r="H597" s="58" t="s">
        <v>179</v>
      </c>
      <c r="I597">
        <v>38000</v>
      </c>
      <c r="J597">
        <v>38000</v>
      </c>
      <c r="K597" s="58" t="s">
        <v>185</v>
      </c>
      <c r="L597" s="74">
        <v>6.173</v>
      </c>
      <c r="M597" s="85">
        <v>7</v>
      </c>
      <c r="N597" s="74">
        <v>0.10100000000000001</v>
      </c>
      <c r="O597">
        <v>2</v>
      </c>
      <c r="P597" s="84">
        <v>0.10100000000000001</v>
      </c>
      <c r="Q597" s="86">
        <v>4.2</v>
      </c>
      <c r="R597" s="85">
        <v>4.2</v>
      </c>
      <c r="S597" s="87">
        <v>839680</v>
      </c>
      <c r="T597" s="1">
        <v>4</v>
      </c>
      <c r="U597" s="88">
        <v>199923.80952380953</v>
      </c>
      <c r="V597" s="59">
        <v>5.0019054878048781</v>
      </c>
      <c r="X597" s="98">
        <v>4.2</v>
      </c>
      <c r="Y597" s="97">
        <v>355.36666666666662</v>
      </c>
    </row>
    <row r="598" spans="1:25">
      <c r="A598" s="58">
        <v>598</v>
      </c>
      <c r="B598" s="58">
        <v>598</v>
      </c>
      <c r="C598" s="58" t="s">
        <v>1091</v>
      </c>
      <c r="D598" s="58" t="s">
        <v>207</v>
      </c>
      <c r="E598" s="58" t="s">
        <v>207</v>
      </c>
      <c r="F598" s="58" t="s">
        <v>705</v>
      </c>
      <c r="G598" s="58" t="s">
        <v>706</v>
      </c>
      <c r="H598" s="58" t="s">
        <v>179</v>
      </c>
      <c r="I598">
        <v>38000</v>
      </c>
      <c r="J598" s="58" t="s">
        <v>185</v>
      </c>
      <c r="K598">
        <v>38000</v>
      </c>
      <c r="L598" s="74">
        <v>1.3129999999999999</v>
      </c>
      <c r="M598" s="85">
        <v>2</v>
      </c>
      <c r="N598" s="74">
        <v>0.40699999999999997</v>
      </c>
      <c r="O598">
        <v>2</v>
      </c>
      <c r="P598" s="84">
        <v>0.40699999999999997</v>
      </c>
      <c r="Q598" s="86">
        <v>4.2</v>
      </c>
      <c r="R598" s="85">
        <v>4.2</v>
      </c>
      <c r="S598" s="87">
        <v>488330</v>
      </c>
      <c r="T598" s="1">
        <v>4</v>
      </c>
      <c r="U598" s="88">
        <v>116269.04761904762</v>
      </c>
      <c r="V598" s="59">
        <v>8.6007413019884087</v>
      </c>
      <c r="X598" s="98">
        <v>4.2</v>
      </c>
      <c r="Y598" s="97">
        <v>199.92380952380952</v>
      </c>
    </row>
    <row r="599" spans="1:25">
      <c r="A599" s="58">
        <v>599</v>
      </c>
      <c r="B599" s="58">
        <v>599</v>
      </c>
      <c r="C599" s="58" t="s">
        <v>1092</v>
      </c>
      <c r="D599" s="58" t="s">
        <v>207</v>
      </c>
      <c r="E599" s="58" t="s">
        <v>207</v>
      </c>
      <c r="F599" s="58" t="s">
        <v>705</v>
      </c>
      <c r="G599" s="58" t="s">
        <v>706</v>
      </c>
      <c r="H599" s="58" t="s">
        <v>179</v>
      </c>
      <c r="I599">
        <v>38000</v>
      </c>
      <c r="J599" s="58" t="s">
        <v>185</v>
      </c>
      <c r="K599">
        <v>38000</v>
      </c>
      <c r="L599" s="74">
        <v>2.3919999999999999</v>
      </c>
      <c r="M599" s="85">
        <v>3</v>
      </c>
      <c r="N599" s="74">
        <v>0.14299999999999999</v>
      </c>
      <c r="O599">
        <v>2</v>
      </c>
      <c r="P599" s="84">
        <v>0.14299999999999999</v>
      </c>
      <c r="Q599" s="86">
        <v>4.2</v>
      </c>
      <c r="R599" s="85">
        <v>4.2</v>
      </c>
      <c r="S599" s="87">
        <v>558600</v>
      </c>
      <c r="T599" s="1">
        <v>4</v>
      </c>
      <c r="U599" s="88">
        <v>133000</v>
      </c>
      <c r="V599" s="59">
        <v>7.518796992481203</v>
      </c>
      <c r="X599" s="98">
        <v>4.2</v>
      </c>
      <c r="Y599" s="97">
        <v>116.26904761904763</v>
      </c>
    </row>
    <row r="600" spans="1:25">
      <c r="A600" s="58">
        <v>600</v>
      </c>
      <c r="B600" s="58">
        <v>600</v>
      </c>
      <c r="C600" s="58" t="s">
        <v>1093</v>
      </c>
      <c r="D600" s="58" t="s">
        <v>176</v>
      </c>
      <c r="E600" s="58" t="s">
        <v>176</v>
      </c>
      <c r="F600" s="58" t="s">
        <v>285</v>
      </c>
      <c r="G600" s="58" t="s">
        <v>286</v>
      </c>
      <c r="H600" s="58" t="s">
        <v>179</v>
      </c>
      <c r="I600">
        <v>38000</v>
      </c>
      <c r="J600">
        <v>38000</v>
      </c>
      <c r="K600">
        <v>20000</v>
      </c>
      <c r="L600" s="74">
        <v>4.2809999999999997</v>
      </c>
      <c r="M600" s="85">
        <v>5</v>
      </c>
      <c r="N600" s="74">
        <v>0.26500000000000001</v>
      </c>
      <c r="O600">
        <v>2</v>
      </c>
      <c r="P600" s="84">
        <v>0.26500000000000001</v>
      </c>
      <c r="Q600" s="86">
        <v>4.2</v>
      </c>
      <c r="R600" s="85">
        <v>4.2</v>
      </c>
      <c r="S600" s="87">
        <v>699140</v>
      </c>
      <c r="T600" s="1">
        <v>4</v>
      </c>
      <c r="U600" s="88">
        <v>166461.90476190476</v>
      </c>
      <c r="V600" s="59">
        <v>6.0073804960379897</v>
      </c>
      <c r="X600" s="98">
        <v>4.2</v>
      </c>
      <c r="Y600" s="97">
        <v>133</v>
      </c>
    </row>
    <row r="601" spans="1:25">
      <c r="A601" s="58">
        <v>601</v>
      </c>
      <c r="B601" s="58">
        <v>601</v>
      </c>
      <c r="C601" s="58" t="s">
        <v>1094</v>
      </c>
      <c r="D601" s="58" t="s">
        <v>215</v>
      </c>
      <c r="E601" s="58" t="s">
        <v>215</v>
      </c>
      <c r="F601" s="58" t="s">
        <v>713</v>
      </c>
      <c r="G601" s="58" t="s">
        <v>714</v>
      </c>
      <c r="H601" s="58" t="s">
        <v>199</v>
      </c>
      <c r="I601">
        <v>110000</v>
      </c>
      <c r="J601" s="58" t="s">
        <v>185</v>
      </c>
      <c r="K601">
        <v>110000</v>
      </c>
      <c r="L601" s="74">
        <v>1.6</v>
      </c>
      <c r="M601" s="85">
        <v>2</v>
      </c>
      <c r="N601" s="74">
        <v>0.187</v>
      </c>
      <c r="O601">
        <v>2</v>
      </c>
      <c r="P601" s="84">
        <v>0.187</v>
      </c>
      <c r="Q601" s="86">
        <v>4.2</v>
      </c>
      <c r="R601" s="85">
        <v>4.2</v>
      </c>
      <c r="S601" s="87">
        <v>1340080</v>
      </c>
      <c r="T601" s="1">
        <v>11</v>
      </c>
      <c r="U601" s="88">
        <v>319066.66666666663</v>
      </c>
      <c r="V601" s="59">
        <v>3.134141245298788</v>
      </c>
      <c r="X601" s="98">
        <v>4.2</v>
      </c>
      <c r="Y601" s="97">
        <v>166.46190476190475</v>
      </c>
    </row>
    <row r="602" spans="1:25">
      <c r="A602" s="58">
        <v>602</v>
      </c>
      <c r="B602" s="58">
        <v>602</v>
      </c>
      <c r="C602" s="58" t="s">
        <v>1095</v>
      </c>
      <c r="D602" s="58" t="s">
        <v>215</v>
      </c>
      <c r="E602" s="58" t="s">
        <v>215</v>
      </c>
      <c r="F602" s="58" t="s">
        <v>406</v>
      </c>
      <c r="G602" s="58" t="s">
        <v>407</v>
      </c>
      <c r="H602" s="58" t="s">
        <v>179</v>
      </c>
      <c r="I602">
        <v>38000</v>
      </c>
      <c r="J602" s="58" t="s">
        <v>185</v>
      </c>
      <c r="K602">
        <v>38000</v>
      </c>
      <c r="L602" s="74">
        <v>7.8789999999999996</v>
      </c>
      <c r="M602" s="85">
        <v>8</v>
      </c>
      <c r="N602" s="74">
        <v>9.0999999999999998E-2</v>
      </c>
      <c r="O602">
        <v>2</v>
      </c>
      <c r="P602" s="84">
        <v>9.0999999999999998E-2</v>
      </c>
      <c r="Q602" s="86">
        <v>4.2</v>
      </c>
      <c r="R602" s="85">
        <v>4.2</v>
      </c>
      <c r="S602" s="87">
        <v>909950</v>
      </c>
      <c r="T602" s="1">
        <v>4</v>
      </c>
      <c r="U602" s="88">
        <v>216654.76190476189</v>
      </c>
      <c r="V602" s="59">
        <v>4.6156382218803227</v>
      </c>
      <c r="X602" s="98">
        <v>4.2</v>
      </c>
      <c r="Y602" s="97">
        <v>319.06666666666661</v>
      </c>
    </row>
    <row r="603" spans="1:25">
      <c r="A603" s="58">
        <v>603</v>
      </c>
      <c r="B603" s="58">
        <v>603</v>
      </c>
      <c r="C603" s="58" t="s">
        <v>1096</v>
      </c>
      <c r="D603" s="58" t="s">
        <v>215</v>
      </c>
      <c r="E603" s="58" t="s">
        <v>215</v>
      </c>
      <c r="F603" s="58" t="s">
        <v>406</v>
      </c>
      <c r="G603" s="58" t="s">
        <v>407</v>
      </c>
      <c r="H603" s="58" t="s">
        <v>179</v>
      </c>
      <c r="I603">
        <v>38000</v>
      </c>
      <c r="J603" s="58" t="s">
        <v>185</v>
      </c>
      <c r="K603">
        <v>38000</v>
      </c>
      <c r="L603" s="74">
        <v>7.0090000000000003</v>
      </c>
      <c r="M603" s="85">
        <v>8</v>
      </c>
      <c r="N603" s="74">
        <v>0.105</v>
      </c>
      <c r="O603">
        <v>2</v>
      </c>
      <c r="P603" s="84">
        <v>0.105</v>
      </c>
      <c r="Q603" s="86">
        <v>4.2</v>
      </c>
      <c r="R603" s="85">
        <v>4.2</v>
      </c>
      <c r="S603" s="87">
        <v>909950</v>
      </c>
      <c r="T603" s="1">
        <v>4</v>
      </c>
      <c r="U603" s="88">
        <v>216654.76190476189</v>
      </c>
      <c r="V603" s="59">
        <v>4.6156382218803227</v>
      </c>
      <c r="X603" s="98">
        <v>4.2</v>
      </c>
      <c r="Y603" s="97">
        <v>216.6547619047619</v>
      </c>
    </row>
    <row r="604" spans="1:25">
      <c r="A604" s="58">
        <v>604</v>
      </c>
      <c r="B604" s="58">
        <v>604</v>
      </c>
      <c r="C604" s="58" t="s">
        <v>1097</v>
      </c>
      <c r="D604" s="58" t="s">
        <v>215</v>
      </c>
      <c r="E604" s="58" t="s">
        <v>215</v>
      </c>
      <c r="F604" s="58" t="s">
        <v>724</v>
      </c>
      <c r="G604" s="58" t="s">
        <v>725</v>
      </c>
      <c r="H604" s="58" t="s">
        <v>179</v>
      </c>
      <c r="I604">
        <v>38000</v>
      </c>
      <c r="J604" s="58" t="s">
        <v>185</v>
      </c>
      <c r="K604">
        <v>38000</v>
      </c>
      <c r="L604" s="74">
        <v>4.8730000000000002</v>
      </c>
      <c r="M604" s="85">
        <v>5</v>
      </c>
      <c r="N604" s="74">
        <v>0.35</v>
      </c>
      <c r="O604">
        <v>2</v>
      </c>
      <c r="P604" s="84">
        <v>0.35</v>
      </c>
      <c r="Q604" s="86">
        <v>4.2</v>
      </c>
      <c r="R604" s="85">
        <v>4.2</v>
      </c>
      <c r="S604" s="87">
        <v>699140</v>
      </c>
      <c r="T604" s="1">
        <v>4</v>
      </c>
      <c r="U604" s="88">
        <v>166461.90476190476</v>
      </c>
      <c r="V604" s="59">
        <v>6.0073804960379897</v>
      </c>
      <c r="X604" s="98">
        <v>4.2</v>
      </c>
      <c r="Y604" s="97">
        <v>216.6547619047619</v>
      </c>
    </row>
    <row r="605" spans="1:25">
      <c r="A605" s="58">
        <v>605</v>
      </c>
      <c r="B605" s="58">
        <v>605</v>
      </c>
      <c r="C605" s="58" t="s">
        <v>1098</v>
      </c>
      <c r="D605" s="58" t="s">
        <v>215</v>
      </c>
      <c r="E605" s="58" t="s">
        <v>215</v>
      </c>
      <c r="F605" s="58" t="s">
        <v>724</v>
      </c>
      <c r="G605" s="58" t="s">
        <v>725</v>
      </c>
      <c r="H605" s="58" t="s">
        <v>179</v>
      </c>
      <c r="I605">
        <v>38000</v>
      </c>
      <c r="J605" s="58" t="s">
        <v>185</v>
      </c>
      <c r="K605">
        <v>38000</v>
      </c>
      <c r="L605" s="74">
        <v>2.2629999999999999</v>
      </c>
      <c r="M605" s="85">
        <v>3</v>
      </c>
      <c r="N605" s="74">
        <v>0.247</v>
      </c>
      <c r="O605">
        <v>2</v>
      </c>
      <c r="P605" s="84">
        <v>0.247</v>
      </c>
      <c r="Q605" s="86">
        <v>4.2</v>
      </c>
      <c r="R605" s="85">
        <v>4.2</v>
      </c>
      <c r="S605" s="87">
        <v>558600</v>
      </c>
      <c r="T605" s="1">
        <v>4</v>
      </c>
      <c r="U605" s="88">
        <v>133000</v>
      </c>
      <c r="V605" s="59">
        <v>7.518796992481203</v>
      </c>
      <c r="X605" s="98">
        <v>4.2</v>
      </c>
      <c r="Y605" s="97">
        <v>166.46190476190475</v>
      </c>
    </row>
    <row r="606" spans="1:25">
      <c r="A606" s="58">
        <v>606</v>
      </c>
      <c r="B606" s="58">
        <v>606</v>
      </c>
      <c r="C606" s="58" t="s">
        <v>1099</v>
      </c>
      <c r="D606" s="58" t="s">
        <v>215</v>
      </c>
      <c r="E606" s="58" t="s">
        <v>215</v>
      </c>
      <c r="F606" s="58" t="s">
        <v>724</v>
      </c>
      <c r="G606" s="58" t="s">
        <v>725</v>
      </c>
      <c r="H606" s="58" t="s">
        <v>179</v>
      </c>
      <c r="I606">
        <v>38000</v>
      </c>
      <c r="J606" s="58" t="s">
        <v>185</v>
      </c>
      <c r="K606">
        <v>38000</v>
      </c>
      <c r="L606" s="74">
        <v>3.5720000000000001</v>
      </c>
      <c r="M606" s="85">
        <v>4</v>
      </c>
      <c r="N606" s="74">
        <v>0.13600000000000001</v>
      </c>
      <c r="O606">
        <v>2</v>
      </c>
      <c r="P606" s="84">
        <v>0.13600000000000001</v>
      </c>
      <c r="Q606" s="86">
        <v>4.2</v>
      </c>
      <c r="R606" s="85">
        <v>4.2</v>
      </c>
      <c r="S606" s="87">
        <v>628870</v>
      </c>
      <c r="T606" s="1">
        <v>4</v>
      </c>
      <c r="U606" s="88">
        <v>149730.95238095237</v>
      </c>
      <c r="V606" s="59">
        <v>6.6786458250512828</v>
      </c>
      <c r="X606" s="98">
        <v>4.2</v>
      </c>
      <c r="Y606" s="97">
        <v>133</v>
      </c>
    </row>
    <row r="607" spans="1:25">
      <c r="A607" s="58">
        <v>607</v>
      </c>
      <c r="B607" s="58">
        <v>607</v>
      </c>
      <c r="C607" s="58" t="s">
        <v>1100</v>
      </c>
      <c r="D607" s="58" t="s">
        <v>215</v>
      </c>
      <c r="E607" s="58" t="s">
        <v>215</v>
      </c>
      <c r="F607" s="58" t="s">
        <v>724</v>
      </c>
      <c r="G607" s="58" t="s">
        <v>725</v>
      </c>
      <c r="H607" s="58" t="s">
        <v>179</v>
      </c>
      <c r="I607">
        <v>38000</v>
      </c>
      <c r="J607" s="58" t="s">
        <v>185</v>
      </c>
      <c r="K607">
        <v>38000</v>
      </c>
      <c r="L607" s="74">
        <v>6.4960000000000004</v>
      </c>
      <c r="M607" s="85">
        <v>7</v>
      </c>
      <c r="N607" s="74">
        <v>0.311</v>
      </c>
      <c r="O607">
        <v>2</v>
      </c>
      <c r="P607" s="84">
        <v>0.311</v>
      </c>
      <c r="Q607" s="86">
        <v>4.2</v>
      </c>
      <c r="R607" s="85">
        <v>4.2</v>
      </c>
      <c r="S607" s="87">
        <v>839680</v>
      </c>
      <c r="T607" s="1">
        <v>4</v>
      </c>
      <c r="U607" s="88">
        <v>199923.80952380953</v>
      </c>
      <c r="V607" s="59">
        <v>5.0019054878048781</v>
      </c>
      <c r="X607" s="98">
        <v>4.2</v>
      </c>
      <c r="Y607" s="97">
        <v>149.73095238095235</v>
      </c>
    </row>
    <row r="608" spans="1:25">
      <c r="A608" s="58">
        <v>608</v>
      </c>
      <c r="B608" s="58">
        <v>608</v>
      </c>
      <c r="C608" s="58" t="s">
        <v>1101</v>
      </c>
      <c r="D608" s="58" t="s">
        <v>215</v>
      </c>
      <c r="E608" s="58" t="s">
        <v>215</v>
      </c>
      <c r="F608" s="58" t="s">
        <v>845</v>
      </c>
      <c r="G608" s="58" t="s">
        <v>846</v>
      </c>
      <c r="H608" s="58" t="s">
        <v>199</v>
      </c>
      <c r="I608">
        <v>110000</v>
      </c>
      <c r="L608" s="74">
        <v>1.7410000000000001</v>
      </c>
      <c r="M608" s="85">
        <v>2</v>
      </c>
      <c r="N608" s="74">
        <v>0.60099999999999998</v>
      </c>
      <c r="O608">
        <v>2</v>
      </c>
      <c r="P608" s="84">
        <v>0.60099999999999998</v>
      </c>
      <c r="Q608" s="86">
        <v>4.2</v>
      </c>
      <c r="R608" s="85">
        <v>4.2</v>
      </c>
      <c r="S608" s="87">
        <v>1340080</v>
      </c>
      <c r="T608" s="1">
        <v>11</v>
      </c>
      <c r="U608" s="88">
        <v>319066.66666666663</v>
      </c>
      <c r="V608" s="59">
        <v>3.134141245298788</v>
      </c>
      <c r="X608" s="98">
        <v>4.2</v>
      </c>
      <c r="Y608" s="97">
        <v>199.92380952380952</v>
      </c>
    </row>
    <row r="609" spans="1:25">
      <c r="A609" s="58">
        <v>609</v>
      </c>
      <c r="B609" s="58">
        <v>609</v>
      </c>
      <c r="C609" s="58" t="s">
        <v>1102</v>
      </c>
      <c r="D609" s="58" t="s">
        <v>450</v>
      </c>
      <c r="E609" s="58" t="s">
        <v>450</v>
      </c>
      <c r="F609" s="58" t="s">
        <v>931</v>
      </c>
      <c r="G609" s="58" t="s">
        <v>932</v>
      </c>
      <c r="H609" s="58" t="s">
        <v>199</v>
      </c>
      <c r="I609">
        <v>110000</v>
      </c>
      <c r="J609">
        <v>20000</v>
      </c>
      <c r="K609">
        <v>110000</v>
      </c>
      <c r="L609" s="74">
        <v>1.4910000000000001</v>
      </c>
      <c r="M609" s="85">
        <v>2</v>
      </c>
      <c r="N609" s="74">
        <v>0.58599999999999997</v>
      </c>
      <c r="O609">
        <v>2</v>
      </c>
      <c r="P609" s="84">
        <v>0.58599999999999997</v>
      </c>
      <c r="Q609" s="86">
        <v>4.2</v>
      </c>
      <c r="R609" s="85">
        <v>4.2</v>
      </c>
      <c r="S609" s="87">
        <v>1340080</v>
      </c>
      <c r="T609" s="1">
        <v>11</v>
      </c>
      <c r="U609" s="88">
        <v>319066.66666666663</v>
      </c>
      <c r="V609" s="59">
        <v>3.134141245298788</v>
      </c>
      <c r="X609" s="98">
        <v>4.2</v>
      </c>
      <c r="Y609" s="97">
        <v>319.06666666666661</v>
      </c>
    </row>
    <row r="610" spans="1:25">
      <c r="A610" s="58">
        <v>610</v>
      </c>
      <c r="B610" s="58">
        <v>610</v>
      </c>
      <c r="C610" s="58" t="s">
        <v>1103</v>
      </c>
      <c r="D610" s="58" t="s">
        <v>489</v>
      </c>
      <c r="E610" s="58" t="s">
        <v>489</v>
      </c>
      <c r="F610" s="58" t="s">
        <v>1104</v>
      </c>
      <c r="G610" s="58" t="s">
        <v>1105</v>
      </c>
      <c r="H610" s="58" t="s">
        <v>179</v>
      </c>
      <c r="I610">
        <v>38000</v>
      </c>
      <c r="J610">
        <v>38000</v>
      </c>
      <c r="K610" s="58" t="s">
        <v>185</v>
      </c>
      <c r="L610" s="74">
        <v>9.8940000000000001</v>
      </c>
      <c r="M610" s="85">
        <v>10</v>
      </c>
      <c r="N610" s="74">
        <v>0.121</v>
      </c>
      <c r="O610">
        <v>2</v>
      </c>
      <c r="P610" s="84">
        <v>0.121</v>
      </c>
      <c r="Q610" s="86">
        <v>4.2</v>
      </c>
      <c r="R610" s="85">
        <v>4.2</v>
      </c>
      <c r="S610" s="87">
        <v>1387140</v>
      </c>
      <c r="T610" s="1">
        <v>1</v>
      </c>
      <c r="U610" s="88">
        <v>330271.42857142858</v>
      </c>
      <c r="V610" s="59">
        <v>3.0278126216531858</v>
      </c>
      <c r="X610" s="98">
        <v>4.2</v>
      </c>
      <c r="Y610" s="97">
        <v>319.06666666666661</v>
      </c>
    </row>
    <row r="611" spans="1:25">
      <c r="A611" s="58">
        <v>611</v>
      </c>
      <c r="B611" s="58">
        <v>611</v>
      </c>
      <c r="C611" s="58" t="s">
        <v>1106</v>
      </c>
      <c r="D611" s="58" t="s">
        <v>775</v>
      </c>
      <c r="E611" s="58" t="s">
        <v>775</v>
      </c>
      <c r="F611" s="58" t="s">
        <v>1107</v>
      </c>
      <c r="G611" s="58" t="s">
        <v>1108</v>
      </c>
      <c r="H611" s="58" t="s">
        <v>179</v>
      </c>
      <c r="I611">
        <v>38000</v>
      </c>
      <c r="J611">
        <v>38000</v>
      </c>
      <c r="K611" s="58" t="s">
        <v>185</v>
      </c>
      <c r="L611" s="74">
        <v>4.4139999999999997</v>
      </c>
      <c r="M611" s="85">
        <v>5</v>
      </c>
      <c r="N611" s="74">
        <v>0.32400000000000001</v>
      </c>
      <c r="O611">
        <v>2</v>
      </c>
      <c r="P611" s="84">
        <v>0.32400000000000001</v>
      </c>
      <c r="Q611" s="86">
        <v>4.2</v>
      </c>
      <c r="R611" s="85">
        <v>4.2</v>
      </c>
      <c r="S611" s="87">
        <v>699140</v>
      </c>
      <c r="T611" s="1">
        <v>4</v>
      </c>
      <c r="U611" s="88">
        <v>166461.90476190476</v>
      </c>
      <c r="V611" s="59">
        <v>6.0073804960379897</v>
      </c>
      <c r="X611" s="98">
        <v>4.2</v>
      </c>
      <c r="Y611" s="97">
        <v>330.2714285714286</v>
      </c>
    </row>
    <row r="612" spans="1:25">
      <c r="A612" s="58">
        <v>612</v>
      </c>
      <c r="B612" s="58">
        <v>612</v>
      </c>
      <c r="C612" s="58" t="s">
        <v>1109</v>
      </c>
      <c r="D612" s="58" t="s">
        <v>775</v>
      </c>
      <c r="E612" s="58" t="s">
        <v>775</v>
      </c>
      <c r="F612" s="58" t="s">
        <v>1107</v>
      </c>
      <c r="G612" s="58" t="s">
        <v>1108</v>
      </c>
      <c r="H612" s="58" t="s">
        <v>179</v>
      </c>
      <c r="I612">
        <v>38000</v>
      </c>
      <c r="J612">
        <v>38000</v>
      </c>
      <c r="K612" s="58" t="s">
        <v>185</v>
      </c>
      <c r="L612" s="74">
        <v>3.875</v>
      </c>
      <c r="M612" s="85">
        <v>4</v>
      </c>
      <c r="N612" s="74">
        <v>0.38200000000000001</v>
      </c>
      <c r="O612">
        <v>2</v>
      </c>
      <c r="P612" s="84">
        <v>0.38200000000000001</v>
      </c>
      <c r="Q612" s="86">
        <v>4.2</v>
      </c>
      <c r="R612" s="85">
        <v>4.2</v>
      </c>
      <c r="S612" s="87">
        <v>628870</v>
      </c>
      <c r="T612" s="1">
        <v>4</v>
      </c>
      <c r="U612" s="88">
        <v>149730.95238095237</v>
      </c>
      <c r="V612" s="59">
        <v>6.6786458250512828</v>
      </c>
      <c r="X612" s="98">
        <v>4.2</v>
      </c>
      <c r="Y612" s="97">
        <v>166.46190476190475</v>
      </c>
    </row>
    <row r="613" spans="1:25">
      <c r="A613" s="58">
        <v>613</v>
      </c>
      <c r="B613" s="58">
        <v>613</v>
      </c>
      <c r="C613" s="58" t="s">
        <v>1110</v>
      </c>
      <c r="D613" s="58" t="s">
        <v>410</v>
      </c>
      <c r="E613" s="58" t="s">
        <v>410</v>
      </c>
      <c r="F613" s="58" t="s">
        <v>411</v>
      </c>
      <c r="G613" s="58" t="s">
        <v>412</v>
      </c>
      <c r="H613" s="58" t="s">
        <v>179</v>
      </c>
      <c r="I613">
        <v>38000</v>
      </c>
      <c r="J613">
        <v>38000</v>
      </c>
      <c r="K613" s="58" t="s">
        <v>185</v>
      </c>
      <c r="L613" s="74">
        <v>7.6829999999999998</v>
      </c>
      <c r="M613" s="85">
        <v>8</v>
      </c>
      <c r="N613" s="74">
        <v>0.128</v>
      </c>
      <c r="O613">
        <v>2</v>
      </c>
      <c r="P613" s="84">
        <v>0.128</v>
      </c>
      <c r="Q613" s="86">
        <v>4.2</v>
      </c>
      <c r="R613" s="85">
        <v>4.2</v>
      </c>
      <c r="S613" s="87">
        <v>909950</v>
      </c>
      <c r="T613" s="1">
        <v>4</v>
      </c>
      <c r="U613" s="88">
        <v>216654.76190476189</v>
      </c>
      <c r="V613" s="59">
        <v>4.6156382218803227</v>
      </c>
      <c r="X613" s="98">
        <v>4.2</v>
      </c>
      <c r="Y613" s="97">
        <v>149.73095238095235</v>
      </c>
    </row>
    <row r="614" spans="1:25">
      <c r="A614" s="58">
        <v>614</v>
      </c>
      <c r="B614" s="58">
        <v>614</v>
      </c>
      <c r="C614" s="58" t="s">
        <v>1111</v>
      </c>
      <c r="D614" s="58" t="s">
        <v>410</v>
      </c>
      <c r="E614" s="58" t="s">
        <v>410</v>
      </c>
      <c r="F614" s="58" t="s">
        <v>411</v>
      </c>
      <c r="G614" s="58" t="s">
        <v>412</v>
      </c>
      <c r="H614" s="58" t="s">
        <v>179</v>
      </c>
      <c r="I614">
        <v>38000</v>
      </c>
      <c r="J614">
        <v>38000</v>
      </c>
      <c r="K614" s="58" t="s">
        <v>185</v>
      </c>
      <c r="L614" s="74">
        <v>6.306</v>
      </c>
      <c r="M614" s="85">
        <v>7</v>
      </c>
      <c r="N614" s="74">
        <v>0.43099999999999999</v>
      </c>
      <c r="O614">
        <v>2</v>
      </c>
      <c r="P614" s="84">
        <v>0.43099999999999999</v>
      </c>
      <c r="Q614" s="86">
        <v>4.2</v>
      </c>
      <c r="R614" s="85">
        <v>4.2</v>
      </c>
      <c r="S614" s="87">
        <v>839680</v>
      </c>
      <c r="T614" s="1">
        <v>4</v>
      </c>
      <c r="U614" s="88">
        <v>199923.80952380953</v>
      </c>
      <c r="V614" s="59">
        <v>5.0019054878048781</v>
      </c>
      <c r="X614" s="98">
        <v>4.2</v>
      </c>
      <c r="Y614" s="97">
        <v>216.6547619047619</v>
      </c>
    </row>
    <row r="615" spans="1:25">
      <c r="A615" s="58">
        <v>615</v>
      </c>
      <c r="B615" s="58">
        <v>615</v>
      </c>
      <c r="C615" s="58" t="s">
        <v>1112</v>
      </c>
      <c r="D615" s="58" t="s">
        <v>410</v>
      </c>
      <c r="E615" s="58" t="s">
        <v>410</v>
      </c>
      <c r="F615" s="58" t="s">
        <v>1113</v>
      </c>
      <c r="G615" s="58" t="s">
        <v>1114</v>
      </c>
      <c r="H615" s="58" t="s">
        <v>179</v>
      </c>
      <c r="I615">
        <v>38000</v>
      </c>
      <c r="J615">
        <v>38000</v>
      </c>
      <c r="K615">
        <v>10000</v>
      </c>
      <c r="L615" s="74">
        <v>8.2710000000000008</v>
      </c>
      <c r="M615" s="85">
        <v>9</v>
      </c>
      <c r="N615" s="74">
        <v>0.23599999999999999</v>
      </c>
      <c r="O615">
        <v>2</v>
      </c>
      <c r="P615" s="84">
        <v>0.23599999999999999</v>
      </c>
      <c r="Q615" s="86">
        <v>4.2</v>
      </c>
      <c r="R615" s="85">
        <v>4.2</v>
      </c>
      <c r="S615" s="87">
        <v>1334440</v>
      </c>
      <c r="T615" s="1">
        <v>1</v>
      </c>
      <c r="U615" s="88">
        <v>317723.80952380953</v>
      </c>
      <c r="V615" s="59">
        <v>3.1473876682353645</v>
      </c>
      <c r="X615" s="98">
        <v>4.2</v>
      </c>
      <c r="Y615" s="97">
        <v>199.92380952380952</v>
      </c>
    </row>
    <row r="616" spans="1:25">
      <c r="A616" s="58">
        <v>616</v>
      </c>
      <c r="B616" s="58">
        <v>616</v>
      </c>
      <c r="C616" s="58" t="s">
        <v>1115</v>
      </c>
      <c r="D616" s="58" t="s">
        <v>187</v>
      </c>
      <c r="E616" s="58" t="s">
        <v>187</v>
      </c>
      <c r="F616" s="58" t="s">
        <v>415</v>
      </c>
      <c r="G616" s="58" t="s">
        <v>416</v>
      </c>
      <c r="H616" s="58" t="s">
        <v>179</v>
      </c>
      <c r="I616">
        <v>38000</v>
      </c>
      <c r="J616">
        <v>38000</v>
      </c>
      <c r="K616" s="58" t="s">
        <v>185</v>
      </c>
      <c r="L616" s="74">
        <v>5.5549999999999997</v>
      </c>
      <c r="M616" s="85">
        <v>6</v>
      </c>
      <c r="N616" s="74">
        <v>0.40300000000000002</v>
      </c>
      <c r="O616">
        <v>2</v>
      </c>
      <c r="P616" s="84">
        <v>0.40300000000000002</v>
      </c>
      <c r="Q616" s="86">
        <v>4.2</v>
      </c>
      <c r="R616" s="85">
        <v>4.2</v>
      </c>
      <c r="S616" s="87">
        <v>769410</v>
      </c>
      <c r="T616" s="1">
        <v>4</v>
      </c>
      <c r="U616" s="88">
        <v>183192.85714285713</v>
      </c>
      <c r="V616" s="59">
        <v>5.4587281163488903</v>
      </c>
      <c r="X616" s="98">
        <v>4.2</v>
      </c>
      <c r="Y616" s="97">
        <v>317.72380952380951</v>
      </c>
    </row>
    <row r="617" spans="1:25">
      <c r="A617" s="58">
        <v>617</v>
      </c>
      <c r="B617" s="58">
        <v>617</v>
      </c>
      <c r="C617" s="58" t="s">
        <v>1116</v>
      </c>
      <c r="D617" s="58" t="s">
        <v>187</v>
      </c>
      <c r="E617" s="58" t="s">
        <v>187</v>
      </c>
      <c r="F617" s="58" t="s">
        <v>415</v>
      </c>
      <c r="G617" s="58" t="s">
        <v>416</v>
      </c>
      <c r="H617" s="58" t="s">
        <v>179</v>
      </c>
      <c r="I617">
        <v>38000</v>
      </c>
      <c r="J617">
        <v>38000</v>
      </c>
      <c r="K617" s="58" t="s">
        <v>185</v>
      </c>
      <c r="L617" s="74">
        <v>12.384</v>
      </c>
      <c r="M617" s="85">
        <v>13</v>
      </c>
      <c r="N617" s="74">
        <v>0.193</v>
      </c>
      <c r="O617">
        <v>2</v>
      </c>
      <c r="P617" s="84">
        <v>0.193</v>
      </c>
      <c r="Q617" s="86">
        <v>4.2</v>
      </c>
      <c r="R617" s="85">
        <v>4.2</v>
      </c>
      <c r="S617" s="87">
        <v>1545240</v>
      </c>
      <c r="T617" s="1">
        <v>1</v>
      </c>
      <c r="U617" s="88">
        <v>367914.28571428568</v>
      </c>
      <c r="V617" s="59">
        <v>2.7180243845616214</v>
      </c>
      <c r="X617" s="98">
        <v>4.2</v>
      </c>
      <c r="Y617" s="97">
        <v>183.19285714285712</v>
      </c>
    </row>
    <row r="618" spans="1:25">
      <c r="A618" s="58">
        <v>618</v>
      </c>
      <c r="B618" s="58">
        <v>618</v>
      </c>
      <c r="C618" s="58" t="s">
        <v>1117</v>
      </c>
      <c r="D618" s="58" t="s">
        <v>187</v>
      </c>
      <c r="E618" s="58" t="s">
        <v>187</v>
      </c>
      <c r="F618" s="58" t="s">
        <v>368</v>
      </c>
      <c r="G618" s="58" t="s">
        <v>369</v>
      </c>
      <c r="H618" s="58" t="s">
        <v>199</v>
      </c>
      <c r="I618">
        <v>110000</v>
      </c>
      <c r="J618">
        <v>110000</v>
      </c>
      <c r="K618">
        <v>38000</v>
      </c>
      <c r="L618" s="74">
        <v>11.409000000000001</v>
      </c>
      <c r="M618" s="85">
        <v>12</v>
      </c>
      <c r="N618" s="74">
        <v>0.51300000000000001</v>
      </c>
      <c r="O618">
        <v>2</v>
      </c>
      <c r="P618" s="84">
        <v>0.51300000000000001</v>
      </c>
      <c r="Q618" s="86">
        <v>4.2</v>
      </c>
      <c r="R618" s="85">
        <v>4.2</v>
      </c>
      <c r="S618" s="87">
        <v>2048870</v>
      </c>
      <c r="T618" s="1">
        <v>7</v>
      </c>
      <c r="U618" s="88">
        <v>487826.19047619047</v>
      </c>
      <c r="V618" s="59">
        <v>2.0499104384367968</v>
      </c>
      <c r="X618" s="98">
        <v>4.2</v>
      </c>
      <c r="Y618" s="97">
        <v>367.91428571428571</v>
      </c>
    </row>
    <row r="619" spans="1:25">
      <c r="A619" s="58">
        <v>619</v>
      </c>
      <c r="B619" s="58">
        <v>619</v>
      </c>
      <c r="C619" s="58" t="s">
        <v>1118</v>
      </c>
      <c r="D619" s="58" t="s">
        <v>351</v>
      </c>
      <c r="E619" s="58" t="s">
        <v>351</v>
      </c>
      <c r="F619" s="58" t="s">
        <v>1119</v>
      </c>
      <c r="G619" s="58" t="s">
        <v>1120</v>
      </c>
      <c r="H619" s="58" t="s">
        <v>199</v>
      </c>
      <c r="I619">
        <v>110000</v>
      </c>
      <c r="L619" s="74">
        <v>8.3689999999999998</v>
      </c>
      <c r="M619" s="85">
        <v>9</v>
      </c>
      <c r="N619" s="74">
        <v>0.104</v>
      </c>
      <c r="O619">
        <v>2</v>
      </c>
      <c r="P619" s="84">
        <v>0.104</v>
      </c>
      <c r="Q619" s="86">
        <v>4.2</v>
      </c>
      <c r="R619" s="85">
        <v>4.2</v>
      </c>
      <c r="S619" s="87">
        <v>1890770</v>
      </c>
      <c r="T619" s="1">
        <v>7</v>
      </c>
      <c r="U619" s="88">
        <v>450183.33333333331</v>
      </c>
      <c r="V619" s="59">
        <v>2.2213172411239865</v>
      </c>
      <c r="X619" s="98">
        <v>4.2</v>
      </c>
      <c r="Y619" s="97">
        <v>487.82619047619045</v>
      </c>
    </row>
    <row r="620" spans="1:25">
      <c r="A620" s="58">
        <v>620</v>
      </c>
      <c r="B620" s="58">
        <v>620</v>
      </c>
      <c r="C620" s="58" t="s">
        <v>1121</v>
      </c>
      <c r="D620" s="58" t="s">
        <v>234</v>
      </c>
      <c r="E620" s="58" t="s">
        <v>234</v>
      </c>
      <c r="F620" s="58" t="s">
        <v>337</v>
      </c>
      <c r="G620" s="58" t="s">
        <v>338</v>
      </c>
      <c r="H620" s="58" t="s">
        <v>179</v>
      </c>
      <c r="I620">
        <v>38000</v>
      </c>
      <c r="J620">
        <v>38000</v>
      </c>
      <c r="K620" s="58" t="s">
        <v>185</v>
      </c>
      <c r="L620" s="74">
        <v>9.452</v>
      </c>
      <c r="M620" s="85">
        <v>10</v>
      </c>
      <c r="N620" s="74">
        <v>0.14899999999999999</v>
      </c>
      <c r="O620">
        <v>2</v>
      </c>
      <c r="P620" s="84">
        <v>0.14899999999999999</v>
      </c>
      <c r="Q620" s="86">
        <v>4.2</v>
      </c>
      <c r="R620" s="85">
        <v>4.2</v>
      </c>
      <c r="S620" s="87">
        <v>1387140</v>
      </c>
      <c r="T620" s="1">
        <v>1</v>
      </c>
      <c r="U620" s="88">
        <v>330271.42857142858</v>
      </c>
      <c r="V620" s="59">
        <v>3.0278126216531858</v>
      </c>
      <c r="X620" s="98">
        <v>4.2</v>
      </c>
      <c r="Y620" s="97">
        <v>450.18333333333334</v>
      </c>
    </row>
    <row r="621" spans="1:25">
      <c r="A621" s="58">
        <v>621</v>
      </c>
      <c r="B621" s="58">
        <v>621</v>
      </c>
      <c r="C621" s="58" t="s">
        <v>1122</v>
      </c>
      <c r="D621" s="58" t="s">
        <v>234</v>
      </c>
      <c r="E621" s="58" t="s">
        <v>234</v>
      </c>
      <c r="F621" s="58" t="s">
        <v>337</v>
      </c>
      <c r="G621" s="58" t="s">
        <v>338</v>
      </c>
      <c r="H621" s="58" t="s">
        <v>179</v>
      </c>
      <c r="I621">
        <v>38000</v>
      </c>
      <c r="J621">
        <v>38000</v>
      </c>
      <c r="K621" s="58" t="s">
        <v>185</v>
      </c>
      <c r="L621" s="74">
        <v>8.266</v>
      </c>
      <c r="M621" s="85">
        <v>9</v>
      </c>
      <c r="N621" s="74">
        <v>0.16700000000000001</v>
      </c>
      <c r="O621">
        <v>2</v>
      </c>
      <c r="P621" s="84">
        <v>0.16700000000000001</v>
      </c>
      <c r="Q621" s="86">
        <v>4.2</v>
      </c>
      <c r="R621" s="85">
        <v>4.2</v>
      </c>
      <c r="S621" s="87">
        <v>1334440</v>
      </c>
      <c r="T621" s="1">
        <v>1</v>
      </c>
      <c r="U621" s="88">
        <v>317723.80952380953</v>
      </c>
      <c r="V621" s="59">
        <v>3.1473876682353645</v>
      </c>
      <c r="X621" s="98">
        <v>4.2</v>
      </c>
      <c r="Y621" s="97">
        <v>330.2714285714286</v>
      </c>
    </row>
    <row r="622" spans="1:25">
      <c r="A622" s="58">
        <v>622</v>
      </c>
      <c r="B622" s="58">
        <v>622</v>
      </c>
      <c r="C622" s="58" t="s">
        <v>1123</v>
      </c>
      <c r="D622" s="58" t="s">
        <v>187</v>
      </c>
      <c r="E622" s="58" t="s">
        <v>187</v>
      </c>
      <c r="F622" s="58" t="s">
        <v>1124</v>
      </c>
      <c r="G622" s="58" t="s">
        <v>1125</v>
      </c>
      <c r="H622" s="58" t="s">
        <v>179</v>
      </c>
      <c r="I622">
        <v>38000</v>
      </c>
      <c r="J622" s="58" t="s">
        <v>185</v>
      </c>
      <c r="K622">
        <v>38000</v>
      </c>
      <c r="L622" s="74">
        <v>1.4330000000000001</v>
      </c>
      <c r="M622" s="85">
        <v>2</v>
      </c>
      <c r="N622" s="74">
        <v>0.28799999999999998</v>
      </c>
      <c r="O622">
        <v>2</v>
      </c>
      <c r="P622" s="84">
        <v>0.28799999999999998</v>
      </c>
      <c r="Q622" s="86">
        <v>4.2</v>
      </c>
      <c r="R622" s="85">
        <v>4.2</v>
      </c>
      <c r="S622" s="87">
        <v>488330</v>
      </c>
      <c r="T622" s="1">
        <v>4</v>
      </c>
      <c r="U622" s="88">
        <v>116269.04761904762</v>
      </c>
      <c r="V622" s="59">
        <v>8.6007413019884087</v>
      </c>
      <c r="X622" s="98">
        <v>4.2</v>
      </c>
      <c r="Y622" s="97">
        <v>317.72380952380951</v>
      </c>
    </row>
    <row r="623" spans="1:25">
      <c r="A623" s="58">
        <v>623</v>
      </c>
      <c r="B623" s="58">
        <v>623</v>
      </c>
      <c r="C623" s="58" t="s">
        <v>1126</v>
      </c>
      <c r="D623" s="58" t="s">
        <v>187</v>
      </c>
      <c r="E623" s="58" t="s">
        <v>187</v>
      </c>
      <c r="F623" s="58" t="s">
        <v>746</v>
      </c>
      <c r="G623" s="58" t="s">
        <v>747</v>
      </c>
      <c r="H623" s="58" t="s">
        <v>199</v>
      </c>
      <c r="I623">
        <v>110000</v>
      </c>
      <c r="J623">
        <v>110000</v>
      </c>
      <c r="K623">
        <v>38000</v>
      </c>
      <c r="L623" s="74">
        <v>4.3170000000000002</v>
      </c>
      <c r="M623" s="85">
        <v>5</v>
      </c>
      <c r="N623" s="74">
        <v>9.0999999999999998E-2</v>
      </c>
      <c r="O623">
        <v>2</v>
      </c>
      <c r="P623" s="84">
        <v>9.0999999999999998E-2</v>
      </c>
      <c r="Q623" s="86">
        <v>4.2</v>
      </c>
      <c r="R623" s="85">
        <v>4.2</v>
      </c>
      <c r="S623" s="87">
        <v>1679970</v>
      </c>
      <c r="T623" s="1">
        <v>7</v>
      </c>
      <c r="U623" s="88">
        <v>399992.8571428571</v>
      </c>
      <c r="V623" s="59">
        <v>2.5000446436543511</v>
      </c>
      <c r="X623" s="98">
        <v>4.2</v>
      </c>
      <c r="Y623" s="97">
        <v>116.26904761904763</v>
      </c>
    </row>
    <row r="624" spans="1:25">
      <c r="A624" s="58">
        <v>624</v>
      </c>
      <c r="B624" s="58">
        <v>624</v>
      </c>
      <c r="C624" s="58" t="s">
        <v>1127</v>
      </c>
      <c r="D624" s="58" t="s">
        <v>182</v>
      </c>
      <c r="E624" s="58" t="s">
        <v>182</v>
      </c>
      <c r="F624" s="58" t="s">
        <v>440</v>
      </c>
      <c r="G624" s="58" t="s">
        <v>441</v>
      </c>
      <c r="H624" s="58" t="s">
        <v>199</v>
      </c>
      <c r="I624">
        <v>110000</v>
      </c>
      <c r="L624" s="74">
        <v>2.4580000000000002</v>
      </c>
      <c r="M624" s="85">
        <v>3</v>
      </c>
      <c r="N624" s="74">
        <v>0.1</v>
      </c>
      <c r="O624">
        <v>2</v>
      </c>
      <c r="P624" s="84">
        <v>0.1</v>
      </c>
      <c r="Q624" s="86">
        <v>4.2</v>
      </c>
      <c r="R624" s="85">
        <v>4.2</v>
      </c>
      <c r="S624" s="87">
        <v>1574570</v>
      </c>
      <c r="T624" s="1">
        <v>7</v>
      </c>
      <c r="U624" s="88">
        <v>374897.61904761905</v>
      </c>
      <c r="V624" s="59">
        <v>2.6673949078161021</v>
      </c>
      <c r="X624" s="98">
        <v>4.2</v>
      </c>
      <c r="Y624" s="97">
        <v>399.99285714285708</v>
      </c>
    </row>
    <row r="625" spans="1:25">
      <c r="A625" s="58">
        <v>625</v>
      </c>
      <c r="B625" s="58">
        <v>625</v>
      </c>
      <c r="C625" s="58" t="s">
        <v>1128</v>
      </c>
      <c r="D625" s="58" t="s">
        <v>182</v>
      </c>
      <c r="E625" s="58" t="s">
        <v>182</v>
      </c>
      <c r="F625" s="58" t="s">
        <v>440</v>
      </c>
      <c r="G625" s="58" t="s">
        <v>441</v>
      </c>
      <c r="H625" s="58" t="s">
        <v>199</v>
      </c>
      <c r="I625">
        <v>110000</v>
      </c>
      <c r="L625" s="74">
        <v>1.6060000000000001</v>
      </c>
      <c r="M625" s="85">
        <v>2</v>
      </c>
      <c r="N625" s="74">
        <v>0.188</v>
      </c>
      <c r="O625">
        <v>2</v>
      </c>
      <c r="P625" s="84">
        <v>0.188</v>
      </c>
      <c r="Q625" s="86">
        <v>4.2</v>
      </c>
      <c r="R625" s="85">
        <v>4.2</v>
      </c>
      <c r="S625" s="87">
        <v>1340080</v>
      </c>
      <c r="T625" s="1">
        <v>11</v>
      </c>
      <c r="U625" s="88">
        <v>319066.66666666663</v>
      </c>
      <c r="V625" s="59">
        <v>3.134141245298788</v>
      </c>
      <c r="X625" s="98">
        <v>4.2</v>
      </c>
      <c r="Y625" s="97">
        <v>374.89761904761906</v>
      </c>
    </row>
    <row r="626" spans="1:25">
      <c r="A626" s="58">
        <v>626</v>
      </c>
      <c r="B626" s="58">
        <v>626</v>
      </c>
      <c r="C626" s="58" t="s">
        <v>1129</v>
      </c>
      <c r="D626" s="58" t="s">
        <v>450</v>
      </c>
      <c r="E626" s="58" t="s">
        <v>450</v>
      </c>
      <c r="F626" s="58" t="s">
        <v>1130</v>
      </c>
      <c r="G626" s="58" t="s">
        <v>1131</v>
      </c>
      <c r="H626" s="58" t="s">
        <v>179</v>
      </c>
      <c r="I626">
        <v>38000</v>
      </c>
      <c r="J626">
        <v>38000</v>
      </c>
      <c r="K626" s="58" t="s">
        <v>185</v>
      </c>
      <c r="L626" s="74">
        <v>5.1660000000000004</v>
      </c>
      <c r="M626" s="85">
        <v>6</v>
      </c>
      <c r="N626" s="74">
        <v>0.155</v>
      </c>
      <c r="O626">
        <v>2</v>
      </c>
      <c r="P626" s="84">
        <v>0.155</v>
      </c>
      <c r="Q626" s="86">
        <v>4.2</v>
      </c>
      <c r="R626" s="85">
        <v>4.2</v>
      </c>
      <c r="S626" s="87">
        <v>769410</v>
      </c>
      <c r="T626" s="1">
        <v>4</v>
      </c>
      <c r="U626" s="88">
        <v>183192.85714285713</v>
      </c>
      <c r="V626" s="59">
        <v>5.4587281163488903</v>
      </c>
      <c r="X626" s="98">
        <v>4.2</v>
      </c>
      <c r="Y626" s="97">
        <v>319.06666666666661</v>
      </c>
    </row>
    <row r="627" spans="1:25">
      <c r="A627" s="58">
        <v>627</v>
      </c>
      <c r="B627" s="58">
        <v>627</v>
      </c>
      <c r="C627" s="58" t="s">
        <v>1132</v>
      </c>
      <c r="D627" s="58" t="s">
        <v>450</v>
      </c>
      <c r="E627" s="58" t="s">
        <v>450</v>
      </c>
      <c r="F627" s="58" t="s">
        <v>457</v>
      </c>
      <c r="G627" s="58" t="s">
        <v>458</v>
      </c>
      <c r="H627" s="58" t="s">
        <v>199</v>
      </c>
      <c r="I627">
        <v>110000</v>
      </c>
      <c r="J627">
        <v>110000</v>
      </c>
      <c r="K627">
        <v>38000</v>
      </c>
      <c r="L627" s="74">
        <v>10.170999999999999</v>
      </c>
      <c r="M627" s="85">
        <v>11</v>
      </c>
      <c r="N627" s="74">
        <v>0.32900000000000001</v>
      </c>
      <c r="O627">
        <v>2</v>
      </c>
      <c r="P627" s="84">
        <v>0.32900000000000001</v>
      </c>
      <c r="Q627" s="86">
        <v>4.2</v>
      </c>
      <c r="R627" s="85">
        <v>4.2</v>
      </c>
      <c r="S627" s="87">
        <v>1996170</v>
      </c>
      <c r="T627" s="1">
        <v>7</v>
      </c>
      <c r="U627" s="88">
        <v>475278.57142857142</v>
      </c>
      <c r="V627" s="59">
        <v>2.1040292159485414</v>
      </c>
      <c r="X627" s="98">
        <v>4.2</v>
      </c>
      <c r="Y627" s="97">
        <v>183.19285714285712</v>
      </c>
    </row>
    <row r="628" spans="1:25">
      <c r="A628" s="58">
        <v>628</v>
      </c>
      <c r="B628" s="58">
        <v>628</v>
      </c>
      <c r="C628" s="58" t="s">
        <v>1133</v>
      </c>
      <c r="D628" s="58" t="s">
        <v>215</v>
      </c>
      <c r="E628" s="58" t="s">
        <v>215</v>
      </c>
      <c r="F628" s="58" t="s">
        <v>776</v>
      </c>
      <c r="G628" s="58" t="s">
        <v>777</v>
      </c>
      <c r="H628" s="58" t="s">
        <v>179</v>
      </c>
      <c r="I628">
        <v>38000</v>
      </c>
      <c r="J628">
        <v>20000</v>
      </c>
      <c r="K628">
        <v>38000</v>
      </c>
      <c r="L628" s="74">
        <v>4.5940000000000003</v>
      </c>
      <c r="M628" s="85">
        <v>5</v>
      </c>
      <c r="N628" s="74">
        <v>0.316</v>
      </c>
      <c r="O628">
        <v>2</v>
      </c>
      <c r="P628" s="84">
        <v>0.316</v>
      </c>
      <c r="Q628" s="86">
        <v>4.2</v>
      </c>
      <c r="R628" s="85">
        <v>4.2</v>
      </c>
      <c r="S628" s="87">
        <v>699140</v>
      </c>
      <c r="T628" s="1">
        <v>4</v>
      </c>
      <c r="U628" s="88">
        <v>166461.90476190476</v>
      </c>
      <c r="V628" s="59">
        <v>6.0073804960379897</v>
      </c>
      <c r="X628" s="98">
        <v>4.2</v>
      </c>
      <c r="Y628" s="97">
        <v>475.27857142857147</v>
      </c>
    </row>
    <row r="629" spans="1:25">
      <c r="A629" s="58">
        <v>629</v>
      </c>
      <c r="B629" s="58">
        <v>629</v>
      </c>
      <c r="C629" s="58" t="s">
        <v>1134</v>
      </c>
      <c r="D629" s="58" t="s">
        <v>215</v>
      </c>
      <c r="E629" s="58" t="s">
        <v>215</v>
      </c>
      <c r="F629" s="58" t="s">
        <v>776</v>
      </c>
      <c r="G629" s="58" t="s">
        <v>777</v>
      </c>
      <c r="H629" s="58" t="s">
        <v>179</v>
      </c>
      <c r="I629">
        <v>38000</v>
      </c>
      <c r="J629">
        <v>20000</v>
      </c>
      <c r="K629">
        <v>38000</v>
      </c>
      <c r="L629" s="74">
        <v>5.101</v>
      </c>
      <c r="M629" s="85">
        <v>6</v>
      </c>
      <c r="N629" s="74">
        <v>0.189</v>
      </c>
      <c r="O629">
        <v>2</v>
      </c>
      <c r="P629" s="84">
        <v>0.189</v>
      </c>
      <c r="Q629" s="86">
        <v>4.2</v>
      </c>
      <c r="R629" s="85">
        <v>4.2</v>
      </c>
      <c r="S629" s="87">
        <v>769410</v>
      </c>
      <c r="T629" s="1">
        <v>4</v>
      </c>
      <c r="U629" s="88">
        <v>183192.85714285713</v>
      </c>
      <c r="V629" s="59">
        <v>5.4587281163488903</v>
      </c>
      <c r="X629" s="98">
        <v>4.2</v>
      </c>
      <c r="Y629" s="97">
        <v>166.46190476190475</v>
      </c>
    </row>
    <row r="630" spans="1:25">
      <c r="A630" s="58">
        <v>630</v>
      </c>
      <c r="B630" s="58">
        <v>630</v>
      </c>
      <c r="C630" s="58" t="s">
        <v>1135</v>
      </c>
      <c r="D630" s="58" t="s">
        <v>775</v>
      </c>
      <c r="E630" s="58" t="s">
        <v>775</v>
      </c>
      <c r="F630" s="58" t="s">
        <v>1136</v>
      </c>
      <c r="G630" s="58" t="s">
        <v>1137</v>
      </c>
      <c r="H630" s="58" t="s">
        <v>179</v>
      </c>
      <c r="I630">
        <v>38000</v>
      </c>
      <c r="J630">
        <v>38000</v>
      </c>
      <c r="K630" s="58" t="s">
        <v>185</v>
      </c>
      <c r="L630" s="74">
        <v>7.4740000000000002</v>
      </c>
      <c r="M630" s="85">
        <v>8</v>
      </c>
      <c r="N630" s="74">
        <v>0.21299999999999999</v>
      </c>
      <c r="O630">
        <v>2</v>
      </c>
      <c r="P630" s="84">
        <v>0.21299999999999999</v>
      </c>
      <c r="Q630" s="86">
        <v>4.2</v>
      </c>
      <c r="R630" s="85">
        <v>4.2</v>
      </c>
      <c r="S630" s="87">
        <v>909950</v>
      </c>
      <c r="T630" s="1">
        <v>4</v>
      </c>
      <c r="U630" s="88">
        <v>216654.76190476189</v>
      </c>
      <c r="V630" s="59">
        <v>4.6156382218803227</v>
      </c>
      <c r="X630" s="98">
        <v>4.2</v>
      </c>
      <c r="Y630" s="97">
        <v>183.19285714285712</v>
      </c>
    </row>
    <row r="631" spans="1:25">
      <c r="A631" s="58">
        <v>631</v>
      </c>
      <c r="B631" s="58">
        <v>631</v>
      </c>
      <c r="C631" s="58" t="s">
        <v>1138</v>
      </c>
      <c r="D631" s="58" t="s">
        <v>197</v>
      </c>
      <c r="E631" s="58" t="s">
        <v>197</v>
      </c>
      <c r="F631" s="58" t="s">
        <v>299</v>
      </c>
      <c r="G631" s="58" t="s">
        <v>300</v>
      </c>
      <c r="H631" s="58" t="s">
        <v>179</v>
      </c>
      <c r="I631">
        <v>38000</v>
      </c>
      <c r="J631">
        <v>38000</v>
      </c>
      <c r="K631" s="58" t="s">
        <v>185</v>
      </c>
      <c r="L631" s="74">
        <v>13.582000000000001</v>
      </c>
      <c r="M631" s="85">
        <v>14</v>
      </c>
      <c r="N631" s="74">
        <v>0.11</v>
      </c>
      <c r="O631">
        <v>2</v>
      </c>
      <c r="P631" s="84">
        <v>0.11</v>
      </c>
      <c r="Q631" s="86">
        <v>4.2</v>
      </c>
      <c r="R631" s="85">
        <v>4.2</v>
      </c>
      <c r="S631" s="87">
        <v>1597940</v>
      </c>
      <c r="T631" s="1">
        <v>1</v>
      </c>
      <c r="U631" s="88">
        <v>380461.90476190473</v>
      </c>
      <c r="V631" s="59">
        <v>2.6283840444572388</v>
      </c>
      <c r="X631" s="98">
        <v>4.2</v>
      </c>
      <c r="Y631" s="97">
        <v>216.6547619047619</v>
      </c>
    </row>
    <row r="632" spans="1:25">
      <c r="A632" s="58">
        <v>632</v>
      </c>
      <c r="B632" s="58">
        <v>632</v>
      </c>
      <c r="C632" s="58" t="s">
        <v>1139</v>
      </c>
      <c r="D632" s="58" t="s">
        <v>450</v>
      </c>
      <c r="E632" s="58" t="s">
        <v>450</v>
      </c>
      <c r="F632" s="58" t="s">
        <v>1140</v>
      </c>
      <c r="G632" s="58" t="s">
        <v>1141</v>
      </c>
      <c r="H632" s="58" t="s">
        <v>179</v>
      </c>
      <c r="I632">
        <v>38000</v>
      </c>
      <c r="J632">
        <v>38000</v>
      </c>
      <c r="K632" s="58" t="s">
        <v>185</v>
      </c>
      <c r="L632" s="74">
        <v>2.653</v>
      </c>
      <c r="M632" s="85">
        <v>3</v>
      </c>
      <c r="N632" s="74">
        <v>0.46400000000000002</v>
      </c>
      <c r="O632">
        <v>2</v>
      </c>
      <c r="P632" s="84">
        <v>0.46400000000000002</v>
      </c>
      <c r="Q632" s="86">
        <v>4.2</v>
      </c>
      <c r="R632" s="85">
        <v>4.2</v>
      </c>
      <c r="S632" s="87">
        <v>558600</v>
      </c>
      <c r="T632" s="1">
        <v>4</v>
      </c>
      <c r="U632" s="88">
        <v>133000</v>
      </c>
      <c r="V632" s="59">
        <v>7.518796992481203</v>
      </c>
      <c r="X632" s="98">
        <v>4.2</v>
      </c>
      <c r="Y632" s="97">
        <v>380.46190476190475</v>
      </c>
    </row>
    <row r="633" spans="1:25">
      <c r="A633" s="58">
        <v>633</v>
      </c>
      <c r="B633" s="58">
        <v>633</v>
      </c>
      <c r="C633" s="58" t="s">
        <v>1142</v>
      </c>
      <c r="D633" s="58" t="s">
        <v>410</v>
      </c>
      <c r="E633" s="58" t="s">
        <v>410</v>
      </c>
      <c r="F633" s="58" t="s">
        <v>1143</v>
      </c>
      <c r="G633" s="58" t="s">
        <v>1144</v>
      </c>
      <c r="H633" s="58" t="s">
        <v>179</v>
      </c>
      <c r="I633">
        <v>38000</v>
      </c>
      <c r="J633" s="58" t="s">
        <v>185</v>
      </c>
      <c r="K633">
        <v>38000</v>
      </c>
      <c r="L633" s="74">
        <v>2.1989999999999998</v>
      </c>
      <c r="M633" s="85">
        <v>3</v>
      </c>
      <c r="N633" s="74">
        <v>0.47599999999999998</v>
      </c>
      <c r="O633">
        <v>2</v>
      </c>
      <c r="P633" s="84">
        <v>0.47599999999999998</v>
      </c>
      <c r="Q633" s="86">
        <v>4.2</v>
      </c>
      <c r="R633" s="85">
        <v>4.2</v>
      </c>
      <c r="S633" s="87">
        <v>558600</v>
      </c>
      <c r="T633" s="1">
        <v>4</v>
      </c>
      <c r="U633" s="88">
        <v>133000</v>
      </c>
      <c r="V633" s="59">
        <v>7.518796992481203</v>
      </c>
      <c r="X633" s="98">
        <v>4.2</v>
      </c>
      <c r="Y633" s="97">
        <v>133</v>
      </c>
    </row>
    <row r="634" spans="1:25">
      <c r="A634" s="58">
        <v>634</v>
      </c>
      <c r="B634" s="58">
        <v>634</v>
      </c>
      <c r="C634" s="58" t="s">
        <v>1145</v>
      </c>
      <c r="D634" s="58" t="s">
        <v>380</v>
      </c>
      <c r="E634" s="58" t="s">
        <v>380</v>
      </c>
      <c r="F634" s="58" t="s">
        <v>1146</v>
      </c>
      <c r="G634" s="58" t="s">
        <v>1147</v>
      </c>
      <c r="H634" s="58" t="s">
        <v>179</v>
      </c>
      <c r="I634">
        <v>38000</v>
      </c>
      <c r="J634" s="58" t="s">
        <v>185</v>
      </c>
      <c r="K634">
        <v>38000</v>
      </c>
      <c r="L634" s="74">
        <v>9.0169999999999995</v>
      </c>
      <c r="M634" s="85">
        <v>10</v>
      </c>
      <c r="N634" s="74">
        <v>0.378</v>
      </c>
      <c r="O634">
        <v>2</v>
      </c>
      <c r="P634" s="84">
        <v>0.378</v>
      </c>
      <c r="Q634" s="86">
        <v>4.2</v>
      </c>
      <c r="R634" s="85">
        <v>4.2</v>
      </c>
      <c r="S634" s="87">
        <v>1387140</v>
      </c>
      <c r="T634" s="1">
        <v>1</v>
      </c>
      <c r="U634" s="88">
        <v>330271.42857142858</v>
      </c>
      <c r="V634" s="59">
        <v>3.0278126216531858</v>
      </c>
      <c r="X634" s="98">
        <v>4.2</v>
      </c>
      <c r="Y634" s="97">
        <v>133</v>
      </c>
    </row>
    <row r="635" spans="1:25">
      <c r="A635" s="58">
        <v>635</v>
      </c>
      <c r="B635" s="58">
        <v>635</v>
      </c>
      <c r="C635" s="58" t="s">
        <v>1148</v>
      </c>
      <c r="D635" s="58" t="s">
        <v>882</v>
      </c>
      <c r="E635" s="58" t="s">
        <v>882</v>
      </c>
      <c r="F635" s="58" t="s">
        <v>1149</v>
      </c>
      <c r="G635" s="58" t="s">
        <v>1150</v>
      </c>
      <c r="H635" s="58" t="s">
        <v>179</v>
      </c>
      <c r="I635">
        <v>38000</v>
      </c>
      <c r="J635">
        <v>38000</v>
      </c>
      <c r="K635" s="58" t="s">
        <v>185</v>
      </c>
      <c r="L635" s="74">
        <v>11.638999999999999</v>
      </c>
      <c r="M635" s="85">
        <v>12</v>
      </c>
      <c r="N635" s="74">
        <v>0.154</v>
      </c>
      <c r="O635">
        <v>2</v>
      </c>
      <c r="P635" s="84">
        <v>0.154</v>
      </c>
      <c r="Q635" s="86">
        <v>4.2</v>
      </c>
      <c r="R635" s="85">
        <v>4.2</v>
      </c>
      <c r="S635" s="87">
        <v>1492540</v>
      </c>
      <c r="T635" s="1">
        <v>1</v>
      </c>
      <c r="U635" s="88">
        <v>355366.66666666663</v>
      </c>
      <c r="V635" s="59">
        <v>2.8139949348091173</v>
      </c>
      <c r="X635" s="98">
        <v>4.2</v>
      </c>
      <c r="Y635" s="97">
        <v>330.2714285714286</v>
      </c>
    </row>
    <row r="636" spans="1:25">
      <c r="A636" s="58">
        <v>636</v>
      </c>
      <c r="B636" s="58">
        <v>636</v>
      </c>
      <c r="C636" s="58" t="s">
        <v>1151</v>
      </c>
      <c r="D636" s="58" t="s">
        <v>215</v>
      </c>
      <c r="E636" s="58" t="s">
        <v>215</v>
      </c>
      <c r="F636" s="58" t="s">
        <v>713</v>
      </c>
      <c r="G636" s="58" t="s">
        <v>714</v>
      </c>
      <c r="H636" s="58" t="s">
        <v>199</v>
      </c>
      <c r="I636">
        <v>110000</v>
      </c>
      <c r="J636" s="58" t="s">
        <v>185</v>
      </c>
      <c r="K636">
        <v>110000</v>
      </c>
      <c r="L636" s="74">
        <v>8.5090000000000003</v>
      </c>
      <c r="M636" s="85">
        <v>9</v>
      </c>
      <c r="N636" s="74">
        <v>0.22500000000000001</v>
      </c>
      <c r="O636">
        <v>2</v>
      </c>
      <c r="P636" s="84">
        <v>0.22500000000000001</v>
      </c>
      <c r="Q636" s="86">
        <v>4.2</v>
      </c>
      <c r="R636" s="85">
        <v>4.2</v>
      </c>
      <c r="S636" s="87">
        <v>1890770</v>
      </c>
      <c r="T636" s="1">
        <v>7</v>
      </c>
      <c r="U636" s="88">
        <v>450183.33333333331</v>
      </c>
      <c r="V636" s="59">
        <v>2.2213172411239865</v>
      </c>
      <c r="X636" s="98">
        <v>4.2</v>
      </c>
      <c r="Y636" s="97">
        <v>355.36666666666662</v>
      </c>
    </row>
    <row r="637" spans="1:25">
      <c r="A637" s="58">
        <v>637</v>
      </c>
      <c r="B637" s="58">
        <v>637</v>
      </c>
      <c r="C637" s="58" t="s">
        <v>1152</v>
      </c>
      <c r="D637" s="58" t="s">
        <v>775</v>
      </c>
      <c r="E637" s="58" t="s">
        <v>775</v>
      </c>
      <c r="F637" s="58" t="s">
        <v>1107</v>
      </c>
      <c r="G637" s="58" t="s">
        <v>1108</v>
      </c>
      <c r="H637" s="58" t="s">
        <v>179</v>
      </c>
      <c r="I637">
        <v>38000</v>
      </c>
      <c r="J637">
        <v>38000</v>
      </c>
      <c r="K637" s="58" t="s">
        <v>185</v>
      </c>
      <c r="L637" s="74">
        <v>8.3480000000000008</v>
      </c>
      <c r="M637" s="85">
        <v>9</v>
      </c>
      <c r="N637" s="74">
        <v>0.21099999999999999</v>
      </c>
      <c r="O637">
        <v>2</v>
      </c>
      <c r="P637" s="84">
        <v>0.21099999999999999</v>
      </c>
      <c r="Q637" s="86">
        <v>4.2</v>
      </c>
      <c r="R637" s="85">
        <v>4.2</v>
      </c>
      <c r="S637" s="87">
        <v>1334440</v>
      </c>
      <c r="T637" s="1">
        <v>1</v>
      </c>
      <c r="U637" s="88">
        <v>317723.80952380953</v>
      </c>
      <c r="V637" s="59">
        <v>3.1473876682353645</v>
      </c>
      <c r="X637" s="98">
        <v>4.2</v>
      </c>
      <c r="Y637" s="97">
        <v>450.18333333333334</v>
      </c>
    </row>
    <row r="638" spans="1:25">
      <c r="A638" s="58">
        <v>638</v>
      </c>
      <c r="B638" s="58">
        <v>638</v>
      </c>
      <c r="C638" s="58" t="s">
        <v>1153</v>
      </c>
      <c r="D638" s="58" t="s">
        <v>775</v>
      </c>
      <c r="E638" s="58" t="s">
        <v>775</v>
      </c>
      <c r="F638" s="58" t="s">
        <v>776</v>
      </c>
      <c r="G638" s="58" t="s">
        <v>777</v>
      </c>
      <c r="H638" s="58" t="s">
        <v>179</v>
      </c>
      <c r="I638">
        <v>38000</v>
      </c>
      <c r="J638">
        <v>20000</v>
      </c>
      <c r="K638">
        <v>38000</v>
      </c>
      <c r="L638" s="74">
        <v>8.8840000000000003</v>
      </c>
      <c r="M638" s="85">
        <v>9</v>
      </c>
      <c r="N638" s="74">
        <v>0.34699999999999998</v>
      </c>
      <c r="O638">
        <v>2</v>
      </c>
      <c r="P638" s="84">
        <v>0.34699999999999998</v>
      </c>
      <c r="Q638" s="86">
        <v>4.2</v>
      </c>
      <c r="R638" s="85">
        <v>4.2</v>
      </c>
      <c r="S638" s="87">
        <v>1334440</v>
      </c>
      <c r="T638" s="1">
        <v>1</v>
      </c>
      <c r="U638" s="88">
        <v>317723.80952380953</v>
      </c>
      <c r="V638" s="59">
        <v>3.1473876682353645</v>
      </c>
      <c r="X638" s="98">
        <v>4.2</v>
      </c>
      <c r="Y638" s="97">
        <v>317.72380952380951</v>
      </c>
    </row>
    <row r="639" spans="1:25">
      <c r="A639" s="58">
        <v>639</v>
      </c>
      <c r="B639" s="58">
        <v>639</v>
      </c>
      <c r="C639" s="58" t="s">
        <v>1154</v>
      </c>
      <c r="D639" s="58" t="s">
        <v>215</v>
      </c>
      <c r="E639" s="58" t="s">
        <v>215</v>
      </c>
      <c r="F639" s="58" t="s">
        <v>225</v>
      </c>
      <c r="G639" s="58" t="s">
        <v>226</v>
      </c>
      <c r="H639" s="58" t="s">
        <v>179</v>
      </c>
      <c r="I639">
        <v>38000</v>
      </c>
      <c r="J639">
        <v>38000</v>
      </c>
      <c r="K639">
        <v>20000</v>
      </c>
      <c r="L639" s="74">
        <v>8.5649999999999995</v>
      </c>
      <c r="M639" s="85">
        <v>9</v>
      </c>
      <c r="N639" s="74">
        <v>0.20100000000000001</v>
      </c>
      <c r="O639">
        <v>2</v>
      </c>
      <c r="P639" s="84">
        <v>0.20100000000000001</v>
      </c>
      <c r="Q639" s="86">
        <v>4.2</v>
      </c>
      <c r="R639" s="85">
        <v>4.2</v>
      </c>
      <c r="S639" s="87">
        <v>1334440</v>
      </c>
      <c r="T639" s="1">
        <v>1</v>
      </c>
      <c r="U639" s="88">
        <v>317723.80952380953</v>
      </c>
      <c r="V639" s="59">
        <v>3.1473876682353645</v>
      </c>
      <c r="X639" s="98">
        <v>4.2</v>
      </c>
      <c r="Y639" s="97">
        <v>317.72380952380951</v>
      </c>
    </row>
    <row r="640" spans="1:25">
      <c r="A640" s="58">
        <v>640</v>
      </c>
      <c r="B640" s="58">
        <v>640</v>
      </c>
      <c r="C640" s="58" t="s">
        <v>1155</v>
      </c>
      <c r="D640" s="58" t="s">
        <v>215</v>
      </c>
      <c r="E640" s="58" t="s">
        <v>215</v>
      </c>
      <c r="F640" s="58" t="s">
        <v>225</v>
      </c>
      <c r="G640" s="58" t="s">
        <v>226</v>
      </c>
      <c r="H640" s="58" t="s">
        <v>179</v>
      </c>
      <c r="I640">
        <v>38000</v>
      </c>
      <c r="J640">
        <v>38000</v>
      </c>
      <c r="K640">
        <v>20000</v>
      </c>
      <c r="L640" s="74">
        <v>8.5399999999999991</v>
      </c>
      <c r="M640" s="85">
        <v>9</v>
      </c>
      <c r="N640" s="74">
        <v>9.9000000000000005E-2</v>
      </c>
      <c r="O640">
        <v>2</v>
      </c>
      <c r="P640" s="84">
        <v>9.9000000000000005E-2</v>
      </c>
      <c r="Q640" s="86">
        <v>4.2</v>
      </c>
      <c r="R640" s="85">
        <v>4.2</v>
      </c>
      <c r="S640" s="87">
        <v>1334440</v>
      </c>
      <c r="T640" s="1">
        <v>1</v>
      </c>
      <c r="U640" s="88">
        <v>317723.80952380953</v>
      </c>
      <c r="V640" s="59">
        <v>3.1473876682353645</v>
      </c>
      <c r="X640" s="98">
        <v>4.2</v>
      </c>
      <c r="Y640" s="97">
        <v>317.72380952380951</v>
      </c>
    </row>
    <row r="641" spans="1:25">
      <c r="A641" s="58">
        <v>641</v>
      </c>
      <c r="B641" s="58">
        <v>641</v>
      </c>
      <c r="C641" s="58" t="s">
        <v>1156</v>
      </c>
      <c r="D641" s="58" t="s">
        <v>215</v>
      </c>
      <c r="E641" s="58" t="s">
        <v>215</v>
      </c>
      <c r="F641" s="58" t="s">
        <v>1157</v>
      </c>
      <c r="G641" s="58" t="s">
        <v>1158</v>
      </c>
      <c r="H641" s="58" t="s">
        <v>199</v>
      </c>
      <c r="I641">
        <v>110000</v>
      </c>
      <c r="J641">
        <v>110000</v>
      </c>
      <c r="K641">
        <v>38000</v>
      </c>
      <c r="L641" s="74">
        <v>7.1870000000000003</v>
      </c>
      <c r="M641" s="85">
        <v>8</v>
      </c>
      <c r="N641" s="74">
        <v>0.104</v>
      </c>
      <c r="O641">
        <v>2</v>
      </c>
      <c r="P641" s="84">
        <v>0.104</v>
      </c>
      <c r="Q641" s="86">
        <v>4.2</v>
      </c>
      <c r="R641" s="85">
        <v>4.2</v>
      </c>
      <c r="S641" s="87">
        <v>1838070</v>
      </c>
      <c r="T641" s="1">
        <v>7</v>
      </c>
      <c r="U641" s="88">
        <v>437635.71428571426</v>
      </c>
      <c r="V641" s="59">
        <v>2.2850054676916547</v>
      </c>
      <c r="X641" s="98">
        <v>4.2</v>
      </c>
      <c r="Y641" s="97">
        <v>317.72380952380951</v>
      </c>
    </row>
    <row r="642" spans="1:25">
      <c r="A642" s="58">
        <v>642</v>
      </c>
      <c r="B642" s="58">
        <v>642</v>
      </c>
      <c r="C642" s="58" t="s">
        <v>1159</v>
      </c>
      <c r="D642" s="58" t="s">
        <v>450</v>
      </c>
      <c r="E642" s="58" t="s">
        <v>450</v>
      </c>
      <c r="F642" s="58" t="s">
        <v>769</v>
      </c>
      <c r="G642" s="58" t="s">
        <v>770</v>
      </c>
      <c r="H642" s="58" t="s">
        <v>179</v>
      </c>
      <c r="I642">
        <v>38000</v>
      </c>
      <c r="J642" s="58" t="s">
        <v>185</v>
      </c>
      <c r="K642">
        <v>38000</v>
      </c>
      <c r="L642" s="74">
        <v>4.0039999999999996</v>
      </c>
      <c r="M642" s="85">
        <v>5</v>
      </c>
      <c r="N642" s="74">
        <v>0.105</v>
      </c>
      <c r="O642">
        <v>2</v>
      </c>
      <c r="P642" s="84">
        <v>0.105</v>
      </c>
      <c r="Q642" s="86">
        <v>4.2</v>
      </c>
      <c r="R642" s="85">
        <v>4.2</v>
      </c>
      <c r="S642" s="87">
        <v>699140</v>
      </c>
      <c r="T642" s="1">
        <v>4</v>
      </c>
      <c r="U642" s="88">
        <v>166461.90476190476</v>
      </c>
      <c r="V642" s="59">
        <v>6.0073804960379897</v>
      </c>
      <c r="X642" s="98">
        <v>4.2</v>
      </c>
      <c r="Y642" s="97">
        <v>437.63571428571424</v>
      </c>
    </row>
    <row r="643" spans="1:25">
      <c r="A643" s="58">
        <v>643</v>
      </c>
      <c r="B643" s="58">
        <v>643</v>
      </c>
      <c r="C643" s="58" t="s">
        <v>1160</v>
      </c>
      <c r="D643" s="58" t="s">
        <v>489</v>
      </c>
      <c r="E643" s="58" t="s">
        <v>489</v>
      </c>
      <c r="F643" s="58" t="s">
        <v>1161</v>
      </c>
      <c r="G643" s="58" t="s">
        <v>1162</v>
      </c>
      <c r="H643" s="58" t="s">
        <v>179</v>
      </c>
      <c r="I643">
        <v>38000</v>
      </c>
      <c r="J643">
        <v>38000</v>
      </c>
      <c r="K643" s="58" t="s">
        <v>185</v>
      </c>
      <c r="L643" s="74">
        <v>2.903</v>
      </c>
      <c r="M643" s="85">
        <v>3</v>
      </c>
      <c r="N643" s="74">
        <v>0.09</v>
      </c>
      <c r="O643">
        <v>2</v>
      </c>
      <c r="P643" s="84">
        <v>0.09</v>
      </c>
      <c r="Q643" s="86">
        <v>4.2</v>
      </c>
      <c r="R643" s="85">
        <v>4.2</v>
      </c>
      <c r="S643" s="87">
        <v>558600</v>
      </c>
      <c r="T643" s="1">
        <v>4</v>
      </c>
      <c r="U643" s="88">
        <v>133000</v>
      </c>
      <c r="V643" s="59">
        <v>7.518796992481203</v>
      </c>
      <c r="X643" s="98">
        <v>4.2</v>
      </c>
      <c r="Y643" s="97">
        <v>166.46190476190475</v>
      </c>
    </row>
    <row r="644" spans="1:25">
      <c r="A644" s="58">
        <v>644</v>
      </c>
      <c r="B644" s="58">
        <v>644</v>
      </c>
      <c r="C644" s="58" t="s">
        <v>1163</v>
      </c>
      <c r="D644" s="58" t="s">
        <v>207</v>
      </c>
      <c r="E644" s="58" t="s">
        <v>207</v>
      </c>
      <c r="F644" s="58" t="s">
        <v>491</v>
      </c>
      <c r="G644" s="58" t="s">
        <v>492</v>
      </c>
      <c r="H644" s="58" t="s">
        <v>179</v>
      </c>
      <c r="I644">
        <v>38000</v>
      </c>
      <c r="J644">
        <v>38000</v>
      </c>
      <c r="K644" s="58" t="s">
        <v>185</v>
      </c>
      <c r="L644" s="74">
        <v>6.0380000000000003</v>
      </c>
      <c r="M644" s="85">
        <v>7</v>
      </c>
      <c r="N644" s="74">
        <v>0.22700000000000001</v>
      </c>
      <c r="O644">
        <v>2</v>
      </c>
      <c r="P644" s="84">
        <v>0.22700000000000001</v>
      </c>
      <c r="Q644" s="86">
        <v>4.2</v>
      </c>
      <c r="R644" s="85">
        <v>4.2</v>
      </c>
      <c r="S644" s="87">
        <v>839680</v>
      </c>
      <c r="T644" s="1">
        <v>4</v>
      </c>
      <c r="U644" s="88">
        <v>199923.80952380953</v>
      </c>
      <c r="V644" s="59">
        <v>5.0019054878048781</v>
      </c>
      <c r="X644" s="98">
        <v>4.2</v>
      </c>
      <c r="Y644" s="97">
        <v>133</v>
      </c>
    </row>
    <row r="645" spans="1:25">
      <c r="A645" s="58">
        <v>645</v>
      </c>
      <c r="B645" s="58">
        <v>645</v>
      </c>
      <c r="C645" s="58" t="s">
        <v>1164</v>
      </c>
      <c r="D645" s="58" t="s">
        <v>207</v>
      </c>
      <c r="E645" s="58" t="s">
        <v>207</v>
      </c>
      <c r="F645" s="58" t="s">
        <v>393</v>
      </c>
      <c r="G645" s="58" t="s">
        <v>394</v>
      </c>
      <c r="H645" s="58" t="s">
        <v>179</v>
      </c>
      <c r="I645">
        <v>38000</v>
      </c>
      <c r="J645">
        <v>38000</v>
      </c>
      <c r="K645" s="58" t="s">
        <v>185</v>
      </c>
      <c r="L645" s="74">
        <v>4.431</v>
      </c>
      <c r="M645" s="85">
        <v>5</v>
      </c>
      <c r="N645" s="74">
        <v>0.123</v>
      </c>
      <c r="O645">
        <v>2</v>
      </c>
      <c r="P645" s="84">
        <v>0.123</v>
      </c>
      <c r="Q645" s="86">
        <v>4.2</v>
      </c>
      <c r="R645" s="85">
        <v>4.2</v>
      </c>
      <c r="S645" s="87">
        <v>699140</v>
      </c>
      <c r="T645" s="1">
        <v>4</v>
      </c>
      <c r="U645" s="88">
        <v>166461.90476190476</v>
      </c>
      <c r="V645" s="59">
        <v>6.0073804960379897</v>
      </c>
      <c r="X645" s="98">
        <v>4.2</v>
      </c>
      <c r="Y645" s="97">
        <v>199.92380952380952</v>
      </c>
    </row>
    <row r="646" spans="1:25">
      <c r="A646" s="58">
        <v>646</v>
      </c>
      <c r="B646" s="58">
        <v>646</v>
      </c>
      <c r="C646" s="58" t="s">
        <v>1165</v>
      </c>
      <c r="D646" s="58" t="s">
        <v>215</v>
      </c>
      <c r="E646" s="58" t="s">
        <v>215</v>
      </c>
      <c r="F646" s="58" t="s">
        <v>1166</v>
      </c>
      <c r="G646" s="58" t="s">
        <v>1167</v>
      </c>
      <c r="H646" s="58" t="s">
        <v>179</v>
      </c>
      <c r="I646">
        <v>38000</v>
      </c>
      <c r="J646">
        <v>38000</v>
      </c>
      <c r="K646" s="58" t="s">
        <v>185</v>
      </c>
      <c r="L646" s="74">
        <v>6.1630000000000003</v>
      </c>
      <c r="M646" s="85">
        <v>7</v>
      </c>
      <c r="N646" s="74">
        <v>0.14599999999999999</v>
      </c>
      <c r="O646">
        <v>2</v>
      </c>
      <c r="P646" s="84">
        <v>0.14599999999999999</v>
      </c>
      <c r="Q646" s="86">
        <v>4.2</v>
      </c>
      <c r="R646" s="85">
        <v>4.2</v>
      </c>
      <c r="S646" s="87">
        <v>839680</v>
      </c>
      <c r="T646" s="1">
        <v>4</v>
      </c>
      <c r="U646" s="88">
        <v>199923.80952380953</v>
      </c>
      <c r="V646" s="59">
        <v>5.0019054878048781</v>
      </c>
      <c r="X646" s="98">
        <v>4.2</v>
      </c>
      <c r="Y646" s="97">
        <v>166.46190476190475</v>
      </c>
    </row>
    <row r="647" spans="1:25">
      <c r="A647" s="58">
        <v>647</v>
      </c>
      <c r="B647" s="58">
        <v>647</v>
      </c>
      <c r="C647" s="58" t="s">
        <v>1168</v>
      </c>
      <c r="D647" s="58" t="s">
        <v>1169</v>
      </c>
      <c r="E647" s="58" t="s">
        <v>1169</v>
      </c>
      <c r="F647" s="58" t="s">
        <v>1170</v>
      </c>
      <c r="G647" s="58" t="s">
        <v>1171</v>
      </c>
      <c r="H647" s="58" t="s">
        <v>179</v>
      </c>
      <c r="I647">
        <v>38000</v>
      </c>
      <c r="J647">
        <v>38000</v>
      </c>
      <c r="K647" s="58" t="s">
        <v>185</v>
      </c>
      <c r="L647" s="74">
        <v>12.156000000000001</v>
      </c>
      <c r="M647" s="85">
        <v>13</v>
      </c>
      <c r="N647" s="74">
        <v>0.32600000000000001</v>
      </c>
      <c r="O647">
        <v>2</v>
      </c>
      <c r="P647" s="84">
        <v>0.32600000000000001</v>
      </c>
      <c r="Q647" s="86">
        <v>4.2</v>
      </c>
      <c r="R647" s="85">
        <v>4.2</v>
      </c>
      <c r="S647" s="87">
        <v>1545240</v>
      </c>
      <c r="T647" s="1">
        <v>1</v>
      </c>
      <c r="U647" s="88">
        <v>367914.28571428568</v>
      </c>
      <c r="V647" s="59">
        <v>2.7180243845616214</v>
      </c>
      <c r="X647" s="98">
        <v>4.2</v>
      </c>
      <c r="Y647" s="97">
        <v>199.92380952380952</v>
      </c>
    </row>
    <row r="648" spans="1:25">
      <c r="A648" s="58">
        <v>648</v>
      </c>
      <c r="B648" s="58">
        <v>648</v>
      </c>
      <c r="C648" s="58" t="s">
        <v>1172</v>
      </c>
      <c r="D648" s="58" t="s">
        <v>176</v>
      </c>
      <c r="E648" s="58" t="s">
        <v>176</v>
      </c>
      <c r="F648" s="58" t="s">
        <v>257</v>
      </c>
      <c r="G648" s="58" t="s">
        <v>258</v>
      </c>
      <c r="H648" s="58" t="s">
        <v>179</v>
      </c>
      <c r="I648">
        <v>38000</v>
      </c>
      <c r="J648">
        <v>38000</v>
      </c>
      <c r="K648">
        <v>20000</v>
      </c>
      <c r="L648" s="74">
        <v>13.313000000000001</v>
      </c>
      <c r="M648" s="85">
        <v>14</v>
      </c>
      <c r="N648" s="74">
        <v>9.4E-2</v>
      </c>
      <c r="O648">
        <v>2</v>
      </c>
      <c r="P648" s="84">
        <v>9.4E-2</v>
      </c>
      <c r="Q648" s="86">
        <v>4.2</v>
      </c>
      <c r="R648" s="85">
        <v>4.2</v>
      </c>
      <c r="S648" s="87">
        <v>1597940</v>
      </c>
      <c r="T648" s="1">
        <v>1</v>
      </c>
      <c r="U648" s="88">
        <v>380461.90476190473</v>
      </c>
      <c r="V648" s="59">
        <v>2.6283840444572388</v>
      </c>
      <c r="X648" s="98">
        <v>4.2</v>
      </c>
      <c r="Y648" s="97">
        <v>367.91428571428571</v>
      </c>
    </row>
    <row r="649" spans="1:25">
      <c r="A649" s="58">
        <v>649</v>
      </c>
      <c r="B649" s="58">
        <v>649</v>
      </c>
      <c r="C649" s="58" t="s">
        <v>1173</v>
      </c>
      <c r="D649" s="58" t="s">
        <v>176</v>
      </c>
      <c r="E649" s="58" t="s">
        <v>176</v>
      </c>
      <c r="F649" s="58" t="s">
        <v>257</v>
      </c>
      <c r="G649" s="58" t="s">
        <v>258</v>
      </c>
      <c r="H649" s="58" t="s">
        <v>179</v>
      </c>
      <c r="I649">
        <v>38000</v>
      </c>
      <c r="J649">
        <v>38000</v>
      </c>
      <c r="K649">
        <v>20000</v>
      </c>
      <c r="L649" s="74">
        <v>14.175000000000001</v>
      </c>
      <c r="M649" s="85">
        <v>15</v>
      </c>
      <c r="N649" s="74">
        <v>0.22700000000000001</v>
      </c>
      <c r="O649">
        <v>2</v>
      </c>
      <c r="P649" s="84">
        <v>0.22700000000000001</v>
      </c>
      <c r="Q649" s="86">
        <v>4.2</v>
      </c>
      <c r="R649" s="85">
        <v>4.2</v>
      </c>
      <c r="S649" s="87">
        <v>1650640</v>
      </c>
      <c r="T649" s="1">
        <v>1</v>
      </c>
      <c r="U649" s="88">
        <v>393009.52380952379</v>
      </c>
      <c r="V649" s="59">
        <v>2.5444676004458877</v>
      </c>
      <c r="X649" s="98">
        <v>4.2</v>
      </c>
      <c r="Y649" s="97">
        <v>380.46190476190475</v>
      </c>
    </row>
    <row r="650" spans="1:25">
      <c r="A650" s="58">
        <v>650</v>
      </c>
      <c r="B650" s="58">
        <v>650</v>
      </c>
      <c r="C650" s="58" t="s">
        <v>1174</v>
      </c>
      <c r="D650" s="58" t="s">
        <v>410</v>
      </c>
      <c r="E650" s="58" t="s">
        <v>410</v>
      </c>
      <c r="F650" s="58" t="s">
        <v>863</v>
      </c>
      <c r="G650" s="58" t="s">
        <v>864</v>
      </c>
      <c r="H650" s="58" t="s">
        <v>179</v>
      </c>
      <c r="I650">
        <v>38000</v>
      </c>
      <c r="J650">
        <v>38000</v>
      </c>
      <c r="K650" s="58" t="s">
        <v>185</v>
      </c>
      <c r="L650" s="74">
        <v>5.3879999999999999</v>
      </c>
      <c r="M650" s="85">
        <v>6</v>
      </c>
      <c r="N650" s="74">
        <v>0.124</v>
      </c>
      <c r="O650">
        <v>2</v>
      </c>
      <c r="P650" s="84">
        <v>0.124</v>
      </c>
      <c r="Q650" s="86">
        <v>4.2</v>
      </c>
      <c r="R650" s="85">
        <v>4.2</v>
      </c>
      <c r="S650" s="87">
        <v>769410</v>
      </c>
      <c r="T650" s="1">
        <v>4</v>
      </c>
      <c r="U650" s="88">
        <v>183192.85714285713</v>
      </c>
      <c r="V650" s="59">
        <v>5.4587281163488903</v>
      </c>
      <c r="X650" s="98">
        <v>4.2</v>
      </c>
      <c r="Y650" s="97">
        <v>393.00952380952378</v>
      </c>
    </row>
    <row r="651" spans="1:25">
      <c r="A651" s="58">
        <v>651</v>
      </c>
      <c r="B651" s="58">
        <v>651</v>
      </c>
      <c r="C651" s="58" t="s">
        <v>1175</v>
      </c>
      <c r="D651" s="58" t="s">
        <v>207</v>
      </c>
      <c r="E651" s="58" t="s">
        <v>207</v>
      </c>
      <c r="F651" s="58" t="s">
        <v>393</v>
      </c>
      <c r="G651" s="58" t="s">
        <v>394</v>
      </c>
      <c r="H651" s="58" t="s">
        <v>179</v>
      </c>
      <c r="I651">
        <v>38000</v>
      </c>
      <c r="J651">
        <v>38000</v>
      </c>
      <c r="K651" s="58" t="s">
        <v>185</v>
      </c>
      <c r="L651" s="74">
        <v>7.1660000000000004</v>
      </c>
      <c r="M651" s="85">
        <v>8</v>
      </c>
      <c r="N651" s="74">
        <v>0.38700000000000001</v>
      </c>
      <c r="O651">
        <v>2</v>
      </c>
      <c r="P651" s="84">
        <v>0.38700000000000001</v>
      </c>
      <c r="Q651" s="86">
        <v>4.2</v>
      </c>
      <c r="R651" s="85">
        <v>4.2</v>
      </c>
      <c r="S651" s="87">
        <v>909950</v>
      </c>
      <c r="T651" s="1">
        <v>4</v>
      </c>
      <c r="U651" s="88">
        <v>216654.76190476189</v>
      </c>
      <c r="V651" s="59">
        <v>4.6156382218803227</v>
      </c>
      <c r="X651" s="98">
        <v>4.2</v>
      </c>
      <c r="Y651" s="97">
        <v>183.19285714285712</v>
      </c>
    </row>
    <row r="652" spans="1:25">
      <c r="A652" s="58">
        <v>652</v>
      </c>
      <c r="B652" s="58">
        <v>652</v>
      </c>
      <c r="C652" s="58" t="s">
        <v>1176</v>
      </c>
      <c r="D652" s="58" t="s">
        <v>410</v>
      </c>
      <c r="E652" s="58" t="s">
        <v>410</v>
      </c>
      <c r="F652" s="58" t="s">
        <v>466</v>
      </c>
      <c r="G652" s="58" t="s">
        <v>467</v>
      </c>
      <c r="H652" s="58" t="s">
        <v>179</v>
      </c>
      <c r="I652">
        <v>38000</v>
      </c>
      <c r="J652">
        <v>38000</v>
      </c>
      <c r="K652" s="58" t="s">
        <v>185</v>
      </c>
      <c r="L652" s="74">
        <v>5.3440000000000003</v>
      </c>
      <c r="M652" s="85">
        <v>6</v>
      </c>
      <c r="N652" s="74">
        <v>0.28699999999999998</v>
      </c>
      <c r="O652">
        <v>2</v>
      </c>
      <c r="P652" s="84">
        <v>0.28699999999999998</v>
      </c>
      <c r="Q652" s="86">
        <v>4.2</v>
      </c>
      <c r="R652" s="85">
        <v>4.2</v>
      </c>
      <c r="S652" s="87">
        <v>769410</v>
      </c>
      <c r="T652" s="1">
        <v>4</v>
      </c>
      <c r="U652" s="88">
        <v>183192.85714285713</v>
      </c>
      <c r="V652" s="59">
        <v>5.4587281163488903</v>
      </c>
      <c r="X652" s="98">
        <v>4.2</v>
      </c>
      <c r="Y652" s="97">
        <v>216.6547619047619</v>
      </c>
    </row>
    <row r="653" spans="1:25">
      <c r="A653" s="58">
        <v>653</v>
      </c>
      <c r="B653" s="58">
        <v>653</v>
      </c>
      <c r="C653" s="58" t="s">
        <v>1177</v>
      </c>
      <c r="D653" s="58" t="s">
        <v>384</v>
      </c>
      <c r="E653" s="58" t="s">
        <v>384</v>
      </c>
      <c r="F653" s="58" t="s">
        <v>915</v>
      </c>
      <c r="G653" s="58" t="s">
        <v>916</v>
      </c>
      <c r="H653" s="58" t="s">
        <v>199</v>
      </c>
      <c r="I653">
        <v>110000</v>
      </c>
      <c r="J653" s="58" t="s">
        <v>185</v>
      </c>
      <c r="K653">
        <v>110000</v>
      </c>
      <c r="L653" s="74">
        <v>3.45</v>
      </c>
      <c r="M653" s="85">
        <v>4</v>
      </c>
      <c r="N653" s="74">
        <v>0.42099999999999999</v>
      </c>
      <c r="O653">
        <v>2</v>
      </c>
      <c r="P653" s="84">
        <v>0.42099999999999999</v>
      </c>
      <c r="Q653" s="86">
        <v>4.2</v>
      </c>
      <c r="R653" s="85">
        <v>4.2</v>
      </c>
      <c r="S653" s="87">
        <v>1627270</v>
      </c>
      <c r="T653" s="1">
        <v>7</v>
      </c>
      <c r="U653" s="88">
        <v>387445.23809523811</v>
      </c>
      <c r="V653" s="59">
        <v>2.5810099123071155</v>
      </c>
      <c r="X653" s="98">
        <v>4.2</v>
      </c>
      <c r="Y653" s="97">
        <v>183.19285714285712</v>
      </c>
    </row>
    <row r="654" spans="1:25">
      <c r="A654" s="58">
        <v>654</v>
      </c>
      <c r="B654" s="58">
        <v>654</v>
      </c>
      <c r="C654" s="58" t="s">
        <v>1178</v>
      </c>
      <c r="D654" s="58" t="s">
        <v>187</v>
      </c>
      <c r="E654" s="58" t="s">
        <v>187</v>
      </c>
      <c r="F654" s="58" t="s">
        <v>228</v>
      </c>
      <c r="G654" s="58" t="s">
        <v>229</v>
      </c>
      <c r="H654" s="58" t="s">
        <v>179</v>
      </c>
      <c r="I654">
        <v>38000</v>
      </c>
      <c r="J654">
        <v>38000</v>
      </c>
      <c r="K654" s="58" t="s">
        <v>185</v>
      </c>
      <c r="L654" s="74">
        <v>7.5110000000000001</v>
      </c>
      <c r="M654" s="85">
        <v>8</v>
      </c>
      <c r="N654" s="74">
        <v>0.20300000000000001</v>
      </c>
      <c r="O654">
        <v>2</v>
      </c>
      <c r="P654" s="84">
        <v>0.20300000000000001</v>
      </c>
      <c r="Q654" s="86">
        <v>4.2</v>
      </c>
      <c r="R654" s="85">
        <v>4.2</v>
      </c>
      <c r="S654" s="87">
        <v>909950</v>
      </c>
      <c r="T654" s="1">
        <v>4</v>
      </c>
      <c r="U654" s="88">
        <v>216654.76190476189</v>
      </c>
      <c r="V654" s="59">
        <v>4.6156382218803227</v>
      </c>
      <c r="X654" s="98">
        <v>4.2</v>
      </c>
      <c r="Y654" s="97">
        <v>387.4452380952381</v>
      </c>
    </row>
    <row r="655" spans="1:25">
      <c r="A655" s="58">
        <v>655</v>
      </c>
      <c r="B655" s="58">
        <v>655</v>
      </c>
      <c r="C655" s="58" t="s">
        <v>1179</v>
      </c>
      <c r="D655" s="58" t="s">
        <v>187</v>
      </c>
      <c r="E655" s="58" t="s">
        <v>187</v>
      </c>
      <c r="F655" s="58" t="s">
        <v>228</v>
      </c>
      <c r="G655" s="58" t="s">
        <v>229</v>
      </c>
      <c r="H655" s="58" t="s">
        <v>179</v>
      </c>
      <c r="I655">
        <v>38000</v>
      </c>
      <c r="J655">
        <v>38000</v>
      </c>
      <c r="K655" s="58" t="s">
        <v>185</v>
      </c>
      <c r="L655" s="74">
        <v>6.3449999999999998</v>
      </c>
      <c r="M655" s="85">
        <v>7</v>
      </c>
      <c r="N655" s="74">
        <v>0.19800000000000001</v>
      </c>
      <c r="O655">
        <v>2</v>
      </c>
      <c r="P655" s="84">
        <v>0.19800000000000001</v>
      </c>
      <c r="Q655" s="86">
        <v>4.2</v>
      </c>
      <c r="R655" s="85">
        <v>4.2</v>
      </c>
      <c r="S655" s="87">
        <v>839680</v>
      </c>
      <c r="T655" s="1">
        <v>4</v>
      </c>
      <c r="U655" s="88">
        <v>199923.80952380953</v>
      </c>
      <c r="V655" s="59">
        <v>5.0019054878048781</v>
      </c>
      <c r="X655" s="98">
        <v>4.2</v>
      </c>
      <c r="Y655" s="97">
        <v>216.6547619047619</v>
      </c>
    </row>
    <row r="656" spans="1:25">
      <c r="A656" s="58">
        <v>656</v>
      </c>
      <c r="B656" s="58">
        <v>656</v>
      </c>
      <c r="C656" s="58" t="s">
        <v>1180</v>
      </c>
      <c r="D656" s="58" t="s">
        <v>187</v>
      </c>
      <c r="E656" s="58" t="s">
        <v>187</v>
      </c>
      <c r="F656" s="58" t="s">
        <v>228</v>
      </c>
      <c r="G656" s="58" t="s">
        <v>229</v>
      </c>
      <c r="H656" s="58" t="s">
        <v>179</v>
      </c>
      <c r="I656">
        <v>38000</v>
      </c>
      <c r="J656">
        <v>38000</v>
      </c>
      <c r="K656" s="58" t="s">
        <v>185</v>
      </c>
      <c r="L656" s="74">
        <v>7.5620000000000003</v>
      </c>
      <c r="M656" s="85">
        <v>8</v>
      </c>
      <c r="N656" s="74">
        <v>0.49399999999999999</v>
      </c>
      <c r="O656">
        <v>2</v>
      </c>
      <c r="P656" s="84">
        <v>0.49399999999999999</v>
      </c>
      <c r="Q656" s="86">
        <v>4.2</v>
      </c>
      <c r="R656" s="85">
        <v>4.2</v>
      </c>
      <c r="S656" s="87">
        <v>909950</v>
      </c>
      <c r="T656" s="1">
        <v>4</v>
      </c>
      <c r="U656" s="88">
        <v>216654.76190476189</v>
      </c>
      <c r="V656" s="59">
        <v>4.6156382218803227</v>
      </c>
      <c r="X656" s="98">
        <v>4.2</v>
      </c>
      <c r="Y656" s="97">
        <v>199.92380952380952</v>
      </c>
    </row>
    <row r="657" spans="1:25">
      <c r="A657" s="58">
        <v>657</v>
      </c>
      <c r="B657" s="58">
        <v>657</v>
      </c>
      <c r="C657" s="58" t="s">
        <v>1181</v>
      </c>
      <c r="D657" s="58" t="s">
        <v>187</v>
      </c>
      <c r="E657" s="58" t="s">
        <v>187</v>
      </c>
      <c r="F657" s="58" t="s">
        <v>191</v>
      </c>
      <c r="G657" s="58" t="s">
        <v>192</v>
      </c>
      <c r="H657" s="58" t="s">
        <v>179</v>
      </c>
      <c r="I657">
        <v>38000</v>
      </c>
      <c r="J657">
        <v>38000</v>
      </c>
      <c r="K657" s="58" t="s">
        <v>185</v>
      </c>
      <c r="L657" s="74">
        <v>6.9539999999999997</v>
      </c>
      <c r="M657" s="85">
        <v>7</v>
      </c>
      <c r="N657" s="74">
        <v>0.17599999999999999</v>
      </c>
      <c r="O657">
        <v>2</v>
      </c>
      <c r="P657" s="84">
        <v>0.17599999999999999</v>
      </c>
      <c r="Q657" s="86">
        <v>4.2</v>
      </c>
      <c r="R657" s="85">
        <v>4.2</v>
      </c>
      <c r="S657" s="87">
        <v>839680</v>
      </c>
      <c r="T657" s="1">
        <v>4</v>
      </c>
      <c r="U657" s="88">
        <v>199923.80952380953</v>
      </c>
      <c r="V657" s="59">
        <v>5.0019054878048781</v>
      </c>
      <c r="X657" s="98">
        <v>4.2</v>
      </c>
      <c r="Y657" s="97">
        <v>216.6547619047619</v>
      </c>
    </row>
    <row r="658" spans="1:25">
      <c r="A658" s="58">
        <v>658</v>
      </c>
      <c r="B658" s="58">
        <v>658</v>
      </c>
      <c r="C658" s="58" t="s">
        <v>1182</v>
      </c>
      <c r="D658" s="58" t="s">
        <v>182</v>
      </c>
      <c r="E658" s="58" t="s">
        <v>182</v>
      </c>
      <c r="F658" s="58" t="s">
        <v>595</v>
      </c>
      <c r="G658" s="58" t="s">
        <v>596</v>
      </c>
      <c r="H658" s="58" t="s">
        <v>179</v>
      </c>
      <c r="I658">
        <v>38000</v>
      </c>
      <c r="J658">
        <v>38000</v>
      </c>
      <c r="K658" s="58" t="s">
        <v>185</v>
      </c>
      <c r="L658" s="74">
        <v>10.861000000000001</v>
      </c>
      <c r="M658" s="85">
        <v>11</v>
      </c>
      <c r="N658" s="74">
        <v>0.26500000000000001</v>
      </c>
      <c r="O658">
        <v>2</v>
      </c>
      <c r="P658" s="84">
        <v>0.26500000000000001</v>
      </c>
      <c r="Q658" s="86">
        <v>4.2</v>
      </c>
      <c r="R658" s="85">
        <v>4.2</v>
      </c>
      <c r="S658" s="87">
        <v>1439840</v>
      </c>
      <c r="T658" s="1">
        <v>1</v>
      </c>
      <c r="U658" s="88">
        <v>342819.04761904763</v>
      </c>
      <c r="V658" s="59">
        <v>2.9169907767529724</v>
      </c>
      <c r="X658" s="98">
        <v>4.2</v>
      </c>
      <c r="Y658" s="97">
        <v>199.92380952380952</v>
      </c>
    </row>
    <row r="659" spans="1:25">
      <c r="A659" s="58">
        <v>659</v>
      </c>
      <c r="B659" s="58">
        <v>659</v>
      </c>
      <c r="C659" s="58" t="s">
        <v>1183</v>
      </c>
      <c r="D659" s="58" t="s">
        <v>234</v>
      </c>
      <c r="E659" s="58" t="s">
        <v>234</v>
      </c>
      <c r="F659" s="58" t="s">
        <v>316</v>
      </c>
      <c r="G659" s="58" t="s">
        <v>317</v>
      </c>
      <c r="H659" s="58" t="s">
        <v>199</v>
      </c>
      <c r="I659">
        <v>110000</v>
      </c>
      <c r="J659">
        <v>110000</v>
      </c>
      <c r="K659">
        <v>38000</v>
      </c>
      <c r="L659" s="74">
        <v>24.442</v>
      </c>
      <c r="M659" s="85">
        <v>25</v>
      </c>
      <c r="N659" s="74">
        <v>0.246</v>
      </c>
      <c r="O659">
        <v>2</v>
      </c>
      <c r="P659" s="84">
        <v>0.246</v>
      </c>
      <c r="Q659" s="86">
        <v>4.2</v>
      </c>
      <c r="R659" s="85">
        <v>4.2</v>
      </c>
      <c r="S659" s="87">
        <v>2733970</v>
      </c>
      <c r="T659" s="1">
        <v>7</v>
      </c>
      <c r="U659" s="88">
        <v>650945.23809523811</v>
      </c>
      <c r="V659" s="59">
        <v>1.5362275372443737</v>
      </c>
      <c r="X659" s="98">
        <v>4.2</v>
      </c>
      <c r="Y659" s="97">
        <v>342.81904761904764</v>
      </c>
    </row>
    <row r="660" spans="1:25">
      <c r="A660" s="58">
        <v>660</v>
      </c>
      <c r="B660" s="58">
        <v>660</v>
      </c>
      <c r="C660" s="58" t="s">
        <v>1184</v>
      </c>
      <c r="D660" s="58" t="s">
        <v>346</v>
      </c>
      <c r="E660" s="58" t="s">
        <v>346</v>
      </c>
      <c r="F660" s="58" t="s">
        <v>517</v>
      </c>
      <c r="G660" s="58" t="s">
        <v>518</v>
      </c>
      <c r="H660" s="58" t="s">
        <v>179</v>
      </c>
      <c r="I660">
        <v>38000</v>
      </c>
      <c r="J660">
        <v>38000</v>
      </c>
      <c r="K660">
        <v>10000</v>
      </c>
      <c r="L660" s="74">
        <v>10.978</v>
      </c>
      <c r="M660" s="85">
        <v>11</v>
      </c>
      <c r="N660" s="74">
        <v>0.17499999999999999</v>
      </c>
      <c r="O660">
        <v>2</v>
      </c>
      <c r="P660" s="84">
        <v>0.17499999999999999</v>
      </c>
      <c r="Q660" s="86">
        <v>4.2</v>
      </c>
      <c r="R660" s="85">
        <v>4.2</v>
      </c>
      <c r="S660" s="87">
        <v>1439840</v>
      </c>
      <c r="T660" s="1">
        <v>1</v>
      </c>
      <c r="U660" s="88">
        <v>342819.04761904763</v>
      </c>
      <c r="V660" s="59">
        <v>2.9169907767529724</v>
      </c>
      <c r="X660" s="98">
        <v>4.2</v>
      </c>
      <c r="Y660" s="97">
        <v>650.9452380952381</v>
      </c>
    </row>
    <row r="661" spans="1:25">
      <c r="A661" s="58">
        <v>661</v>
      </c>
      <c r="B661" s="58">
        <v>661</v>
      </c>
      <c r="C661" s="58" t="s">
        <v>1185</v>
      </c>
      <c r="D661" s="58" t="s">
        <v>234</v>
      </c>
      <c r="E661" s="58" t="s">
        <v>234</v>
      </c>
      <c r="F661" s="58" t="s">
        <v>524</v>
      </c>
      <c r="G661" s="58" t="s">
        <v>525</v>
      </c>
      <c r="H661" s="58" t="s">
        <v>179</v>
      </c>
      <c r="I661">
        <v>38000</v>
      </c>
      <c r="L661" s="74">
        <v>7.2329999999999997</v>
      </c>
      <c r="M661" s="85">
        <v>8</v>
      </c>
      <c r="N661" s="74">
        <v>0.185</v>
      </c>
      <c r="O661">
        <v>2</v>
      </c>
      <c r="P661" s="84">
        <v>0.185</v>
      </c>
      <c r="Q661" s="86">
        <v>4.2</v>
      </c>
      <c r="R661" s="85">
        <v>4.2</v>
      </c>
      <c r="S661" s="87">
        <v>909950</v>
      </c>
      <c r="T661" s="1">
        <v>4</v>
      </c>
      <c r="U661" s="88">
        <v>216654.76190476189</v>
      </c>
      <c r="V661" s="59">
        <v>4.6156382218803227</v>
      </c>
      <c r="X661" s="98">
        <v>4.2</v>
      </c>
      <c r="Y661" s="97">
        <v>342.81904761904764</v>
      </c>
    </row>
    <row r="662" spans="1:25">
      <c r="A662" s="58">
        <v>662</v>
      </c>
      <c r="B662" s="58">
        <v>662</v>
      </c>
      <c r="C662" s="58" t="s">
        <v>1186</v>
      </c>
      <c r="D662" s="58" t="s">
        <v>852</v>
      </c>
      <c r="E662" s="58" t="s">
        <v>346</v>
      </c>
      <c r="F662" s="58" t="s">
        <v>517</v>
      </c>
      <c r="G662" s="58" t="s">
        <v>518</v>
      </c>
      <c r="H662" s="58" t="s">
        <v>179</v>
      </c>
      <c r="I662">
        <v>38000</v>
      </c>
      <c r="J662">
        <v>38000</v>
      </c>
      <c r="K662">
        <v>10000</v>
      </c>
      <c r="L662" s="74">
        <v>5.5490000000000004</v>
      </c>
      <c r="M662" s="85">
        <v>6</v>
      </c>
      <c r="N662" s="74">
        <v>0.16700000000000001</v>
      </c>
      <c r="O662">
        <v>2</v>
      </c>
      <c r="P662" s="84">
        <v>0.16700000000000001</v>
      </c>
      <c r="Q662" s="86">
        <v>4.2</v>
      </c>
      <c r="R662" s="85">
        <v>4.2</v>
      </c>
      <c r="S662" s="87">
        <v>769410</v>
      </c>
      <c r="T662" s="1">
        <v>4</v>
      </c>
      <c r="U662" s="88">
        <v>183192.85714285713</v>
      </c>
      <c r="V662" s="59">
        <v>5.4587281163488903</v>
      </c>
      <c r="X662" s="98">
        <v>4.2</v>
      </c>
      <c r="Y662" s="97">
        <v>216.6547619047619</v>
      </c>
    </row>
    <row r="663" spans="1:25">
      <c r="A663" s="58">
        <v>663</v>
      </c>
      <c r="B663" s="58">
        <v>663</v>
      </c>
      <c r="C663" s="58" t="s">
        <v>1187</v>
      </c>
      <c r="D663" s="58" t="s">
        <v>182</v>
      </c>
      <c r="E663" s="58" t="s">
        <v>182</v>
      </c>
      <c r="F663" s="58" t="s">
        <v>949</v>
      </c>
      <c r="G663" s="58" t="s">
        <v>950</v>
      </c>
      <c r="H663" s="58" t="s">
        <v>179</v>
      </c>
      <c r="I663">
        <v>38000</v>
      </c>
      <c r="J663">
        <v>38000</v>
      </c>
      <c r="K663">
        <v>20000</v>
      </c>
      <c r="L663" s="74">
        <v>4.923</v>
      </c>
      <c r="M663" s="85">
        <v>5</v>
      </c>
      <c r="N663" s="74">
        <v>0.54500000000000004</v>
      </c>
      <c r="O663">
        <v>2</v>
      </c>
      <c r="P663" s="84">
        <v>0.54500000000000004</v>
      </c>
      <c r="Q663" s="86">
        <v>4.2</v>
      </c>
      <c r="R663" s="85">
        <v>4.2</v>
      </c>
      <c r="S663" s="87">
        <v>699140</v>
      </c>
      <c r="T663" s="1">
        <v>4</v>
      </c>
      <c r="U663" s="88">
        <v>166461.90476190476</v>
      </c>
      <c r="V663" s="59">
        <v>6.0073804960379897</v>
      </c>
      <c r="X663" s="98">
        <v>4.2</v>
      </c>
      <c r="Y663" s="97">
        <v>183.19285714285712</v>
      </c>
    </row>
    <row r="664" spans="1:25">
      <c r="A664" s="58">
        <v>664</v>
      </c>
      <c r="B664" s="58">
        <v>664</v>
      </c>
      <c r="C664" s="58" t="s">
        <v>1188</v>
      </c>
      <c r="D664" s="58" t="s">
        <v>234</v>
      </c>
      <c r="E664" s="58" t="s">
        <v>234</v>
      </c>
      <c r="F664" s="58" t="s">
        <v>524</v>
      </c>
      <c r="G664" s="58" t="s">
        <v>525</v>
      </c>
      <c r="H664" s="58" t="s">
        <v>179</v>
      </c>
      <c r="I664">
        <v>38000</v>
      </c>
      <c r="L664" s="74">
        <v>4.7309999999999999</v>
      </c>
      <c r="M664" s="85">
        <v>5</v>
      </c>
      <c r="N664" s="74">
        <v>0.215</v>
      </c>
      <c r="O664">
        <v>2</v>
      </c>
      <c r="P664" s="84">
        <v>0.215</v>
      </c>
      <c r="Q664" s="86">
        <v>4.2</v>
      </c>
      <c r="R664" s="85">
        <v>4.2</v>
      </c>
      <c r="S664" s="87">
        <v>699140</v>
      </c>
      <c r="T664" s="1">
        <v>4</v>
      </c>
      <c r="U664" s="88">
        <v>166461.90476190476</v>
      </c>
      <c r="V664" s="59">
        <v>6.0073804960379897</v>
      </c>
      <c r="X664" s="98">
        <v>4.2</v>
      </c>
      <c r="Y664" s="97">
        <v>166.46190476190475</v>
      </c>
    </row>
    <row r="665" spans="1:25">
      <c r="A665" s="58">
        <v>665</v>
      </c>
      <c r="B665" s="58">
        <v>665</v>
      </c>
      <c r="C665" s="58" t="s">
        <v>1189</v>
      </c>
      <c r="D665" s="58" t="s">
        <v>1190</v>
      </c>
      <c r="E665" s="58" t="s">
        <v>1190</v>
      </c>
      <c r="F665" s="58" t="s">
        <v>1191</v>
      </c>
      <c r="G665" s="58" t="s">
        <v>1192</v>
      </c>
      <c r="H665" s="58" t="s">
        <v>179</v>
      </c>
      <c r="I665">
        <v>38000</v>
      </c>
      <c r="J665">
        <v>38000</v>
      </c>
      <c r="K665">
        <v>10000</v>
      </c>
      <c r="L665" s="74">
        <v>5.8239999999999998</v>
      </c>
      <c r="M665" s="85">
        <v>6</v>
      </c>
      <c r="N665" s="74">
        <v>0.20200000000000001</v>
      </c>
      <c r="O665">
        <v>2</v>
      </c>
      <c r="P665" s="84">
        <v>0.20200000000000001</v>
      </c>
      <c r="Q665" s="86">
        <v>4.2</v>
      </c>
      <c r="R665" s="85">
        <v>4.2</v>
      </c>
      <c r="S665" s="87">
        <v>769410</v>
      </c>
      <c r="T665" s="1">
        <v>4</v>
      </c>
      <c r="U665" s="88">
        <v>183192.85714285713</v>
      </c>
      <c r="V665" s="59">
        <v>5.4587281163488903</v>
      </c>
      <c r="X665" s="98">
        <v>4.2</v>
      </c>
      <c r="Y665" s="97">
        <v>166.46190476190475</v>
      </c>
    </row>
    <row r="666" spans="1:25">
      <c r="A666" s="58">
        <v>666</v>
      </c>
      <c r="B666" s="58">
        <v>666</v>
      </c>
      <c r="C666" s="58" t="s">
        <v>1193</v>
      </c>
      <c r="D666" s="58" t="s">
        <v>1190</v>
      </c>
      <c r="E666" s="58" t="s">
        <v>1190</v>
      </c>
      <c r="F666" s="58" t="s">
        <v>1194</v>
      </c>
      <c r="G666" s="58" t="s">
        <v>1195</v>
      </c>
      <c r="H666" s="58" t="s">
        <v>179</v>
      </c>
      <c r="I666">
        <v>38000</v>
      </c>
      <c r="J666">
        <v>38000</v>
      </c>
      <c r="K666" s="58" t="s">
        <v>185</v>
      </c>
      <c r="L666" s="74">
        <v>3.0910000000000002</v>
      </c>
      <c r="M666" s="85">
        <v>4</v>
      </c>
      <c r="N666" s="74">
        <v>0.61199999999999999</v>
      </c>
      <c r="O666">
        <v>2</v>
      </c>
      <c r="P666" s="84">
        <v>0.45899999999999996</v>
      </c>
      <c r="Q666" s="86">
        <v>4.2</v>
      </c>
      <c r="R666" s="85">
        <v>4.2</v>
      </c>
      <c r="S666" s="87">
        <v>628870</v>
      </c>
      <c r="T666" s="1">
        <v>4</v>
      </c>
      <c r="U666" s="88">
        <v>149730.95238095237</v>
      </c>
      <c r="V666" s="59">
        <v>6.6786458250512828</v>
      </c>
      <c r="X666" s="98">
        <v>4.2</v>
      </c>
      <c r="Y666" s="97">
        <v>183.19285714285712</v>
      </c>
    </row>
    <row r="667" spans="1:25">
      <c r="A667" s="58">
        <v>667</v>
      </c>
      <c r="B667" s="58">
        <v>667</v>
      </c>
      <c r="C667" s="58" t="s">
        <v>1196</v>
      </c>
      <c r="D667" s="58" t="s">
        <v>536</v>
      </c>
      <c r="E667" s="58" t="s">
        <v>536</v>
      </c>
      <c r="F667" s="58" t="s">
        <v>1197</v>
      </c>
      <c r="G667" s="58" t="s">
        <v>1198</v>
      </c>
      <c r="H667" s="58" t="s">
        <v>179</v>
      </c>
      <c r="I667">
        <v>38000</v>
      </c>
      <c r="J667">
        <v>38000</v>
      </c>
      <c r="K667">
        <v>20000</v>
      </c>
      <c r="L667" s="74">
        <v>4.07</v>
      </c>
      <c r="M667" s="85">
        <v>5</v>
      </c>
      <c r="N667" s="74">
        <v>0.28399999999999997</v>
      </c>
      <c r="O667">
        <v>2</v>
      </c>
      <c r="P667" s="84">
        <v>0.28399999999999997</v>
      </c>
      <c r="Q667" s="86">
        <v>4.2</v>
      </c>
      <c r="R667" s="85">
        <v>4.2</v>
      </c>
      <c r="S667" s="87">
        <v>699140</v>
      </c>
      <c r="T667" s="1">
        <v>4</v>
      </c>
      <c r="U667" s="88">
        <v>166461.90476190476</v>
      </c>
      <c r="V667" s="59">
        <v>6.0073804960379897</v>
      </c>
      <c r="X667" s="98">
        <v>4.2</v>
      </c>
      <c r="Y667" s="97">
        <v>149.73095238095235</v>
      </c>
    </row>
    <row r="668" spans="1:25">
      <c r="A668" s="58">
        <v>668</v>
      </c>
      <c r="B668" s="58">
        <v>668</v>
      </c>
      <c r="C668" s="58" t="s">
        <v>1199</v>
      </c>
      <c r="D668" s="58" t="s">
        <v>182</v>
      </c>
      <c r="E668" s="58" t="s">
        <v>182</v>
      </c>
      <c r="F668" s="58" t="s">
        <v>971</v>
      </c>
      <c r="G668" s="58" t="s">
        <v>972</v>
      </c>
      <c r="H668" s="58" t="s">
        <v>199</v>
      </c>
      <c r="I668">
        <v>110000</v>
      </c>
      <c r="J668">
        <v>110000</v>
      </c>
      <c r="K668">
        <v>38000</v>
      </c>
      <c r="L668" s="74">
        <v>8.6259999999999994</v>
      </c>
      <c r="M668" s="85">
        <v>9</v>
      </c>
      <c r="N668" s="74">
        <v>0.45700000000000002</v>
      </c>
      <c r="O668">
        <v>2</v>
      </c>
      <c r="P668" s="84">
        <v>0.45700000000000002</v>
      </c>
      <c r="Q668" s="86">
        <v>4.2</v>
      </c>
      <c r="R668" s="85">
        <v>4.2</v>
      </c>
      <c r="S668" s="87">
        <v>1890770</v>
      </c>
      <c r="T668" s="1">
        <v>7</v>
      </c>
      <c r="U668" s="88">
        <v>450183.33333333331</v>
      </c>
      <c r="V668" s="59">
        <v>2.2213172411239865</v>
      </c>
      <c r="X668" s="98">
        <v>4.2</v>
      </c>
      <c r="Y668" s="97">
        <v>166.46190476190475</v>
      </c>
    </row>
    <row r="669" spans="1:25">
      <c r="A669" s="58">
        <v>669</v>
      </c>
      <c r="B669" s="58">
        <v>669</v>
      </c>
      <c r="C669" s="58" t="s">
        <v>1200</v>
      </c>
      <c r="D669" s="58" t="s">
        <v>234</v>
      </c>
      <c r="E669" s="58" t="s">
        <v>234</v>
      </c>
      <c r="F669" s="58" t="s">
        <v>935</v>
      </c>
      <c r="G669" s="58" t="s">
        <v>936</v>
      </c>
      <c r="H669" s="58" t="s">
        <v>179</v>
      </c>
      <c r="I669">
        <v>38000</v>
      </c>
      <c r="J669">
        <v>38000</v>
      </c>
      <c r="K669" s="58" t="s">
        <v>185</v>
      </c>
      <c r="L669" s="74">
        <v>4.0529999999999999</v>
      </c>
      <c r="M669" s="85">
        <v>5</v>
      </c>
      <c r="N669" s="74">
        <v>0.11899999999999999</v>
      </c>
      <c r="O669">
        <v>2</v>
      </c>
      <c r="P669" s="84">
        <v>0.11899999999999999</v>
      </c>
      <c r="Q669" s="86">
        <v>4.2</v>
      </c>
      <c r="R669" s="85">
        <v>4.2</v>
      </c>
      <c r="S669" s="87">
        <v>699140</v>
      </c>
      <c r="T669" s="1">
        <v>4</v>
      </c>
      <c r="U669" s="88">
        <v>166461.90476190476</v>
      </c>
      <c r="V669" s="59">
        <v>6.0073804960379897</v>
      </c>
      <c r="X669" s="98">
        <v>4.2</v>
      </c>
      <c r="Y669" s="97">
        <v>450.18333333333334</v>
      </c>
    </row>
    <row r="670" spans="1:25">
      <c r="A670" s="58">
        <v>670</v>
      </c>
      <c r="B670" s="58">
        <v>670</v>
      </c>
      <c r="C670" s="58" t="s">
        <v>1201</v>
      </c>
      <c r="D670" s="58" t="s">
        <v>187</v>
      </c>
      <c r="E670" s="58" t="s">
        <v>187</v>
      </c>
      <c r="F670" s="58" t="s">
        <v>231</v>
      </c>
      <c r="G670" s="58" t="s">
        <v>232</v>
      </c>
      <c r="H670" s="58" t="s">
        <v>179</v>
      </c>
      <c r="I670">
        <v>38000</v>
      </c>
      <c r="J670" s="58" t="s">
        <v>185</v>
      </c>
      <c r="K670">
        <v>38000</v>
      </c>
      <c r="L670" s="74">
        <v>5.6139999999999999</v>
      </c>
      <c r="M670" s="85">
        <v>6</v>
      </c>
      <c r="N670" s="74">
        <v>0.14000000000000001</v>
      </c>
      <c r="O670">
        <v>2</v>
      </c>
      <c r="P670" s="84">
        <v>0.14000000000000001</v>
      </c>
      <c r="Q670" s="86">
        <v>4.2</v>
      </c>
      <c r="R670" s="85">
        <v>4.2</v>
      </c>
      <c r="S670" s="87">
        <v>769410</v>
      </c>
      <c r="T670" s="1">
        <v>4</v>
      </c>
      <c r="U670" s="88">
        <v>183192.85714285713</v>
      </c>
      <c r="V670" s="59">
        <v>5.4587281163488903</v>
      </c>
      <c r="X670" s="98">
        <v>4.2</v>
      </c>
      <c r="Y670" s="97">
        <v>166.46190476190475</v>
      </c>
    </row>
    <row r="671" spans="1:25">
      <c r="A671" s="58">
        <v>671</v>
      </c>
      <c r="B671" s="58">
        <v>671</v>
      </c>
      <c r="C671" s="58" t="s">
        <v>1202</v>
      </c>
      <c r="D671" s="58" t="s">
        <v>187</v>
      </c>
      <c r="E671" s="58" t="s">
        <v>187</v>
      </c>
      <c r="F671" s="58" t="s">
        <v>374</v>
      </c>
      <c r="G671" s="58" t="s">
        <v>375</v>
      </c>
      <c r="H671" s="58" t="s">
        <v>179</v>
      </c>
      <c r="I671">
        <v>38000</v>
      </c>
      <c r="J671">
        <v>38000</v>
      </c>
      <c r="K671">
        <v>20000</v>
      </c>
      <c r="L671" s="74">
        <v>4.258</v>
      </c>
      <c r="M671" s="85">
        <v>5</v>
      </c>
      <c r="N671" s="74">
        <v>0.315</v>
      </c>
      <c r="O671">
        <v>2</v>
      </c>
      <c r="P671" s="84">
        <v>0.315</v>
      </c>
      <c r="Q671" s="86">
        <v>4.2</v>
      </c>
      <c r="R671" s="85">
        <v>4.2</v>
      </c>
      <c r="S671" s="87">
        <v>699140</v>
      </c>
      <c r="T671" s="1">
        <v>4</v>
      </c>
      <c r="U671" s="88">
        <v>166461.90476190476</v>
      </c>
      <c r="V671" s="59">
        <v>6.0073804960379897</v>
      </c>
      <c r="X671" s="98">
        <v>4.2</v>
      </c>
      <c r="Y671" s="97">
        <v>183.19285714285712</v>
      </c>
    </row>
    <row r="672" spans="1:25">
      <c r="A672" s="89">
        <v>672</v>
      </c>
      <c r="B672" s="89">
        <v>672</v>
      </c>
      <c r="C672" s="89" t="s">
        <v>1203</v>
      </c>
      <c r="D672" s="58" t="s">
        <v>187</v>
      </c>
      <c r="E672" s="58" t="s">
        <v>187</v>
      </c>
      <c r="F672" s="89" t="s">
        <v>231</v>
      </c>
      <c r="G672" s="89" t="s">
        <v>232</v>
      </c>
      <c r="H672" s="89" t="s">
        <v>179</v>
      </c>
      <c r="I672" s="90">
        <v>38000</v>
      </c>
      <c r="J672" s="89" t="s">
        <v>185</v>
      </c>
      <c r="K672" s="90">
        <v>38000</v>
      </c>
      <c r="L672" s="91">
        <v>3.2149999999999999</v>
      </c>
      <c r="M672" s="92">
        <v>4</v>
      </c>
      <c r="N672" s="91">
        <v>7.2489999999999997</v>
      </c>
      <c r="O672" s="90">
        <v>2</v>
      </c>
      <c r="P672" s="92">
        <v>5.43675</v>
      </c>
      <c r="Q672" s="93">
        <v>67.2</v>
      </c>
      <c r="R672" s="92">
        <v>67.2</v>
      </c>
      <c r="S672" s="87">
        <v>1761700</v>
      </c>
      <c r="T672" s="94">
        <v>11</v>
      </c>
      <c r="U672" s="95">
        <v>26215.773809523809</v>
      </c>
      <c r="V672" s="96">
        <v>38.144973605040583</v>
      </c>
      <c r="X672" s="98">
        <v>4.2</v>
      </c>
      <c r="Y672" s="97">
        <v>166.46190476190475</v>
      </c>
    </row>
    <row r="673" spans="1:25">
      <c r="A673" s="58">
        <v>673</v>
      </c>
      <c r="B673" s="58">
        <v>673</v>
      </c>
      <c r="C673" s="58" t="s">
        <v>1204</v>
      </c>
      <c r="D673" s="58" t="s">
        <v>187</v>
      </c>
      <c r="E673" s="58" t="s">
        <v>187</v>
      </c>
      <c r="F673" s="58" t="s">
        <v>859</v>
      </c>
      <c r="G673" s="58" t="s">
        <v>860</v>
      </c>
      <c r="H673" s="58" t="s">
        <v>179</v>
      </c>
      <c r="I673">
        <v>38000</v>
      </c>
      <c r="J673">
        <v>38000</v>
      </c>
      <c r="K673" s="58" t="s">
        <v>185</v>
      </c>
      <c r="L673" s="74">
        <v>7.4329999999999998</v>
      </c>
      <c r="M673" s="85">
        <v>8</v>
      </c>
      <c r="N673" s="74">
        <v>1.6779999999999999</v>
      </c>
      <c r="O673">
        <v>2</v>
      </c>
      <c r="P673" s="84">
        <v>1.2585</v>
      </c>
      <c r="Q673" s="86">
        <v>12.600000000000001</v>
      </c>
      <c r="R673" s="85">
        <v>12.600000000000001</v>
      </c>
      <c r="S673" s="87">
        <v>909950</v>
      </c>
      <c r="T673" s="1">
        <v>4</v>
      </c>
      <c r="U673" s="88">
        <v>72218.253968253965</v>
      </c>
      <c r="V673" s="59">
        <v>13.846914665640972</v>
      </c>
      <c r="X673" s="98">
        <v>67.2</v>
      </c>
      <c r="Y673" s="97">
        <v>26.21577380952381</v>
      </c>
    </row>
    <row r="674" spans="1:25">
      <c r="A674" s="58">
        <v>674</v>
      </c>
      <c r="B674" s="58">
        <v>674</v>
      </c>
      <c r="C674" s="58" t="s">
        <v>1205</v>
      </c>
      <c r="D674" s="58" t="s">
        <v>187</v>
      </c>
      <c r="E674" s="58" t="s">
        <v>187</v>
      </c>
      <c r="F674" s="58" t="s">
        <v>435</v>
      </c>
      <c r="G674" s="58" t="s">
        <v>436</v>
      </c>
      <c r="H674" s="58" t="s">
        <v>199</v>
      </c>
      <c r="I674">
        <v>110000</v>
      </c>
      <c r="J674">
        <v>38000</v>
      </c>
      <c r="K674">
        <v>110000</v>
      </c>
      <c r="L674" s="74">
        <v>4.2389999999999999</v>
      </c>
      <c r="M674" s="85">
        <v>5</v>
      </c>
      <c r="N674" s="74">
        <v>8.5950000000000006</v>
      </c>
      <c r="O674">
        <v>2</v>
      </c>
      <c r="P674" s="84">
        <v>6.4462500000000009</v>
      </c>
      <c r="Q674" s="86">
        <v>79.8</v>
      </c>
      <c r="R674" s="85">
        <v>79.8</v>
      </c>
      <c r="S674" s="87">
        <v>1972510</v>
      </c>
      <c r="T674" s="1">
        <v>11</v>
      </c>
      <c r="U674" s="88">
        <v>24718.170426065164</v>
      </c>
      <c r="V674" s="59">
        <v>40.456068663783704</v>
      </c>
      <c r="X674" s="98">
        <v>12.600000000000001</v>
      </c>
      <c r="Y674" s="97">
        <v>72.218253968253961</v>
      </c>
    </row>
    <row r="675" spans="1:25">
      <c r="A675" s="58">
        <v>675</v>
      </c>
      <c r="B675" s="58">
        <v>675</v>
      </c>
      <c r="C675" s="58" t="s">
        <v>1206</v>
      </c>
      <c r="D675" s="58" t="s">
        <v>187</v>
      </c>
      <c r="E675" s="58" t="s">
        <v>187</v>
      </c>
      <c r="F675" s="58" t="s">
        <v>859</v>
      </c>
      <c r="G675" s="58" t="s">
        <v>860</v>
      </c>
      <c r="H675" s="58" t="s">
        <v>179</v>
      </c>
      <c r="I675">
        <v>38000</v>
      </c>
      <c r="J675">
        <v>38000</v>
      </c>
      <c r="K675" s="58" t="s">
        <v>185</v>
      </c>
      <c r="L675" s="74">
        <v>7.1109999999999998</v>
      </c>
      <c r="M675" s="85">
        <v>8</v>
      </c>
      <c r="N675" s="74">
        <v>0.83199999999999996</v>
      </c>
      <c r="O675">
        <v>2</v>
      </c>
      <c r="P675" s="84">
        <v>0.624</v>
      </c>
      <c r="Q675" s="86">
        <v>8.4</v>
      </c>
      <c r="R675" s="85">
        <v>8.4</v>
      </c>
      <c r="S675" s="87">
        <v>909950</v>
      </c>
      <c r="T675" s="1">
        <v>4</v>
      </c>
      <c r="U675" s="88">
        <v>108327.38095238095</v>
      </c>
      <c r="V675" s="59">
        <v>9.2312764437606454</v>
      </c>
      <c r="X675" s="98">
        <v>79.8</v>
      </c>
      <c r="Y675" s="97">
        <v>24.718170426065164</v>
      </c>
    </row>
    <row r="676" spans="1:25">
      <c r="A676" s="58">
        <v>676</v>
      </c>
      <c r="B676" s="58">
        <v>676</v>
      </c>
      <c r="C676" s="58" t="s">
        <v>1207</v>
      </c>
      <c r="D676" s="58" t="s">
        <v>187</v>
      </c>
      <c r="E676" s="58" t="s">
        <v>187</v>
      </c>
      <c r="F676" s="58" t="s">
        <v>246</v>
      </c>
      <c r="G676" s="58" t="s">
        <v>247</v>
      </c>
      <c r="H676" s="58" t="s">
        <v>199</v>
      </c>
      <c r="I676">
        <v>110000</v>
      </c>
      <c r="J676">
        <v>33000</v>
      </c>
      <c r="K676">
        <v>110000</v>
      </c>
      <c r="L676" s="74">
        <v>6.22</v>
      </c>
      <c r="M676" s="85">
        <v>7</v>
      </c>
      <c r="N676" s="74">
        <v>3.117</v>
      </c>
      <c r="O676">
        <v>2</v>
      </c>
      <c r="P676" s="84">
        <v>2.3377499999999998</v>
      </c>
      <c r="Q676" s="86">
        <v>25.200000000000003</v>
      </c>
      <c r="R676" s="85">
        <v>25.200000000000003</v>
      </c>
      <c r="S676" s="87">
        <v>2575660</v>
      </c>
      <c r="T676" s="1">
        <v>9</v>
      </c>
      <c r="U676" s="88">
        <v>102208.73015873015</v>
      </c>
      <c r="V676" s="59">
        <v>9.7839000489195023</v>
      </c>
      <c r="X676" s="98">
        <v>8.4</v>
      </c>
      <c r="Y676" s="97">
        <v>108.32738095238095</v>
      </c>
    </row>
    <row r="677" spans="1:25">
      <c r="A677" s="58">
        <v>677</v>
      </c>
      <c r="B677" s="58">
        <v>677</v>
      </c>
      <c r="C677" s="58" t="s">
        <v>1208</v>
      </c>
      <c r="D677" s="58" t="s">
        <v>187</v>
      </c>
      <c r="E677" s="58" t="s">
        <v>187</v>
      </c>
      <c r="F677" s="58" t="s">
        <v>246</v>
      </c>
      <c r="G677" s="58" t="s">
        <v>247</v>
      </c>
      <c r="H677" s="58" t="s">
        <v>199</v>
      </c>
      <c r="I677">
        <v>110000</v>
      </c>
      <c r="J677">
        <v>33000</v>
      </c>
      <c r="K677">
        <v>110000</v>
      </c>
      <c r="L677" s="74">
        <v>11.976000000000001</v>
      </c>
      <c r="M677" s="85">
        <v>12</v>
      </c>
      <c r="N677" s="74">
        <v>2.83</v>
      </c>
      <c r="O677">
        <v>2</v>
      </c>
      <c r="P677" s="84">
        <v>2.1225000000000001</v>
      </c>
      <c r="Q677" s="86">
        <v>25.200000000000003</v>
      </c>
      <c r="R677" s="85">
        <v>25.200000000000003</v>
      </c>
      <c r="S677" s="87">
        <v>3019810</v>
      </c>
      <c r="T677" s="1">
        <v>9</v>
      </c>
      <c r="U677" s="88">
        <v>119833.73015873015</v>
      </c>
      <c r="V677" s="59">
        <v>8.3448958709322785</v>
      </c>
      <c r="X677" s="98">
        <v>25.200000000000003</v>
      </c>
      <c r="Y677" s="97">
        <v>102.20873015873015</v>
      </c>
    </row>
    <row r="678" spans="1:25">
      <c r="A678" s="58">
        <v>678</v>
      </c>
      <c r="B678" s="58">
        <v>678</v>
      </c>
      <c r="C678" s="58" t="s">
        <v>1209</v>
      </c>
      <c r="D678" s="58" t="s">
        <v>187</v>
      </c>
      <c r="E678" s="58" t="s">
        <v>187</v>
      </c>
      <c r="F678" s="58" t="s">
        <v>246</v>
      </c>
      <c r="G678" s="58" t="s">
        <v>247</v>
      </c>
      <c r="H678" s="58" t="s">
        <v>199</v>
      </c>
      <c r="I678">
        <v>110000</v>
      </c>
      <c r="J678">
        <v>33000</v>
      </c>
      <c r="K678">
        <v>110000</v>
      </c>
      <c r="L678" s="74">
        <v>8.8879999999999999</v>
      </c>
      <c r="M678" s="85">
        <v>9</v>
      </c>
      <c r="N678" s="74">
        <v>12.212</v>
      </c>
      <c r="O678">
        <v>2</v>
      </c>
      <c r="P678" s="84">
        <v>9.1589999999999989</v>
      </c>
      <c r="Q678" s="86">
        <v>113.4</v>
      </c>
      <c r="R678" s="85">
        <v>113.4</v>
      </c>
      <c r="S678" s="87">
        <v>2815750</v>
      </c>
      <c r="T678" s="1">
        <v>11</v>
      </c>
      <c r="U678" s="88">
        <v>24830.246913580246</v>
      </c>
      <c r="V678" s="59">
        <v>40.273461777501552</v>
      </c>
      <c r="X678" s="98">
        <v>25.200000000000003</v>
      </c>
      <c r="Y678" s="97">
        <v>119.83373015873015</v>
      </c>
    </row>
    <row r="679" spans="1:25">
      <c r="A679" s="58">
        <v>679</v>
      </c>
      <c r="B679" s="58">
        <v>679</v>
      </c>
      <c r="C679" s="58" t="s">
        <v>1210</v>
      </c>
      <c r="D679" s="58" t="s">
        <v>187</v>
      </c>
      <c r="E679" s="58" t="s">
        <v>187</v>
      </c>
      <c r="F679" s="58" t="s">
        <v>246</v>
      </c>
      <c r="G679" s="58" t="s">
        <v>247</v>
      </c>
      <c r="H679" s="58" t="s">
        <v>199</v>
      </c>
      <c r="I679">
        <v>110000</v>
      </c>
      <c r="J679">
        <v>33000</v>
      </c>
      <c r="K679">
        <v>110000</v>
      </c>
      <c r="L679" s="74">
        <v>3.8340000000000001</v>
      </c>
      <c r="M679" s="85">
        <v>4</v>
      </c>
      <c r="N679" s="74">
        <v>12.925000000000001</v>
      </c>
      <c r="O679">
        <v>2</v>
      </c>
      <c r="P679" s="84">
        <v>9.6937500000000014</v>
      </c>
      <c r="Q679" s="86">
        <v>117.60000000000002</v>
      </c>
      <c r="R679" s="85">
        <v>117.60000000000002</v>
      </c>
      <c r="S679" s="87">
        <v>1761700</v>
      </c>
      <c r="T679" s="1">
        <v>11</v>
      </c>
      <c r="U679" s="88">
        <v>14980.442176870745</v>
      </c>
      <c r="V679" s="59">
        <v>66.753703808821044</v>
      </c>
      <c r="X679" s="98">
        <v>113.4</v>
      </c>
      <c r="Y679" s="97">
        <v>24.830246913580247</v>
      </c>
    </row>
    <row r="680" spans="1:25">
      <c r="A680" s="58">
        <v>680</v>
      </c>
      <c r="B680" s="58">
        <v>680</v>
      </c>
      <c r="C680" s="58" t="s">
        <v>1211</v>
      </c>
      <c r="D680" s="58" t="s">
        <v>187</v>
      </c>
      <c r="E680" s="58" t="s">
        <v>187</v>
      </c>
      <c r="F680" s="58" t="s">
        <v>435</v>
      </c>
      <c r="G680" s="58" t="s">
        <v>436</v>
      </c>
      <c r="H680" s="58" t="s">
        <v>199</v>
      </c>
      <c r="I680">
        <v>110000</v>
      </c>
      <c r="J680">
        <v>38000</v>
      </c>
      <c r="K680">
        <v>110000</v>
      </c>
      <c r="L680" s="74">
        <v>11.56</v>
      </c>
      <c r="M680" s="85">
        <v>12</v>
      </c>
      <c r="N680" s="74">
        <v>9.0090000000000003</v>
      </c>
      <c r="O680">
        <v>2</v>
      </c>
      <c r="P680" s="84">
        <v>6.7567500000000003</v>
      </c>
      <c r="Q680" s="86">
        <v>84</v>
      </c>
      <c r="R680" s="85">
        <v>84</v>
      </c>
      <c r="S680" s="87">
        <v>3448180</v>
      </c>
      <c r="T680" s="1">
        <v>11</v>
      </c>
      <c r="U680" s="88">
        <v>41049.761904761908</v>
      </c>
      <c r="V680" s="59">
        <v>24.360677226826905</v>
      </c>
      <c r="X680" s="98">
        <v>117.60000000000002</v>
      </c>
      <c r="Y680" s="97">
        <v>14.980442176870746</v>
      </c>
    </row>
    <row r="681" spans="1:25">
      <c r="A681" s="58">
        <v>681</v>
      </c>
      <c r="B681" s="58">
        <v>681</v>
      </c>
      <c r="C681" s="58" t="s">
        <v>1212</v>
      </c>
      <c r="D681" s="58" t="s">
        <v>187</v>
      </c>
      <c r="E681" s="58" t="s">
        <v>187</v>
      </c>
      <c r="F681" s="58" t="s">
        <v>1213</v>
      </c>
      <c r="G681" s="58" t="s">
        <v>1214</v>
      </c>
      <c r="H681" s="58" t="s">
        <v>199</v>
      </c>
      <c r="I681">
        <v>110000</v>
      </c>
      <c r="J681" s="58" t="s">
        <v>185</v>
      </c>
      <c r="K681">
        <v>110000</v>
      </c>
      <c r="L681" s="74">
        <v>10.692</v>
      </c>
      <c r="M681" s="85">
        <v>11</v>
      </c>
      <c r="N681" s="74">
        <v>3.2</v>
      </c>
      <c r="O681">
        <v>2</v>
      </c>
      <c r="P681" s="84">
        <v>2.4000000000000004</v>
      </c>
      <c r="Q681" s="86">
        <v>29.400000000000006</v>
      </c>
      <c r="R681" s="85">
        <v>29.400000000000006</v>
      </c>
      <c r="S681" s="87">
        <v>2930980</v>
      </c>
      <c r="T681" s="1">
        <v>9</v>
      </c>
      <c r="U681" s="88">
        <v>99693.197278911539</v>
      </c>
      <c r="V681" s="59">
        <v>10.030774689694235</v>
      </c>
      <c r="X681" s="98">
        <v>84</v>
      </c>
      <c r="Y681" s="97">
        <v>41.049761904761908</v>
      </c>
    </row>
    <row r="682" spans="1:25">
      <c r="A682" s="58">
        <v>682</v>
      </c>
      <c r="B682" s="58">
        <v>682</v>
      </c>
      <c r="C682" s="58" t="s">
        <v>1215</v>
      </c>
      <c r="D682" s="58" t="s">
        <v>187</v>
      </c>
      <c r="E682" s="58" t="s">
        <v>187</v>
      </c>
      <c r="F682" s="58" t="s">
        <v>435</v>
      </c>
      <c r="G682" s="58" t="s">
        <v>436</v>
      </c>
      <c r="H682" s="58" t="s">
        <v>199</v>
      </c>
      <c r="I682">
        <v>110000</v>
      </c>
      <c r="J682">
        <v>38000</v>
      </c>
      <c r="K682">
        <v>110000</v>
      </c>
      <c r="L682" s="74">
        <v>15.523</v>
      </c>
      <c r="M682" s="85">
        <v>16</v>
      </c>
      <c r="N682" s="74">
        <v>0.84899999999999998</v>
      </c>
      <c r="O682">
        <v>2</v>
      </c>
      <c r="P682" s="84">
        <v>0.63674999999999993</v>
      </c>
      <c r="Q682" s="86">
        <v>8.4</v>
      </c>
      <c r="R682" s="85">
        <v>8.4</v>
      </c>
      <c r="S682" s="87">
        <v>2259670</v>
      </c>
      <c r="T682" s="1">
        <v>7</v>
      </c>
      <c r="U682" s="88">
        <v>269008.33333333331</v>
      </c>
      <c r="V682" s="59">
        <v>3.7173569592020073</v>
      </c>
      <c r="X682" s="98">
        <v>29.400000000000006</v>
      </c>
      <c r="Y682" s="97">
        <v>99.693197278911541</v>
      </c>
    </row>
    <row r="683" spans="1:25">
      <c r="A683" s="58">
        <v>683</v>
      </c>
      <c r="B683" s="58">
        <v>683</v>
      </c>
      <c r="C683" s="58" t="s">
        <v>1216</v>
      </c>
      <c r="D683" s="58" t="s">
        <v>187</v>
      </c>
      <c r="E683" s="58" t="s">
        <v>187</v>
      </c>
      <c r="F683" s="58" t="s">
        <v>1213</v>
      </c>
      <c r="G683" s="58" t="s">
        <v>1214</v>
      </c>
      <c r="H683" s="58" t="s">
        <v>199</v>
      </c>
      <c r="I683">
        <v>110000</v>
      </c>
      <c r="J683" s="58" t="s">
        <v>185</v>
      </c>
      <c r="K683">
        <v>110000</v>
      </c>
      <c r="L683" s="74">
        <v>4.5149999999999997</v>
      </c>
      <c r="M683" s="85">
        <v>5</v>
      </c>
      <c r="N683" s="74">
        <v>1.4990000000000001</v>
      </c>
      <c r="O683">
        <v>2</v>
      </c>
      <c r="P683" s="84">
        <v>1.12425</v>
      </c>
      <c r="Q683" s="86">
        <v>12.600000000000001</v>
      </c>
      <c r="R683" s="85">
        <v>12.600000000000001</v>
      </c>
      <c r="S683" s="87">
        <v>1679970</v>
      </c>
      <c r="T683" s="1">
        <v>7</v>
      </c>
      <c r="U683" s="88">
        <v>133330.95238095237</v>
      </c>
      <c r="V683" s="59">
        <v>7.5001339309630541</v>
      </c>
      <c r="X683" s="98">
        <v>8.4</v>
      </c>
      <c r="Y683" s="97">
        <v>269.00833333333327</v>
      </c>
    </row>
    <row r="684" spans="1:25">
      <c r="A684" s="58">
        <v>684</v>
      </c>
      <c r="B684" s="58">
        <v>684</v>
      </c>
      <c r="C684" s="58" t="s">
        <v>1217</v>
      </c>
      <c r="D684" s="58" t="s">
        <v>187</v>
      </c>
      <c r="E684" s="58" t="s">
        <v>187</v>
      </c>
      <c r="F684" s="58" t="s">
        <v>1213</v>
      </c>
      <c r="G684" s="58" t="s">
        <v>1214</v>
      </c>
      <c r="H684" s="58" t="s">
        <v>199</v>
      </c>
      <c r="I684">
        <v>110000</v>
      </c>
      <c r="J684" s="58" t="s">
        <v>185</v>
      </c>
      <c r="K684">
        <v>110000</v>
      </c>
      <c r="L684" s="74">
        <v>5.3780000000000001</v>
      </c>
      <c r="M684" s="85">
        <v>6</v>
      </c>
      <c r="N684" s="74">
        <v>1.796</v>
      </c>
      <c r="O684">
        <v>2</v>
      </c>
      <c r="P684" s="84">
        <v>1.347</v>
      </c>
      <c r="Q684" s="86">
        <v>12.600000000000001</v>
      </c>
      <c r="R684" s="85">
        <v>12.600000000000001</v>
      </c>
      <c r="S684" s="87">
        <v>1732670</v>
      </c>
      <c r="T684" s="1">
        <v>7</v>
      </c>
      <c r="U684" s="88">
        <v>137513.49206349204</v>
      </c>
      <c r="V684" s="59">
        <v>7.2720137129401454</v>
      </c>
      <c r="X684" s="98">
        <v>12.600000000000001</v>
      </c>
      <c r="Y684" s="97">
        <v>133.33095238095237</v>
      </c>
    </row>
    <row r="685" spans="1:25">
      <c r="A685" s="58">
        <v>685</v>
      </c>
      <c r="B685" s="58">
        <v>685</v>
      </c>
      <c r="C685" s="58" t="s">
        <v>1218</v>
      </c>
      <c r="D685" s="58" t="s">
        <v>187</v>
      </c>
      <c r="E685" s="58" t="s">
        <v>187</v>
      </c>
      <c r="F685" s="58" t="s">
        <v>246</v>
      </c>
      <c r="G685" s="58" t="s">
        <v>247</v>
      </c>
      <c r="H685" s="58" t="s">
        <v>199</v>
      </c>
      <c r="I685">
        <v>110000</v>
      </c>
      <c r="J685">
        <v>33000</v>
      </c>
      <c r="K685">
        <v>110000</v>
      </c>
      <c r="L685" s="74">
        <v>1.486</v>
      </c>
      <c r="M685" s="85">
        <v>2</v>
      </c>
      <c r="N685" s="74">
        <v>1.8129999999999999</v>
      </c>
      <c r="O685">
        <v>2</v>
      </c>
      <c r="P685" s="84">
        <v>1.35975</v>
      </c>
      <c r="Q685" s="86">
        <v>16.8</v>
      </c>
      <c r="R685" s="85">
        <v>16.8</v>
      </c>
      <c r="S685" s="87">
        <v>1340080</v>
      </c>
      <c r="T685" s="1">
        <v>11</v>
      </c>
      <c r="U685" s="88">
        <v>79766.666666666657</v>
      </c>
      <c r="V685" s="59">
        <v>12.536564981195152</v>
      </c>
      <c r="X685" s="98">
        <v>12.600000000000001</v>
      </c>
      <c r="Y685" s="97">
        <v>137.51349206349204</v>
      </c>
    </row>
    <row r="686" spans="1:25">
      <c r="A686" s="58">
        <v>686</v>
      </c>
      <c r="B686" s="58">
        <v>686</v>
      </c>
      <c r="C686" s="58" t="s">
        <v>1219</v>
      </c>
      <c r="D686" s="58" t="s">
        <v>249</v>
      </c>
      <c r="E686" s="58" t="s">
        <v>249</v>
      </c>
      <c r="F686" s="58" t="s">
        <v>250</v>
      </c>
      <c r="G686" s="58" t="s">
        <v>251</v>
      </c>
      <c r="H686" s="58" t="s">
        <v>199</v>
      </c>
      <c r="I686">
        <v>110000</v>
      </c>
      <c r="L686" s="74">
        <v>15.500999999999999</v>
      </c>
      <c r="M686" s="85">
        <v>16</v>
      </c>
      <c r="N686" s="74">
        <v>0.97799999999999998</v>
      </c>
      <c r="O686">
        <v>2</v>
      </c>
      <c r="P686" s="84">
        <v>0.73350000000000004</v>
      </c>
      <c r="Q686" s="86">
        <v>8.4</v>
      </c>
      <c r="R686" s="85">
        <v>8.4</v>
      </c>
      <c r="S686" s="87">
        <v>2259670</v>
      </c>
      <c r="T686" s="1">
        <v>7</v>
      </c>
      <c r="U686" s="88">
        <v>269008.33333333331</v>
      </c>
      <c r="V686" s="59">
        <v>3.7173569592020073</v>
      </c>
      <c r="X686" s="98">
        <v>16.8</v>
      </c>
      <c r="Y686" s="97">
        <v>79.766666666666652</v>
      </c>
    </row>
    <row r="687" spans="1:25">
      <c r="A687" s="58">
        <v>687</v>
      </c>
      <c r="B687" s="58">
        <v>687</v>
      </c>
      <c r="C687" s="58" t="s">
        <v>1220</v>
      </c>
      <c r="D687" s="58" t="s">
        <v>249</v>
      </c>
      <c r="E687" s="58" t="s">
        <v>249</v>
      </c>
      <c r="F687" s="58" t="s">
        <v>250</v>
      </c>
      <c r="G687" s="58" t="s">
        <v>251</v>
      </c>
      <c r="H687" s="58" t="s">
        <v>199</v>
      </c>
      <c r="I687">
        <v>110000</v>
      </c>
      <c r="L687" s="74">
        <v>9.9160000000000004</v>
      </c>
      <c r="M687" s="85">
        <v>10</v>
      </c>
      <c r="N687" s="74">
        <v>4.8550000000000004</v>
      </c>
      <c r="O687">
        <v>2</v>
      </c>
      <c r="P687" s="84">
        <v>3.6412500000000003</v>
      </c>
      <c r="Q687" s="86">
        <v>42</v>
      </c>
      <c r="R687" s="85">
        <v>42</v>
      </c>
      <c r="S687" s="87">
        <v>3066450</v>
      </c>
      <c r="T687" s="1">
        <v>10</v>
      </c>
      <c r="U687" s="88">
        <v>73010.71428571429</v>
      </c>
      <c r="V687" s="59">
        <v>13.696619869882111</v>
      </c>
      <c r="X687" s="98">
        <v>8.4</v>
      </c>
      <c r="Y687" s="97">
        <v>269.00833333333327</v>
      </c>
    </row>
    <row r="688" spans="1:25">
      <c r="A688" s="58">
        <v>688</v>
      </c>
      <c r="B688" s="58">
        <v>688</v>
      </c>
      <c r="C688" s="58" t="s">
        <v>1221</v>
      </c>
      <c r="D688" s="58" t="s">
        <v>249</v>
      </c>
      <c r="E688" s="58" t="s">
        <v>249</v>
      </c>
      <c r="F688" s="58" t="s">
        <v>250</v>
      </c>
      <c r="G688" s="58" t="s">
        <v>251</v>
      </c>
      <c r="H688" s="58" t="s">
        <v>199</v>
      </c>
      <c r="I688">
        <v>110000</v>
      </c>
      <c r="L688" s="74">
        <v>5.0030000000000001</v>
      </c>
      <c r="M688" s="85">
        <v>6</v>
      </c>
      <c r="N688" s="74">
        <v>6.1429999999999998</v>
      </c>
      <c r="O688">
        <v>2</v>
      </c>
      <c r="P688" s="84">
        <v>4.6072499999999996</v>
      </c>
      <c r="Q688" s="86">
        <v>54.599999999999994</v>
      </c>
      <c r="R688" s="85">
        <v>54.599999999999994</v>
      </c>
      <c r="S688" s="87">
        <v>2183320</v>
      </c>
      <c r="T688" s="1">
        <v>11</v>
      </c>
      <c r="U688" s="88">
        <v>39987.545787545794</v>
      </c>
      <c r="V688" s="59">
        <v>25.007786307091948</v>
      </c>
      <c r="X688" s="98">
        <v>42</v>
      </c>
      <c r="Y688" s="97">
        <v>73.010714285714286</v>
      </c>
    </row>
    <row r="689" spans="1:25">
      <c r="A689" s="58">
        <v>689</v>
      </c>
      <c r="B689" s="58">
        <v>689</v>
      </c>
      <c r="C689" s="58" t="s">
        <v>1222</v>
      </c>
      <c r="D689" s="58" t="s">
        <v>249</v>
      </c>
      <c r="E689" s="58" t="s">
        <v>536</v>
      </c>
      <c r="F689" s="58" t="s">
        <v>1223</v>
      </c>
      <c r="G689" s="58" t="s">
        <v>1224</v>
      </c>
      <c r="H689" s="58" t="s">
        <v>199</v>
      </c>
      <c r="I689">
        <v>110000</v>
      </c>
      <c r="J689">
        <v>110000</v>
      </c>
      <c r="K689" s="58" t="s">
        <v>185</v>
      </c>
      <c r="L689" s="74">
        <v>4.9660000000000002</v>
      </c>
      <c r="M689" s="85">
        <v>5</v>
      </c>
      <c r="N689" s="74">
        <v>5.016</v>
      </c>
      <c r="O689">
        <v>2</v>
      </c>
      <c r="P689" s="84">
        <v>3.762</v>
      </c>
      <c r="Q689" s="86">
        <v>46.2</v>
      </c>
      <c r="R689" s="85">
        <v>46.2</v>
      </c>
      <c r="S689" s="87">
        <v>1972510</v>
      </c>
      <c r="T689" s="1">
        <v>11</v>
      </c>
      <c r="U689" s="88">
        <v>42695.021645021639</v>
      </c>
      <c r="V689" s="59">
        <v>23.421934489558989</v>
      </c>
      <c r="X689" s="98">
        <v>54.599999999999994</v>
      </c>
      <c r="Y689" s="97">
        <v>39.987545787545791</v>
      </c>
    </row>
    <row r="690" spans="1:25">
      <c r="A690" s="58">
        <v>690</v>
      </c>
      <c r="B690" s="58">
        <v>690</v>
      </c>
      <c r="C690" s="58" t="s">
        <v>1225</v>
      </c>
      <c r="D690" s="58" t="s">
        <v>253</v>
      </c>
      <c r="E690" s="58" t="s">
        <v>253</v>
      </c>
      <c r="F690" s="58" t="s">
        <v>254</v>
      </c>
      <c r="G690" s="58" t="s">
        <v>255</v>
      </c>
      <c r="H690" s="58" t="s">
        <v>179</v>
      </c>
      <c r="I690">
        <v>38000</v>
      </c>
      <c r="J690">
        <v>38000</v>
      </c>
      <c r="K690" s="58" t="s">
        <v>185</v>
      </c>
      <c r="L690" s="74">
        <v>5.2</v>
      </c>
      <c r="M690" s="85">
        <v>6</v>
      </c>
      <c r="N690" s="74">
        <v>0.96</v>
      </c>
      <c r="O690">
        <v>2</v>
      </c>
      <c r="P690" s="84">
        <v>0.72</v>
      </c>
      <c r="Q690" s="86">
        <v>8.4</v>
      </c>
      <c r="R690" s="85">
        <v>8.4</v>
      </c>
      <c r="S690" s="87">
        <v>769410</v>
      </c>
      <c r="T690" s="1">
        <v>4</v>
      </c>
      <c r="U690" s="88">
        <v>91596.428571428565</v>
      </c>
      <c r="V690" s="59">
        <v>10.917456232697781</v>
      </c>
      <c r="X690" s="98">
        <v>46.2</v>
      </c>
      <c r="Y690" s="97">
        <v>42.69502164502164</v>
      </c>
    </row>
    <row r="691" spans="1:25">
      <c r="A691" s="58">
        <v>691</v>
      </c>
      <c r="B691" s="58">
        <v>691</v>
      </c>
      <c r="C691" s="58" t="s">
        <v>1226</v>
      </c>
      <c r="D691" s="58" t="s">
        <v>253</v>
      </c>
      <c r="E691" s="58" t="s">
        <v>253</v>
      </c>
      <c r="F691" s="58" t="s">
        <v>254</v>
      </c>
      <c r="G691" s="58" t="s">
        <v>255</v>
      </c>
      <c r="H691" s="58" t="s">
        <v>179</v>
      </c>
      <c r="I691">
        <v>38000</v>
      </c>
      <c r="J691">
        <v>38000</v>
      </c>
      <c r="K691" s="58" t="s">
        <v>185</v>
      </c>
      <c r="L691" s="74">
        <v>5.84</v>
      </c>
      <c r="M691" s="85">
        <v>6</v>
      </c>
      <c r="N691" s="74">
        <v>0.53400000000000003</v>
      </c>
      <c r="O691">
        <v>2</v>
      </c>
      <c r="P691" s="84">
        <v>0.53400000000000003</v>
      </c>
      <c r="Q691" s="86">
        <v>4.2</v>
      </c>
      <c r="R691" s="85">
        <v>4.2</v>
      </c>
      <c r="S691" s="87">
        <v>769410</v>
      </c>
      <c r="T691" s="1">
        <v>4</v>
      </c>
      <c r="U691" s="88">
        <v>183192.85714285713</v>
      </c>
      <c r="V691" s="59">
        <v>5.4587281163488903</v>
      </c>
      <c r="X691" s="98">
        <v>8.4</v>
      </c>
      <c r="Y691" s="97">
        <v>91.596428571428561</v>
      </c>
    </row>
    <row r="692" spans="1:25">
      <c r="A692" s="58">
        <v>692</v>
      </c>
      <c r="B692" s="58">
        <v>692</v>
      </c>
      <c r="C692" s="58" t="s">
        <v>1227</v>
      </c>
      <c r="D692" s="58" t="s">
        <v>253</v>
      </c>
      <c r="E692" s="58" t="s">
        <v>253</v>
      </c>
      <c r="F692" s="58" t="s">
        <v>254</v>
      </c>
      <c r="G692" s="58" t="s">
        <v>255</v>
      </c>
      <c r="H692" s="58" t="s">
        <v>179</v>
      </c>
      <c r="I692">
        <v>38000</v>
      </c>
      <c r="J692">
        <v>38000</v>
      </c>
      <c r="K692" s="58" t="s">
        <v>185</v>
      </c>
      <c r="L692" s="74">
        <v>4.4690000000000003</v>
      </c>
      <c r="M692" s="85">
        <v>5</v>
      </c>
      <c r="N692" s="74">
        <v>4.0209999999999999</v>
      </c>
      <c r="O692">
        <v>2</v>
      </c>
      <c r="P692" s="84">
        <v>3.0157499999999997</v>
      </c>
      <c r="Q692" s="86">
        <v>33.6</v>
      </c>
      <c r="R692" s="85">
        <v>33.6</v>
      </c>
      <c r="S692" s="87">
        <v>904090</v>
      </c>
      <c r="T692" s="1">
        <v>6</v>
      </c>
      <c r="U692" s="88">
        <v>26907.440476190473</v>
      </c>
      <c r="V692" s="59">
        <v>37.164441593204216</v>
      </c>
      <c r="X692" s="98">
        <v>4.2</v>
      </c>
      <c r="Y692" s="97">
        <v>183.19285714285712</v>
      </c>
    </row>
    <row r="693" spans="1:25">
      <c r="A693" s="58">
        <v>693</v>
      </c>
      <c r="B693" s="58">
        <v>693</v>
      </c>
      <c r="C693" s="58" t="s">
        <v>1228</v>
      </c>
      <c r="D693" s="58" t="s">
        <v>253</v>
      </c>
      <c r="E693" s="58" t="s">
        <v>253</v>
      </c>
      <c r="F693" s="58" t="s">
        <v>254</v>
      </c>
      <c r="G693" s="58" t="s">
        <v>255</v>
      </c>
      <c r="H693" s="58" t="s">
        <v>179</v>
      </c>
      <c r="I693">
        <v>38000</v>
      </c>
      <c r="J693">
        <v>38000</v>
      </c>
      <c r="K693" s="58" t="s">
        <v>185</v>
      </c>
      <c r="L693" s="74">
        <v>8.4429999999999996</v>
      </c>
      <c r="M693" s="85">
        <v>9</v>
      </c>
      <c r="N693" s="74">
        <v>0.96299999999999997</v>
      </c>
      <c r="O693">
        <v>2</v>
      </c>
      <c r="P693" s="84">
        <v>0.72224999999999995</v>
      </c>
      <c r="Q693" s="86">
        <v>8.4</v>
      </c>
      <c r="R693" s="85">
        <v>8.4</v>
      </c>
      <c r="S693" s="87">
        <v>1379800</v>
      </c>
      <c r="T693" s="1">
        <v>2</v>
      </c>
      <c r="U693" s="88">
        <v>164261.90476190476</v>
      </c>
      <c r="V693" s="59">
        <v>6.087838817219887</v>
      </c>
      <c r="X693" s="98">
        <v>33.6</v>
      </c>
      <c r="Y693" s="97">
        <v>26.907440476190473</v>
      </c>
    </row>
    <row r="694" spans="1:25">
      <c r="A694" s="58">
        <v>694</v>
      </c>
      <c r="B694" s="58">
        <v>694</v>
      </c>
      <c r="C694" s="58" t="s">
        <v>1229</v>
      </c>
      <c r="D694" s="58" t="s">
        <v>384</v>
      </c>
      <c r="E694" s="58" t="s">
        <v>384</v>
      </c>
      <c r="F694" s="58" t="s">
        <v>1230</v>
      </c>
      <c r="G694" s="58" t="s">
        <v>1231</v>
      </c>
      <c r="H694" s="58" t="s">
        <v>179</v>
      </c>
      <c r="I694">
        <v>38000</v>
      </c>
      <c r="J694">
        <v>38000</v>
      </c>
      <c r="K694" s="58" t="s">
        <v>185</v>
      </c>
      <c r="L694" s="74">
        <v>3.1739999999999999</v>
      </c>
      <c r="M694" s="85">
        <v>4</v>
      </c>
      <c r="N694" s="74">
        <v>0.84399999999999997</v>
      </c>
      <c r="O694">
        <v>2</v>
      </c>
      <c r="P694" s="84">
        <v>0.63300000000000001</v>
      </c>
      <c r="Q694" s="86">
        <v>8.4</v>
      </c>
      <c r="R694" s="85">
        <v>8.4</v>
      </c>
      <c r="S694" s="87">
        <v>628870</v>
      </c>
      <c r="T694" s="1">
        <v>4</v>
      </c>
      <c r="U694" s="88">
        <v>74865.476190476184</v>
      </c>
      <c r="V694" s="59">
        <v>13.357291650102566</v>
      </c>
      <c r="X694" s="98">
        <v>8.4</v>
      </c>
      <c r="Y694" s="97">
        <v>164.26190476190479</v>
      </c>
    </row>
    <row r="695" spans="1:25">
      <c r="A695" s="58">
        <v>695</v>
      </c>
      <c r="B695" s="58">
        <v>695</v>
      </c>
      <c r="C695" s="58" t="s">
        <v>1232</v>
      </c>
      <c r="D695" s="58" t="s">
        <v>215</v>
      </c>
      <c r="E695" s="58" t="s">
        <v>215</v>
      </c>
      <c r="F695" s="58" t="s">
        <v>216</v>
      </c>
      <c r="G695" s="58" t="s">
        <v>217</v>
      </c>
      <c r="H695" s="58" t="s">
        <v>179</v>
      </c>
      <c r="I695">
        <v>38000</v>
      </c>
      <c r="J695">
        <v>38000</v>
      </c>
      <c r="K695" s="58" t="s">
        <v>185</v>
      </c>
      <c r="L695" s="74">
        <v>11.484999999999999</v>
      </c>
      <c r="M695" s="85">
        <v>12</v>
      </c>
      <c r="N695" s="74">
        <v>0.60499999999999998</v>
      </c>
      <c r="O695">
        <v>2</v>
      </c>
      <c r="P695" s="84">
        <v>0.60499999999999998</v>
      </c>
      <c r="Q695" s="86">
        <v>4.2</v>
      </c>
      <c r="R695" s="85">
        <v>4.2</v>
      </c>
      <c r="S695" s="87">
        <v>1492540</v>
      </c>
      <c r="T695" s="1">
        <v>1</v>
      </c>
      <c r="U695" s="88">
        <v>355366.66666666663</v>
      </c>
      <c r="V695" s="59">
        <v>2.8139949348091173</v>
      </c>
      <c r="X695" s="98">
        <v>8.4</v>
      </c>
      <c r="Y695" s="97">
        <v>74.865476190476173</v>
      </c>
    </row>
    <row r="696" spans="1:25">
      <c r="A696" s="58">
        <v>696</v>
      </c>
      <c r="B696" s="58">
        <v>696</v>
      </c>
      <c r="C696" s="58" t="s">
        <v>1233</v>
      </c>
      <c r="D696" s="58" t="s">
        <v>215</v>
      </c>
      <c r="E696" s="58" t="s">
        <v>215</v>
      </c>
      <c r="F696" s="58" t="s">
        <v>1234</v>
      </c>
      <c r="G696" s="58" t="s">
        <v>1235</v>
      </c>
      <c r="H696" s="58" t="s">
        <v>179</v>
      </c>
      <c r="I696">
        <v>38000</v>
      </c>
      <c r="L696" s="74">
        <v>5.5510000000000002</v>
      </c>
      <c r="M696" s="85">
        <v>6</v>
      </c>
      <c r="N696" s="74">
        <v>0.625</v>
      </c>
      <c r="O696">
        <v>2</v>
      </c>
      <c r="P696" s="84">
        <v>0.46875</v>
      </c>
      <c r="Q696" s="86">
        <v>4.2</v>
      </c>
      <c r="R696" s="85">
        <v>4.2</v>
      </c>
      <c r="S696" s="87">
        <v>769410</v>
      </c>
      <c r="T696" s="1">
        <v>4</v>
      </c>
      <c r="U696" s="88">
        <v>183192.85714285713</v>
      </c>
      <c r="V696" s="59">
        <v>5.4587281163488903</v>
      </c>
      <c r="X696" s="98">
        <v>4.2</v>
      </c>
      <c r="Y696" s="97">
        <v>355.36666666666662</v>
      </c>
    </row>
    <row r="697" spans="1:25">
      <c r="A697" s="58">
        <v>697</v>
      </c>
      <c r="B697" s="58">
        <v>697</v>
      </c>
      <c r="C697" s="58" t="s">
        <v>1236</v>
      </c>
      <c r="D697" s="58" t="s">
        <v>215</v>
      </c>
      <c r="E697" s="58" t="s">
        <v>215</v>
      </c>
      <c r="F697" s="58" t="s">
        <v>1234</v>
      </c>
      <c r="G697" s="58" t="s">
        <v>1235</v>
      </c>
      <c r="H697" s="58" t="s">
        <v>179</v>
      </c>
      <c r="I697">
        <v>38000</v>
      </c>
      <c r="L697" s="74">
        <v>2.8820000000000001</v>
      </c>
      <c r="M697" s="85">
        <v>3</v>
      </c>
      <c r="N697" s="74">
        <v>0.69</v>
      </c>
      <c r="O697">
        <v>2</v>
      </c>
      <c r="P697" s="84">
        <v>0.51749999999999996</v>
      </c>
      <c r="Q697" s="86">
        <v>4.2</v>
      </c>
      <c r="R697" s="85">
        <v>4.2</v>
      </c>
      <c r="S697" s="87">
        <v>558600</v>
      </c>
      <c r="T697" s="1">
        <v>4</v>
      </c>
      <c r="U697" s="88">
        <v>133000</v>
      </c>
      <c r="V697" s="59">
        <v>7.518796992481203</v>
      </c>
      <c r="X697" s="98">
        <v>4.2</v>
      </c>
      <c r="Y697" s="97">
        <v>183.19285714285712</v>
      </c>
    </row>
    <row r="698" spans="1:25">
      <c r="A698" s="58">
        <v>698</v>
      </c>
      <c r="B698" s="58">
        <v>698</v>
      </c>
      <c r="C698" s="58" t="s">
        <v>1237</v>
      </c>
      <c r="D698" s="58" t="s">
        <v>215</v>
      </c>
      <c r="E698" s="58" t="s">
        <v>215</v>
      </c>
      <c r="F698" s="58" t="s">
        <v>257</v>
      </c>
      <c r="G698" s="58" t="s">
        <v>258</v>
      </c>
      <c r="H698" s="58" t="s">
        <v>179</v>
      </c>
      <c r="I698">
        <v>38000</v>
      </c>
      <c r="J698">
        <v>38000</v>
      </c>
      <c r="K698">
        <v>20000</v>
      </c>
      <c r="L698" s="74">
        <v>5.8330000000000002</v>
      </c>
      <c r="M698" s="85">
        <v>6</v>
      </c>
      <c r="N698" s="74">
        <v>1.042</v>
      </c>
      <c r="O698">
        <v>2</v>
      </c>
      <c r="P698" s="84">
        <v>0.78150000000000008</v>
      </c>
      <c r="Q698" s="86">
        <v>8.4</v>
      </c>
      <c r="R698" s="85">
        <v>8.4</v>
      </c>
      <c r="S698" s="87">
        <v>769410</v>
      </c>
      <c r="T698" s="1">
        <v>4</v>
      </c>
      <c r="U698" s="88">
        <v>91596.428571428565</v>
      </c>
      <c r="V698" s="59">
        <v>10.917456232697781</v>
      </c>
      <c r="X698" s="98">
        <v>4.2</v>
      </c>
      <c r="Y698" s="97">
        <v>133</v>
      </c>
    </row>
    <row r="699" spans="1:25">
      <c r="A699" s="89">
        <v>699</v>
      </c>
      <c r="B699" s="89">
        <v>699</v>
      </c>
      <c r="C699" s="89" t="s">
        <v>1238</v>
      </c>
      <c r="D699" s="58" t="s">
        <v>215</v>
      </c>
      <c r="E699" s="58" t="s">
        <v>176</v>
      </c>
      <c r="F699" s="89" t="s">
        <v>257</v>
      </c>
      <c r="G699" s="89" t="s">
        <v>258</v>
      </c>
      <c r="H699" s="89" t="s">
        <v>179</v>
      </c>
      <c r="I699" s="90">
        <v>38000</v>
      </c>
      <c r="J699" s="90">
        <v>38000</v>
      </c>
      <c r="K699" s="90">
        <v>20000</v>
      </c>
      <c r="L699" s="91">
        <v>11.385</v>
      </c>
      <c r="M699" s="92">
        <v>12</v>
      </c>
      <c r="N699" s="91">
        <v>9.0180000000000007</v>
      </c>
      <c r="O699" s="90">
        <v>2</v>
      </c>
      <c r="P699" s="92">
        <v>6.7635000000000005</v>
      </c>
      <c r="Q699" s="93">
        <v>84</v>
      </c>
      <c r="R699" s="92">
        <v>84</v>
      </c>
      <c r="S699" s="87">
        <v>3448180</v>
      </c>
      <c r="T699" s="94">
        <v>11</v>
      </c>
      <c r="U699" s="95">
        <v>41049.761904761908</v>
      </c>
      <c r="V699" s="96">
        <v>24.360677226826905</v>
      </c>
      <c r="X699" s="98">
        <v>8.4</v>
      </c>
      <c r="Y699" s="97">
        <v>91.596428571428561</v>
      </c>
    </row>
    <row r="700" spans="1:25">
      <c r="A700" s="58">
        <v>700</v>
      </c>
      <c r="B700" s="58">
        <v>700</v>
      </c>
      <c r="C700" s="58" t="s">
        <v>1239</v>
      </c>
      <c r="D700" s="58" t="s">
        <v>215</v>
      </c>
      <c r="E700" s="58" t="s">
        <v>215</v>
      </c>
      <c r="F700" s="58" t="s">
        <v>257</v>
      </c>
      <c r="G700" s="58" t="s">
        <v>258</v>
      </c>
      <c r="H700" s="58" t="s">
        <v>179</v>
      </c>
      <c r="I700">
        <v>38000</v>
      </c>
      <c r="J700">
        <v>38000</v>
      </c>
      <c r="K700">
        <v>20000</v>
      </c>
      <c r="L700" s="74">
        <v>13.904</v>
      </c>
      <c r="M700" s="85">
        <v>14</v>
      </c>
      <c r="N700" s="74">
        <v>2.2589999999999999</v>
      </c>
      <c r="O700">
        <v>2</v>
      </c>
      <c r="P700" s="84">
        <v>1.6942499999999998</v>
      </c>
      <c r="Q700" s="86">
        <v>21</v>
      </c>
      <c r="R700" s="85">
        <v>21</v>
      </c>
      <c r="S700" s="87">
        <v>1331570</v>
      </c>
      <c r="T700" s="1">
        <v>4</v>
      </c>
      <c r="U700" s="88">
        <v>63408.095238095237</v>
      </c>
      <c r="V700" s="59">
        <v>15.770856958327387</v>
      </c>
      <c r="X700" s="98">
        <v>84</v>
      </c>
      <c r="Y700" s="97">
        <v>41.049761904761908</v>
      </c>
    </row>
    <row r="701" spans="1:25">
      <c r="A701" s="58">
        <v>701</v>
      </c>
      <c r="B701" s="58">
        <v>701</v>
      </c>
      <c r="C701" s="58" t="s">
        <v>1240</v>
      </c>
      <c r="D701" s="58" t="s">
        <v>176</v>
      </c>
      <c r="E701" s="58" t="s">
        <v>176</v>
      </c>
      <c r="F701" s="58" t="s">
        <v>225</v>
      </c>
      <c r="G701" s="58" t="s">
        <v>226</v>
      </c>
      <c r="H701" s="58" t="s">
        <v>179</v>
      </c>
      <c r="I701">
        <v>38000</v>
      </c>
      <c r="J701">
        <v>38000</v>
      </c>
      <c r="K701">
        <v>20000</v>
      </c>
      <c r="L701" s="74">
        <v>14.198</v>
      </c>
      <c r="M701" s="85">
        <v>15</v>
      </c>
      <c r="N701" s="74">
        <v>1.1399999999999999</v>
      </c>
      <c r="O701">
        <v>2</v>
      </c>
      <c r="P701" s="84">
        <v>0.85499999999999998</v>
      </c>
      <c r="Q701" s="86">
        <v>8.4</v>
      </c>
      <c r="R701" s="85">
        <v>8.4</v>
      </c>
      <c r="S701" s="87">
        <v>1696000</v>
      </c>
      <c r="T701" s="1">
        <v>2</v>
      </c>
      <c r="U701" s="88">
        <v>201904.76190476189</v>
      </c>
      <c r="V701" s="59">
        <v>4.9528301886792452</v>
      </c>
      <c r="X701" s="98">
        <v>21</v>
      </c>
      <c r="Y701" s="97">
        <v>63.408095238095235</v>
      </c>
    </row>
    <row r="702" spans="1:25">
      <c r="A702" s="58">
        <v>702</v>
      </c>
      <c r="B702" s="58">
        <v>702</v>
      </c>
      <c r="C702" s="58" t="s">
        <v>1241</v>
      </c>
      <c r="D702" s="58" t="s">
        <v>176</v>
      </c>
      <c r="E702" s="58" t="s">
        <v>176</v>
      </c>
      <c r="F702" s="58" t="s">
        <v>257</v>
      </c>
      <c r="G702" s="58" t="s">
        <v>258</v>
      </c>
      <c r="H702" s="58" t="s">
        <v>179</v>
      </c>
      <c r="I702">
        <v>38000</v>
      </c>
      <c r="J702">
        <v>38000</v>
      </c>
      <c r="K702">
        <v>20000</v>
      </c>
      <c r="L702" s="74">
        <v>13.903</v>
      </c>
      <c r="M702" s="85">
        <v>14</v>
      </c>
      <c r="N702" s="74">
        <v>1.794</v>
      </c>
      <c r="O702">
        <v>2</v>
      </c>
      <c r="P702" s="84">
        <v>1.3454999999999999</v>
      </c>
      <c r="Q702" s="86">
        <v>12.600000000000001</v>
      </c>
      <c r="R702" s="85">
        <v>12.600000000000001</v>
      </c>
      <c r="S702" s="87">
        <v>1680350</v>
      </c>
      <c r="T702" s="1">
        <v>3</v>
      </c>
      <c r="U702" s="88">
        <v>133361.11111111109</v>
      </c>
      <c r="V702" s="59">
        <v>7.4984378254530322</v>
      </c>
      <c r="X702" s="98">
        <v>8.4</v>
      </c>
      <c r="Y702" s="97">
        <v>201.9047619047619</v>
      </c>
    </row>
    <row r="703" spans="1:25">
      <c r="A703" s="89">
        <v>703</v>
      </c>
      <c r="B703" s="89">
        <v>703</v>
      </c>
      <c r="C703" s="89" t="s">
        <v>1242</v>
      </c>
      <c r="D703" s="58" t="s">
        <v>215</v>
      </c>
      <c r="E703" s="58" t="s">
        <v>176</v>
      </c>
      <c r="F703" s="89" t="s">
        <v>257</v>
      </c>
      <c r="G703" s="89" t="s">
        <v>258</v>
      </c>
      <c r="H703" s="89" t="s">
        <v>179</v>
      </c>
      <c r="I703" s="90">
        <v>38000</v>
      </c>
      <c r="J703" s="90">
        <v>38000</v>
      </c>
      <c r="K703" s="90">
        <v>20000</v>
      </c>
      <c r="L703" s="91">
        <v>8.1259999999999994</v>
      </c>
      <c r="M703" s="92">
        <v>9</v>
      </c>
      <c r="N703" s="91">
        <v>7.7789999999999999</v>
      </c>
      <c r="O703" s="90">
        <v>2</v>
      </c>
      <c r="P703" s="92">
        <v>5.8342499999999999</v>
      </c>
      <c r="Q703" s="93">
        <v>71.400000000000006</v>
      </c>
      <c r="R703" s="92">
        <v>71.400000000000006</v>
      </c>
      <c r="S703" s="87">
        <v>2815750</v>
      </c>
      <c r="T703" s="94">
        <v>11</v>
      </c>
      <c r="U703" s="95">
        <v>39436.274509803916</v>
      </c>
      <c r="V703" s="96">
        <v>25.35736482287135</v>
      </c>
      <c r="X703" s="98">
        <v>12.600000000000001</v>
      </c>
      <c r="Y703" s="97">
        <v>133.36111111111109</v>
      </c>
    </row>
    <row r="704" spans="1:25">
      <c r="A704" s="58">
        <v>704</v>
      </c>
      <c r="B704" s="58">
        <v>704</v>
      </c>
      <c r="C704" s="58" t="s">
        <v>1243</v>
      </c>
      <c r="D704" s="58" t="s">
        <v>176</v>
      </c>
      <c r="E704" s="58" t="s">
        <v>176</v>
      </c>
      <c r="F704" s="58" t="s">
        <v>257</v>
      </c>
      <c r="G704" s="58" t="s">
        <v>258</v>
      </c>
      <c r="H704" s="58" t="s">
        <v>179</v>
      </c>
      <c r="I704">
        <v>38000</v>
      </c>
      <c r="J704">
        <v>38000</v>
      </c>
      <c r="K704">
        <v>20000</v>
      </c>
      <c r="L704" s="74">
        <v>10.670999999999999</v>
      </c>
      <c r="M704" s="85">
        <v>11</v>
      </c>
      <c r="N704" s="74">
        <v>0.83099999999999996</v>
      </c>
      <c r="O704">
        <v>2</v>
      </c>
      <c r="P704" s="84">
        <v>0.62324999999999997</v>
      </c>
      <c r="Q704" s="86">
        <v>8.4</v>
      </c>
      <c r="R704" s="85">
        <v>8.4</v>
      </c>
      <c r="S704" s="87">
        <v>1485200</v>
      </c>
      <c r="T704" s="1">
        <v>2</v>
      </c>
      <c r="U704" s="88">
        <v>176809.52380952382</v>
      </c>
      <c r="V704" s="59">
        <v>5.655803932130353</v>
      </c>
      <c r="X704" s="98">
        <v>71.400000000000006</v>
      </c>
      <c r="Y704" s="97">
        <v>39.436274509803916</v>
      </c>
    </row>
    <row r="705" spans="1:25">
      <c r="A705" s="58">
        <v>705</v>
      </c>
      <c r="B705" s="58">
        <v>705</v>
      </c>
      <c r="C705" s="58" t="s">
        <v>1244</v>
      </c>
      <c r="D705" s="58" t="s">
        <v>176</v>
      </c>
      <c r="E705" s="58" t="s">
        <v>176</v>
      </c>
      <c r="F705" s="58" t="s">
        <v>257</v>
      </c>
      <c r="G705" s="58" t="s">
        <v>258</v>
      </c>
      <c r="H705" s="58" t="s">
        <v>179</v>
      </c>
      <c r="I705">
        <v>38000</v>
      </c>
      <c r="J705">
        <v>38000</v>
      </c>
      <c r="K705">
        <v>20000</v>
      </c>
      <c r="L705" s="74">
        <v>10.388</v>
      </c>
      <c r="M705" s="85">
        <v>11</v>
      </c>
      <c r="N705" s="74">
        <v>0.74299999999999999</v>
      </c>
      <c r="O705">
        <v>2</v>
      </c>
      <c r="P705" s="84">
        <v>0.55725000000000002</v>
      </c>
      <c r="Q705" s="86">
        <v>4.2</v>
      </c>
      <c r="R705" s="85">
        <v>4.2</v>
      </c>
      <c r="S705" s="87">
        <v>1439840</v>
      </c>
      <c r="T705" s="1">
        <v>1</v>
      </c>
      <c r="U705" s="88">
        <v>342819.04761904763</v>
      </c>
      <c r="V705" s="59">
        <v>2.9169907767529724</v>
      </c>
      <c r="X705" s="98">
        <v>8.4</v>
      </c>
      <c r="Y705" s="97">
        <v>176.8095238095238</v>
      </c>
    </row>
    <row r="706" spans="1:25">
      <c r="A706" s="58">
        <v>706</v>
      </c>
      <c r="B706" s="58">
        <v>706</v>
      </c>
      <c r="C706" s="58" t="s">
        <v>1245</v>
      </c>
      <c r="D706" s="58" t="s">
        <v>176</v>
      </c>
      <c r="E706" s="58" t="s">
        <v>176</v>
      </c>
      <c r="F706" s="58" t="s">
        <v>257</v>
      </c>
      <c r="G706" s="58" t="s">
        <v>258</v>
      </c>
      <c r="H706" s="58" t="s">
        <v>179</v>
      </c>
      <c r="I706">
        <v>38000</v>
      </c>
      <c r="J706">
        <v>38000</v>
      </c>
      <c r="K706">
        <v>20000</v>
      </c>
      <c r="L706" s="74">
        <v>8.4700000000000006</v>
      </c>
      <c r="M706" s="85">
        <v>9</v>
      </c>
      <c r="N706" s="74">
        <v>0.88100000000000001</v>
      </c>
      <c r="O706">
        <v>2</v>
      </c>
      <c r="P706" s="84">
        <v>0.66074999999999995</v>
      </c>
      <c r="Q706" s="86">
        <v>8.4</v>
      </c>
      <c r="R706" s="85">
        <v>8.4</v>
      </c>
      <c r="S706" s="87">
        <v>1379800</v>
      </c>
      <c r="T706" s="1">
        <v>2</v>
      </c>
      <c r="U706" s="88">
        <v>164261.90476190476</v>
      </c>
      <c r="V706" s="59">
        <v>6.087838817219887</v>
      </c>
      <c r="X706" s="98">
        <v>4.2</v>
      </c>
      <c r="Y706" s="97">
        <v>342.81904761904764</v>
      </c>
    </row>
    <row r="707" spans="1:25">
      <c r="A707" s="58">
        <v>707</v>
      </c>
      <c r="B707" s="58">
        <v>707</v>
      </c>
      <c r="C707" s="58" t="s">
        <v>1246</v>
      </c>
      <c r="D707" s="58" t="s">
        <v>176</v>
      </c>
      <c r="E707" s="58" t="s">
        <v>176</v>
      </c>
      <c r="F707" s="58" t="s">
        <v>257</v>
      </c>
      <c r="G707" s="58" t="s">
        <v>258</v>
      </c>
      <c r="H707" s="58" t="s">
        <v>179</v>
      </c>
      <c r="I707">
        <v>38000</v>
      </c>
      <c r="J707">
        <v>38000</v>
      </c>
      <c r="K707">
        <v>20000</v>
      </c>
      <c r="L707" s="74">
        <v>10.847</v>
      </c>
      <c r="M707" s="85">
        <v>11</v>
      </c>
      <c r="N707" s="74">
        <v>0.65300000000000002</v>
      </c>
      <c r="O707">
        <v>2</v>
      </c>
      <c r="P707" s="84">
        <v>0.48975000000000002</v>
      </c>
      <c r="Q707" s="86">
        <v>4.2</v>
      </c>
      <c r="R707" s="85">
        <v>4.2</v>
      </c>
      <c r="S707" s="87">
        <v>1439840</v>
      </c>
      <c r="T707" s="1">
        <v>1</v>
      </c>
      <c r="U707" s="88">
        <v>342819.04761904763</v>
      </c>
      <c r="V707" s="59">
        <v>2.9169907767529724</v>
      </c>
      <c r="X707" s="98">
        <v>8.4</v>
      </c>
      <c r="Y707" s="97">
        <v>164.26190476190479</v>
      </c>
    </row>
    <row r="708" spans="1:25">
      <c r="A708" s="58">
        <v>708</v>
      </c>
      <c r="B708" s="58">
        <v>708</v>
      </c>
      <c r="C708" s="58" t="s">
        <v>1247</v>
      </c>
      <c r="D708" s="58" t="s">
        <v>215</v>
      </c>
      <c r="E708" s="58" t="s">
        <v>215</v>
      </c>
      <c r="F708" s="58" t="s">
        <v>225</v>
      </c>
      <c r="G708" s="58" t="s">
        <v>226</v>
      </c>
      <c r="H708" s="58" t="s">
        <v>179</v>
      </c>
      <c r="I708">
        <v>38000</v>
      </c>
      <c r="J708">
        <v>38000</v>
      </c>
      <c r="K708">
        <v>20000</v>
      </c>
      <c r="L708" s="74">
        <v>10.551</v>
      </c>
      <c r="M708" s="85">
        <v>11</v>
      </c>
      <c r="N708" s="74">
        <v>3.3380000000000001</v>
      </c>
      <c r="O708">
        <v>2</v>
      </c>
      <c r="P708" s="84">
        <v>2.5034999999999998</v>
      </c>
      <c r="Q708" s="86">
        <v>29.400000000000006</v>
      </c>
      <c r="R708" s="85">
        <v>29.400000000000006</v>
      </c>
      <c r="S708" s="87">
        <v>1324920</v>
      </c>
      <c r="T708" s="1">
        <v>5</v>
      </c>
      <c r="U708" s="88">
        <v>45065.306122448972</v>
      </c>
      <c r="V708" s="59">
        <v>22.190019020016308</v>
      </c>
      <c r="X708" s="98">
        <v>4.2</v>
      </c>
      <c r="Y708" s="97">
        <v>342.81904761904764</v>
      </c>
    </row>
    <row r="709" spans="1:25">
      <c r="A709" s="89">
        <v>709</v>
      </c>
      <c r="B709" s="89">
        <v>709</v>
      </c>
      <c r="C709" s="89" t="s">
        <v>1248</v>
      </c>
      <c r="D709" s="58" t="s">
        <v>215</v>
      </c>
      <c r="E709" s="58" t="s">
        <v>176</v>
      </c>
      <c r="F709" s="89" t="s">
        <v>225</v>
      </c>
      <c r="G709" s="89" t="s">
        <v>226</v>
      </c>
      <c r="H709" s="89" t="s">
        <v>179</v>
      </c>
      <c r="I709" s="90">
        <v>38000</v>
      </c>
      <c r="J709" s="90">
        <v>38000</v>
      </c>
      <c r="K709" s="90">
        <v>20000</v>
      </c>
      <c r="L709" s="91">
        <v>3.988</v>
      </c>
      <c r="M709" s="92">
        <v>4</v>
      </c>
      <c r="N709" s="91">
        <v>5.6449999999999996</v>
      </c>
      <c r="O709" s="90">
        <v>2</v>
      </c>
      <c r="P709" s="92">
        <v>4.2337499999999997</v>
      </c>
      <c r="Q709" s="93">
        <v>50.400000000000006</v>
      </c>
      <c r="R709" s="92">
        <v>50.400000000000006</v>
      </c>
      <c r="S709" s="87">
        <v>1761700</v>
      </c>
      <c r="T709" s="94">
        <v>11</v>
      </c>
      <c r="U709" s="95">
        <v>34954.365079365074</v>
      </c>
      <c r="V709" s="96">
        <v>28.608730203780443</v>
      </c>
      <c r="X709" s="98">
        <v>29.400000000000006</v>
      </c>
      <c r="Y709" s="97">
        <v>45.065306122448973</v>
      </c>
    </row>
    <row r="710" spans="1:25">
      <c r="A710" s="58">
        <v>710</v>
      </c>
      <c r="B710" s="58">
        <v>710</v>
      </c>
      <c r="C710" s="58" t="s">
        <v>1249</v>
      </c>
      <c r="D710" s="58" t="s">
        <v>215</v>
      </c>
      <c r="E710" s="58" t="s">
        <v>176</v>
      </c>
      <c r="F710" s="58" t="s">
        <v>225</v>
      </c>
      <c r="G710" s="58" t="s">
        <v>226</v>
      </c>
      <c r="H710" s="58" t="s">
        <v>179</v>
      </c>
      <c r="I710">
        <v>38000</v>
      </c>
      <c r="J710">
        <v>38000</v>
      </c>
      <c r="K710">
        <v>20000</v>
      </c>
      <c r="L710" s="74">
        <v>6.1509999999999998</v>
      </c>
      <c r="M710" s="85">
        <v>7</v>
      </c>
      <c r="N710" s="74">
        <v>4.2069999999999999</v>
      </c>
      <c r="O710">
        <v>2</v>
      </c>
      <c r="P710" s="84">
        <v>3.1552499999999997</v>
      </c>
      <c r="Q710" s="86">
        <v>37.800000000000004</v>
      </c>
      <c r="R710" s="85">
        <v>37.800000000000004</v>
      </c>
      <c r="S710" s="87">
        <v>1126610</v>
      </c>
      <c r="T710" s="1">
        <v>6</v>
      </c>
      <c r="U710" s="88">
        <v>29804.497354497351</v>
      </c>
      <c r="V710" s="59">
        <v>33.551983383779664</v>
      </c>
      <c r="X710" s="98">
        <v>50.400000000000006</v>
      </c>
      <c r="Y710" s="97">
        <v>34.954365079365068</v>
      </c>
    </row>
    <row r="711" spans="1:25">
      <c r="A711" s="58">
        <v>711</v>
      </c>
      <c r="B711" s="58">
        <v>711</v>
      </c>
      <c r="C711" s="58" t="s">
        <v>1250</v>
      </c>
      <c r="D711" s="58" t="s">
        <v>215</v>
      </c>
      <c r="E711" s="58" t="s">
        <v>176</v>
      </c>
      <c r="F711" s="58" t="s">
        <v>225</v>
      </c>
      <c r="G711" s="58" t="s">
        <v>226</v>
      </c>
      <c r="H711" s="58" t="s">
        <v>179</v>
      </c>
      <c r="I711">
        <v>38000</v>
      </c>
      <c r="J711">
        <v>38000</v>
      </c>
      <c r="K711">
        <v>20000</v>
      </c>
      <c r="L711" s="74">
        <v>9.7889999999999997</v>
      </c>
      <c r="M711" s="85">
        <v>10</v>
      </c>
      <c r="N711" s="74">
        <v>2.4489999999999998</v>
      </c>
      <c r="O711">
        <v>2</v>
      </c>
      <c r="P711" s="84">
        <v>1.8367499999999999</v>
      </c>
      <c r="Q711" s="86">
        <v>21</v>
      </c>
      <c r="R711" s="85">
        <v>21</v>
      </c>
      <c r="S711" s="87">
        <v>1050490</v>
      </c>
      <c r="T711" s="1">
        <v>4</v>
      </c>
      <c r="U711" s="88">
        <v>50023.333333333336</v>
      </c>
      <c r="V711" s="59">
        <v>19.990671020190579</v>
      </c>
      <c r="X711" s="98">
        <v>37.800000000000004</v>
      </c>
      <c r="Y711" s="97">
        <v>29.80449735449735</v>
      </c>
    </row>
    <row r="712" spans="1:25">
      <c r="A712" s="58">
        <v>712</v>
      </c>
      <c r="B712" s="58">
        <v>712</v>
      </c>
      <c r="C712" s="58" t="s">
        <v>1251</v>
      </c>
      <c r="D712" s="58" t="s">
        <v>176</v>
      </c>
      <c r="E712" s="58" t="s">
        <v>176</v>
      </c>
      <c r="F712" s="58" t="s">
        <v>225</v>
      </c>
      <c r="G712" s="58" t="s">
        <v>226</v>
      </c>
      <c r="H712" s="58" t="s">
        <v>179</v>
      </c>
      <c r="I712">
        <v>38000</v>
      </c>
      <c r="J712">
        <v>38000</v>
      </c>
      <c r="K712">
        <v>20000</v>
      </c>
      <c r="L712" s="74">
        <v>9.7159999999999993</v>
      </c>
      <c r="M712" s="85">
        <v>10</v>
      </c>
      <c r="N712" s="74">
        <v>1.335</v>
      </c>
      <c r="O712">
        <v>2</v>
      </c>
      <c r="P712" s="84">
        <v>1.00125</v>
      </c>
      <c r="Q712" s="86">
        <v>8.4</v>
      </c>
      <c r="R712" s="85">
        <v>8.4</v>
      </c>
      <c r="S712" s="87">
        <v>1432500</v>
      </c>
      <c r="T712" s="1">
        <v>2</v>
      </c>
      <c r="U712" s="88">
        <v>170535.71428571429</v>
      </c>
      <c r="V712" s="59">
        <v>5.8638743455497382</v>
      </c>
      <c r="X712" s="98">
        <v>21</v>
      </c>
      <c r="Y712" s="97">
        <v>50.023333333333333</v>
      </c>
    </row>
    <row r="713" spans="1:25">
      <c r="A713" s="58">
        <v>713</v>
      </c>
      <c r="B713" s="58">
        <v>713</v>
      </c>
      <c r="C713" s="58" t="s">
        <v>1252</v>
      </c>
      <c r="D713" s="58" t="s">
        <v>176</v>
      </c>
      <c r="E713" s="58" t="s">
        <v>176</v>
      </c>
      <c r="F713" s="58" t="s">
        <v>225</v>
      </c>
      <c r="G713" s="58" t="s">
        <v>226</v>
      </c>
      <c r="H713" s="58" t="s">
        <v>179</v>
      </c>
      <c r="I713">
        <v>38000</v>
      </c>
      <c r="J713">
        <v>38000</v>
      </c>
      <c r="K713">
        <v>20000</v>
      </c>
      <c r="L713" s="74">
        <v>9.6829999999999998</v>
      </c>
      <c r="M713" s="85">
        <v>10</v>
      </c>
      <c r="N713" s="74">
        <v>0.46</v>
      </c>
      <c r="O713">
        <v>2</v>
      </c>
      <c r="P713" s="84">
        <v>0.46</v>
      </c>
      <c r="Q713" s="86">
        <v>4.2</v>
      </c>
      <c r="R713" s="85">
        <v>4.2</v>
      </c>
      <c r="S713" s="87">
        <v>1387140</v>
      </c>
      <c r="T713" s="1">
        <v>1</v>
      </c>
      <c r="U713" s="88">
        <v>330271.42857142858</v>
      </c>
      <c r="V713" s="59">
        <v>3.0278126216531858</v>
      </c>
      <c r="X713" s="98">
        <v>8.4</v>
      </c>
      <c r="Y713" s="97">
        <v>170.53571428571428</v>
      </c>
    </row>
    <row r="714" spans="1:25">
      <c r="A714" s="58">
        <v>714</v>
      </c>
      <c r="B714" s="58">
        <v>714</v>
      </c>
      <c r="C714" s="58" t="s">
        <v>1253</v>
      </c>
      <c r="D714" s="58" t="s">
        <v>176</v>
      </c>
      <c r="E714" s="58" t="s">
        <v>176</v>
      </c>
      <c r="F714" s="58" t="s">
        <v>262</v>
      </c>
      <c r="G714" s="58" t="s">
        <v>263</v>
      </c>
      <c r="H714" s="58" t="s">
        <v>179</v>
      </c>
      <c r="I714">
        <v>38000</v>
      </c>
      <c r="J714" s="58" t="s">
        <v>185</v>
      </c>
      <c r="K714">
        <v>38000</v>
      </c>
      <c r="L714" s="74">
        <v>17.138000000000002</v>
      </c>
      <c r="M714" s="85">
        <v>18</v>
      </c>
      <c r="N714" s="74">
        <v>2.3119999999999998</v>
      </c>
      <c r="O714">
        <v>2</v>
      </c>
      <c r="P714" s="84">
        <v>1.734</v>
      </c>
      <c r="Q714" s="86">
        <v>21</v>
      </c>
      <c r="R714" s="85">
        <v>21</v>
      </c>
      <c r="S714" s="87">
        <v>1612650</v>
      </c>
      <c r="T714" s="1">
        <v>4</v>
      </c>
      <c r="U714" s="88">
        <v>76792.857142857145</v>
      </c>
      <c r="V714" s="59">
        <v>13.022044460980373</v>
      </c>
      <c r="X714" s="98">
        <v>4.2</v>
      </c>
      <c r="Y714" s="97">
        <v>330.2714285714286</v>
      </c>
    </row>
    <row r="715" spans="1:25">
      <c r="A715" s="58">
        <v>715</v>
      </c>
      <c r="B715" s="58">
        <v>715</v>
      </c>
      <c r="C715" s="58" t="s">
        <v>1254</v>
      </c>
      <c r="D715" s="58" t="s">
        <v>176</v>
      </c>
      <c r="E715" s="58" t="s">
        <v>176</v>
      </c>
      <c r="F715" s="58" t="s">
        <v>262</v>
      </c>
      <c r="G715" s="58" t="s">
        <v>263</v>
      </c>
      <c r="H715" s="58" t="s">
        <v>179</v>
      </c>
      <c r="I715">
        <v>38000</v>
      </c>
      <c r="J715" s="58" t="s">
        <v>185</v>
      </c>
      <c r="K715">
        <v>38000</v>
      </c>
      <c r="L715" s="74">
        <v>15.664999999999999</v>
      </c>
      <c r="M715" s="85">
        <v>16</v>
      </c>
      <c r="N715" s="74">
        <v>0.252</v>
      </c>
      <c r="O715">
        <v>2</v>
      </c>
      <c r="P715" s="84">
        <v>0.252</v>
      </c>
      <c r="Q715" s="86">
        <v>4.2</v>
      </c>
      <c r="R715" s="85">
        <v>4.2</v>
      </c>
      <c r="S715" s="87">
        <v>1703340</v>
      </c>
      <c r="T715" s="1">
        <v>1</v>
      </c>
      <c r="U715" s="88">
        <v>405557.14285714284</v>
      </c>
      <c r="V715" s="59">
        <v>2.4657437739969708</v>
      </c>
      <c r="X715" s="98">
        <v>21</v>
      </c>
      <c r="Y715" s="97">
        <v>76.792857142857144</v>
      </c>
    </row>
    <row r="716" spans="1:25">
      <c r="A716" s="58">
        <v>716</v>
      </c>
      <c r="B716" s="58">
        <v>716</v>
      </c>
      <c r="C716" s="58" t="s">
        <v>1255</v>
      </c>
      <c r="D716" s="58" t="s">
        <v>176</v>
      </c>
      <c r="E716" s="58" t="s">
        <v>176</v>
      </c>
      <c r="F716" s="58" t="s">
        <v>262</v>
      </c>
      <c r="G716" s="58" t="s">
        <v>263</v>
      </c>
      <c r="H716" s="58" t="s">
        <v>179</v>
      </c>
      <c r="I716">
        <v>38000</v>
      </c>
      <c r="J716" s="58" t="s">
        <v>185</v>
      </c>
      <c r="K716">
        <v>38000</v>
      </c>
      <c r="L716" s="74">
        <v>15.771000000000001</v>
      </c>
      <c r="M716" s="85">
        <v>16</v>
      </c>
      <c r="N716" s="74">
        <v>0.45100000000000001</v>
      </c>
      <c r="O716">
        <v>2</v>
      </c>
      <c r="P716" s="84">
        <v>0.45100000000000001</v>
      </c>
      <c r="Q716" s="86">
        <v>4.2</v>
      </c>
      <c r="R716" s="85">
        <v>4.2</v>
      </c>
      <c r="S716" s="87">
        <v>1703340</v>
      </c>
      <c r="T716" s="1">
        <v>1</v>
      </c>
      <c r="U716" s="88">
        <v>405557.14285714284</v>
      </c>
      <c r="V716" s="59">
        <v>2.4657437739969708</v>
      </c>
      <c r="X716" s="98">
        <v>4.2</v>
      </c>
      <c r="Y716" s="97">
        <v>405.55714285714282</v>
      </c>
    </row>
    <row r="717" spans="1:25">
      <c r="A717" s="58">
        <v>717</v>
      </c>
      <c r="B717" s="58">
        <v>717</v>
      </c>
      <c r="C717" s="58" t="s">
        <v>1256</v>
      </c>
      <c r="D717" s="58" t="s">
        <v>176</v>
      </c>
      <c r="E717" s="58" t="s">
        <v>176</v>
      </c>
      <c r="F717" s="58" t="s">
        <v>262</v>
      </c>
      <c r="G717" s="58" t="s">
        <v>263</v>
      </c>
      <c r="H717" s="58" t="s">
        <v>179</v>
      </c>
      <c r="I717">
        <v>38000</v>
      </c>
      <c r="J717" s="58" t="s">
        <v>185</v>
      </c>
      <c r="K717">
        <v>38000</v>
      </c>
      <c r="L717" s="74">
        <v>15.333</v>
      </c>
      <c r="M717" s="85">
        <v>16</v>
      </c>
      <c r="N717" s="74">
        <v>1.488</v>
      </c>
      <c r="O717">
        <v>2</v>
      </c>
      <c r="P717" s="84">
        <v>1.1160000000000001</v>
      </c>
      <c r="Q717" s="86">
        <v>12.600000000000001</v>
      </c>
      <c r="R717" s="85">
        <v>12.600000000000001</v>
      </c>
      <c r="S717" s="87">
        <v>1785750</v>
      </c>
      <c r="T717" s="1">
        <v>3</v>
      </c>
      <c r="U717" s="88">
        <v>141726.19047619047</v>
      </c>
      <c r="V717" s="59">
        <v>7.0558588828223447</v>
      </c>
      <c r="X717" s="98">
        <v>4.2</v>
      </c>
      <c r="Y717" s="97">
        <v>405.55714285714282</v>
      </c>
    </row>
    <row r="718" spans="1:25">
      <c r="A718" s="58">
        <v>718</v>
      </c>
      <c r="B718" s="58">
        <v>718</v>
      </c>
      <c r="C718" s="58" t="s">
        <v>1257</v>
      </c>
      <c r="D718" s="58" t="s">
        <v>176</v>
      </c>
      <c r="E718" s="58" t="s">
        <v>176</v>
      </c>
      <c r="F718" s="58" t="s">
        <v>262</v>
      </c>
      <c r="G718" s="58" t="s">
        <v>263</v>
      </c>
      <c r="H718" s="58" t="s">
        <v>179</v>
      </c>
      <c r="I718">
        <v>38000</v>
      </c>
      <c r="J718" s="58" t="s">
        <v>185</v>
      </c>
      <c r="K718">
        <v>38000</v>
      </c>
      <c r="L718" s="74">
        <v>14.295</v>
      </c>
      <c r="M718" s="85">
        <v>15</v>
      </c>
      <c r="N718" s="74">
        <v>2.2879999999999998</v>
      </c>
      <c r="O718">
        <v>2</v>
      </c>
      <c r="P718" s="84">
        <v>1.7159999999999997</v>
      </c>
      <c r="Q718" s="86">
        <v>21</v>
      </c>
      <c r="R718" s="85">
        <v>21</v>
      </c>
      <c r="S718" s="87">
        <v>1401840</v>
      </c>
      <c r="T718" s="1">
        <v>4</v>
      </c>
      <c r="U718" s="88">
        <v>66754.28571428571</v>
      </c>
      <c r="V718" s="59">
        <v>14.980311590481081</v>
      </c>
      <c r="X718" s="98">
        <v>12.600000000000001</v>
      </c>
      <c r="Y718" s="97">
        <v>141.72619047619048</v>
      </c>
    </row>
    <row r="719" spans="1:25">
      <c r="A719" s="58">
        <v>719</v>
      </c>
      <c r="B719" s="58">
        <v>719</v>
      </c>
      <c r="C719" s="58" t="s">
        <v>1258</v>
      </c>
      <c r="D719" s="58" t="s">
        <v>176</v>
      </c>
      <c r="E719" s="58" t="s">
        <v>176</v>
      </c>
      <c r="F719" s="58" t="s">
        <v>262</v>
      </c>
      <c r="G719" s="58" t="s">
        <v>263</v>
      </c>
      <c r="H719" s="58" t="s">
        <v>179</v>
      </c>
      <c r="I719">
        <v>38000</v>
      </c>
      <c r="J719" s="58" t="s">
        <v>185</v>
      </c>
      <c r="K719">
        <v>38000</v>
      </c>
      <c r="L719" s="74">
        <v>12.313000000000001</v>
      </c>
      <c r="M719" s="85">
        <v>13</v>
      </c>
      <c r="N719" s="74">
        <v>3.1280000000000001</v>
      </c>
      <c r="O719">
        <v>2</v>
      </c>
      <c r="P719" s="84">
        <v>2.3460000000000001</v>
      </c>
      <c r="Q719" s="86">
        <v>25.200000000000003</v>
      </c>
      <c r="R719" s="85">
        <v>25.200000000000003</v>
      </c>
      <c r="S719" s="87">
        <v>1502580</v>
      </c>
      <c r="T719" s="1">
        <v>5</v>
      </c>
      <c r="U719" s="88">
        <v>59626.190476190466</v>
      </c>
      <c r="V719" s="59">
        <v>16.771153615780861</v>
      </c>
      <c r="X719" s="98">
        <v>21</v>
      </c>
      <c r="Y719" s="97">
        <v>66.754285714285714</v>
      </c>
    </row>
    <row r="720" spans="1:25">
      <c r="A720" s="89">
        <v>720</v>
      </c>
      <c r="B720" s="89">
        <v>720</v>
      </c>
      <c r="C720" s="89" t="s">
        <v>1259</v>
      </c>
      <c r="D720" s="58" t="s">
        <v>176</v>
      </c>
      <c r="E720" s="58" t="s">
        <v>176</v>
      </c>
      <c r="F720" s="89" t="s">
        <v>262</v>
      </c>
      <c r="G720" s="89" t="s">
        <v>263</v>
      </c>
      <c r="H720" s="89" t="s">
        <v>179</v>
      </c>
      <c r="I720" s="90">
        <v>38000</v>
      </c>
      <c r="J720" s="89" t="s">
        <v>185</v>
      </c>
      <c r="K720" s="90">
        <v>38000</v>
      </c>
      <c r="L720" s="91">
        <v>11.695</v>
      </c>
      <c r="M720" s="92">
        <v>12</v>
      </c>
      <c r="N720" s="91">
        <v>12.491</v>
      </c>
      <c r="O720" s="90">
        <v>2</v>
      </c>
      <c r="P720" s="92">
        <v>9.3682499999999997</v>
      </c>
      <c r="Q720" s="93">
        <v>113.4</v>
      </c>
      <c r="R720" s="92">
        <v>113.4</v>
      </c>
      <c r="S720" s="87">
        <v>3448180</v>
      </c>
      <c r="T720" s="94">
        <v>11</v>
      </c>
      <c r="U720" s="95">
        <v>30407.231040564373</v>
      </c>
      <c r="V720" s="96">
        <v>32.886914256216322</v>
      </c>
      <c r="X720" s="98">
        <v>25.200000000000003</v>
      </c>
      <c r="Y720" s="97">
        <v>59.626190476190466</v>
      </c>
    </row>
    <row r="721" spans="1:25">
      <c r="A721" s="89">
        <v>721</v>
      </c>
      <c r="B721" s="89">
        <v>721</v>
      </c>
      <c r="C721" s="89" t="s">
        <v>1260</v>
      </c>
      <c r="D721" s="58" t="s">
        <v>176</v>
      </c>
      <c r="E721" s="58" t="s">
        <v>176</v>
      </c>
      <c r="F721" s="89" t="s">
        <v>262</v>
      </c>
      <c r="G721" s="89" t="s">
        <v>263</v>
      </c>
      <c r="H721" s="89" t="s">
        <v>179</v>
      </c>
      <c r="I721" s="90">
        <v>38000</v>
      </c>
      <c r="J721" s="89" t="s">
        <v>185</v>
      </c>
      <c r="K721" s="90">
        <v>38000</v>
      </c>
      <c r="L721" s="91">
        <v>15.603</v>
      </c>
      <c r="M721" s="92">
        <v>16</v>
      </c>
      <c r="N721" s="91">
        <v>12.868</v>
      </c>
      <c r="O721" s="90">
        <v>2</v>
      </c>
      <c r="P721" s="92">
        <v>9.6509999999999998</v>
      </c>
      <c r="Q721" s="93">
        <v>117.60000000000002</v>
      </c>
      <c r="R721" s="92">
        <v>117.60000000000002</v>
      </c>
      <c r="S721" s="87">
        <v>4291420</v>
      </c>
      <c r="T721" s="94">
        <v>11</v>
      </c>
      <c r="U721" s="95">
        <v>36491.666666666657</v>
      </c>
      <c r="V721" s="96">
        <v>27.403516784654038</v>
      </c>
      <c r="X721" s="98">
        <v>113.4</v>
      </c>
      <c r="Y721" s="97">
        <v>30.407231040564376</v>
      </c>
    </row>
    <row r="722" spans="1:25">
      <c r="A722" s="58">
        <v>722</v>
      </c>
      <c r="B722" s="58">
        <v>722</v>
      </c>
      <c r="C722" s="58" t="s">
        <v>1261</v>
      </c>
      <c r="D722" s="58" t="s">
        <v>176</v>
      </c>
      <c r="E722" s="58" t="s">
        <v>176</v>
      </c>
      <c r="F722" s="58" t="s">
        <v>262</v>
      </c>
      <c r="G722" s="58" t="s">
        <v>263</v>
      </c>
      <c r="H722" s="58" t="s">
        <v>179</v>
      </c>
      <c r="I722">
        <v>38000</v>
      </c>
      <c r="J722" s="58" t="s">
        <v>185</v>
      </c>
      <c r="K722">
        <v>38000</v>
      </c>
      <c r="L722" s="74">
        <v>12.315</v>
      </c>
      <c r="M722" s="85">
        <v>13</v>
      </c>
      <c r="N722" s="74">
        <v>0.40500000000000003</v>
      </c>
      <c r="O722">
        <v>2</v>
      </c>
      <c r="P722" s="84">
        <v>0.40500000000000003</v>
      </c>
      <c r="Q722" s="86">
        <v>4.2</v>
      </c>
      <c r="R722" s="85">
        <v>4.2</v>
      </c>
      <c r="S722" s="87">
        <v>1545240</v>
      </c>
      <c r="T722" s="1">
        <v>1</v>
      </c>
      <c r="U722" s="88">
        <v>367914.28571428568</v>
      </c>
      <c r="V722" s="59">
        <v>2.7180243845616214</v>
      </c>
      <c r="X722" s="98">
        <v>117.60000000000002</v>
      </c>
      <c r="Y722" s="97">
        <v>36.49166666666666</v>
      </c>
    </row>
    <row r="723" spans="1:25">
      <c r="A723" s="58">
        <v>723</v>
      </c>
      <c r="B723" s="58">
        <v>723</v>
      </c>
      <c r="C723" s="58" t="s">
        <v>1262</v>
      </c>
      <c r="D723" s="58" t="s">
        <v>176</v>
      </c>
      <c r="E723" s="58" t="s">
        <v>176</v>
      </c>
      <c r="F723" s="58" t="s">
        <v>265</v>
      </c>
      <c r="G723" s="58" t="s">
        <v>266</v>
      </c>
      <c r="H723" s="58" t="s">
        <v>179</v>
      </c>
      <c r="I723">
        <v>38000</v>
      </c>
      <c r="J723">
        <v>38000</v>
      </c>
      <c r="K723" s="58" t="s">
        <v>185</v>
      </c>
      <c r="L723" s="74">
        <v>10.756</v>
      </c>
      <c r="M723" s="85">
        <v>11</v>
      </c>
      <c r="N723" s="74">
        <v>2.8490000000000002</v>
      </c>
      <c r="O723">
        <v>2</v>
      </c>
      <c r="P723" s="84">
        <v>2.1367500000000001</v>
      </c>
      <c r="Q723" s="86">
        <v>25.200000000000003</v>
      </c>
      <c r="R723" s="85">
        <v>25.200000000000003</v>
      </c>
      <c r="S723" s="87">
        <v>1324920</v>
      </c>
      <c r="T723" s="1">
        <v>5</v>
      </c>
      <c r="U723" s="88">
        <v>52576.190476190473</v>
      </c>
      <c r="V723" s="59">
        <v>19.02001630287112</v>
      </c>
      <c r="X723" s="98">
        <v>4.2</v>
      </c>
      <c r="Y723" s="97">
        <v>367.91428571428571</v>
      </c>
    </row>
    <row r="724" spans="1:25">
      <c r="A724" s="58">
        <v>724</v>
      </c>
      <c r="B724" s="58">
        <v>724</v>
      </c>
      <c r="C724" s="58" t="s">
        <v>1263</v>
      </c>
      <c r="D724" s="58" t="s">
        <v>176</v>
      </c>
      <c r="E724" s="58" t="s">
        <v>176</v>
      </c>
      <c r="F724" s="58" t="s">
        <v>265</v>
      </c>
      <c r="G724" s="58" t="s">
        <v>266</v>
      </c>
      <c r="H724" s="58" t="s">
        <v>179</v>
      </c>
      <c r="I724">
        <v>38000</v>
      </c>
      <c r="J724">
        <v>38000</v>
      </c>
      <c r="K724" s="58" t="s">
        <v>185</v>
      </c>
      <c r="L724" s="74">
        <v>17.132999999999999</v>
      </c>
      <c r="M724" s="85">
        <v>18</v>
      </c>
      <c r="N724" s="74">
        <v>1.444</v>
      </c>
      <c r="O724">
        <v>2</v>
      </c>
      <c r="P724" s="84">
        <v>1.083</v>
      </c>
      <c r="Q724" s="86">
        <v>12.600000000000001</v>
      </c>
      <c r="R724" s="85">
        <v>12.600000000000001</v>
      </c>
      <c r="S724" s="87">
        <v>1891150</v>
      </c>
      <c r="T724" s="1">
        <v>3</v>
      </c>
      <c r="U724" s="88">
        <v>150091.26984126982</v>
      </c>
      <c r="V724" s="59">
        <v>6.6626126959786385</v>
      </c>
      <c r="X724" s="98">
        <v>25.200000000000003</v>
      </c>
      <c r="Y724" s="97">
        <v>52.576190476190469</v>
      </c>
    </row>
    <row r="725" spans="1:25">
      <c r="A725" s="58">
        <v>725</v>
      </c>
      <c r="B725" s="58">
        <v>725</v>
      </c>
      <c r="C725" s="58" t="s">
        <v>1264</v>
      </c>
      <c r="D725" s="58" t="s">
        <v>176</v>
      </c>
      <c r="E725" s="58" t="s">
        <v>176</v>
      </c>
      <c r="F725" s="58" t="s">
        <v>265</v>
      </c>
      <c r="G725" s="58" t="s">
        <v>266</v>
      </c>
      <c r="H725" s="58" t="s">
        <v>179</v>
      </c>
      <c r="I725">
        <v>38000</v>
      </c>
      <c r="J725">
        <v>38000</v>
      </c>
      <c r="K725" s="58" t="s">
        <v>185</v>
      </c>
      <c r="L725" s="74">
        <v>11.416</v>
      </c>
      <c r="M725" s="85">
        <v>12</v>
      </c>
      <c r="N725" s="74">
        <v>3.1779999999999999</v>
      </c>
      <c r="O725">
        <v>2</v>
      </c>
      <c r="P725" s="84">
        <v>2.3834999999999997</v>
      </c>
      <c r="Q725" s="86">
        <v>29.400000000000006</v>
      </c>
      <c r="R725" s="85">
        <v>29.400000000000006</v>
      </c>
      <c r="S725" s="87">
        <v>1413750</v>
      </c>
      <c r="T725" s="1">
        <v>5</v>
      </c>
      <c r="U725" s="88">
        <v>48086.734693877544</v>
      </c>
      <c r="V725" s="59">
        <v>20.795755968169768</v>
      </c>
      <c r="X725" s="98">
        <v>12.600000000000001</v>
      </c>
      <c r="Y725" s="97">
        <v>150.09126984126982</v>
      </c>
    </row>
    <row r="726" spans="1:25">
      <c r="A726" s="58">
        <v>726</v>
      </c>
      <c r="B726" s="58">
        <v>726</v>
      </c>
      <c r="C726" s="58" t="s">
        <v>1265</v>
      </c>
      <c r="D726" s="58" t="s">
        <v>176</v>
      </c>
      <c r="E726" s="58" t="s">
        <v>176</v>
      </c>
      <c r="F726" s="58" t="s">
        <v>265</v>
      </c>
      <c r="G726" s="58" t="s">
        <v>266</v>
      </c>
      <c r="H726" s="58" t="s">
        <v>179</v>
      </c>
      <c r="I726">
        <v>38000</v>
      </c>
      <c r="J726">
        <v>38000</v>
      </c>
      <c r="K726" s="58" t="s">
        <v>185</v>
      </c>
      <c r="L726" s="74">
        <v>16.462</v>
      </c>
      <c r="M726" s="85">
        <v>17</v>
      </c>
      <c r="N726" s="74">
        <v>0.49299999999999999</v>
      </c>
      <c r="O726">
        <v>2</v>
      </c>
      <c r="P726" s="84">
        <v>0.49299999999999999</v>
      </c>
      <c r="Q726" s="86">
        <v>4.2</v>
      </c>
      <c r="R726" s="85">
        <v>4.2</v>
      </c>
      <c r="S726" s="87">
        <v>1756040</v>
      </c>
      <c r="T726" s="1">
        <v>1</v>
      </c>
      <c r="U726" s="88">
        <v>418104.76190476189</v>
      </c>
      <c r="V726" s="59">
        <v>2.3917450627548349</v>
      </c>
      <c r="X726" s="98">
        <v>29.400000000000006</v>
      </c>
      <c r="Y726" s="97">
        <v>48.086734693877546</v>
      </c>
    </row>
    <row r="727" spans="1:25">
      <c r="A727" s="58">
        <v>727</v>
      </c>
      <c r="B727" s="58">
        <v>727</v>
      </c>
      <c r="C727" s="58" t="s">
        <v>1266</v>
      </c>
      <c r="D727" s="58" t="s">
        <v>176</v>
      </c>
      <c r="E727" s="58" t="s">
        <v>176</v>
      </c>
      <c r="F727" s="58" t="s">
        <v>269</v>
      </c>
      <c r="G727" s="58" t="s">
        <v>270</v>
      </c>
      <c r="H727" s="58" t="s">
        <v>179</v>
      </c>
      <c r="I727">
        <v>38000</v>
      </c>
      <c r="J727">
        <v>38000</v>
      </c>
      <c r="K727">
        <v>20000</v>
      </c>
      <c r="L727" s="74">
        <v>15.486000000000001</v>
      </c>
      <c r="M727" s="85">
        <v>16</v>
      </c>
      <c r="N727" s="74">
        <v>3.4940000000000002</v>
      </c>
      <c r="O727">
        <v>2</v>
      </c>
      <c r="P727" s="84">
        <v>2.6205000000000003</v>
      </c>
      <c r="Q727" s="86">
        <v>29.400000000000006</v>
      </c>
      <c r="R727" s="85">
        <v>29.400000000000006</v>
      </c>
      <c r="S727" s="87">
        <v>1769070</v>
      </c>
      <c r="T727" s="1">
        <v>5</v>
      </c>
      <c r="U727" s="88">
        <v>60172.448979591827</v>
      </c>
      <c r="V727" s="59">
        <v>16.618901456697593</v>
      </c>
      <c r="X727" s="98">
        <v>4.2</v>
      </c>
      <c r="Y727" s="97">
        <v>418.10476190476186</v>
      </c>
    </row>
    <row r="728" spans="1:25">
      <c r="A728" s="58">
        <v>728</v>
      </c>
      <c r="B728" s="58">
        <v>728</v>
      </c>
      <c r="C728" s="58" t="s">
        <v>1267</v>
      </c>
      <c r="D728" s="58" t="s">
        <v>176</v>
      </c>
      <c r="E728" s="58" t="s">
        <v>176</v>
      </c>
      <c r="F728" s="58" t="s">
        <v>262</v>
      </c>
      <c r="G728" s="58" t="s">
        <v>263</v>
      </c>
      <c r="H728" s="58" t="s">
        <v>179</v>
      </c>
      <c r="I728">
        <v>38000</v>
      </c>
      <c r="J728" s="58" t="s">
        <v>185</v>
      </c>
      <c r="K728">
        <v>38000</v>
      </c>
      <c r="L728" s="74">
        <v>18.593</v>
      </c>
      <c r="M728" s="85">
        <v>19</v>
      </c>
      <c r="N728" s="74">
        <v>1</v>
      </c>
      <c r="O728">
        <v>2</v>
      </c>
      <c r="P728" s="84">
        <v>0.75</v>
      </c>
      <c r="Q728" s="86">
        <v>8.4</v>
      </c>
      <c r="R728" s="85">
        <v>8.4</v>
      </c>
      <c r="S728" s="87">
        <v>1906800</v>
      </c>
      <c r="T728" s="1">
        <v>2</v>
      </c>
      <c r="U728" s="88">
        <v>227000</v>
      </c>
      <c r="V728" s="59">
        <v>4.4052863436123344</v>
      </c>
      <c r="X728" s="98">
        <v>29.400000000000006</v>
      </c>
      <c r="Y728" s="97">
        <v>60.172448979591827</v>
      </c>
    </row>
    <row r="729" spans="1:25">
      <c r="A729" s="58">
        <v>729</v>
      </c>
      <c r="B729" s="58">
        <v>729</v>
      </c>
      <c r="C729" s="58" t="s">
        <v>1268</v>
      </c>
      <c r="D729" s="58" t="s">
        <v>176</v>
      </c>
      <c r="E729" s="58" t="s">
        <v>176</v>
      </c>
      <c r="F729" s="58" t="s">
        <v>1269</v>
      </c>
      <c r="G729" s="58" t="s">
        <v>1270</v>
      </c>
      <c r="H729" s="58" t="s">
        <v>199</v>
      </c>
      <c r="I729">
        <v>110000</v>
      </c>
      <c r="J729">
        <v>110000</v>
      </c>
      <c r="K729">
        <v>38000</v>
      </c>
      <c r="L729" s="74">
        <v>13.653</v>
      </c>
      <c r="M729" s="85">
        <v>14</v>
      </c>
      <c r="N729" s="74">
        <v>5.2519999999999998</v>
      </c>
      <c r="O729">
        <v>2</v>
      </c>
      <c r="P729" s="84">
        <v>3.9390000000000001</v>
      </c>
      <c r="Q729" s="86">
        <v>46.2</v>
      </c>
      <c r="R729" s="85">
        <v>46.2</v>
      </c>
      <c r="S729" s="87">
        <v>3869800</v>
      </c>
      <c r="T729" s="1">
        <v>11</v>
      </c>
      <c r="U729" s="88">
        <v>83761.904761904763</v>
      </c>
      <c r="V729" s="59">
        <v>11.938601478112563</v>
      </c>
      <c r="X729" s="98">
        <v>8.4</v>
      </c>
      <c r="Y729" s="97">
        <v>227</v>
      </c>
    </row>
    <row r="730" spans="1:25">
      <c r="A730" s="89">
        <v>730</v>
      </c>
      <c r="B730" s="89">
        <v>730</v>
      </c>
      <c r="C730" s="89" t="s">
        <v>1271</v>
      </c>
      <c r="D730" s="58" t="s">
        <v>176</v>
      </c>
      <c r="E730" s="58" t="s">
        <v>176</v>
      </c>
      <c r="F730" s="89" t="s">
        <v>265</v>
      </c>
      <c r="G730" s="89" t="s">
        <v>266</v>
      </c>
      <c r="H730" s="89" t="s">
        <v>179</v>
      </c>
      <c r="I730" s="90">
        <v>38000</v>
      </c>
      <c r="J730" s="90">
        <v>38000</v>
      </c>
      <c r="K730" s="89" t="s">
        <v>185</v>
      </c>
      <c r="L730" s="91">
        <v>13.314</v>
      </c>
      <c r="M730" s="92">
        <v>14</v>
      </c>
      <c r="N730" s="91">
        <v>5.0419999999999998</v>
      </c>
      <c r="O730" s="90">
        <v>2</v>
      </c>
      <c r="P730" s="92">
        <v>3.7814999999999999</v>
      </c>
      <c r="Q730" s="93">
        <v>46.2</v>
      </c>
      <c r="R730" s="92">
        <v>46.2</v>
      </c>
      <c r="S730" s="87">
        <v>3869800</v>
      </c>
      <c r="T730" s="94">
        <v>11</v>
      </c>
      <c r="U730" s="95">
        <v>83761.904761904763</v>
      </c>
      <c r="V730" s="96">
        <v>11.938601478112563</v>
      </c>
      <c r="X730" s="98">
        <v>46.2</v>
      </c>
      <c r="Y730" s="97">
        <v>83.761904761904759</v>
      </c>
    </row>
    <row r="731" spans="1:25">
      <c r="A731" s="58">
        <v>731</v>
      </c>
      <c r="B731" s="58">
        <v>731</v>
      </c>
      <c r="C731" s="58" t="s">
        <v>1272</v>
      </c>
      <c r="D731" s="58" t="s">
        <v>176</v>
      </c>
      <c r="E731" s="58" t="s">
        <v>176</v>
      </c>
      <c r="F731" s="58" t="s">
        <v>285</v>
      </c>
      <c r="G731" s="58" t="s">
        <v>286</v>
      </c>
      <c r="H731" s="58" t="s">
        <v>179</v>
      </c>
      <c r="I731">
        <v>38000</v>
      </c>
      <c r="J731">
        <v>38000</v>
      </c>
      <c r="K731">
        <v>20000</v>
      </c>
      <c r="L731" s="74">
        <v>4.3529999999999998</v>
      </c>
      <c r="M731" s="85">
        <v>5</v>
      </c>
      <c r="N731" s="74">
        <v>1.31</v>
      </c>
      <c r="O731">
        <v>2</v>
      </c>
      <c r="P731" s="84">
        <v>0.98250000000000004</v>
      </c>
      <c r="Q731" s="86">
        <v>8.4</v>
      </c>
      <c r="R731" s="85">
        <v>8.4</v>
      </c>
      <c r="S731" s="87">
        <v>699140</v>
      </c>
      <c r="T731" s="1">
        <v>4</v>
      </c>
      <c r="U731" s="88">
        <v>83230.952380952382</v>
      </c>
      <c r="V731" s="59">
        <v>12.014760992075979</v>
      </c>
      <c r="X731" s="98">
        <v>46.2</v>
      </c>
      <c r="Y731" s="97">
        <v>83.761904761904759</v>
      </c>
    </row>
    <row r="732" spans="1:25">
      <c r="A732" s="58">
        <v>732</v>
      </c>
      <c r="B732" s="58">
        <v>732</v>
      </c>
      <c r="C732" s="58" t="s">
        <v>1273</v>
      </c>
      <c r="D732" s="58" t="s">
        <v>176</v>
      </c>
      <c r="E732" s="58" t="s">
        <v>176</v>
      </c>
      <c r="F732" s="58" t="s">
        <v>265</v>
      </c>
      <c r="G732" s="58" t="s">
        <v>266</v>
      </c>
      <c r="H732" s="58" t="s">
        <v>179</v>
      </c>
      <c r="I732">
        <v>38000</v>
      </c>
      <c r="J732">
        <v>38000</v>
      </c>
      <c r="K732" s="58" t="s">
        <v>185</v>
      </c>
      <c r="L732" s="74">
        <v>5.7990000000000004</v>
      </c>
      <c r="M732" s="85">
        <v>6</v>
      </c>
      <c r="N732" s="74">
        <v>4.9050000000000002</v>
      </c>
      <c r="O732">
        <v>2</v>
      </c>
      <c r="P732" s="84">
        <v>3.67875</v>
      </c>
      <c r="Q732" s="86">
        <v>42</v>
      </c>
      <c r="R732" s="85">
        <v>42</v>
      </c>
      <c r="S732" s="87">
        <v>1015350</v>
      </c>
      <c r="T732" s="1">
        <v>6</v>
      </c>
      <c r="U732" s="88">
        <v>24175</v>
      </c>
      <c r="V732" s="59">
        <v>41.365046535677351</v>
      </c>
      <c r="X732" s="98">
        <v>8.4</v>
      </c>
      <c r="Y732" s="97">
        <v>83.230952380952374</v>
      </c>
    </row>
    <row r="733" spans="1:25">
      <c r="A733" s="58">
        <v>733</v>
      </c>
      <c r="B733" s="58">
        <v>733</v>
      </c>
      <c r="C733" s="58" t="s">
        <v>1274</v>
      </c>
      <c r="D733" s="58" t="s">
        <v>176</v>
      </c>
      <c r="E733" s="58" t="s">
        <v>176</v>
      </c>
      <c r="F733" s="58" t="s">
        <v>265</v>
      </c>
      <c r="G733" s="58" t="s">
        <v>266</v>
      </c>
      <c r="H733" s="58" t="s">
        <v>179</v>
      </c>
      <c r="I733">
        <v>38000</v>
      </c>
      <c r="J733">
        <v>38000</v>
      </c>
      <c r="K733" s="58" t="s">
        <v>185</v>
      </c>
      <c r="L733" s="74">
        <v>6.1369999999999996</v>
      </c>
      <c r="M733" s="85">
        <v>7</v>
      </c>
      <c r="N733" s="74">
        <v>0.44500000000000001</v>
      </c>
      <c r="O733">
        <v>2</v>
      </c>
      <c r="P733" s="84">
        <v>0.44500000000000001</v>
      </c>
      <c r="Q733" s="86">
        <v>4.2</v>
      </c>
      <c r="R733" s="85">
        <v>4.2</v>
      </c>
      <c r="S733" s="87">
        <v>839680</v>
      </c>
      <c r="T733" s="1">
        <v>4</v>
      </c>
      <c r="U733" s="88">
        <v>199923.80952380953</v>
      </c>
      <c r="V733" s="59">
        <v>5.0019054878048781</v>
      </c>
      <c r="X733" s="98">
        <v>42</v>
      </c>
      <c r="Y733" s="97">
        <v>24.174999999999997</v>
      </c>
    </row>
    <row r="734" spans="1:25">
      <c r="A734" s="89">
        <v>734</v>
      </c>
      <c r="B734" s="89">
        <v>734</v>
      </c>
      <c r="C734" s="89" t="s">
        <v>1275</v>
      </c>
      <c r="D734" s="58" t="s">
        <v>176</v>
      </c>
      <c r="E734" s="58" t="s">
        <v>176</v>
      </c>
      <c r="F734" s="89" t="s">
        <v>285</v>
      </c>
      <c r="G734" s="89" t="s">
        <v>286</v>
      </c>
      <c r="H734" s="89" t="s">
        <v>179</v>
      </c>
      <c r="I734" s="90">
        <v>38000</v>
      </c>
      <c r="J734" s="90">
        <v>38000</v>
      </c>
      <c r="K734" s="90">
        <v>20000</v>
      </c>
      <c r="L734" s="91">
        <v>6.6109999999999998</v>
      </c>
      <c r="M734" s="92">
        <v>7</v>
      </c>
      <c r="N734" s="91">
        <v>22.834</v>
      </c>
      <c r="O734" s="90">
        <v>2</v>
      </c>
      <c r="P734" s="92">
        <v>17.125499999999999</v>
      </c>
      <c r="Q734" s="93">
        <v>210</v>
      </c>
      <c r="R734" s="92">
        <v>210</v>
      </c>
      <c r="S734" s="87">
        <v>7158040</v>
      </c>
      <c r="T734" s="94">
        <v>12</v>
      </c>
      <c r="U734" s="95">
        <v>34085.904761904763</v>
      </c>
      <c r="V734" s="96">
        <v>29.337639912601773</v>
      </c>
      <c r="X734" s="98">
        <v>4.2</v>
      </c>
      <c r="Y734" s="97">
        <v>199.92380952380952</v>
      </c>
    </row>
    <row r="735" spans="1:25">
      <c r="A735" s="58">
        <v>735</v>
      </c>
      <c r="B735" s="58">
        <v>735</v>
      </c>
      <c r="C735" s="58" t="s">
        <v>1276</v>
      </c>
      <c r="D735" s="58" t="s">
        <v>176</v>
      </c>
      <c r="E735" s="58" t="s">
        <v>176</v>
      </c>
      <c r="F735" s="58" t="s">
        <v>265</v>
      </c>
      <c r="G735" s="58" t="s">
        <v>266</v>
      </c>
      <c r="H735" s="58" t="s">
        <v>179</v>
      </c>
      <c r="I735">
        <v>38000</v>
      </c>
      <c r="J735">
        <v>38000</v>
      </c>
      <c r="K735" s="58" t="s">
        <v>185</v>
      </c>
      <c r="L735" s="74">
        <v>5.4219999999999997</v>
      </c>
      <c r="M735" s="85">
        <v>6</v>
      </c>
      <c r="N735" s="74">
        <v>1.1759999999999999</v>
      </c>
      <c r="O735">
        <v>2</v>
      </c>
      <c r="P735" s="84">
        <v>0.8819999999999999</v>
      </c>
      <c r="Q735" s="86">
        <v>8.4</v>
      </c>
      <c r="R735" s="85">
        <v>8.4</v>
      </c>
      <c r="S735" s="87">
        <v>769410</v>
      </c>
      <c r="T735" s="1">
        <v>4</v>
      </c>
      <c r="U735" s="88">
        <v>91596.428571428565</v>
      </c>
      <c r="V735" s="59">
        <v>10.917456232697781</v>
      </c>
      <c r="X735" s="98">
        <v>210</v>
      </c>
      <c r="Y735" s="97">
        <v>34.085904761904764</v>
      </c>
    </row>
    <row r="736" spans="1:25">
      <c r="A736" s="58">
        <v>736</v>
      </c>
      <c r="B736" s="58">
        <v>736</v>
      </c>
      <c r="C736" s="58" t="s">
        <v>1277</v>
      </c>
      <c r="D736" s="58" t="s">
        <v>176</v>
      </c>
      <c r="E736" s="58" t="s">
        <v>176</v>
      </c>
      <c r="F736" s="58" t="s">
        <v>265</v>
      </c>
      <c r="G736" s="58" t="s">
        <v>266</v>
      </c>
      <c r="H736" s="58" t="s">
        <v>179</v>
      </c>
      <c r="I736">
        <v>38000</v>
      </c>
      <c r="J736">
        <v>38000</v>
      </c>
      <c r="K736" s="58" t="s">
        <v>185</v>
      </c>
      <c r="L736" s="74">
        <v>15.583</v>
      </c>
      <c r="M736" s="85">
        <v>16</v>
      </c>
      <c r="N736" s="74">
        <v>2.7269999999999999</v>
      </c>
      <c r="O736">
        <v>2</v>
      </c>
      <c r="P736" s="84">
        <v>2.0452499999999998</v>
      </c>
      <c r="Q736" s="86">
        <v>25.200000000000003</v>
      </c>
      <c r="R736" s="85">
        <v>25.200000000000003</v>
      </c>
      <c r="S736" s="87">
        <v>1769070</v>
      </c>
      <c r="T736" s="1">
        <v>5</v>
      </c>
      <c r="U736" s="88">
        <v>70201.190476190473</v>
      </c>
      <c r="V736" s="59">
        <v>14.244772677169362</v>
      </c>
      <c r="X736" s="98">
        <v>8.4</v>
      </c>
      <c r="Y736" s="97">
        <v>91.596428571428561</v>
      </c>
    </row>
    <row r="737" spans="1:25">
      <c r="A737" s="58">
        <v>737</v>
      </c>
      <c r="B737" s="58">
        <v>737</v>
      </c>
      <c r="C737" s="58" t="s">
        <v>1278</v>
      </c>
      <c r="D737" s="58" t="s">
        <v>176</v>
      </c>
      <c r="E737" s="58" t="s">
        <v>176</v>
      </c>
      <c r="F737" s="58" t="s">
        <v>262</v>
      </c>
      <c r="G737" s="58" t="s">
        <v>263</v>
      </c>
      <c r="H737" s="58" t="s">
        <v>179</v>
      </c>
      <c r="I737">
        <v>38000</v>
      </c>
      <c r="J737" s="58" t="s">
        <v>185</v>
      </c>
      <c r="K737">
        <v>38000</v>
      </c>
      <c r="L737" s="74">
        <v>7.63</v>
      </c>
      <c r="M737" s="85">
        <v>8</v>
      </c>
      <c r="N737" s="74">
        <v>0.52700000000000002</v>
      </c>
      <c r="O737">
        <v>2</v>
      </c>
      <c r="P737" s="84">
        <v>0.52700000000000002</v>
      </c>
      <c r="Q737" s="86">
        <v>4.2</v>
      </c>
      <c r="R737" s="85">
        <v>4.2</v>
      </c>
      <c r="S737" s="87">
        <v>909950</v>
      </c>
      <c r="T737" s="1">
        <v>4</v>
      </c>
      <c r="U737" s="88">
        <v>216654.76190476189</v>
      </c>
      <c r="V737" s="59">
        <v>4.6156382218803227</v>
      </c>
      <c r="X737" s="98">
        <v>25.200000000000003</v>
      </c>
      <c r="Y737" s="97">
        <v>70.201190476190476</v>
      </c>
    </row>
    <row r="738" spans="1:25">
      <c r="A738" s="58">
        <v>738</v>
      </c>
      <c r="B738" s="58">
        <v>738</v>
      </c>
      <c r="C738" s="58" t="s">
        <v>1279</v>
      </c>
      <c r="D738" s="58" t="s">
        <v>176</v>
      </c>
      <c r="E738" s="58" t="s">
        <v>176</v>
      </c>
      <c r="F738" s="58" t="s">
        <v>177</v>
      </c>
      <c r="G738" s="58" t="s">
        <v>178</v>
      </c>
      <c r="H738" s="58" t="s">
        <v>179</v>
      </c>
      <c r="I738">
        <v>38000</v>
      </c>
      <c r="J738">
        <v>38000</v>
      </c>
      <c r="K738">
        <v>20000</v>
      </c>
      <c r="L738" s="74">
        <v>6.9850000000000003</v>
      </c>
      <c r="M738" s="85">
        <v>7</v>
      </c>
      <c r="N738" s="74">
        <v>0.45</v>
      </c>
      <c r="O738">
        <v>2</v>
      </c>
      <c r="P738" s="84">
        <v>0.45</v>
      </c>
      <c r="Q738" s="86">
        <v>4.2</v>
      </c>
      <c r="R738" s="85">
        <v>4.2</v>
      </c>
      <c r="S738" s="87">
        <v>839680</v>
      </c>
      <c r="T738" s="1">
        <v>4</v>
      </c>
      <c r="U738" s="88">
        <v>199923.80952380953</v>
      </c>
      <c r="V738" s="59">
        <v>5.0019054878048781</v>
      </c>
      <c r="X738" s="98">
        <v>4.2</v>
      </c>
      <c r="Y738" s="97">
        <v>216.6547619047619</v>
      </c>
    </row>
    <row r="739" spans="1:25">
      <c r="A739" s="58">
        <v>739</v>
      </c>
      <c r="B739" s="58">
        <v>739</v>
      </c>
      <c r="C739" s="58" t="s">
        <v>1280</v>
      </c>
      <c r="D739" s="58" t="s">
        <v>176</v>
      </c>
      <c r="E739" s="58" t="s">
        <v>176</v>
      </c>
      <c r="F739" s="58" t="s">
        <v>262</v>
      </c>
      <c r="G739" s="58" t="s">
        <v>263</v>
      </c>
      <c r="H739" s="58" t="s">
        <v>179</v>
      </c>
      <c r="I739">
        <v>38000</v>
      </c>
      <c r="J739" s="58" t="s">
        <v>185</v>
      </c>
      <c r="K739">
        <v>38000</v>
      </c>
      <c r="L739" s="74">
        <v>9.0920000000000005</v>
      </c>
      <c r="M739" s="85">
        <v>10</v>
      </c>
      <c r="N739" s="74">
        <v>1.2969999999999999</v>
      </c>
      <c r="O739">
        <v>2</v>
      </c>
      <c r="P739" s="84">
        <v>0.97275</v>
      </c>
      <c r="Q739" s="86">
        <v>8.4</v>
      </c>
      <c r="R739" s="85">
        <v>8.4</v>
      </c>
      <c r="S739" s="87">
        <v>1432500</v>
      </c>
      <c r="T739" s="1">
        <v>2</v>
      </c>
      <c r="U739" s="88">
        <v>170535.71428571429</v>
      </c>
      <c r="V739" s="59">
        <v>5.8638743455497382</v>
      </c>
      <c r="X739" s="98">
        <v>4.2</v>
      </c>
      <c r="Y739" s="97">
        <v>199.92380952380952</v>
      </c>
    </row>
    <row r="740" spans="1:25">
      <c r="A740" s="58">
        <v>740</v>
      </c>
      <c r="B740" s="58">
        <v>740</v>
      </c>
      <c r="C740" s="58" t="s">
        <v>1281</v>
      </c>
      <c r="D740" s="58" t="s">
        <v>176</v>
      </c>
      <c r="E740" s="58" t="s">
        <v>176</v>
      </c>
      <c r="F740" s="58" t="s">
        <v>177</v>
      </c>
      <c r="G740" s="58" t="s">
        <v>178</v>
      </c>
      <c r="H740" s="58" t="s">
        <v>179</v>
      </c>
      <c r="I740">
        <v>38000</v>
      </c>
      <c r="J740">
        <v>38000</v>
      </c>
      <c r="K740">
        <v>20000</v>
      </c>
      <c r="L740" s="74">
        <v>5.516</v>
      </c>
      <c r="M740" s="85">
        <v>6</v>
      </c>
      <c r="N740" s="74">
        <v>0.97699999999999998</v>
      </c>
      <c r="O740">
        <v>2</v>
      </c>
      <c r="P740" s="84">
        <v>0.73275000000000001</v>
      </c>
      <c r="Q740" s="86">
        <v>8.4</v>
      </c>
      <c r="R740" s="85">
        <v>8.4</v>
      </c>
      <c r="S740" s="87">
        <v>769410</v>
      </c>
      <c r="T740" s="1">
        <v>4</v>
      </c>
      <c r="U740" s="88">
        <v>91596.428571428565</v>
      </c>
      <c r="V740" s="59">
        <v>10.917456232697781</v>
      </c>
      <c r="X740" s="98">
        <v>8.4</v>
      </c>
      <c r="Y740" s="97">
        <v>170.53571428571428</v>
      </c>
    </row>
    <row r="741" spans="1:25">
      <c r="A741" s="58">
        <v>741</v>
      </c>
      <c r="B741" s="58">
        <v>741</v>
      </c>
      <c r="C741" s="58" t="s">
        <v>1282</v>
      </c>
      <c r="D741" s="58" t="s">
        <v>176</v>
      </c>
      <c r="E741" s="58" t="s">
        <v>176</v>
      </c>
      <c r="F741" s="58" t="s">
        <v>262</v>
      </c>
      <c r="G741" s="58" t="s">
        <v>263</v>
      </c>
      <c r="H741" s="58" t="s">
        <v>179</v>
      </c>
      <c r="I741">
        <v>38000</v>
      </c>
      <c r="J741" s="58" t="s">
        <v>185</v>
      </c>
      <c r="K741">
        <v>38000</v>
      </c>
      <c r="L741" s="74">
        <v>9.2040000000000006</v>
      </c>
      <c r="M741" s="85">
        <v>10</v>
      </c>
      <c r="N741" s="74">
        <v>4.0289999999999999</v>
      </c>
      <c r="O741">
        <v>2</v>
      </c>
      <c r="P741" s="84">
        <v>3.0217499999999999</v>
      </c>
      <c r="Q741" s="86">
        <v>33.6</v>
      </c>
      <c r="R741" s="85">
        <v>33.6</v>
      </c>
      <c r="S741" s="87">
        <v>1460390</v>
      </c>
      <c r="T741" s="1">
        <v>6</v>
      </c>
      <c r="U741" s="88">
        <v>43463.988095238092</v>
      </c>
      <c r="V741" s="59">
        <v>23.007552776997926</v>
      </c>
      <c r="X741" s="98">
        <v>8.4</v>
      </c>
      <c r="Y741" s="97">
        <v>91.596428571428561</v>
      </c>
    </row>
    <row r="742" spans="1:25">
      <c r="A742" s="58">
        <v>742</v>
      </c>
      <c r="B742" s="58">
        <v>742</v>
      </c>
      <c r="C742" s="58" t="s">
        <v>1283</v>
      </c>
      <c r="D742" s="58" t="s">
        <v>176</v>
      </c>
      <c r="E742" s="58" t="s">
        <v>176</v>
      </c>
      <c r="F742" s="58" t="s">
        <v>262</v>
      </c>
      <c r="G742" s="58" t="s">
        <v>263</v>
      </c>
      <c r="H742" s="58" t="s">
        <v>179</v>
      </c>
      <c r="I742">
        <v>38000</v>
      </c>
      <c r="J742" s="58" t="s">
        <v>185</v>
      </c>
      <c r="K742">
        <v>38000</v>
      </c>
      <c r="L742" s="74">
        <v>15.202</v>
      </c>
      <c r="M742" s="85">
        <v>16</v>
      </c>
      <c r="N742" s="74">
        <v>2.145</v>
      </c>
      <c r="O742">
        <v>2</v>
      </c>
      <c r="P742" s="84">
        <v>1.6087500000000001</v>
      </c>
      <c r="Q742" s="86">
        <v>16.8</v>
      </c>
      <c r="R742" s="85">
        <v>16.8</v>
      </c>
      <c r="S742" s="87">
        <v>1472110</v>
      </c>
      <c r="T742" s="1">
        <v>4</v>
      </c>
      <c r="U742" s="88">
        <v>87625.595238095237</v>
      </c>
      <c r="V742" s="59">
        <v>11.412190665099756</v>
      </c>
      <c r="X742" s="98">
        <v>33.6</v>
      </c>
      <c r="Y742" s="97">
        <v>43.463988095238093</v>
      </c>
    </row>
    <row r="743" spans="1:25">
      <c r="A743" s="89">
        <v>743</v>
      </c>
      <c r="B743" s="89">
        <v>743</v>
      </c>
      <c r="C743" s="89" t="s">
        <v>1284</v>
      </c>
      <c r="D743" s="58" t="s">
        <v>176</v>
      </c>
      <c r="E743" s="58" t="s">
        <v>176</v>
      </c>
      <c r="F743" s="89" t="s">
        <v>262</v>
      </c>
      <c r="G743" s="89" t="s">
        <v>263</v>
      </c>
      <c r="H743" s="89" t="s">
        <v>179</v>
      </c>
      <c r="I743" s="90">
        <v>38000</v>
      </c>
      <c r="J743" s="89" t="s">
        <v>185</v>
      </c>
      <c r="K743" s="90">
        <v>38000</v>
      </c>
      <c r="L743" s="91">
        <v>12.385999999999999</v>
      </c>
      <c r="M743" s="92">
        <v>13</v>
      </c>
      <c r="N743" s="91">
        <v>5.7539999999999996</v>
      </c>
      <c r="O743" s="90">
        <v>2</v>
      </c>
      <c r="P743" s="92">
        <v>4.3155000000000001</v>
      </c>
      <c r="Q743" s="93">
        <v>50.400000000000006</v>
      </c>
      <c r="R743" s="92">
        <v>50.400000000000006</v>
      </c>
      <c r="S743" s="87">
        <v>3658990</v>
      </c>
      <c r="T743" s="94">
        <v>11</v>
      </c>
      <c r="U743" s="95">
        <v>72599.007936507929</v>
      </c>
      <c r="V743" s="96">
        <v>13.774292905965856</v>
      </c>
      <c r="X743" s="98">
        <v>16.8</v>
      </c>
      <c r="Y743" s="97">
        <v>87.625595238095244</v>
      </c>
    </row>
    <row r="744" spans="1:25">
      <c r="A744" s="58">
        <v>744</v>
      </c>
      <c r="B744" s="58">
        <v>744</v>
      </c>
      <c r="C744" s="58" t="s">
        <v>1285</v>
      </c>
      <c r="D744" s="58" t="s">
        <v>176</v>
      </c>
      <c r="E744" s="58" t="s">
        <v>176</v>
      </c>
      <c r="F744" s="58" t="s">
        <v>262</v>
      </c>
      <c r="G744" s="58" t="s">
        <v>263</v>
      </c>
      <c r="H744" s="58" t="s">
        <v>179</v>
      </c>
      <c r="I744">
        <v>38000</v>
      </c>
      <c r="J744" s="58" t="s">
        <v>185</v>
      </c>
      <c r="K744">
        <v>38000</v>
      </c>
      <c r="L744" s="74">
        <v>8.7720000000000002</v>
      </c>
      <c r="M744" s="85">
        <v>9</v>
      </c>
      <c r="N744" s="74">
        <v>1.86</v>
      </c>
      <c r="O744">
        <v>2</v>
      </c>
      <c r="P744" s="84">
        <v>1.395</v>
      </c>
      <c r="Q744" s="86">
        <v>16.8</v>
      </c>
      <c r="R744" s="85">
        <v>16.8</v>
      </c>
      <c r="S744" s="87">
        <v>980220</v>
      </c>
      <c r="T744" s="1">
        <v>4</v>
      </c>
      <c r="U744" s="88">
        <v>58346.428571428572</v>
      </c>
      <c r="V744" s="59">
        <v>17.13900961008753</v>
      </c>
      <c r="X744" s="98">
        <v>50.400000000000006</v>
      </c>
      <c r="Y744" s="97">
        <v>72.599007936507931</v>
      </c>
    </row>
    <row r="745" spans="1:25">
      <c r="A745" s="58">
        <v>745</v>
      </c>
      <c r="B745" s="58">
        <v>745</v>
      </c>
      <c r="C745" s="58" t="s">
        <v>1286</v>
      </c>
      <c r="D745" s="58" t="s">
        <v>176</v>
      </c>
      <c r="E745" s="58" t="s">
        <v>176</v>
      </c>
      <c r="F745" s="58" t="s">
        <v>262</v>
      </c>
      <c r="G745" s="58" t="s">
        <v>263</v>
      </c>
      <c r="H745" s="58" t="s">
        <v>179</v>
      </c>
      <c r="I745">
        <v>38000</v>
      </c>
      <c r="J745" s="58" t="s">
        <v>185</v>
      </c>
      <c r="K745">
        <v>38000</v>
      </c>
      <c r="L745" s="74">
        <v>4.2</v>
      </c>
      <c r="M745" s="85">
        <v>5</v>
      </c>
      <c r="N745" s="74">
        <v>4.7809999999999997</v>
      </c>
      <c r="O745">
        <v>2</v>
      </c>
      <c r="P745" s="84">
        <v>3.58575</v>
      </c>
      <c r="Q745" s="86">
        <v>42</v>
      </c>
      <c r="R745" s="85">
        <v>42</v>
      </c>
      <c r="S745" s="87">
        <v>904090</v>
      </c>
      <c r="T745" s="1">
        <v>6</v>
      </c>
      <c r="U745" s="88">
        <v>21525.952380952382</v>
      </c>
      <c r="V745" s="59">
        <v>46.455551991505267</v>
      </c>
      <c r="X745" s="98">
        <v>16.8</v>
      </c>
      <c r="Y745" s="97">
        <v>58.346428571428568</v>
      </c>
    </row>
    <row r="746" spans="1:25">
      <c r="A746" s="58">
        <v>746</v>
      </c>
      <c r="B746" s="58">
        <v>746</v>
      </c>
      <c r="C746" s="58" t="s">
        <v>1287</v>
      </c>
      <c r="D746" s="58" t="s">
        <v>176</v>
      </c>
      <c r="E746" s="58" t="s">
        <v>176</v>
      </c>
      <c r="F746" s="58" t="s">
        <v>262</v>
      </c>
      <c r="G746" s="58" t="s">
        <v>263</v>
      </c>
      <c r="H746" s="58" t="s">
        <v>179</v>
      </c>
      <c r="I746">
        <v>38000</v>
      </c>
      <c r="J746" s="58" t="s">
        <v>185</v>
      </c>
      <c r="K746">
        <v>38000</v>
      </c>
      <c r="L746" s="74">
        <v>6.55</v>
      </c>
      <c r="M746" s="85">
        <v>7</v>
      </c>
      <c r="N746" s="74">
        <v>1.419</v>
      </c>
      <c r="O746">
        <v>2</v>
      </c>
      <c r="P746" s="84">
        <v>1.0642499999999999</v>
      </c>
      <c r="Q746" s="86">
        <v>12.600000000000001</v>
      </c>
      <c r="R746" s="85">
        <v>12.600000000000001</v>
      </c>
      <c r="S746" s="87">
        <v>839680</v>
      </c>
      <c r="T746" s="1">
        <v>4</v>
      </c>
      <c r="U746" s="88">
        <v>66641.269841269837</v>
      </c>
      <c r="V746" s="59">
        <v>15.005716463414636</v>
      </c>
      <c r="X746" s="98">
        <v>42</v>
      </c>
      <c r="Y746" s="97">
        <v>21.525952380952383</v>
      </c>
    </row>
    <row r="747" spans="1:25">
      <c r="A747" s="58">
        <v>747</v>
      </c>
      <c r="B747" s="58">
        <v>747</v>
      </c>
      <c r="C747" s="58" t="s">
        <v>1288</v>
      </c>
      <c r="D747" s="58" t="s">
        <v>176</v>
      </c>
      <c r="E747" s="58" t="s">
        <v>176</v>
      </c>
      <c r="F747" s="58" t="s">
        <v>262</v>
      </c>
      <c r="G747" s="58" t="s">
        <v>263</v>
      </c>
      <c r="H747" s="58" t="s">
        <v>179</v>
      </c>
      <c r="I747">
        <v>38000</v>
      </c>
      <c r="J747" s="58" t="s">
        <v>185</v>
      </c>
      <c r="K747">
        <v>38000</v>
      </c>
      <c r="L747" s="74">
        <v>9.0459999999999994</v>
      </c>
      <c r="M747" s="85">
        <v>10</v>
      </c>
      <c r="N747" s="74">
        <v>2.3879999999999999</v>
      </c>
      <c r="O747">
        <v>2</v>
      </c>
      <c r="P747" s="84">
        <v>1.7909999999999999</v>
      </c>
      <c r="Q747" s="86">
        <v>21</v>
      </c>
      <c r="R747" s="85">
        <v>21</v>
      </c>
      <c r="S747" s="87">
        <v>1050490</v>
      </c>
      <c r="T747" s="1">
        <v>4</v>
      </c>
      <c r="U747" s="88">
        <v>50023.333333333336</v>
      </c>
      <c r="V747" s="59">
        <v>19.990671020190579</v>
      </c>
      <c r="X747" s="98">
        <v>12.600000000000001</v>
      </c>
      <c r="Y747" s="97">
        <v>66.641269841269832</v>
      </c>
    </row>
    <row r="748" spans="1:25">
      <c r="A748" s="58">
        <v>748</v>
      </c>
      <c r="B748" s="58">
        <v>748</v>
      </c>
      <c r="C748" s="58" t="s">
        <v>1289</v>
      </c>
      <c r="D748" s="58" t="s">
        <v>176</v>
      </c>
      <c r="E748" s="58" t="s">
        <v>176</v>
      </c>
      <c r="F748" s="58" t="s">
        <v>269</v>
      </c>
      <c r="G748" s="58" t="s">
        <v>270</v>
      </c>
      <c r="H748" s="58" t="s">
        <v>179</v>
      </c>
      <c r="I748">
        <v>38000</v>
      </c>
      <c r="J748">
        <v>38000</v>
      </c>
      <c r="K748">
        <v>20000</v>
      </c>
      <c r="L748" s="74">
        <v>14.441000000000001</v>
      </c>
      <c r="M748" s="85">
        <v>15</v>
      </c>
      <c r="N748" s="74">
        <v>3.9540000000000002</v>
      </c>
      <c r="O748">
        <v>2</v>
      </c>
      <c r="P748" s="84">
        <v>2.9655</v>
      </c>
      <c r="Q748" s="86">
        <v>33.6</v>
      </c>
      <c r="R748" s="85">
        <v>33.6</v>
      </c>
      <c r="S748" s="87">
        <v>2016690</v>
      </c>
      <c r="T748" s="1">
        <v>6</v>
      </c>
      <c r="U748" s="88">
        <v>60020.53571428571</v>
      </c>
      <c r="V748" s="59">
        <v>16.660964253306162</v>
      </c>
      <c r="X748" s="98">
        <v>21</v>
      </c>
      <c r="Y748" s="97">
        <v>50.023333333333333</v>
      </c>
    </row>
    <row r="749" spans="1:25">
      <c r="A749" s="89">
        <v>749</v>
      </c>
      <c r="B749" s="89">
        <v>749</v>
      </c>
      <c r="C749" s="89" t="s">
        <v>1290</v>
      </c>
      <c r="D749" s="58" t="s">
        <v>215</v>
      </c>
      <c r="E749" s="58" t="s">
        <v>176</v>
      </c>
      <c r="F749" s="89" t="s">
        <v>257</v>
      </c>
      <c r="G749" s="89" t="s">
        <v>258</v>
      </c>
      <c r="H749" s="89" t="s">
        <v>179</v>
      </c>
      <c r="I749" s="90">
        <v>38000</v>
      </c>
      <c r="J749" s="90">
        <v>38000</v>
      </c>
      <c r="K749" s="90">
        <v>20000</v>
      </c>
      <c r="L749" s="91">
        <v>6.8929999999999998</v>
      </c>
      <c r="M749" s="92">
        <v>7</v>
      </c>
      <c r="N749" s="91">
        <v>26.94</v>
      </c>
      <c r="O749" s="90">
        <v>2</v>
      </c>
      <c r="P749" s="92">
        <v>20.205000000000002</v>
      </c>
      <c r="Q749" s="93">
        <v>247.8</v>
      </c>
      <c r="R749" s="92">
        <v>247.8</v>
      </c>
      <c r="S749" s="87">
        <v>7158040</v>
      </c>
      <c r="T749" s="94">
        <v>12</v>
      </c>
      <c r="U749" s="95">
        <v>28886.3599677159</v>
      </c>
      <c r="V749" s="96">
        <v>34.618415096870095</v>
      </c>
      <c r="X749" s="98">
        <v>33.6</v>
      </c>
      <c r="Y749" s="97">
        <v>60.020535714285707</v>
      </c>
    </row>
    <row r="750" spans="1:25">
      <c r="A750" s="58">
        <v>750</v>
      </c>
      <c r="B750" s="58">
        <v>750</v>
      </c>
      <c r="C750" s="58" t="s">
        <v>1291</v>
      </c>
      <c r="D750" s="58" t="s">
        <v>176</v>
      </c>
      <c r="E750" s="58" t="s">
        <v>176</v>
      </c>
      <c r="F750" s="58" t="s">
        <v>222</v>
      </c>
      <c r="G750" s="58" t="s">
        <v>223</v>
      </c>
      <c r="H750" s="58" t="s">
        <v>179</v>
      </c>
      <c r="I750">
        <v>38000</v>
      </c>
      <c r="J750">
        <v>38000</v>
      </c>
      <c r="K750">
        <v>20000</v>
      </c>
      <c r="L750" s="74">
        <v>11.683999999999999</v>
      </c>
      <c r="M750" s="85">
        <v>12</v>
      </c>
      <c r="N750" s="74">
        <v>3.6949999999999998</v>
      </c>
      <c r="O750">
        <v>2</v>
      </c>
      <c r="P750" s="84">
        <v>2.7712499999999998</v>
      </c>
      <c r="Q750" s="86">
        <v>33.6</v>
      </c>
      <c r="R750" s="85">
        <v>33.6</v>
      </c>
      <c r="S750" s="87">
        <v>1682910</v>
      </c>
      <c r="T750" s="1">
        <v>6</v>
      </c>
      <c r="U750" s="88">
        <v>50086.607142857138</v>
      </c>
      <c r="V750" s="59">
        <v>19.965417045474801</v>
      </c>
      <c r="X750" s="98">
        <v>247.8</v>
      </c>
      <c r="Y750" s="97">
        <v>28.886359967715901</v>
      </c>
    </row>
    <row r="751" spans="1:25">
      <c r="A751" s="58">
        <v>751</v>
      </c>
      <c r="B751" s="58">
        <v>751</v>
      </c>
      <c r="C751" s="58" t="s">
        <v>1292</v>
      </c>
      <c r="D751" s="58" t="s">
        <v>176</v>
      </c>
      <c r="E751" s="58" t="s">
        <v>176</v>
      </c>
      <c r="F751" s="58" t="s">
        <v>222</v>
      </c>
      <c r="G751" s="58" t="s">
        <v>223</v>
      </c>
      <c r="H751" s="58" t="s">
        <v>179</v>
      </c>
      <c r="I751">
        <v>38000</v>
      </c>
      <c r="J751">
        <v>38000</v>
      </c>
      <c r="K751">
        <v>20000</v>
      </c>
      <c r="L751" s="74">
        <v>9.048</v>
      </c>
      <c r="M751" s="85">
        <v>10</v>
      </c>
      <c r="N751" s="74">
        <v>3.714</v>
      </c>
      <c r="O751">
        <v>2</v>
      </c>
      <c r="P751" s="84">
        <v>2.7854999999999999</v>
      </c>
      <c r="Q751" s="86">
        <v>33.6</v>
      </c>
      <c r="R751" s="85">
        <v>33.6</v>
      </c>
      <c r="S751" s="87">
        <v>1460390</v>
      </c>
      <c r="T751" s="1">
        <v>6</v>
      </c>
      <c r="U751" s="88">
        <v>43463.988095238092</v>
      </c>
      <c r="V751" s="59">
        <v>23.007552776997926</v>
      </c>
      <c r="X751" s="98">
        <v>33.6</v>
      </c>
      <c r="Y751" s="97">
        <v>50.08660714285714</v>
      </c>
    </row>
    <row r="752" spans="1:25">
      <c r="A752" s="58">
        <v>752</v>
      </c>
      <c r="B752" s="58">
        <v>752</v>
      </c>
      <c r="C752" s="58" t="s">
        <v>1293</v>
      </c>
      <c r="D752" s="58" t="s">
        <v>176</v>
      </c>
      <c r="E752" s="58" t="s">
        <v>176</v>
      </c>
      <c r="F752" s="58" t="s">
        <v>222</v>
      </c>
      <c r="G752" s="58" t="s">
        <v>223</v>
      </c>
      <c r="H752" s="58" t="s">
        <v>179</v>
      </c>
      <c r="I752">
        <v>38000</v>
      </c>
      <c r="J752">
        <v>38000</v>
      </c>
      <c r="K752">
        <v>20000</v>
      </c>
      <c r="L752" s="74">
        <v>5.1150000000000002</v>
      </c>
      <c r="M752" s="85">
        <v>6</v>
      </c>
      <c r="N752" s="74">
        <v>1.496</v>
      </c>
      <c r="O752">
        <v>2</v>
      </c>
      <c r="P752" s="84">
        <v>1.1219999999999999</v>
      </c>
      <c r="Q752" s="86">
        <v>12.600000000000001</v>
      </c>
      <c r="R752" s="85">
        <v>12.600000000000001</v>
      </c>
      <c r="S752" s="87">
        <v>769410</v>
      </c>
      <c r="T752" s="1">
        <v>4</v>
      </c>
      <c r="U752" s="88">
        <v>61064.28571428571</v>
      </c>
      <c r="V752" s="59">
        <v>16.376184349046675</v>
      </c>
      <c r="X752" s="98">
        <v>33.6</v>
      </c>
      <c r="Y752" s="97">
        <v>43.463988095238093</v>
      </c>
    </row>
    <row r="753" spans="1:25">
      <c r="A753" s="58">
        <v>753</v>
      </c>
      <c r="B753" s="58">
        <v>753</v>
      </c>
      <c r="C753" s="58" t="s">
        <v>1294</v>
      </c>
      <c r="D753" s="58" t="s">
        <v>176</v>
      </c>
      <c r="E753" s="58" t="s">
        <v>176</v>
      </c>
      <c r="F753" s="58" t="s">
        <v>222</v>
      </c>
      <c r="G753" s="58" t="s">
        <v>223</v>
      </c>
      <c r="H753" s="58" t="s">
        <v>179</v>
      </c>
      <c r="I753">
        <v>38000</v>
      </c>
      <c r="J753">
        <v>38000</v>
      </c>
      <c r="K753">
        <v>20000</v>
      </c>
      <c r="L753" s="74">
        <v>2.6389999999999998</v>
      </c>
      <c r="M753" s="85">
        <v>3</v>
      </c>
      <c r="N753" s="74">
        <v>1.1519999999999999</v>
      </c>
      <c r="O753">
        <v>2</v>
      </c>
      <c r="P753" s="84">
        <v>0.86399999999999988</v>
      </c>
      <c r="Q753" s="86">
        <v>8.4</v>
      </c>
      <c r="R753" s="85">
        <v>8.4</v>
      </c>
      <c r="S753" s="87">
        <v>558600</v>
      </c>
      <c r="T753" s="1">
        <v>4</v>
      </c>
      <c r="U753" s="88">
        <v>66500</v>
      </c>
      <c r="V753" s="59">
        <v>15.037593984962406</v>
      </c>
      <c r="X753" s="98">
        <v>12.600000000000001</v>
      </c>
      <c r="Y753" s="97">
        <v>61.06428571428571</v>
      </c>
    </row>
    <row r="754" spans="1:25">
      <c r="A754" s="58">
        <v>754</v>
      </c>
      <c r="B754" s="58">
        <v>754</v>
      </c>
      <c r="C754" s="58" t="s">
        <v>1295</v>
      </c>
      <c r="D754" s="58" t="s">
        <v>176</v>
      </c>
      <c r="E754" s="58" t="s">
        <v>176</v>
      </c>
      <c r="F754" s="58" t="s">
        <v>222</v>
      </c>
      <c r="G754" s="58" t="s">
        <v>223</v>
      </c>
      <c r="H754" s="58" t="s">
        <v>179</v>
      </c>
      <c r="I754">
        <v>38000</v>
      </c>
      <c r="J754">
        <v>38000</v>
      </c>
      <c r="K754">
        <v>20000</v>
      </c>
      <c r="L754" s="74">
        <v>4.9329999999999998</v>
      </c>
      <c r="M754" s="85">
        <v>5</v>
      </c>
      <c r="N754" s="74">
        <v>0.755</v>
      </c>
      <c r="O754">
        <v>2</v>
      </c>
      <c r="P754" s="84">
        <v>0.56625000000000003</v>
      </c>
      <c r="Q754" s="86">
        <v>4.2</v>
      </c>
      <c r="R754" s="85">
        <v>4.2</v>
      </c>
      <c r="S754" s="87">
        <v>699140</v>
      </c>
      <c r="T754" s="1">
        <v>4</v>
      </c>
      <c r="U754" s="88">
        <v>166461.90476190476</v>
      </c>
      <c r="V754" s="59">
        <v>6.0073804960379897</v>
      </c>
      <c r="X754" s="98">
        <v>8.4</v>
      </c>
      <c r="Y754" s="97">
        <v>66.5</v>
      </c>
    </row>
    <row r="755" spans="1:25">
      <c r="A755" s="58">
        <v>755</v>
      </c>
      <c r="B755" s="58">
        <v>755</v>
      </c>
      <c r="C755" s="58" t="s">
        <v>1296</v>
      </c>
      <c r="D755" s="58" t="s">
        <v>176</v>
      </c>
      <c r="E755" s="58" t="s">
        <v>176</v>
      </c>
      <c r="F755" s="58" t="s">
        <v>222</v>
      </c>
      <c r="G755" s="58" t="s">
        <v>223</v>
      </c>
      <c r="H755" s="58" t="s">
        <v>179</v>
      </c>
      <c r="I755">
        <v>38000</v>
      </c>
      <c r="J755">
        <v>38000</v>
      </c>
      <c r="K755">
        <v>20000</v>
      </c>
      <c r="L755" s="74">
        <v>7.2960000000000003</v>
      </c>
      <c r="M755" s="85">
        <v>8</v>
      </c>
      <c r="N755" s="74">
        <v>1.256</v>
      </c>
      <c r="O755">
        <v>2</v>
      </c>
      <c r="P755" s="84">
        <v>0.94199999999999995</v>
      </c>
      <c r="Q755" s="86">
        <v>8.4</v>
      </c>
      <c r="R755" s="85">
        <v>8.4</v>
      </c>
      <c r="S755" s="87">
        <v>909950</v>
      </c>
      <c r="T755" s="1">
        <v>4</v>
      </c>
      <c r="U755" s="88">
        <v>108327.38095238095</v>
      </c>
      <c r="V755" s="59">
        <v>9.2312764437606454</v>
      </c>
      <c r="X755" s="98">
        <v>4.2</v>
      </c>
      <c r="Y755" s="97">
        <v>166.46190476190475</v>
      </c>
    </row>
    <row r="756" spans="1:25">
      <c r="A756" s="58">
        <v>756</v>
      </c>
      <c r="B756" s="58">
        <v>756</v>
      </c>
      <c r="C756" s="58" t="s">
        <v>1297</v>
      </c>
      <c r="D756" s="58" t="s">
        <v>176</v>
      </c>
      <c r="E756" s="58" t="s">
        <v>176</v>
      </c>
      <c r="F756" s="58" t="s">
        <v>222</v>
      </c>
      <c r="G756" s="58" t="s">
        <v>223</v>
      </c>
      <c r="H756" s="58" t="s">
        <v>179</v>
      </c>
      <c r="I756">
        <v>38000</v>
      </c>
      <c r="J756">
        <v>38000</v>
      </c>
      <c r="K756">
        <v>20000</v>
      </c>
      <c r="L756" s="74">
        <v>9.9879999999999995</v>
      </c>
      <c r="M756" s="85">
        <v>10</v>
      </c>
      <c r="N756" s="74">
        <v>1.839</v>
      </c>
      <c r="O756">
        <v>2</v>
      </c>
      <c r="P756" s="84">
        <v>1.3792499999999999</v>
      </c>
      <c r="Q756" s="86">
        <v>16.8</v>
      </c>
      <c r="R756" s="85">
        <v>16.8</v>
      </c>
      <c r="S756" s="87">
        <v>1050490</v>
      </c>
      <c r="T756" s="1">
        <v>4</v>
      </c>
      <c r="U756" s="88">
        <v>62529.166666666664</v>
      </c>
      <c r="V756" s="59">
        <v>15.992536816152462</v>
      </c>
      <c r="X756" s="98">
        <v>8.4</v>
      </c>
      <c r="Y756" s="97">
        <v>108.32738095238095</v>
      </c>
    </row>
    <row r="757" spans="1:25">
      <c r="A757" s="58">
        <v>757</v>
      </c>
      <c r="B757" s="58">
        <v>757</v>
      </c>
      <c r="C757" s="58" t="s">
        <v>1298</v>
      </c>
      <c r="D757" s="58" t="s">
        <v>176</v>
      </c>
      <c r="E757" s="58" t="s">
        <v>176</v>
      </c>
      <c r="F757" s="58" t="s">
        <v>290</v>
      </c>
      <c r="G757" s="58" t="s">
        <v>291</v>
      </c>
      <c r="H757" s="58" t="s">
        <v>179</v>
      </c>
      <c r="I757">
        <v>38000</v>
      </c>
      <c r="J757">
        <v>38000</v>
      </c>
      <c r="K757">
        <v>20000</v>
      </c>
      <c r="L757" s="74">
        <v>9.2200000000000006</v>
      </c>
      <c r="M757" s="85">
        <v>10</v>
      </c>
      <c r="N757" s="74">
        <v>0.98099999999999998</v>
      </c>
      <c r="O757">
        <v>2</v>
      </c>
      <c r="P757" s="84">
        <v>0.73575000000000002</v>
      </c>
      <c r="Q757" s="86">
        <v>8.4</v>
      </c>
      <c r="R757" s="85">
        <v>8.4</v>
      </c>
      <c r="S757" s="87">
        <v>1432500</v>
      </c>
      <c r="T757" s="1">
        <v>2</v>
      </c>
      <c r="U757" s="88">
        <v>170535.71428571429</v>
      </c>
      <c r="V757" s="59">
        <v>5.8638743455497382</v>
      </c>
      <c r="X757" s="98">
        <v>16.8</v>
      </c>
      <c r="Y757" s="97">
        <v>62.529166666666661</v>
      </c>
    </row>
    <row r="758" spans="1:25">
      <c r="A758" s="89">
        <v>758</v>
      </c>
      <c r="B758" s="89">
        <v>758</v>
      </c>
      <c r="C758" s="89" t="s">
        <v>1299</v>
      </c>
      <c r="D758" s="58" t="s">
        <v>176</v>
      </c>
      <c r="E758" s="58" t="s">
        <v>176</v>
      </c>
      <c r="F758" s="89" t="s">
        <v>290</v>
      </c>
      <c r="G758" s="89" t="s">
        <v>291</v>
      </c>
      <c r="H758" s="89" t="s">
        <v>179</v>
      </c>
      <c r="I758" s="90">
        <v>38000</v>
      </c>
      <c r="J758" s="90">
        <v>38000</v>
      </c>
      <c r="K758" s="90">
        <v>20000</v>
      </c>
      <c r="L758" s="91">
        <v>4.9119999999999999</v>
      </c>
      <c r="M758" s="92">
        <v>5</v>
      </c>
      <c r="N758" s="91">
        <v>5.1589999999999998</v>
      </c>
      <c r="O758" s="90">
        <v>2</v>
      </c>
      <c r="P758" s="92">
        <v>3.8692500000000001</v>
      </c>
      <c r="Q758" s="93">
        <v>46.2</v>
      </c>
      <c r="R758" s="92">
        <v>46.2</v>
      </c>
      <c r="S758" s="87">
        <v>1972510</v>
      </c>
      <c r="T758" s="94">
        <v>11</v>
      </c>
      <c r="U758" s="95">
        <v>42695.021645021639</v>
      </c>
      <c r="V758" s="96">
        <v>23.421934489558989</v>
      </c>
      <c r="X758" s="98">
        <v>8.4</v>
      </c>
      <c r="Y758" s="97">
        <v>170.53571428571428</v>
      </c>
    </row>
    <row r="759" spans="1:25">
      <c r="A759" s="58">
        <v>759</v>
      </c>
      <c r="B759" s="58">
        <v>759</v>
      </c>
      <c r="C759" s="58" t="s">
        <v>1300</v>
      </c>
      <c r="D759" s="58" t="s">
        <v>176</v>
      </c>
      <c r="E759" s="58" t="s">
        <v>176</v>
      </c>
      <c r="F759" s="58" t="s">
        <v>290</v>
      </c>
      <c r="G759" s="58" t="s">
        <v>291</v>
      </c>
      <c r="H759" s="58" t="s">
        <v>179</v>
      </c>
      <c r="I759">
        <v>38000</v>
      </c>
      <c r="J759">
        <v>38000</v>
      </c>
      <c r="K759">
        <v>20000</v>
      </c>
      <c r="L759" s="74">
        <v>2.3849999999999998</v>
      </c>
      <c r="M759" s="85">
        <v>3</v>
      </c>
      <c r="N759" s="74">
        <v>0.67200000000000004</v>
      </c>
      <c r="O759">
        <v>2</v>
      </c>
      <c r="P759" s="84">
        <v>0.504</v>
      </c>
      <c r="Q759" s="86">
        <v>4.2</v>
      </c>
      <c r="R759" s="85">
        <v>4.2</v>
      </c>
      <c r="S759" s="87">
        <v>558600</v>
      </c>
      <c r="T759" s="1">
        <v>4</v>
      </c>
      <c r="U759" s="88">
        <v>133000</v>
      </c>
      <c r="V759" s="59">
        <v>7.518796992481203</v>
      </c>
      <c r="X759" s="98">
        <v>46.2</v>
      </c>
      <c r="Y759" s="97">
        <v>42.69502164502164</v>
      </c>
    </row>
    <row r="760" spans="1:25">
      <c r="A760" s="89">
        <v>760</v>
      </c>
      <c r="B760" s="89">
        <v>760</v>
      </c>
      <c r="C760" s="89" t="s">
        <v>1301</v>
      </c>
      <c r="D760" s="58" t="s">
        <v>176</v>
      </c>
      <c r="E760" s="58" t="s">
        <v>176</v>
      </c>
      <c r="F760" s="89" t="s">
        <v>290</v>
      </c>
      <c r="G760" s="89" t="s">
        <v>291</v>
      </c>
      <c r="H760" s="89" t="s">
        <v>179</v>
      </c>
      <c r="I760" s="90">
        <v>38000</v>
      </c>
      <c r="J760" s="90">
        <v>38000</v>
      </c>
      <c r="K760" s="90">
        <v>20000</v>
      </c>
      <c r="L760" s="91">
        <v>9.86</v>
      </c>
      <c r="M760" s="92">
        <v>10</v>
      </c>
      <c r="N760" s="91">
        <v>12.005000000000001</v>
      </c>
      <c r="O760" s="90">
        <v>2</v>
      </c>
      <c r="P760" s="92">
        <v>9.0037500000000001</v>
      </c>
      <c r="Q760" s="93">
        <v>109.19999999999999</v>
      </c>
      <c r="R760" s="92">
        <v>109.19999999999999</v>
      </c>
      <c r="S760" s="87">
        <v>3026560</v>
      </c>
      <c r="T760" s="94">
        <v>11</v>
      </c>
      <c r="U760" s="95">
        <v>27715.750915750919</v>
      </c>
      <c r="V760" s="96">
        <v>36.08056671600761</v>
      </c>
      <c r="X760" s="98">
        <v>4.2</v>
      </c>
      <c r="Y760" s="97">
        <v>133</v>
      </c>
    </row>
    <row r="761" spans="1:25">
      <c r="A761" s="58">
        <v>761</v>
      </c>
      <c r="B761" s="58">
        <v>761</v>
      </c>
      <c r="C761" s="58" t="s">
        <v>1302</v>
      </c>
      <c r="D761" s="58" t="s">
        <v>176</v>
      </c>
      <c r="E761" s="58" t="s">
        <v>176</v>
      </c>
      <c r="F761" s="58" t="s">
        <v>222</v>
      </c>
      <c r="G761" s="58" t="s">
        <v>223</v>
      </c>
      <c r="H761" s="58" t="s">
        <v>179</v>
      </c>
      <c r="I761">
        <v>38000</v>
      </c>
      <c r="J761">
        <v>38000</v>
      </c>
      <c r="K761">
        <v>20000</v>
      </c>
      <c r="L761" s="74">
        <v>9.1039999999999992</v>
      </c>
      <c r="M761" s="85">
        <v>10</v>
      </c>
      <c r="N761" s="74">
        <v>2.2730000000000001</v>
      </c>
      <c r="O761">
        <v>2</v>
      </c>
      <c r="P761" s="84">
        <v>1.7047500000000002</v>
      </c>
      <c r="Q761" s="86">
        <v>21</v>
      </c>
      <c r="R761" s="85">
        <v>21</v>
      </c>
      <c r="S761" s="87">
        <v>1050490</v>
      </c>
      <c r="T761" s="1">
        <v>4</v>
      </c>
      <c r="U761" s="88">
        <v>50023.333333333336</v>
      </c>
      <c r="V761" s="59">
        <v>19.990671020190579</v>
      </c>
      <c r="X761" s="98">
        <v>109.19999999999999</v>
      </c>
      <c r="Y761" s="97">
        <v>27.71575091575092</v>
      </c>
    </row>
    <row r="762" spans="1:25">
      <c r="A762" s="58">
        <v>762</v>
      </c>
      <c r="B762" s="58">
        <v>762</v>
      </c>
      <c r="C762" s="58" t="s">
        <v>1303</v>
      </c>
      <c r="D762" s="58" t="s">
        <v>176</v>
      </c>
      <c r="E762" s="58" t="s">
        <v>176</v>
      </c>
      <c r="F762" s="58" t="s">
        <v>222</v>
      </c>
      <c r="G762" s="58" t="s">
        <v>223</v>
      </c>
      <c r="H762" s="58" t="s">
        <v>179</v>
      </c>
      <c r="I762">
        <v>38000</v>
      </c>
      <c r="J762">
        <v>38000</v>
      </c>
      <c r="K762">
        <v>20000</v>
      </c>
      <c r="L762" s="74">
        <v>5.1680000000000001</v>
      </c>
      <c r="M762" s="85">
        <v>6</v>
      </c>
      <c r="N762" s="74">
        <v>0.34799999999999998</v>
      </c>
      <c r="O762">
        <v>2</v>
      </c>
      <c r="P762" s="84">
        <v>0.34799999999999998</v>
      </c>
      <c r="Q762" s="86">
        <v>4.2</v>
      </c>
      <c r="R762" s="85">
        <v>4.2</v>
      </c>
      <c r="S762" s="87">
        <v>769410</v>
      </c>
      <c r="T762" s="1">
        <v>4</v>
      </c>
      <c r="U762" s="88">
        <v>183192.85714285713</v>
      </c>
      <c r="V762" s="59">
        <v>5.4587281163488903</v>
      </c>
      <c r="X762" s="98">
        <v>21</v>
      </c>
      <c r="Y762" s="97">
        <v>50.023333333333333</v>
      </c>
    </row>
    <row r="763" spans="1:25">
      <c r="A763" s="58">
        <v>763</v>
      </c>
      <c r="B763" s="58">
        <v>763</v>
      </c>
      <c r="C763" s="58" t="s">
        <v>1304</v>
      </c>
      <c r="D763" s="58" t="s">
        <v>176</v>
      </c>
      <c r="E763" s="58" t="s">
        <v>176</v>
      </c>
      <c r="F763" s="58" t="s">
        <v>290</v>
      </c>
      <c r="G763" s="58" t="s">
        <v>291</v>
      </c>
      <c r="H763" s="58" t="s">
        <v>179</v>
      </c>
      <c r="I763">
        <v>38000</v>
      </c>
      <c r="J763">
        <v>38000</v>
      </c>
      <c r="K763">
        <v>20000</v>
      </c>
      <c r="L763" s="74">
        <v>10.606</v>
      </c>
      <c r="M763" s="85">
        <v>11</v>
      </c>
      <c r="N763" s="74">
        <v>0.39</v>
      </c>
      <c r="O763">
        <v>2</v>
      </c>
      <c r="P763" s="84">
        <v>0.39</v>
      </c>
      <c r="Q763" s="86">
        <v>4.2</v>
      </c>
      <c r="R763" s="85">
        <v>4.2</v>
      </c>
      <c r="S763" s="87">
        <v>1439840</v>
      </c>
      <c r="T763" s="1">
        <v>1</v>
      </c>
      <c r="U763" s="88">
        <v>342819.04761904763</v>
      </c>
      <c r="V763" s="59">
        <v>2.9169907767529724</v>
      </c>
      <c r="X763" s="98">
        <v>4.2</v>
      </c>
      <c r="Y763" s="97">
        <v>183.19285714285712</v>
      </c>
    </row>
    <row r="764" spans="1:25">
      <c r="A764" s="89">
        <v>764</v>
      </c>
      <c r="B764" s="89">
        <v>764</v>
      </c>
      <c r="C764" s="89" t="s">
        <v>1305</v>
      </c>
      <c r="D764" s="58" t="s">
        <v>176</v>
      </c>
      <c r="E764" s="58" t="s">
        <v>176</v>
      </c>
      <c r="F764" s="89" t="s">
        <v>290</v>
      </c>
      <c r="G764" s="89" t="s">
        <v>291</v>
      </c>
      <c r="H764" s="89" t="s">
        <v>179</v>
      </c>
      <c r="I764" s="90">
        <v>38000</v>
      </c>
      <c r="J764" s="90">
        <v>38000</v>
      </c>
      <c r="K764" s="90">
        <v>20000</v>
      </c>
      <c r="L764" s="91">
        <v>8.3849999999999998</v>
      </c>
      <c r="M764" s="92">
        <v>9</v>
      </c>
      <c r="N764" s="91">
        <v>16.042000000000002</v>
      </c>
      <c r="O764" s="90">
        <v>2</v>
      </c>
      <c r="P764" s="92">
        <v>12.031500000000001</v>
      </c>
      <c r="Q764" s="93">
        <v>147</v>
      </c>
      <c r="R764" s="92">
        <v>147</v>
      </c>
      <c r="S764" s="87">
        <v>4339180</v>
      </c>
      <c r="T764" s="94">
        <v>12</v>
      </c>
      <c r="U764" s="95">
        <v>29518.231292517008</v>
      </c>
      <c r="V764" s="96">
        <v>33.87736853506884</v>
      </c>
      <c r="X764" s="98">
        <v>4.2</v>
      </c>
      <c r="Y764" s="97">
        <v>342.81904761904764</v>
      </c>
    </row>
    <row r="765" spans="1:25">
      <c r="A765" s="58">
        <v>765</v>
      </c>
      <c r="B765" s="58">
        <v>765</v>
      </c>
      <c r="C765" s="58" t="s">
        <v>1306</v>
      </c>
      <c r="D765" s="58" t="s">
        <v>176</v>
      </c>
      <c r="E765" s="58" t="s">
        <v>176</v>
      </c>
      <c r="F765" s="58" t="s">
        <v>580</v>
      </c>
      <c r="G765" s="58" t="s">
        <v>581</v>
      </c>
      <c r="H765" s="58" t="s">
        <v>179</v>
      </c>
      <c r="I765">
        <v>38000</v>
      </c>
      <c r="J765">
        <v>38000</v>
      </c>
      <c r="K765">
        <v>10000</v>
      </c>
      <c r="L765" s="74">
        <v>9.5730000000000004</v>
      </c>
      <c r="M765" s="85">
        <v>10</v>
      </c>
      <c r="N765" s="74">
        <v>0.93700000000000006</v>
      </c>
      <c r="O765">
        <v>2</v>
      </c>
      <c r="P765" s="84">
        <v>0.70274999999999999</v>
      </c>
      <c r="Q765" s="86">
        <v>8.4</v>
      </c>
      <c r="R765" s="85">
        <v>8.4</v>
      </c>
      <c r="S765" s="87">
        <v>1432500</v>
      </c>
      <c r="T765" s="1">
        <v>2</v>
      </c>
      <c r="U765" s="88">
        <v>170535.71428571429</v>
      </c>
      <c r="V765" s="59">
        <v>5.8638743455497382</v>
      </c>
      <c r="X765" s="98">
        <v>147</v>
      </c>
      <c r="Y765" s="97">
        <v>29.518231292517008</v>
      </c>
    </row>
    <row r="766" spans="1:25">
      <c r="A766" s="58">
        <v>766</v>
      </c>
      <c r="B766" s="58">
        <v>766</v>
      </c>
      <c r="C766" s="58" t="s">
        <v>1307</v>
      </c>
      <c r="D766" s="58" t="s">
        <v>176</v>
      </c>
      <c r="E766" s="58" t="s">
        <v>176</v>
      </c>
      <c r="F766" s="58" t="s">
        <v>580</v>
      </c>
      <c r="G766" s="58" t="s">
        <v>581</v>
      </c>
      <c r="H766" s="58" t="s">
        <v>179</v>
      </c>
      <c r="I766">
        <v>38000</v>
      </c>
      <c r="J766">
        <v>38000</v>
      </c>
      <c r="K766">
        <v>10000</v>
      </c>
      <c r="L766" s="74">
        <v>7.9249999999999998</v>
      </c>
      <c r="M766" s="85">
        <v>8</v>
      </c>
      <c r="N766" s="74">
        <v>0.76900000000000002</v>
      </c>
      <c r="O766">
        <v>2</v>
      </c>
      <c r="P766" s="84">
        <v>0.57674999999999998</v>
      </c>
      <c r="Q766" s="86">
        <v>4.2</v>
      </c>
      <c r="R766" s="85">
        <v>4.2</v>
      </c>
      <c r="S766" s="87">
        <v>909950</v>
      </c>
      <c r="T766" s="1">
        <v>4</v>
      </c>
      <c r="U766" s="88">
        <v>216654.76190476189</v>
      </c>
      <c r="V766" s="59">
        <v>4.6156382218803227</v>
      </c>
      <c r="X766" s="98">
        <v>8.4</v>
      </c>
      <c r="Y766" s="97">
        <v>170.53571428571428</v>
      </c>
    </row>
    <row r="767" spans="1:25">
      <c r="A767" s="58">
        <v>767</v>
      </c>
      <c r="B767" s="58">
        <v>767</v>
      </c>
      <c r="C767" s="58" t="s">
        <v>1308</v>
      </c>
      <c r="D767" s="58" t="s">
        <v>176</v>
      </c>
      <c r="E767" s="58" t="s">
        <v>176</v>
      </c>
      <c r="F767" s="58" t="s">
        <v>293</v>
      </c>
      <c r="G767" s="58" t="s">
        <v>294</v>
      </c>
      <c r="H767" s="58" t="s">
        <v>179</v>
      </c>
      <c r="I767">
        <v>38000</v>
      </c>
      <c r="J767">
        <v>38000</v>
      </c>
      <c r="K767">
        <v>10000</v>
      </c>
      <c r="L767" s="74">
        <v>6.4630000000000001</v>
      </c>
      <c r="M767" s="85">
        <v>7</v>
      </c>
      <c r="N767" s="74">
        <v>2.4279999999999999</v>
      </c>
      <c r="O767">
        <v>2</v>
      </c>
      <c r="P767" s="84">
        <v>1.821</v>
      </c>
      <c r="Q767" s="86">
        <v>21</v>
      </c>
      <c r="R767" s="85">
        <v>21</v>
      </c>
      <c r="S767" s="87">
        <v>839680</v>
      </c>
      <c r="T767" s="1">
        <v>4</v>
      </c>
      <c r="U767" s="88">
        <v>39984.761904761908</v>
      </c>
      <c r="V767" s="59">
        <v>25.009527439024389</v>
      </c>
      <c r="X767" s="98">
        <v>4.2</v>
      </c>
      <c r="Y767" s="97">
        <v>216.6547619047619</v>
      </c>
    </row>
    <row r="768" spans="1:25">
      <c r="A768" s="58">
        <v>768</v>
      </c>
      <c r="B768" s="58">
        <v>768</v>
      </c>
      <c r="C768" s="58" t="s">
        <v>1309</v>
      </c>
      <c r="D768" s="58" t="s">
        <v>176</v>
      </c>
      <c r="E768" s="58" t="s">
        <v>176</v>
      </c>
      <c r="F768" s="58" t="s">
        <v>293</v>
      </c>
      <c r="G768" s="58" t="s">
        <v>294</v>
      </c>
      <c r="H768" s="58" t="s">
        <v>179</v>
      </c>
      <c r="I768">
        <v>38000</v>
      </c>
      <c r="J768">
        <v>38000</v>
      </c>
      <c r="K768">
        <v>10000</v>
      </c>
      <c r="L768" s="74">
        <v>4.5350000000000001</v>
      </c>
      <c r="M768" s="85">
        <v>5</v>
      </c>
      <c r="N768" s="74">
        <v>2.4510000000000001</v>
      </c>
      <c r="O768">
        <v>2</v>
      </c>
      <c r="P768" s="84">
        <v>1.8382499999999999</v>
      </c>
      <c r="Q768" s="86">
        <v>21</v>
      </c>
      <c r="R768" s="85">
        <v>21</v>
      </c>
      <c r="S768" s="87">
        <v>699140</v>
      </c>
      <c r="T768" s="1">
        <v>4</v>
      </c>
      <c r="U768" s="88">
        <v>33292.380952380954</v>
      </c>
      <c r="V768" s="59">
        <v>30.036902480189948</v>
      </c>
      <c r="X768" s="98">
        <v>21</v>
      </c>
      <c r="Y768" s="97">
        <v>39.984761904761903</v>
      </c>
    </row>
    <row r="769" spans="1:25">
      <c r="A769" s="58">
        <v>769</v>
      </c>
      <c r="B769" s="58">
        <v>769</v>
      </c>
      <c r="C769" s="58" t="s">
        <v>1310</v>
      </c>
      <c r="D769" s="58" t="s">
        <v>176</v>
      </c>
      <c r="E769" s="58" t="s">
        <v>176</v>
      </c>
      <c r="F769" s="58" t="s">
        <v>1311</v>
      </c>
      <c r="G769" s="58" t="s">
        <v>1312</v>
      </c>
      <c r="H769" s="58" t="s">
        <v>179</v>
      </c>
      <c r="I769">
        <v>38000</v>
      </c>
      <c r="J769">
        <v>38000</v>
      </c>
      <c r="K769">
        <v>10000</v>
      </c>
      <c r="L769" s="74">
        <v>8.0519999999999996</v>
      </c>
      <c r="M769" s="85">
        <v>9</v>
      </c>
      <c r="N769" s="74">
        <v>0.70799999999999996</v>
      </c>
      <c r="O769">
        <v>2</v>
      </c>
      <c r="P769" s="84">
        <v>0.53099999999999992</v>
      </c>
      <c r="Q769" s="86">
        <v>4.2</v>
      </c>
      <c r="R769" s="85">
        <v>4.2</v>
      </c>
      <c r="S769" s="87">
        <v>1334440</v>
      </c>
      <c r="T769" s="1">
        <v>1</v>
      </c>
      <c r="U769" s="88">
        <v>317723.80952380953</v>
      </c>
      <c r="V769" s="59">
        <v>3.1473876682353645</v>
      </c>
      <c r="X769" s="98">
        <v>21</v>
      </c>
      <c r="Y769" s="97">
        <v>33.292380952380952</v>
      </c>
    </row>
    <row r="770" spans="1:25">
      <c r="A770" s="58">
        <v>770</v>
      </c>
      <c r="B770" s="58">
        <v>770</v>
      </c>
      <c r="C770" s="58" t="s">
        <v>1313</v>
      </c>
      <c r="D770" s="58" t="s">
        <v>197</v>
      </c>
      <c r="E770" s="58" t="s">
        <v>197</v>
      </c>
      <c r="F770" s="58" t="s">
        <v>299</v>
      </c>
      <c r="G770" s="58" t="s">
        <v>300</v>
      </c>
      <c r="H770" s="58" t="s">
        <v>179</v>
      </c>
      <c r="I770">
        <v>38000</v>
      </c>
      <c r="J770">
        <v>38000</v>
      </c>
      <c r="K770" s="58" t="s">
        <v>185</v>
      </c>
      <c r="L770" s="74">
        <v>14.054</v>
      </c>
      <c r="M770" s="85">
        <v>15</v>
      </c>
      <c r="N770" s="74">
        <v>0.71599999999999997</v>
      </c>
      <c r="O770">
        <v>2</v>
      </c>
      <c r="P770" s="84">
        <v>0.53699999999999992</v>
      </c>
      <c r="Q770" s="86">
        <v>4.2</v>
      </c>
      <c r="R770" s="85">
        <v>4.2</v>
      </c>
      <c r="S770" s="87">
        <v>1650640</v>
      </c>
      <c r="T770" s="1">
        <v>1</v>
      </c>
      <c r="U770" s="88">
        <v>393009.52380952379</v>
      </c>
      <c r="V770" s="59">
        <v>2.5444676004458877</v>
      </c>
      <c r="X770" s="98">
        <v>4.2</v>
      </c>
      <c r="Y770" s="97">
        <v>317.72380952380951</v>
      </c>
    </row>
    <row r="771" spans="1:25">
      <c r="A771" s="58">
        <v>771</v>
      </c>
      <c r="B771" s="58">
        <v>771</v>
      </c>
      <c r="C771" s="58" t="s">
        <v>1314</v>
      </c>
      <c r="D771" s="58" t="s">
        <v>197</v>
      </c>
      <c r="E771" s="58" t="s">
        <v>197</v>
      </c>
      <c r="F771" s="58" t="s">
        <v>299</v>
      </c>
      <c r="G771" s="58" t="s">
        <v>300</v>
      </c>
      <c r="H771" s="58" t="s">
        <v>179</v>
      </c>
      <c r="I771">
        <v>38000</v>
      </c>
      <c r="J771">
        <v>38000</v>
      </c>
      <c r="K771" s="58" t="s">
        <v>185</v>
      </c>
      <c r="L771" s="74">
        <v>15.529</v>
      </c>
      <c r="M771" s="85">
        <v>16</v>
      </c>
      <c r="N771" s="74">
        <v>0.48399999999999999</v>
      </c>
      <c r="O771">
        <v>2</v>
      </c>
      <c r="P771" s="84">
        <v>0.48399999999999999</v>
      </c>
      <c r="Q771" s="86">
        <v>4.2</v>
      </c>
      <c r="R771" s="85">
        <v>4.2</v>
      </c>
      <c r="S771" s="87">
        <v>1703340</v>
      </c>
      <c r="T771" s="1">
        <v>1</v>
      </c>
      <c r="U771" s="88">
        <v>405557.14285714284</v>
      </c>
      <c r="V771" s="59">
        <v>2.4657437739969708</v>
      </c>
      <c r="X771" s="98">
        <v>4.2</v>
      </c>
      <c r="Y771" s="97">
        <v>393.00952380952378</v>
      </c>
    </row>
    <row r="772" spans="1:25">
      <c r="A772" s="58">
        <v>772</v>
      </c>
      <c r="B772" s="58">
        <v>772</v>
      </c>
      <c r="C772" s="58" t="s">
        <v>1315</v>
      </c>
      <c r="D772" s="58" t="s">
        <v>197</v>
      </c>
      <c r="E772" s="58" t="s">
        <v>197</v>
      </c>
      <c r="F772" s="58" t="s">
        <v>299</v>
      </c>
      <c r="G772" s="58" t="s">
        <v>300</v>
      </c>
      <c r="H772" s="58" t="s">
        <v>179</v>
      </c>
      <c r="I772">
        <v>38000</v>
      </c>
      <c r="J772">
        <v>38000</v>
      </c>
      <c r="K772" s="58" t="s">
        <v>185</v>
      </c>
      <c r="L772" s="74">
        <v>21.77</v>
      </c>
      <c r="M772" s="85">
        <v>22</v>
      </c>
      <c r="N772" s="74">
        <v>1.206</v>
      </c>
      <c r="O772">
        <v>2</v>
      </c>
      <c r="P772" s="84">
        <v>0.90449999999999997</v>
      </c>
      <c r="Q772" s="86">
        <v>8.4</v>
      </c>
      <c r="R772" s="85">
        <v>8.4</v>
      </c>
      <c r="S772" s="87">
        <v>2064900</v>
      </c>
      <c r="T772" s="1">
        <v>2</v>
      </c>
      <c r="U772" s="88">
        <v>245821.42857142855</v>
      </c>
      <c r="V772" s="59">
        <v>4.0679936074386172</v>
      </c>
      <c r="X772" s="98">
        <v>4.2</v>
      </c>
      <c r="Y772" s="97">
        <v>405.55714285714282</v>
      </c>
    </row>
    <row r="773" spans="1:25">
      <c r="A773" s="89">
        <v>773</v>
      </c>
      <c r="B773" s="89">
        <v>773</v>
      </c>
      <c r="C773" s="89" t="s">
        <v>1316</v>
      </c>
      <c r="D773" s="58" t="s">
        <v>197</v>
      </c>
      <c r="E773" s="58" t="s">
        <v>197</v>
      </c>
      <c r="F773" s="89" t="s">
        <v>299</v>
      </c>
      <c r="G773" s="89" t="s">
        <v>300</v>
      </c>
      <c r="H773" s="89" t="s">
        <v>179</v>
      </c>
      <c r="I773" s="90">
        <v>38000</v>
      </c>
      <c r="J773" s="90">
        <v>38000</v>
      </c>
      <c r="K773" s="89" t="s">
        <v>185</v>
      </c>
      <c r="L773" s="91">
        <v>19.238</v>
      </c>
      <c r="M773" s="92">
        <v>20</v>
      </c>
      <c r="N773" s="91">
        <v>11.965</v>
      </c>
      <c r="O773" s="90">
        <v>2</v>
      </c>
      <c r="P773" s="92">
        <v>8.973749999999999</v>
      </c>
      <c r="Q773" s="93">
        <v>109.19999999999999</v>
      </c>
      <c r="R773" s="92">
        <v>109.19999999999999</v>
      </c>
      <c r="S773" s="87">
        <v>5134660</v>
      </c>
      <c r="T773" s="94">
        <v>11</v>
      </c>
      <c r="U773" s="95">
        <v>47020.695970695975</v>
      </c>
      <c r="V773" s="96">
        <v>21.267230936420326</v>
      </c>
      <c r="X773" s="98">
        <v>8.4</v>
      </c>
      <c r="Y773" s="97">
        <v>245.82142857142856</v>
      </c>
    </row>
    <row r="774" spans="1:25">
      <c r="A774" s="89">
        <v>774</v>
      </c>
      <c r="B774" s="89">
        <v>774</v>
      </c>
      <c r="C774" s="89" t="s">
        <v>1317</v>
      </c>
      <c r="D774" s="58" t="s">
        <v>197</v>
      </c>
      <c r="E774" s="58" t="s">
        <v>197</v>
      </c>
      <c r="F774" s="89" t="s">
        <v>299</v>
      </c>
      <c r="G774" s="89" t="s">
        <v>300</v>
      </c>
      <c r="H774" s="89" t="s">
        <v>179</v>
      </c>
      <c r="I774" s="90">
        <v>38000</v>
      </c>
      <c r="J774" s="90">
        <v>38000</v>
      </c>
      <c r="K774" s="89" t="s">
        <v>185</v>
      </c>
      <c r="L774" s="91">
        <v>13.058999999999999</v>
      </c>
      <c r="M774" s="92">
        <v>14</v>
      </c>
      <c r="N774" s="91">
        <v>5.5110000000000001</v>
      </c>
      <c r="O774" s="90">
        <v>2</v>
      </c>
      <c r="P774" s="92">
        <v>4.1332500000000003</v>
      </c>
      <c r="Q774" s="93">
        <v>50.400000000000006</v>
      </c>
      <c r="R774" s="92">
        <v>50.400000000000006</v>
      </c>
      <c r="S774" s="87">
        <v>3869800</v>
      </c>
      <c r="T774" s="94">
        <v>11</v>
      </c>
      <c r="U774" s="95">
        <v>76781.746031746021</v>
      </c>
      <c r="V774" s="96">
        <v>13.023928885213708</v>
      </c>
      <c r="X774" s="98">
        <v>109.19999999999999</v>
      </c>
      <c r="Y774" s="97">
        <v>47.020695970695975</v>
      </c>
    </row>
    <row r="775" spans="1:25">
      <c r="A775" s="58">
        <v>775</v>
      </c>
      <c r="B775" s="58">
        <v>775</v>
      </c>
      <c r="C775" s="58" t="s">
        <v>1318</v>
      </c>
      <c r="D775" s="58" t="s">
        <v>197</v>
      </c>
      <c r="E775" s="58" t="s">
        <v>197</v>
      </c>
      <c r="F775" s="58" t="s">
        <v>299</v>
      </c>
      <c r="G775" s="58" t="s">
        <v>300</v>
      </c>
      <c r="H775" s="58" t="s">
        <v>179</v>
      </c>
      <c r="I775">
        <v>38000</v>
      </c>
      <c r="J775">
        <v>38000</v>
      </c>
      <c r="K775" s="58" t="s">
        <v>185</v>
      </c>
      <c r="L775" s="74">
        <v>16.725999999999999</v>
      </c>
      <c r="M775" s="85">
        <v>17</v>
      </c>
      <c r="N775" s="74">
        <v>2.9860000000000002</v>
      </c>
      <c r="O775">
        <v>2</v>
      </c>
      <c r="P775" s="84">
        <v>2.2395</v>
      </c>
      <c r="Q775" s="86">
        <v>25.200000000000003</v>
      </c>
      <c r="R775" s="85">
        <v>25.200000000000003</v>
      </c>
      <c r="S775" s="87">
        <v>1857900</v>
      </c>
      <c r="T775" s="1">
        <v>5</v>
      </c>
      <c r="U775" s="88">
        <v>73726.190476190473</v>
      </c>
      <c r="V775" s="59">
        <v>13.563700952688521</v>
      </c>
      <c r="X775" s="98">
        <v>50.400000000000006</v>
      </c>
      <c r="Y775" s="97">
        <v>76.781746031746025</v>
      </c>
    </row>
    <row r="776" spans="1:25">
      <c r="A776" s="58">
        <v>776</v>
      </c>
      <c r="B776" s="58">
        <v>776</v>
      </c>
      <c r="C776" s="58" t="s">
        <v>1319</v>
      </c>
      <c r="D776" s="58" t="s">
        <v>182</v>
      </c>
      <c r="E776" s="58" t="s">
        <v>182</v>
      </c>
      <c r="F776" s="58" t="s">
        <v>302</v>
      </c>
      <c r="G776" s="58" t="s">
        <v>303</v>
      </c>
      <c r="H776" s="58" t="s">
        <v>179</v>
      </c>
      <c r="I776">
        <v>38000</v>
      </c>
      <c r="J776">
        <v>38000</v>
      </c>
      <c r="K776" s="58" t="s">
        <v>185</v>
      </c>
      <c r="L776" s="74">
        <v>8.4879999999999995</v>
      </c>
      <c r="M776" s="85">
        <v>9</v>
      </c>
      <c r="N776" s="74">
        <v>0.92900000000000005</v>
      </c>
      <c r="O776">
        <v>2</v>
      </c>
      <c r="P776" s="84">
        <v>0.69674999999999998</v>
      </c>
      <c r="Q776" s="86">
        <v>8.4</v>
      </c>
      <c r="R776" s="85">
        <v>8.4</v>
      </c>
      <c r="S776" s="87">
        <v>1379800</v>
      </c>
      <c r="T776" s="1">
        <v>2</v>
      </c>
      <c r="U776" s="88">
        <v>164261.90476190476</v>
      </c>
      <c r="V776" s="59">
        <v>6.087838817219887</v>
      </c>
      <c r="X776" s="98">
        <v>25.200000000000003</v>
      </c>
      <c r="Y776" s="97">
        <v>73.726190476190467</v>
      </c>
    </row>
    <row r="777" spans="1:25">
      <c r="A777" s="58">
        <v>777</v>
      </c>
      <c r="B777" s="58">
        <v>777</v>
      </c>
      <c r="C777" s="58" t="s">
        <v>1320</v>
      </c>
      <c r="D777" s="58" t="s">
        <v>182</v>
      </c>
      <c r="E777" s="58" t="s">
        <v>182</v>
      </c>
      <c r="F777" s="58" t="s">
        <v>302</v>
      </c>
      <c r="G777" s="58" t="s">
        <v>303</v>
      </c>
      <c r="H777" s="58" t="s">
        <v>179</v>
      </c>
      <c r="I777">
        <v>38000</v>
      </c>
      <c r="J777">
        <v>38000</v>
      </c>
      <c r="K777" s="58" t="s">
        <v>185</v>
      </c>
      <c r="L777" s="74">
        <v>16.672000000000001</v>
      </c>
      <c r="M777" s="85">
        <v>17</v>
      </c>
      <c r="N777" s="74">
        <v>0.55500000000000005</v>
      </c>
      <c r="O777">
        <v>2</v>
      </c>
      <c r="P777" s="84">
        <v>0.55500000000000005</v>
      </c>
      <c r="Q777" s="86">
        <v>4.2</v>
      </c>
      <c r="R777" s="85">
        <v>4.2</v>
      </c>
      <c r="S777" s="87">
        <v>1756040</v>
      </c>
      <c r="T777" s="1">
        <v>1</v>
      </c>
      <c r="U777" s="88">
        <v>418104.76190476189</v>
      </c>
      <c r="V777" s="59">
        <v>2.3917450627548349</v>
      </c>
      <c r="X777" s="98">
        <v>8.4</v>
      </c>
      <c r="Y777" s="97">
        <v>164.26190476190479</v>
      </c>
    </row>
    <row r="778" spans="1:25">
      <c r="A778" s="58">
        <v>778</v>
      </c>
      <c r="B778" s="58">
        <v>778</v>
      </c>
      <c r="C778" s="58" t="s">
        <v>1321</v>
      </c>
      <c r="D778" s="58" t="s">
        <v>182</v>
      </c>
      <c r="E778" s="58" t="s">
        <v>182</v>
      </c>
      <c r="F778" s="58" t="s">
        <v>183</v>
      </c>
      <c r="G778" s="58" t="s">
        <v>184</v>
      </c>
      <c r="H778" s="58" t="s">
        <v>179</v>
      </c>
      <c r="I778">
        <v>38000</v>
      </c>
      <c r="J778">
        <v>38000</v>
      </c>
      <c r="K778" s="58" t="s">
        <v>185</v>
      </c>
      <c r="L778" s="74">
        <v>11.941000000000001</v>
      </c>
      <c r="M778" s="85">
        <v>12</v>
      </c>
      <c r="N778" s="74">
        <v>3.141</v>
      </c>
      <c r="O778">
        <v>2</v>
      </c>
      <c r="P778" s="84">
        <v>2.35575</v>
      </c>
      <c r="Q778" s="86">
        <v>25.200000000000003</v>
      </c>
      <c r="R778" s="85">
        <v>25.200000000000003</v>
      </c>
      <c r="S778" s="87">
        <v>1413750</v>
      </c>
      <c r="T778" s="1">
        <v>5</v>
      </c>
      <c r="U778" s="88">
        <v>56101.190476190473</v>
      </c>
      <c r="V778" s="59">
        <v>17.824933687002655</v>
      </c>
      <c r="X778" s="98">
        <v>4.2</v>
      </c>
      <c r="Y778" s="97">
        <v>418.10476190476186</v>
      </c>
    </row>
    <row r="779" spans="1:25">
      <c r="A779" s="58">
        <v>779</v>
      </c>
      <c r="B779" s="58">
        <v>779</v>
      </c>
      <c r="C779" s="58" t="s">
        <v>1322</v>
      </c>
      <c r="D779" s="58" t="s">
        <v>182</v>
      </c>
      <c r="E779" s="58" t="s">
        <v>182</v>
      </c>
      <c r="F779" s="58" t="s">
        <v>302</v>
      </c>
      <c r="G779" s="58" t="s">
        <v>303</v>
      </c>
      <c r="H779" s="58" t="s">
        <v>179</v>
      </c>
      <c r="I779">
        <v>38000</v>
      </c>
      <c r="J779">
        <v>38000</v>
      </c>
      <c r="K779" s="58" t="s">
        <v>185</v>
      </c>
      <c r="L779" s="74">
        <v>13.869</v>
      </c>
      <c r="M779" s="85">
        <v>14</v>
      </c>
      <c r="N779" s="74">
        <v>0.88600000000000001</v>
      </c>
      <c r="O779">
        <v>2</v>
      </c>
      <c r="P779" s="84">
        <v>0.66449999999999998</v>
      </c>
      <c r="Q779" s="86">
        <v>8.4</v>
      </c>
      <c r="R779" s="85">
        <v>8.4</v>
      </c>
      <c r="S779" s="87">
        <v>1643300</v>
      </c>
      <c r="T779" s="1">
        <v>2</v>
      </c>
      <c r="U779" s="88">
        <v>195630.95238095237</v>
      </c>
      <c r="V779" s="59">
        <v>5.1116655510253759</v>
      </c>
      <c r="X779" s="98">
        <v>25.200000000000003</v>
      </c>
      <c r="Y779" s="97">
        <v>56.101190476190474</v>
      </c>
    </row>
    <row r="780" spans="1:25">
      <c r="A780" s="58">
        <v>780</v>
      </c>
      <c r="B780" s="58">
        <v>780</v>
      </c>
      <c r="C780" s="58" t="s">
        <v>1323</v>
      </c>
      <c r="D780" s="58" t="s">
        <v>182</v>
      </c>
      <c r="E780" s="58" t="s">
        <v>182</v>
      </c>
      <c r="F780" s="58" t="s">
        <v>183</v>
      </c>
      <c r="G780" s="58" t="s">
        <v>184</v>
      </c>
      <c r="H780" s="58" t="s">
        <v>179</v>
      </c>
      <c r="I780">
        <v>38000</v>
      </c>
      <c r="J780">
        <v>38000</v>
      </c>
      <c r="K780" s="58" t="s">
        <v>185</v>
      </c>
      <c r="L780" s="74">
        <v>13.01</v>
      </c>
      <c r="M780" s="85">
        <v>14</v>
      </c>
      <c r="N780" s="74">
        <v>0.314</v>
      </c>
      <c r="O780">
        <v>2</v>
      </c>
      <c r="P780" s="84">
        <v>0.314</v>
      </c>
      <c r="Q780" s="86">
        <v>4.2</v>
      </c>
      <c r="R780" s="85">
        <v>4.2</v>
      </c>
      <c r="S780" s="87">
        <v>1597940</v>
      </c>
      <c r="T780" s="1">
        <v>1</v>
      </c>
      <c r="U780" s="88">
        <v>380461.90476190473</v>
      </c>
      <c r="V780" s="59">
        <v>2.6283840444572388</v>
      </c>
      <c r="X780" s="98">
        <v>8.4</v>
      </c>
      <c r="Y780" s="97">
        <v>195.63095238095238</v>
      </c>
    </row>
    <row r="781" spans="1:25">
      <c r="A781" s="58">
        <v>781</v>
      </c>
      <c r="B781" s="58">
        <v>781</v>
      </c>
      <c r="C781" s="58" t="s">
        <v>1324</v>
      </c>
      <c r="D781" s="58" t="s">
        <v>182</v>
      </c>
      <c r="E781" s="58" t="s">
        <v>182</v>
      </c>
      <c r="F781" s="58" t="s">
        <v>302</v>
      </c>
      <c r="G781" s="58" t="s">
        <v>303</v>
      </c>
      <c r="H781" s="58" t="s">
        <v>179</v>
      </c>
      <c r="I781">
        <v>38000</v>
      </c>
      <c r="J781">
        <v>38000</v>
      </c>
      <c r="K781" s="58" t="s">
        <v>185</v>
      </c>
      <c r="L781" s="74">
        <v>9.6690000000000005</v>
      </c>
      <c r="M781" s="85">
        <v>10</v>
      </c>
      <c r="N781" s="74">
        <v>0.47499999999999998</v>
      </c>
      <c r="O781">
        <v>2</v>
      </c>
      <c r="P781" s="84">
        <v>0.47499999999999998</v>
      </c>
      <c r="Q781" s="86">
        <v>4.2</v>
      </c>
      <c r="R781" s="85">
        <v>4.2</v>
      </c>
      <c r="S781" s="87">
        <v>1387140</v>
      </c>
      <c r="T781" s="1">
        <v>1</v>
      </c>
      <c r="U781" s="88">
        <v>330271.42857142858</v>
      </c>
      <c r="V781" s="59">
        <v>3.0278126216531858</v>
      </c>
      <c r="X781" s="98">
        <v>4.2</v>
      </c>
      <c r="Y781" s="97">
        <v>380.46190476190475</v>
      </c>
    </row>
    <row r="782" spans="1:25">
      <c r="A782" s="58">
        <v>782</v>
      </c>
      <c r="B782" s="58">
        <v>782</v>
      </c>
      <c r="C782" s="58" t="s">
        <v>1325</v>
      </c>
      <c r="D782" s="58" t="s">
        <v>182</v>
      </c>
      <c r="E782" s="58" t="s">
        <v>182</v>
      </c>
      <c r="F782" s="58" t="s">
        <v>302</v>
      </c>
      <c r="G782" s="58" t="s">
        <v>303</v>
      </c>
      <c r="H782" s="58" t="s">
        <v>179</v>
      </c>
      <c r="I782">
        <v>38000</v>
      </c>
      <c r="J782">
        <v>38000</v>
      </c>
      <c r="K782" s="58" t="s">
        <v>185</v>
      </c>
      <c r="L782" s="74">
        <v>5.0019999999999998</v>
      </c>
      <c r="M782" s="85">
        <v>6</v>
      </c>
      <c r="N782" s="74">
        <v>4.3550000000000004</v>
      </c>
      <c r="O782">
        <v>2</v>
      </c>
      <c r="P782" s="84">
        <v>3.2662500000000003</v>
      </c>
      <c r="Q782" s="86">
        <v>37.800000000000004</v>
      </c>
      <c r="R782" s="85">
        <v>37.800000000000004</v>
      </c>
      <c r="S782" s="87">
        <v>1015350</v>
      </c>
      <c r="T782" s="1">
        <v>6</v>
      </c>
      <c r="U782" s="88">
        <v>26861.111111111109</v>
      </c>
      <c r="V782" s="59">
        <v>37.228541882109624</v>
      </c>
      <c r="X782" s="98">
        <v>4.2</v>
      </c>
      <c r="Y782" s="97">
        <v>330.2714285714286</v>
      </c>
    </row>
    <row r="783" spans="1:25">
      <c r="A783" s="58">
        <v>783</v>
      </c>
      <c r="B783" s="58">
        <v>783</v>
      </c>
      <c r="C783" s="58" t="s">
        <v>1326</v>
      </c>
      <c r="D783" s="58" t="s">
        <v>182</v>
      </c>
      <c r="E783" s="58" t="s">
        <v>182</v>
      </c>
      <c r="F783" s="58" t="s">
        <v>302</v>
      </c>
      <c r="G783" s="58" t="s">
        <v>303</v>
      </c>
      <c r="H783" s="58" t="s">
        <v>179</v>
      </c>
      <c r="I783">
        <v>38000</v>
      </c>
      <c r="J783">
        <v>38000</v>
      </c>
      <c r="K783" s="58" t="s">
        <v>185</v>
      </c>
      <c r="L783" s="74">
        <v>5.0670000000000002</v>
      </c>
      <c r="M783" s="85">
        <v>6</v>
      </c>
      <c r="N783" s="74">
        <v>1.8979999999999999</v>
      </c>
      <c r="O783">
        <v>2</v>
      </c>
      <c r="P783" s="84">
        <v>1.4235</v>
      </c>
      <c r="Q783" s="86">
        <v>16.8</v>
      </c>
      <c r="R783" s="85">
        <v>16.8</v>
      </c>
      <c r="S783" s="87">
        <v>769410</v>
      </c>
      <c r="T783" s="1">
        <v>4</v>
      </c>
      <c r="U783" s="88">
        <v>45798.214285714283</v>
      </c>
      <c r="V783" s="59">
        <v>21.834912465395561</v>
      </c>
      <c r="X783" s="98">
        <v>37.800000000000004</v>
      </c>
      <c r="Y783" s="97">
        <v>26.861111111111111</v>
      </c>
    </row>
    <row r="784" spans="1:25">
      <c r="A784" s="58">
        <v>784</v>
      </c>
      <c r="B784" s="58">
        <v>784</v>
      </c>
      <c r="C784" s="58" t="s">
        <v>1327</v>
      </c>
      <c r="D784" s="58" t="s">
        <v>182</v>
      </c>
      <c r="E784" s="58" t="s">
        <v>182</v>
      </c>
      <c r="F784" s="58" t="s">
        <v>302</v>
      </c>
      <c r="G784" s="58" t="s">
        <v>303</v>
      </c>
      <c r="H784" s="58" t="s">
        <v>179</v>
      </c>
      <c r="I784">
        <v>38000</v>
      </c>
      <c r="J784">
        <v>38000</v>
      </c>
      <c r="K784" s="58" t="s">
        <v>185</v>
      </c>
      <c r="L784" s="74">
        <v>6.8959999999999999</v>
      </c>
      <c r="M784" s="85">
        <v>7</v>
      </c>
      <c r="N784" s="74">
        <v>2.6869999999999998</v>
      </c>
      <c r="O784">
        <v>2</v>
      </c>
      <c r="P784" s="84">
        <v>2.01525</v>
      </c>
      <c r="Q784" s="86">
        <v>21</v>
      </c>
      <c r="R784" s="85">
        <v>21</v>
      </c>
      <c r="S784" s="87">
        <v>839680</v>
      </c>
      <c r="T784" s="1">
        <v>4</v>
      </c>
      <c r="U784" s="88">
        <v>39984.761904761908</v>
      </c>
      <c r="V784" s="59">
        <v>25.009527439024389</v>
      </c>
      <c r="X784" s="98">
        <v>16.8</v>
      </c>
      <c r="Y784" s="97">
        <v>45.79821428571428</v>
      </c>
    </row>
    <row r="785" spans="1:25">
      <c r="A785" s="89">
        <v>785</v>
      </c>
      <c r="B785" s="89">
        <v>785</v>
      </c>
      <c r="C785" s="89" t="s">
        <v>1328</v>
      </c>
      <c r="D785" s="58" t="s">
        <v>182</v>
      </c>
      <c r="E785" s="58" t="s">
        <v>182</v>
      </c>
      <c r="F785" s="89" t="s">
        <v>183</v>
      </c>
      <c r="G785" s="89" t="s">
        <v>184</v>
      </c>
      <c r="H785" s="89" t="s">
        <v>179</v>
      </c>
      <c r="I785" s="90">
        <v>38000</v>
      </c>
      <c r="J785" s="90">
        <v>38000</v>
      </c>
      <c r="K785" s="89" t="s">
        <v>185</v>
      </c>
      <c r="L785" s="91">
        <v>4.8390000000000004</v>
      </c>
      <c r="M785" s="92">
        <v>5</v>
      </c>
      <c r="N785" s="91">
        <v>14.672000000000001</v>
      </c>
      <c r="O785" s="90">
        <v>2</v>
      </c>
      <c r="P785" s="92">
        <v>11.004000000000001</v>
      </c>
      <c r="Q785" s="93">
        <v>134.4</v>
      </c>
      <c r="R785" s="92">
        <v>134.4</v>
      </c>
      <c r="S785" s="87">
        <v>2818860</v>
      </c>
      <c r="T785" s="94">
        <v>12</v>
      </c>
      <c r="U785" s="95">
        <v>20973.660714285714</v>
      </c>
      <c r="V785" s="96">
        <v>47.678848896362361</v>
      </c>
      <c r="X785" s="98">
        <v>21</v>
      </c>
      <c r="Y785" s="97">
        <v>39.984761904761903</v>
      </c>
    </row>
    <row r="786" spans="1:25">
      <c r="A786" s="58">
        <v>786</v>
      </c>
      <c r="B786" s="58">
        <v>786</v>
      </c>
      <c r="C786" s="58" t="s">
        <v>1329</v>
      </c>
      <c r="D786" s="58" t="s">
        <v>182</v>
      </c>
      <c r="E786" s="58" t="s">
        <v>182</v>
      </c>
      <c r="F786" s="58" t="s">
        <v>302</v>
      </c>
      <c r="G786" s="58" t="s">
        <v>303</v>
      </c>
      <c r="H786" s="58" t="s">
        <v>179</v>
      </c>
      <c r="I786">
        <v>38000</v>
      </c>
      <c r="J786">
        <v>38000</v>
      </c>
      <c r="K786" s="58" t="s">
        <v>185</v>
      </c>
      <c r="L786" s="74">
        <v>10.144</v>
      </c>
      <c r="M786" s="85">
        <v>11</v>
      </c>
      <c r="N786" s="74">
        <v>1.0640000000000001</v>
      </c>
      <c r="O786">
        <v>2</v>
      </c>
      <c r="P786" s="84">
        <v>0.79800000000000004</v>
      </c>
      <c r="Q786" s="86">
        <v>8.4</v>
      </c>
      <c r="R786" s="85">
        <v>8.4</v>
      </c>
      <c r="S786" s="87">
        <v>1485200</v>
      </c>
      <c r="T786" s="1">
        <v>2</v>
      </c>
      <c r="U786" s="88">
        <v>176809.52380952382</v>
      </c>
      <c r="V786" s="59">
        <v>5.655803932130353</v>
      </c>
      <c r="X786" s="98">
        <v>134.4</v>
      </c>
      <c r="Y786" s="97">
        <v>20.97366071428571</v>
      </c>
    </row>
    <row r="787" spans="1:25">
      <c r="A787" s="89">
        <v>787</v>
      </c>
      <c r="B787" s="89">
        <v>787</v>
      </c>
      <c r="C787" s="89" t="s">
        <v>1330</v>
      </c>
      <c r="D787" s="58" t="s">
        <v>182</v>
      </c>
      <c r="E787" s="58" t="s">
        <v>182</v>
      </c>
      <c r="F787" s="89" t="s">
        <v>302</v>
      </c>
      <c r="G787" s="89" t="s">
        <v>303</v>
      </c>
      <c r="H787" s="89" t="s">
        <v>179</v>
      </c>
      <c r="I787" s="90">
        <v>38000</v>
      </c>
      <c r="J787" s="90">
        <v>38000</v>
      </c>
      <c r="K787" s="89" t="s">
        <v>185</v>
      </c>
      <c r="L787" s="91">
        <v>10.586</v>
      </c>
      <c r="M787" s="92">
        <v>11</v>
      </c>
      <c r="N787" s="91">
        <v>5.7149999999999999</v>
      </c>
      <c r="O787" s="90">
        <v>2</v>
      </c>
      <c r="P787" s="92">
        <v>4.2862499999999999</v>
      </c>
      <c r="Q787" s="93">
        <v>50.400000000000006</v>
      </c>
      <c r="R787" s="92">
        <v>50.400000000000006</v>
      </c>
      <c r="S787" s="87">
        <v>3237370</v>
      </c>
      <c r="T787" s="94">
        <v>11</v>
      </c>
      <c r="U787" s="95">
        <v>64233.531746031738</v>
      </c>
      <c r="V787" s="96">
        <v>15.568192699629639</v>
      </c>
      <c r="X787" s="98">
        <v>8.4</v>
      </c>
      <c r="Y787" s="97">
        <v>176.8095238095238</v>
      </c>
    </row>
    <row r="788" spans="1:25">
      <c r="A788" s="58">
        <v>788</v>
      </c>
      <c r="B788" s="58">
        <v>788</v>
      </c>
      <c r="C788" s="58" t="s">
        <v>1331</v>
      </c>
      <c r="D788" s="58" t="s">
        <v>182</v>
      </c>
      <c r="E788" s="58" t="s">
        <v>182</v>
      </c>
      <c r="F788" s="58" t="s">
        <v>302</v>
      </c>
      <c r="G788" s="58" t="s">
        <v>303</v>
      </c>
      <c r="H788" s="58" t="s">
        <v>179</v>
      </c>
      <c r="I788">
        <v>38000</v>
      </c>
      <c r="J788">
        <v>38000</v>
      </c>
      <c r="K788" s="58" t="s">
        <v>185</v>
      </c>
      <c r="L788" s="74">
        <v>12.771000000000001</v>
      </c>
      <c r="M788" s="85">
        <v>13</v>
      </c>
      <c r="N788" s="74">
        <v>0.61699999999999999</v>
      </c>
      <c r="O788">
        <v>2</v>
      </c>
      <c r="P788" s="84">
        <v>0.46274999999999999</v>
      </c>
      <c r="Q788" s="86">
        <v>4.2</v>
      </c>
      <c r="R788" s="85">
        <v>4.2</v>
      </c>
      <c r="S788" s="87">
        <v>1545240</v>
      </c>
      <c r="T788" s="1">
        <v>1</v>
      </c>
      <c r="U788" s="88">
        <v>367914.28571428568</v>
      </c>
      <c r="V788" s="59">
        <v>2.7180243845616214</v>
      </c>
      <c r="X788" s="98">
        <v>50.400000000000006</v>
      </c>
      <c r="Y788" s="97">
        <v>64.23353174603173</v>
      </c>
    </row>
    <row r="789" spans="1:25">
      <c r="A789" s="58">
        <v>789</v>
      </c>
      <c r="B789" s="58">
        <v>789</v>
      </c>
      <c r="C789" s="58" t="s">
        <v>1332</v>
      </c>
      <c r="D789" s="58" t="s">
        <v>182</v>
      </c>
      <c r="E789" s="58" t="s">
        <v>182</v>
      </c>
      <c r="F789" s="58" t="s">
        <v>302</v>
      </c>
      <c r="G789" s="58" t="s">
        <v>303</v>
      </c>
      <c r="H789" s="58" t="s">
        <v>179</v>
      </c>
      <c r="I789">
        <v>38000</v>
      </c>
      <c r="J789">
        <v>38000</v>
      </c>
      <c r="K789" s="58" t="s">
        <v>185</v>
      </c>
      <c r="L789" s="74">
        <v>14.805999999999999</v>
      </c>
      <c r="M789" s="85">
        <v>15</v>
      </c>
      <c r="N789" s="74">
        <v>0.55000000000000004</v>
      </c>
      <c r="O789">
        <v>2</v>
      </c>
      <c r="P789" s="84">
        <v>0.55000000000000004</v>
      </c>
      <c r="Q789" s="86">
        <v>4.2</v>
      </c>
      <c r="R789" s="85">
        <v>4.2</v>
      </c>
      <c r="S789" s="87">
        <v>1650640</v>
      </c>
      <c r="T789" s="1">
        <v>1</v>
      </c>
      <c r="U789" s="88">
        <v>393009.52380952379</v>
      </c>
      <c r="V789" s="59">
        <v>2.5444676004458877</v>
      </c>
      <c r="X789" s="98">
        <v>4.2</v>
      </c>
      <c r="Y789" s="97">
        <v>367.91428571428571</v>
      </c>
    </row>
    <row r="790" spans="1:25">
      <c r="A790" s="58">
        <v>790</v>
      </c>
      <c r="B790" s="58">
        <v>790</v>
      </c>
      <c r="C790" s="58" t="s">
        <v>1333</v>
      </c>
      <c r="D790" s="58" t="s">
        <v>182</v>
      </c>
      <c r="E790" s="58" t="s">
        <v>182</v>
      </c>
      <c r="F790" s="58" t="s">
        <v>302</v>
      </c>
      <c r="G790" s="58" t="s">
        <v>303</v>
      </c>
      <c r="H790" s="58" t="s">
        <v>179</v>
      </c>
      <c r="I790">
        <v>38000</v>
      </c>
      <c r="J790">
        <v>38000</v>
      </c>
      <c r="K790" s="58" t="s">
        <v>185</v>
      </c>
      <c r="L790" s="74">
        <v>13.069000000000001</v>
      </c>
      <c r="M790" s="85">
        <v>14</v>
      </c>
      <c r="N790" s="74">
        <v>3.0739999999999998</v>
      </c>
      <c r="O790">
        <v>2</v>
      </c>
      <c r="P790" s="84">
        <v>2.3054999999999999</v>
      </c>
      <c r="Q790" s="86">
        <v>25.200000000000003</v>
      </c>
      <c r="R790" s="85">
        <v>25.200000000000003</v>
      </c>
      <c r="S790" s="87">
        <v>1591410</v>
      </c>
      <c r="T790" s="1">
        <v>5</v>
      </c>
      <c r="U790" s="88">
        <v>63151.190476190466</v>
      </c>
      <c r="V790" s="59">
        <v>15.835014232661605</v>
      </c>
      <c r="X790" s="98">
        <v>4.2</v>
      </c>
      <c r="Y790" s="97">
        <v>393.00952380952378</v>
      </c>
    </row>
    <row r="791" spans="1:25">
      <c r="A791" s="89">
        <v>791</v>
      </c>
      <c r="B791" s="89">
        <v>791</v>
      </c>
      <c r="C791" s="89" t="s">
        <v>1334</v>
      </c>
      <c r="D791" s="58" t="s">
        <v>182</v>
      </c>
      <c r="E791" s="58" t="s">
        <v>182</v>
      </c>
      <c r="F791" s="89" t="s">
        <v>302</v>
      </c>
      <c r="G791" s="89" t="s">
        <v>303</v>
      </c>
      <c r="H791" s="89" t="s">
        <v>179</v>
      </c>
      <c r="I791" s="90">
        <v>38000</v>
      </c>
      <c r="J791" s="90">
        <v>38000</v>
      </c>
      <c r="K791" s="89" t="s">
        <v>185</v>
      </c>
      <c r="L791" s="91">
        <v>11.819000000000001</v>
      </c>
      <c r="M791" s="92">
        <v>12</v>
      </c>
      <c r="N791" s="91">
        <v>7.2859999999999996</v>
      </c>
      <c r="O791" s="90">
        <v>2</v>
      </c>
      <c r="P791" s="92">
        <v>5.4644999999999992</v>
      </c>
      <c r="Q791" s="93">
        <v>67.2</v>
      </c>
      <c r="R791" s="92">
        <v>67.2</v>
      </c>
      <c r="S791" s="87">
        <v>3448180</v>
      </c>
      <c r="T791" s="94">
        <v>11</v>
      </c>
      <c r="U791" s="95">
        <v>51312.202380952382</v>
      </c>
      <c r="V791" s="96">
        <v>19.488541781461524</v>
      </c>
      <c r="X791" s="98">
        <v>25.200000000000003</v>
      </c>
      <c r="Y791" s="97">
        <v>63.151190476190472</v>
      </c>
    </row>
    <row r="792" spans="1:25">
      <c r="A792" s="58">
        <v>792</v>
      </c>
      <c r="B792" s="58">
        <v>792</v>
      </c>
      <c r="C792" s="58" t="s">
        <v>1335</v>
      </c>
      <c r="D792" s="58" t="s">
        <v>182</v>
      </c>
      <c r="E792" s="58" t="s">
        <v>182</v>
      </c>
      <c r="F792" s="58" t="s">
        <v>302</v>
      </c>
      <c r="G792" s="58" t="s">
        <v>303</v>
      </c>
      <c r="H792" s="58" t="s">
        <v>179</v>
      </c>
      <c r="I792">
        <v>38000</v>
      </c>
      <c r="J792">
        <v>38000</v>
      </c>
      <c r="K792" s="58" t="s">
        <v>185</v>
      </c>
      <c r="L792" s="74">
        <v>11.307</v>
      </c>
      <c r="M792" s="85">
        <v>12</v>
      </c>
      <c r="N792" s="74">
        <v>0.66800000000000004</v>
      </c>
      <c r="O792">
        <v>2</v>
      </c>
      <c r="P792" s="84">
        <v>0.501</v>
      </c>
      <c r="Q792" s="86">
        <v>4.2</v>
      </c>
      <c r="R792" s="85">
        <v>4.2</v>
      </c>
      <c r="S792" s="87">
        <v>1492540</v>
      </c>
      <c r="T792" s="1">
        <v>1</v>
      </c>
      <c r="U792" s="88">
        <v>355366.66666666663</v>
      </c>
      <c r="V792" s="59">
        <v>2.8139949348091173</v>
      </c>
      <c r="X792" s="98">
        <v>67.2</v>
      </c>
      <c r="Y792" s="97">
        <v>51.312202380952385</v>
      </c>
    </row>
    <row r="793" spans="1:25">
      <c r="A793" s="58">
        <v>793</v>
      </c>
      <c r="B793" s="58">
        <v>793</v>
      </c>
      <c r="C793" s="58" t="s">
        <v>1336</v>
      </c>
      <c r="D793" s="58" t="s">
        <v>182</v>
      </c>
      <c r="E793" s="58" t="s">
        <v>182</v>
      </c>
      <c r="F793" s="58" t="s">
        <v>302</v>
      </c>
      <c r="G793" s="58" t="s">
        <v>303</v>
      </c>
      <c r="H793" s="58" t="s">
        <v>179</v>
      </c>
      <c r="I793">
        <v>38000</v>
      </c>
      <c r="J793">
        <v>38000</v>
      </c>
      <c r="K793" s="58" t="s">
        <v>185</v>
      </c>
      <c r="L793" s="74">
        <v>8.8859999999999992</v>
      </c>
      <c r="M793" s="85">
        <v>9</v>
      </c>
      <c r="N793" s="74">
        <v>2.3319999999999999</v>
      </c>
      <c r="O793">
        <v>2</v>
      </c>
      <c r="P793" s="84">
        <v>1.7489999999999999</v>
      </c>
      <c r="Q793" s="86">
        <v>21</v>
      </c>
      <c r="R793" s="85">
        <v>21</v>
      </c>
      <c r="S793" s="87">
        <v>980220</v>
      </c>
      <c r="T793" s="1">
        <v>4</v>
      </c>
      <c r="U793" s="88">
        <v>46677.142857142855</v>
      </c>
      <c r="V793" s="59">
        <v>21.423762012609416</v>
      </c>
      <c r="X793" s="98">
        <v>4.2</v>
      </c>
      <c r="Y793" s="97">
        <v>355.36666666666662</v>
      </c>
    </row>
    <row r="794" spans="1:25">
      <c r="A794" s="58">
        <v>794</v>
      </c>
      <c r="B794" s="58">
        <v>794</v>
      </c>
      <c r="C794" s="58" t="s">
        <v>1337</v>
      </c>
      <c r="D794" s="58" t="s">
        <v>182</v>
      </c>
      <c r="E794" s="58" t="s">
        <v>182</v>
      </c>
      <c r="F794" s="58" t="s">
        <v>302</v>
      </c>
      <c r="G794" s="58" t="s">
        <v>303</v>
      </c>
      <c r="H794" s="58" t="s">
        <v>179</v>
      </c>
      <c r="I794">
        <v>38000</v>
      </c>
      <c r="J794">
        <v>38000</v>
      </c>
      <c r="K794" s="58" t="s">
        <v>185</v>
      </c>
      <c r="L794" s="74">
        <v>11.63</v>
      </c>
      <c r="M794" s="85">
        <v>12</v>
      </c>
      <c r="N794" s="74">
        <v>1.8939999999999999</v>
      </c>
      <c r="O794">
        <v>2</v>
      </c>
      <c r="P794" s="84">
        <v>1.4204999999999999</v>
      </c>
      <c r="Q794" s="86">
        <v>16.8</v>
      </c>
      <c r="R794" s="85">
        <v>16.8</v>
      </c>
      <c r="S794" s="87">
        <v>1191030</v>
      </c>
      <c r="T794" s="1">
        <v>4</v>
      </c>
      <c r="U794" s="88">
        <v>70894.642857142855</v>
      </c>
      <c r="V794" s="59">
        <v>14.105438150172541</v>
      </c>
      <c r="X794" s="98">
        <v>21</v>
      </c>
      <c r="Y794" s="97">
        <v>46.677142857142854</v>
      </c>
    </row>
    <row r="795" spans="1:25">
      <c r="A795" s="89">
        <v>795</v>
      </c>
      <c r="B795" s="89">
        <v>795</v>
      </c>
      <c r="C795" s="89" t="s">
        <v>1338</v>
      </c>
      <c r="D795" s="58" t="s">
        <v>234</v>
      </c>
      <c r="E795" s="58" t="s">
        <v>182</v>
      </c>
      <c r="F795" s="89" t="s">
        <v>302</v>
      </c>
      <c r="G795" s="89" t="s">
        <v>303</v>
      </c>
      <c r="H795" s="89" t="s">
        <v>179</v>
      </c>
      <c r="I795" s="90">
        <v>38000</v>
      </c>
      <c r="J795" s="90">
        <v>38000</v>
      </c>
      <c r="K795" s="89" t="s">
        <v>185</v>
      </c>
      <c r="L795" s="91">
        <v>18.431000000000001</v>
      </c>
      <c r="M795" s="92">
        <v>19</v>
      </c>
      <c r="N795" s="91">
        <v>8.1760000000000002</v>
      </c>
      <c r="O795" s="90">
        <v>2</v>
      </c>
      <c r="P795" s="92">
        <v>6.1319999999999997</v>
      </c>
      <c r="Q795" s="93">
        <v>75.600000000000009</v>
      </c>
      <c r="R795" s="92">
        <v>75.600000000000009</v>
      </c>
      <c r="S795" s="87">
        <v>4923850</v>
      </c>
      <c r="T795" s="94">
        <v>11</v>
      </c>
      <c r="U795" s="95">
        <v>65130.291005291001</v>
      </c>
      <c r="V795" s="96">
        <v>15.353838967474642</v>
      </c>
      <c r="X795" s="98">
        <v>16.8</v>
      </c>
      <c r="Y795" s="97">
        <v>70.894642857142856</v>
      </c>
    </row>
    <row r="796" spans="1:25">
      <c r="A796" s="58">
        <v>796</v>
      </c>
      <c r="B796" s="58">
        <v>796</v>
      </c>
      <c r="C796" s="58" t="s">
        <v>1339</v>
      </c>
      <c r="D796" s="58" t="s">
        <v>234</v>
      </c>
      <c r="E796" s="58" t="s">
        <v>234</v>
      </c>
      <c r="F796" s="58" t="s">
        <v>309</v>
      </c>
      <c r="G796" s="58" t="s">
        <v>310</v>
      </c>
      <c r="H796" s="58" t="s">
        <v>179</v>
      </c>
      <c r="I796">
        <v>38000</v>
      </c>
      <c r="J796">
        <v>38000</v>
      </c>
      <c r="K796">
        <v>20000</v>
      </c>
      <c r="L796" s="74">
        <v>18.315999999999999</v>
      </c>
      <c r="M796" s="85">
        <v>19</v>
      </c>
      <c r="N796" s="74">
        <v>1.3009999999999999</v>
      </c>
      <c r="O796">
        <v>2</v>
      </c>
      <c r="P796" s="84">
        <v>0.9757499999999999</v>
      </c>
      <c r="Q796" s="86">
        <v>8.4</v>
      </c>
      <c r="R796" s="85">
        <v>8.4</v>
      </c>
      <c r="S796" s="87">
        <v>1906800</v>
      </c>
      <c r="T796" s="1">
        <v>2</v>
      </c>
      <c r="U796" s="88">
        <v>227000</v>
      </c>
      <c r="V796" s="59">
        <v>4.4052863436123344</v>
      </c>
      <c r="X796" s="98">
        <v>75.600000000000009</v>
      </c>
      <c r="Y796" s="97">
        <v>65.130291005290999</v>
      </c>
    </row>
    <row r="797" spans="1:25">
      <c r="A797" s="89">
        <v>797</v>
      </c>
      <c r="B797" s="89">
        <v>797</v>
      </c>
      <c r="C797" s="89" t="s">
        <v>1340</v>
      </c>
      <c r="D797" s="58" t="s">
        <v>234</v>
      </c>
      <c r="E797" s="58" t="s">
        <v>234</v>
      </c>
      <c r="F797" s="89" t="s">
        <v>309</v>
      </c>
      <c r="G797" s="89" t="s">
        <v>310</v>
      </c>
      <c r="H797" s="89" t="s">
        <v>179</v>
      </c>
      <c r="I797" s="90">
        <v>38000</v>
      </c>
      <c r="J797" s="90">
        <v>38000</v>
      </c>
      <c r="K797" s="90">
        <v>20000</v>
      </c>
      <c r="L797" s="91">
        <v>16.39</v>
      </c>
      <c r="M797" s="92">
        <v>17</v>
      </c>
      <c r="N797" s="91">
        <v>10.7959999999999</v>
      </c>
      <c r="O797" s="90">
        <v>2</v>
      </c>
      <c r="P797" s="92">
        <v>8.0969999999999249</v>
      </c>
      <c r="Q797" s="93">
        <v>96.600000000000009</v>
      </c>
      <c r="R797" s="92">
        <v>96.600000000000009</v>
      </c>
      <c r="S797" s="87">
        <v>4502230</v>
      </c>
      <c r="T797" s="94">
        <v>11</v>
      </c>
      <c r="U797" s="95">
        <v>46606.935817805381</v>
      </c>
      <c r="V797" s="96">
        <v>21.456034009812917</v>
      </c>
      <c r="X797" s="98">
        <v>8.4</v>
      </c>
      <c r="Y797" s="97">
        <v>227</v>
      </c>
    </row>
    <row r="798" spans="1:25">
      <c r="A798" s="58">
        <v>798</v>
      </c>
      <c r="B798" s="58">
        <v>798</v>
      </c>
      <c r="C798" s="58" t="s">
        <v>1341</v>
      </c>
      <c r="D798" s="58" t="s">
        <v>234</v>
      </c>
      <c r="E798" s="58" t="s">
        <v>234</v>
      </c>
      <c r="F798" s="58" t="s">
        <v>309</v>
      </c>
      <c r="G798" s="58" t="s">
        <v>310</v>
      </c>
      <c r="H798" s="58" t="s">
        <v>179</v>
      </c>
      <c r="I798">
        <v>38000</v>
      </c>
      <c r="J798">
        <v>38000</v>
      </c>
      <c r="K798">
        <v>20000</v>
      </c>
      <c r="L798" s="74">
        <v>14.798</v>
      </c>
      <c r="M798" s="85">
        <v>15</v>
      </c>
      <c r="N798" s="74">
        <v>0.436</v>
      </c>
      <c r="O798">
        <v>2</v>
      </c>
      <c r="P798" s="84">
        <v>0.436</v>
      </c>
      <c r="Q798" s="86">
        <v>4.2</v>
      </c>
      <c r="R798" s="85">
        <v>4.2</v>
      </c>
      <c r="S798" s="87">
        <v>1650640</v>
      </c>
      <c r="T798" s="1">
        <v>1</v>
      </c>
      <c r="U798" s="88">
        <v>393009.52380952379</v>
      </c>
      <c r="V798" s="59">
        <v>2.5444676004458877</v>
      </c>
      <c r="X798" s="98">
        <v>96.600000000000009</v>
      </c>
      <c r="Y798" s="97">
        <v>46.606935817805379</v>
      </c>
    </row>
    <row r="799" spans="1:25">
      <c r="A799" s="58">
        <v>799</v>
      </c>
      <c r="B799" s="58">
        <v>799</v>
      </c>
      <c r="C799" s="58" t="s">
        <v>1342</v>
      </c>
      <c r="D799" s="58" t="s">
        <v>234</v>
      </c>
      <c r="E799" s="58" t="s">
        <v>234</v>
      </c>
      <c r="F799" s="58" t="s">
        <v>309</v>
      </c>
      <c r="G799" s="58" t="s">
        <v>310</v>
      </c>
      <c r="H799" s="58" t="s">
        <v>179</v>
      </c>
      <c r="I799">
        <v>38000</v>
      </c>
      <c r="J799">
        <v>38000</v>
      </c>
      <c r="K799">
        <v>20000</v>
      </c>
      <c r="L799" s="74">
        <v>12.93</v>
      </c>
      <c r="M799" s="85">
        <v>13</v>
      </c>
      <c r="N799" s="74">
        <v>1.266</v>
      </c>
      <c r="O799">
        <v>2</v>
      </c>
      <c r="P799" s="84">
        <v>0.94950000000000001</v>
      </c>
      <c r="Q799" s="86">
        <v>8.4</v>
      </c>
      <c r="R799" s="85">
        <v>8.4</v>
      </c>
      <c r="S799" s="87">
        <v>1590600</v>
      </c>
      <c r="T799" s="1">
        <v>2</v>
      </c>
      <c r="U799" s="88">
        <v>189357.14285714284</v>
      </c>
      <c r="V799" s="59">
        <v>5.2810260279139944</v>
      </c>
      <c r="X799" s="98">
        <v>4.2</v>
      </c>
      <c r="Y799" s="97">
        <v>393.00952380952378</v>
      </c>
    </row>
    <row r="800" spans="1:25">
      <c r="A800" s="58">
        <v>800</v>
      </c>
      <c r="B800" s="58">
        <v>800</v>
      </c>
      <c r="C800" s="58" t="s">
        <v>1343</v>
      </c>
      <c r="D800" s="58" t="s">
        <v>234</v>
      </c>
      <c r="E800" s="58" t="s">
        <v>234</v>
      </c>
      <c r="F800" s="58" t="s">
        <v>309</v>
      </c>
      <c r="G800" s="58" t="s">
        <v>310</v>
      </c>
      <c r="H800" s="58" t="s">
        <v>179</v>
      </c>
      <c r="I800">
        <v>38000</v>
      </c>
      <c r="J800">
        <v>38000</v>
      </c>
      <c r="K800">
        <v>20000</v>
      </c>
      <c r="L800" s="74">
        <v>13.856</v>
      </c>
      <c r="M800" s="85">
        <v>14</v>
      </c>
      <c r="N800" s="74">
        <v>3.9820000000000002</v>
      </c>
      <c r="O800">
        <v>2</v>
      </c>
      <c r="P800" s="84">
        <v>2.9865000000000004</v>
      </c>
      <c r="Q800" s="86">
        <v>33.6</v>
      </c>
      <c r="R800" s="85">
        <v>33.6</v>
      </c>
      <c r="S800" s="87">
        <v>1905430</v>
      </c>
      <c r="T800" s="1">
        <v>6</v>
      </c>
      <c r="U800" s="88">
        <v>56709.226190476191</v>
      </c>
      <c r="V800" s="59">
        <v>17.633814939410001</v>
      </c>
      <c r="X800" s="98">
        <v>8.4</v>
      </c>
      <c r="Y800" s="97">
        <v>189.35714285714283</v>
      </c>
    </row>
    <row r="801" spans="1:25">
      <c r="A801" s="58">
        <v>801</v>
      </c>
      <c r="B801" s="58">
        <v>801</v>
      </c>
      <c r="C801" s="58" t="s">
        <v>1344</v>
      </c>
      <c r="D801" s="58" t="s">
        <v>234</v>
      </c>
      <c r="E801" s="58" t="s">
        <v>234</v>
      </c>
      <c r="F801" s="58" t="s">
        <v>935</v>
      </c>
      <c r="G801" s="58" t="s">
        <v>936</v>
      </c>
      <c r="H801" s="58" t="s">
        <v>179</v>
      </c>
      <c r="I801">
        <v>38000</v>
      </c>
      <c r="J801">
        <v>38000</v>
      </c>
      <c r="K801" s="58" t="s">
        <v>185</v>
      </c>
      <c r="L801" s="74">
        <v>14.372</v>
      </c>
      <c r="M801" s="85">
        <v>15</v>
      </c>
      <c r="N801" s="74">
        <v>4.29</v>
      </c>
      <c r="O801">
        <v>2</v>
      </c>
      <c r="P801" s="84">
        <v>3.2175000000000002</v>
      </c>
      <c r="Q801" s="86">
        <v>37.800000000000004</v>
      </c>
      <c r="R801" s="85">
        <v>37.800000000000004</v>
      </c>
      <c r="S801" s="87">
        <v>2016690</v>
      </c>
      <c r="T801" s="1">
        <v>6</v>
      </c>
      <c r="U801" s="88">
        <v>53351.587301587293</v>
      </c>
      <c r="V801" s="59">
        <v>18.743584784969435</v>
      </c>
      <c r="X801" s="98">
        <v>33.6</v>
      </c>
      <c r="Y801" s="97">
        <v>56.709226190476194</v>
      </c>
    </row>
    <row r="802" spans="1:25">
      <c r="A802" s="58">
        <v>802</v>
      </c>
      <c r="B802" s="58">
        <v>802</v>
      </c>
      <c r="C802" s="58" t="s">
        <v>1345</v>
      </c>
      <c r="D802" s="58" t="s">
        <v>234</v>
      </c>
      <c r="E802" s="58" t="s">
        <v>234</v>
      </c>
      <c r="F802" s="58" t="s">
        <v>595</v>
      </c>
      <c r="G802" s="58" t="s">
        <v>596</v>
      </c>
      <c r="H802" s="58" t="s">
        <v>179</v>
      </c>
      <c r="I802">
        <v>38000</v>
      </c>
      <c r="J802">
        <v>38000</v>
      </c>
      <c r="K802" s="58" t="s">
        <v>185</v>
      </c>
      <c r="L802" s="74">
        <v>18.244</v>
      </c>
      <c r="M802" s="85">
        <v>19</v>
      </c>
      <c r="N802" s="74">
        <v>1.409</v>
      </c>
      <c r="O802">
        <v>2</v>
      </c>
      <c r="P802" s="84">
        <v>1.0567500000000001</v>
      </c>
      <c r="Q802" s="86">
        <v>12.600000000000001</v>
      </c>
      <c r="R802" s="85">
        <v>12.600000000000001</v>
      </c>
      <c r="S802" s="87">
        <v>1943850</v>
      </c>
      <c r="T802" s="1">
        <v>3</v>
      </c>
      <c r="U802" s="88">
        <v>154273.8095238095</v>
      </c>
      <c r="V802" s="59">
        <v>6.4819816343853702</v>
      </c>
      <c r="X802" s="98">
        <v>37.800000000000004</v>
      </c>
      <c r="Y802" s="97">
        <v>53.351587301587294</v>
      </c>
    </row>
    <row r="803" spans="1:25">
      <c r="A803" s="58">
        <v>803</v>
      </c>
      <c r="B803" s="58">
        <v>803</v>
      </c>
      <c r="C803" s="58" t="s">
        <v>1346</v>
      </c>
      <c r="D803" s="58" t="s">
        <v>182</v>
      </c>
      <c r="E803" s="58" t="s">
        <v>182</v>
      </c>
      <c r="F803" s="58" t="s">
        <v>302</v>
      </c>
      <c r="G803" s="58" t="s">
        <v>303</v>
      </c>
      <c r="H803" s="58" t="s">
        <v>179</v>
      </c>
      <c r="I803">
        <v>38000</v>
      </c>
      <c r="J803">
        <v>38000</v>
      </c>
      <c r="K803" s="58" t="s">
        <v>185</v>
      </c>
      <c r="L803" s="74">
        <v>16.492000000000001</v>
      </c>
      <c r="M803" s="85">
        <v>17</v>
      </c>
      <c r="N803" s="74">
        <v>1.331</v>
      </c>
      <c r="O803">
        <v>2</v>
      </c>
      <c r="P803" s="84">
        <v>0.99824999999999997</v>
      </c>
      <c r="Q803" s="86">
        <v>8.4</v>
      </c>
      <c r="R803" s="85">
        <v>8.4</v>
      </c>
      <c r="S803" s="87">
        <v>1801400</v>
      </c>
      <c r="T803" s="1">
        <v>2</v>
      </c>
      <c r="U803" s="88">
        <v>214452.38095238095</v>
      </c>
      <c r="V803" s="59">
        <v>4.6630398578883092</v>
      </c>
      <c r="X803" s="98">
        <v>12.600000000000001</v>
      </c>
      <c r="Y803" s="97">
        <v>154.27380952380952</v>
      </c>
    </row>
    <row r="804" spans="1:25">
      <c r="A804" s="58">
        <v>804</v>
      </c>
      <c r="B804" s="58">
        <v>804</v>
      </c>
      <c r="C804" s="58" t="s">
        <v>1347</v>
      </c>
      <c r="D804" s="58" t="s">
        <v>182</v>
      </c>
      <c r="E804" s="58" t="s">
        <v>182</v>
      </c>
      <c r="F804" s="58" t="s">
        <v>595</v>
      </c>
      <c r="G804" s="58" t="s">
        <v>596</v>
      </c>
      <c r="H804" s="58" t="s">
        <v>179</v>
      </c>
      <c r="I804">
        <v>38000</v>
      </c>
      <c r="J804">
        <v>38000</v>
      </c>
      <c r="K804" s="58" t="s">
        <v>185</v>
      </c>
      <c r="L804" s="74">
        <v>17.324000000000002</v>
      </c>
      <c r="M804" s="85">
        <v>18</v>
      </c>
      <c r="N804" s="74">
        <v>1.863</v>
      </c>
      <c r="O804">
        <v>2</v>
      </c>
      <c r="P804" s="84">
        <v>1.3972500000000001</v>
      </c>
      <c r="Q804" s="86">
        <v>16.8</v>
      </c>
      <c r="R804" s="85">
        <v>16.8</v>
      </c>
      <c r="S804" s="87">
        <v>1612650</v>
      </c>
      <c r="T804" s="1">
        <v>4</v>
      </c>
      <c r="U804" s="88">
        <v>95991.07142857142</v>
      </c>
      <c r="V804" s="59">
        <v>10.417635568784299</v>
      </c>
      <c r="X804" s="98">
        <v>8.4</v>
      </c>
      <c r="Y804" s="97">
        <v>214.45238095238096</v>
      </c>
    </row>
    <row r="805" spans="1:25">
      <c r="A805" s="58">
        <v>805</v>
      </c>
      <c r="B805" s="58">
        <v>805</v>
      </c>
      <c r="C805" s="58" t="s">
        <v>1348</v>
      </c>
      <c r="D805" s="58" t="s">
        <v>182</v>
      </c>
      <c r="E805" s="58" t="s">
        <v>182</v>
      </c>
      <c r="F805" s="58" t="s">
        <v>302</v>
      </c>
      <c r="G805" s="58" t="s">
        <v>303</v>
      </c>
      <c r="H805" s="58" t="s">
        <v>179</v>
      </c>
      <c r="I805">
        <v>38000</v>
      </c>
      <c r="J805">
        <v>38000</v>
      </c>
      <c r="K805" s="58" t="s">
        <v>185</v>
      </c>
      <c r="L805" s="74">
        <v>16.324999999999999</v>
      </c>
      <c r="M805" s="85">
        <v>17</v>
      </c>
      <c r="N805" s="74">
        <v>1.0049999999999999</v>
      </c>
      <c r="O805">
        <v>2</v>
      </c>
      <c r="P805" s="84">
        <v>0.75374999999999992</v>
      </c>
      <c r="Q805" s="86">
        <v>8.4</v>
      </c>
      <c r="R805" s="85">
        <v>8.4</v>
      </c>
      <c r="S805" s="87">
        <v>1801400</v>
      </c>
      <c r="T805" s="1">
        <v>2</v>
      </c>
      <c r="U805" s="88">
        <v>214452.38095238095</v>
      </c>
      <c r="V805" s="59">
        <v>4.6630398578883092</v>
      </c>
      <c r="X805" s="98">
        <v>16.8</v>
      </c>
      <c r="Y805" s="97">
        <v>95.991071428571431</v>
      </c>
    </row>
    <row r="806" spans="1:25">
      <c r="A806" s="58">
        <v>806</v>
      </c>
      <c r="B806" s="58">
        <v>806</v>
      </c>
      <c r="C806" s="58" t="s">
        <v>1349</v>
      </c>
      <c r="D806" s="58" t="s">
        <v>182</v>
      </c>
      <c r="E806" s="58" t="s">
        <v>182</v>
      </c>
      <c r="F806" s="58" t="s">
        <v>595</v>
      </c>
      <c r="G806" s="58" t="s">
        <v>596</v>
      </c>
      <c r="H806" s="58" t="s">
        <v>179</v>
      </c>
      <c r="I806">
        <v>38000</v>
      </c>
      <c r="J806">
        <v>38000</v>
      </c>
      <c r="K806" s="58" t="s">
        <v>185</v>
      </c>
      <c r="L806" s="74">
        <v>15.186</v>
      </c>
      <c r="M806" s="85">
        <v>16</v>
      </c>
      <c r="N806" s="74">
        <v>0.84199999999999997</v>
      </c>
      <c r="O806">
        <v>2</v>
      </c>
      <c r="P806" s="84">
        <v>0.63149999999999995</v>
      </c>
      <c r="Q806" s="86">
        <v>8.4</v>
      </c>
      <c r="R806" s="85">
        <v>8.4</v>
      </c>
      <c r="S806" s="87">
        <v>1748700</v>
      </c>
      <c r="T806" s="1">
        <v>2</v>
      </c>
      <c r="U806" s="88">
        <v>208178.57142857142</v>
      </c>
      <c r="V806" s="59">
        <v>4.8035683650711958</v>
      </c>
      <c r="X806" s="98">
        <v>8.4</v>
      </c>
      <c r="Y806" s="97">
        <v>214.45238095238096</v>
      </c>
    </row>
    <row r="807" spans="1:25">
      <c r="A807" s="58">
        <v>807</v>
      </c>
      <c r="B807" s="58">
        <v>807</v>
      </c>
      <c r="C807" s="58" t="s">
        <v>1350</v>
      </c>
      <c r="D807" s="58" t="s">
        <v>182</v>
      </c>
      <c r="E807" s="58" t="s">
        <v>182</v>
      </c>
      <c r="F807" s="58" t="s">
        <v>440</v>
      </c>
      <c r="G807" s="58" t="s">
        <v>441</v>
      </c>
      <c r="H807" s="58" t="s">
        <v>199</v>
      </c>
      <c r="I807">
        <v>110000</v>
      </c>
      <c r="L807" s="74">
        <v>12.718</v>
      </c>
      <c r="M807" s="85">
        <v>13</v>
      </c>
      <c r="N807" s="74">
        <v>0.47</v>
      </c>
      <c r="O807">
        <v>2</v>
      </c>
      <c r="P807" s="84">
        <v>0.47</v>
      </c>
      <c r="Q807" s="86">
        <v>4.2</v>
      </c>
      <c r="R807" s="85">
        <v>4.2</v>
      </c>
      <c r="S807" s="87">
        <v>2101570</v>
      </c>
      <c r="T807" s="1">
        <v>7</v>
      </c>
      <c r="U807" s="88">
        <v>500373.80952380953</v>
      </c>
      <c r="V807" s="59">
        <v>1.9985058789381271</v>
      </c>
      <c r="X807" s="98">
        <v>8.4</v>
      </c>
      <c r="Y807" s="97">
        <v>208.17857142857142</v>
      </c>
    </row>
    <row r="808" spans="1:25">
      <c r="A808" s="58">
        <v>808</v>
      </c>
      <c r="B808" s="58">
        <v>808</v>
      </c>
      <c r="C808" s="58" t="s">
        <v>1351</v>
      </c>
      <c r="D808" s="58" t="s">
        <v>182</v>
      </c>
      <c r="E808" s="58" t="s">
        <v>182</v>
      </c>
      <c r="F808" s="58" t="s">
        <v>312</v>
      </c>
      <c r="G808" s="58" t="s">
        <v>313</v>
      </c>
      <c r="H808" s="58" t="s">
        <v>179</v>
      </c>
      <c r="I808">
        <v>38000</v>
      </c>
      <c r="J808">
        <v>38000</v>
      </c>
      <c r="K808">
        <v>10000</v>
      </c>
      <c r="L808" s="74">
        <v>8.1170000000000009</v>
      </c>
      <c r="M808" s="85">
        <v>9</v>
      </c>
      <c r="N808" s="74">
        <v>4.2590000000000003</v>
      </c>
      <c r="O808">
        <v>2</v>
      </c>
      <c r="P808" s="84">
        <v>3.1942500000000003</v>
      </c>
      <c r="Q808" s="86">
        <v>37.800000000000004</v>
      </c>
      <c r="R808" s="85">
        <v>37.800000000000004</v>
      </c>
      <c r="S808" s="87">
        <v>1349130</v>
      </c>
      <c r="T808" s="1">
        <v>6</v>
      </c>
      <c r="U808" s="88">
        <v>35691.269841269837</v>
      </c>
      <c r="V808" s="59">
        <v>28.018056080585271</v>
      </c>
      <c r="X808" s="98">
        <v>4.2</v>
      </c>
      <c r="Y808" s="97">
        <v>500.37380952380948</v>
      </c>
    </row>
    <row r="809" spans="1:25">
      <c r="A809" s="58">
        <v>809</v>
      </c>
      <c r="B809" s="58">
        <v>809</v>
      </c>
      <c r="C809" s="58" t="s">
        <v>1352</v>
      </c>
      <c r="D809" s="58" t="s">
        <v>182</v>
      </c>
      <c r="E809" s="58" t="s">
        <v>182</v>
      </c>
      <c r="F809" s="58" t="s">
        <v>312</v>
      </c>
      <c r="G809" s="58" t="s">
        <v>313</v>
      </c>
      <c r="H809" s="58" t="s">
        <v>179</v>
      </c>
      <c r="I809">
        <v>38000</v>
      </c>
      <c r="J809">
        <v>38000</v>
      </c>
      <c r="K809">
        <v>10000</v>
      </c>
      <c r="L809" s="74">
        <v>11.242000000000001</v>
      </c>
      <c r="M809" s="85">
        <v>12</v>
      </c>
      <c r="N809" s="74">
        <v>2.266</v>
      </c>
      <c r="O809">
        <v>2</v>
      </c>
      <c r="P809" s="84">
        <v>1.6995</v>
      </c>
      <c r="Q809" s="86">
        <v>21</v>
      </c>
      <c r="R809" s="85">
        <v>21</v>
      </c>
      <c r="S809" s="87">
        <v>1191030</v>
      </c>
      <c r="T809" s="1">
        <v>4</v>
      </c>
      <c r="U809" s="88">
        <v>56715.714285714283</v>
      </c>
      <c r="V809" s="59">
        <v>17.631797687715675</v>
      </c>
      <c r="X809" s="98">
        <v>37.800000000000004</v>
      </c>
      <c r="Y809" s="97">
        <v>35.691269841269836</v>
      </c>
    </row>
    <row r="810" spans="1:25">
      <c r="A810" s="58">
        <v>810</v>
      </c>
      <c r="B810" s="58">
        <v>810</v>
      </c>
      <c r="C810" s="58" t="s">
        <v>1353</v>
      </c>
      <c r="D810" s="58" t="s">
        <v>182</v>
      </c>
      <c r="E810" s="58" t="s">
        <v>182</v>
      </c>
      <c r="F810" s="58" t="s">
        <v>440</v>
      </c>
      <c r="G810" s="58" t="s">
        <v>441</v>
      </c>
      <c r="H810" s="58" t="s">
        <v>199</v>
      </c>
      <c r="I810">
        <v>110000</v>
      </c>
      <c r="L810" s="74">
        <v>11.454000000000001</v>
      </c>
      <c r="M810" s="85">
        <v>12</v>
      </c>
      <c r="N810" s="74">
        <v>4.2549999999999999</v>
      </c>
      <c r="O810">
        <v>2</v>
      </c>
      <c r="P810" s="84">
        <v>3.1912500000000001</v>
      </c>
      <c r="Q810" s="86">
        <v>37.800000000000004</v>
      </c>
      <c r="R810" s="85">
        <v>37.800000000000004</v>
      </c>
      <c r="S810" s="87">
        <v>3288970</v>
      </c>
      <c r="T810" s="1">
        <v>10</v>
      </c>
      <c r="U810" s="88">
        <v>87009.788359788348</v>
      </c>
      <c r="V810" s="59">
        <v>11.492959802004885</v>
      </c>
      <c r="X810" s="98">
        <v>21</v>
      </c>
      <c r="Y810" s="97">
        <v>56.715714285714284</v>
      </c>
    </row>
    <row r="811" spans="1:25">
      <c r="A811" s="58">
        <v>811</v>
      </c>
      <c r="B811" s="58">
        <v>811</v>
      </c>
      <c r="C811" s="58" t="s">
        <v>1354</v>
      </c>
      <c r="D811" s="58" t="s">
        <v>182</v>
      </c>
      <c r="E811" s="58" t="s">
        <v>182</v>
      </c>
      <c r="F811" s="58" t="s">
        <v>183</v>
      </c>
      <c r="G811" s="58" t="s">
        <v>184</v>
      </c>
      <c r="H811" s="58" t="s">
        <v>179</v>
      </c>
      <c r="I811">
        <v>38000</v>
      </c>
      <c r="J811">
        <v>38000</v>
      </c>
      <c r="K811" s="58" t="s">
        <v>185</v>
      </c>
      <c r="L811" s="74">
        <v>3.972</v>
      </c>
      <c r="M811" s="85">
        <v>4</v>
      </c>
      <c r="N811" s="74">
        <v>1.198</v>
      </c>
      <c r="O811">
        <v>2</v>
      </c>
      <c r="P811" s="84">
        <v>0.89849999999999997</v>
      </c>
      <c r="Q811" s="86">
        <v>8.4</v>
      </c>
      <c r="R811" s="85">
        <v>8.4</v>
      </c>
      <c r="S811" s="87">
        <v>628870</v>
      </c>
      <c r="T811" s="1">
        <v>4</v>
      </c>
      <c r="U811" s="88">
        <v>74865.476190476184</v>
      </c>
      <c r="V811" s="59">
        <v>13.357291650102566</v>
      </c>
      <c r="X811" s="98">
        <v>37.800000000000004</v>
      </c>
      <c r="Y811" s="97">
        <v>87.009788359788345</v>
      </c>
    </row>
    <row r="812" spans="1:25">
      <c r="A812" s="58">
        <v>812</v>
      </c>
      <c r="B812" s="58">
        <v>812</v>
      </c>
      <c r="C812" s="58" t="s">
        <v>1355</v>
      </c>
      <c r="D812" s="58" t="s">
        <v>234</v>
      </c>
      <c r="E812" s="58" t="s">
        <v>234</v>
      </c>
      <c r="F812" s="58" t="s">
        <v>309</v>
      </c>
      <c r="G812" s="58" t="s">
        <v>310</v>
      </c>
      <c r="H812" s="58" t="s">
        <v>179</v>
      </c>
      <c r="I812">
        <v>38000</v>
      </c>
      <c r="J812">
        <v>38000</v>
      </c>
      <c r="K812">
        <v>20000</v>
      </c>
      <c r="L812" s="74">
        <v>22.097999999999999</v>
      </c>
      <c r="M812" s="85">
        <v>23</v>
      </c>
      <c r="N812" s="74">
        <v>3.4969999999999999</v>
      </c>
      <c r="O812">
        <v>2</v>
      </c>
      <c r="P812" s="84">
        <v>2.6227499999999999</v>
      </c>
      <c r="Q812" s="86">
        <v>29.400000000000006</v>
      </c>
      <c r="R812" s="85">
        <v>29.400000000000006</v>
      </c>
      <c r="S812" s="87">
        <v>2390880</v>
      </c>
      <c r="T812" s="1">
        <v>5</v>
      </c>
      <c r="U812" s="88">
        <v>81322.44897959182</v>
      </c>
      <c r="V812" s="59">
        <v>12.296727564746037</v>
      </c>
      <c r="X812" s="98">
        <v>8.4</v>
      </c>
      <c r="Y812" s="97">
        <v>74.865476190476173</v>
      </c>
    </row>
    <row r="813" spans="1:25">
      <c r="A813" s="58">
        <v>813</v>
      </c>
      <c r="B813" s="58">
        <v>813</v>
      </c>
      <c r="C813" s="58" t="s">
        <v>1356</v>
      </c>
      <c r="D813" s="58" t="s">
        <v>234</v>
      </c>
      <c r="E813" s="58" t="s">
        <v>234</v>
      </c>
      <c r="F813" s="58" t="s">
        <v>316</v>
      </c>
      <c r="G813" s="58" t="s">
        <v>317</v>
      </c>
      <c r="H813" s="58" t="s">
        <v>199</v>
      </c>
      <c r="I813">
        <v>110000</v>
      </c>
      <c r="J813">
        <v>110000</v>
      </c>
      <c r="K813">
        <v>38000</v>
      </c>
      <c r="L813" s="74">
        <v>21.989000000000001</v>
      </c>
      <c r="M813" s="85">
        <v>22</v>
      </c>
      <c r="N813" s="74">
        <v>0.54400000000000004</v>
      </c>
      <c r="O813">
        <v>2</v>
      </c>
      <c r="P813" s="84">
        <v>0.54400000000000004</v>
      </c>
      <c r="Q813" s="86">
        <v>4.2</v>
      </c>
      <c r="R813" s="85">
        <v>4.2</v>
      </c>
      <c r="S813" s="87">
        <v>2575870</v>
      </c>
      <c r="T813" s="1">
        <v>7</v>
      </c>
      <c r="U813" s="88">
        <v>613302.38095238095</v>
      </c>
      <c r="V813" s="59">
        <v>1.6305170680197369</v>
      </c>
      <c r="X813" s="98">
        <v>29.400000000000006</v>
      </c>
      <c r="Y813" s="97">
        <v>81.322448979591812</v>
      </c>
    </row>
    <row r="814" spans="1:25">
      <c r="A814" s="58">
        <v>814</v>
      </c>
      <c r="B814" s="58">
        <v>814</v>
      </c>
      <c r="C814" s="58" t="s">
        <v>1357</v>
      </c>
      <c r="D814" s="58" t="s">
        <v>234</v>
      </c>
      <c r="E814" s="58" t="s">
        <v>234</v>
      </c>
      <c r="F814" s="58" t="s">
        <v>316</v>
      </c>
      <c r="G814" s="58" t="s">
        <v>317</v>
      </c>
      <c r="H814" s="58" t="s">
        <v>199</v>
      </c>
      <c r="I814">
        <v>110000</v>
      </c>
      <c r="J814">
        <v>110000</v>
      </c>
      <c r="K814">
        <v>38000</v>
      </c>
      <c r="L814" s="74">
        <v>20.436</v>
      </c>
      <c r="M814" s="85">
        <v>21</v>
      </c>
      <c r="N814" s="74">
        <v>3.0459999999999998</v>
      </c>
      <c r="O814">
        <v>2</v>
      </c>
      <c r="P814" s="84">
        <v>2.2845</v>
      </c>
      <c r="Q814" s="86">
        <v>25.200000000000003</v>
      </c>
      <c r="R814" s="85">
        <v>25.200000000000003</v>
      </c>
      <c r="S814" s="87">
        <v>3819280</v>
      </c>
      <c r="T814" s="1">
        <v>9</v>
      </c>
      <c r="U814" s="88">
        <v>151558.73015873015</v>
      </c>
      <c r="V814" s="59">
        <v>6.5981022601118546</v>
      </c>
      <c r="X814" s="98">
        <v>4.2</v>
      </c>
      <c r="Y814" s="97">
        <v>613.30238095238099</v>
      </c>
    </row>
    <row r="815" spans="1:25">
      <c r="A815" s="58">
        <v>815</v>
      </c>
      <c r="B815" s="58">
        <v>815</v>
      </c>
      <c r="C815" s="58" t="s">
        <v>1358</v>
      </c>
      <c r="D815" s="58" t="s">
        <v>234</v>
      </c>
      <c r="E815" s="58" t="s">
        <v>234</v>
      </c>
      <c r="F815" s="58" t="s">
        <v>316</v>
      </c>
      <c r="G815" s="58" t="s">
        <v>317</v>
      </c>
      <c r="H815" s="58" t="s">
        <v>199</v>
      </c>
      <c r="I815">
        <v>110000</v>
      </c>
      <c r="J815">
        <v>110000</v>
      </c>
      <c r="K815">
        <v>38000</v>
      </c>
      <c r="L815" s="74">
        <v>18.073</v>
      </c>
      <c r="M815" s="85">
        <v>19</v>
      </c>
      <c r="N815" s="74">
        <v>0.48599999999999999</v>
      </c>
      <c r="O815">
        <v>2</v>
      </c>
      <c r="P815" s="84">
        <v>0.48599999999999999</v>
      </c>
      <c r="Q815" s="86">
        <v>4.2</v>
      </c>
      <c r="R815" s="85">
        <v>4.2</v>
      </c>
      <c r="S815" s="87">
        <v>2417770</v>
      </c>
      <c r="T815" s="1">
        <v>7</v>
      </c>
      <c r="U815" s="88">
        <v>575659.52380952379</v>
      </c>
      <c r="V815" s="59">
        <v>1.7371379411606562</v>
      </c>
      <c r="X815" s="98">
        <v>25.200000000000003</v>
      </c>
      <c r="Y815" s="97">
        <v>151.55873015873016</v>
      </c>
    </row>
    <row r="816" spans="1:25">
      <c r="A816" s="89">
        <v>816</v>
      </c>
      <c r="B816" s="89">
        <v>816</v>
      </c>
      <c r="C816" s="89" t="s">
        <v>1359</v>
      </c>
      <c r="D816" s="58" t="s">
        <v>234</v>
      </c>
      <c r="E816" s="58" t="s">
        <v>234</v>
      </c>
      <c r="F816" s="89" t="s">
        <v>309</v>
      </c>
      <c r="G816" s="89" t="s">
        <v>310</v>
      </c>
      <c r="H816" s="89" t="s">
        <v>179</v>
      </c>
      <c r="I816" s="90">
        <v>38000</v>
      </c>
      <c r="J816" s="90">
        <v>38000</v>
      </c>
      <c r="K816" s="90">
        <v>20000</v>
      </c>
      <c r="L816" s="91">
        <v>12.260999999999999</v>
      </c>
      <c r="M816" s="92">
        <v>13</v>
      </c>
      <c r="N816" s="91">
        <v>9.9450000000000003</v>
      </c>
      <c r="O816" s="90">
        <v>2</v>
      </c>
      <c r="P816" s="92">
        <v>7.4587500000000002</v>
      </c>
      <c r="Q816" s="93">
        <v>92.4</v>
      </c>
      <c r="R816" s="92">
        <v>92.4</v>
      </c>
      <c r="S816" s="87">
        <v>3658990</v>
      </c>
      <c r="T816" s="94">
        <v>11</v>
      </c>
      <c r="U816" s="95">
        <v>39599.458874458869</v>
      </c>
      <c r="V816" s="96">
        <v>25.252870327604064</v>
      </c>
      <c r="X816" s="98">
        <v>4.2</v>
      </c>
      <c r="Y816" s="97">
        <v>575.65952380952376</v>
      </c>
    </row>
    <row r="817" spans="1:25">
      <c r="A817" s="58">
        <v>817</v>
      </c>
      <c r="B817" s="58">
        <v>817</v>
      </c>
      <c r="C817" s="58" t="s">
        <v>1360</v>
      </c>
      <c r="D817" s="58" t="s">
        <v>234</v>
      </c>
      <c r="E817" s="58" t="s">
        <v>234</v>
      </c>
      <c r="F817" s="58" t="s">
        <v>316</v>
      </c>
      <c r="G817" s="58" t="s">
        <v>317</v>
      </c>
      <c r="H817" s="58" t="s">
        <v>199</v>
      </c>
      <c r="I817">
        <v>110000</v>
      </c>
      <c r="J817">
        <v>110000</v>
      </c>
      <c r="K817">
        <v>38000</v>
      </c>
      <c r="L817" s="74">
        <v>11.499000000000001</v>
      </c>
      <c r="M817" s="85">
        <v>12</v>
      </c>
      <c r="N817" s="74">
        <v>0.98599999999999999</v>
      </c>
      <c r="O817">
        <v>2</v>
      </c>
      <c r="P817" s="84">
        <v>0.73950000000000005</v>
      </c>
      <c r="Q817" s="86">
        <v>8.4</v>
      </c>
      <c r="R817" s="85">
        <v>8.4</v>
      </c>
      <c r="S817" s="87">
        <v>2048870</v>
      </c>
      <c r="T817" s="1">
        <v>7</v>
      </c>
      <c r="U817" s="88">
        <v>243913.09523809524</v>
      </c>
      <c r="V817" s="59">
        <v>4.0998208768735935</v>
      </c>
      <c r="X817" s="98">
        <v>92.4</v>
      </c>
      <c r="Y817" s="97">
        <v>39.599458874458868</v>
      </c>
    </row>
    <row r="818" spans="1:25">
      <c r="A818" s="89">
        <v>818</v>
      </c>
      <c r="B818" s="89">
        <v>818</v>
      </c>
      <c r="C818" s="89" t="s">
        <v>1361</v>
      </c>
      <c r="D818" s="58" t="s">
        <v>234</v>
      </c>
      <c r="E818" s="58" t="s">
        <v>234</v>
      </c>
      <c r="F818" s="89" t="s">
        <v>309</v>
      </c>
      <c r="G818" s="89" t="s">
        <v>310</v>
      </c>
      <c r="H818" s="89" t="s">
        <v>179</v>
      </c>
      <c r="I818" s="90">
        <v>38000</v>
      </c>
      <c r="J818" s="90">
        <v>38000</v>
      </c>
      <c r="K818" s="90">
        <v>20000</v>
      </c>
      <c r="L818" s="91">
        <v>18.516999999999999</v>
      </c>
      <c r="M818" s="92">
        <v>19</v>
      </c>
      <c r="N818" s="91">
        <v>13.319000000000001</v>
      </c>
      <c r="O818" s="90">
        <v>2</v>
      </c>
      <c r="P818" s="92">
        <v>9.9892500000000002</v>
      </c>
      <c r="Q818" s="93">
        <v>121.80000000000001</v>
      </c>
      <c r="R818" s="92">
        <v>121.80000000000001</v>
      </c>
      <c r="S818" s="87">
        <v>4923850</v>
      </c>
      <c r="T818" s="94">
        <v>11</v>
      </c>
      <c r="U818" s="95">
        <v>40425.697865353031</v>
      </c>
      <c r="V818" s="96">
        <v>24.736740558709144</v>
      </c>
      <c r="X818" s="98">
        <v>8.4</v>
      </c>
      <c r="Y818" s="97">
        <v>243.91309523809522</v>
      </c>
    </row>
    <row r="819" spans="1:25">
      <c r="A819" s="58">
        <v>819</v>
      </c>
      <c r="B819" s="58">
        <v>819</v>
      </c>
      <c r="C819" s="58" t="s">
        <v>1362</v>
      </c>
      <c r="D819" s="58" t="s">
        <v>234</v>
      </c>
      <c r="E819" s="58" t="s">
        <v>234</v>
      </c>
      <c r="F819" s="58" t="s">
        <v>309</v>
      </c>
      <c r="G819" s="58" t="s">
        <v>310</v>
      </c>
      <c r="H819" s="58" t="s">
        <v>179</v>
      </c>
      <c r="I819">
        <v>38000</v>
      </c>
      <c r="J819">
        <v>38000</v>
      </c>
      <c r="K819">
        <v>20000</v>
      </c>
      <c r="L819" s="74">
        <v>18.616</v>
      </c>
      <c r="M819" s="85">
        <v>19</v>
      </c>
      <c r="N819" s="74">
        <v>1.5049999999999999</v>
      </c>
      <c r="O819">
        <v>2</v>
      </c>
      <c r="P819" s="84">
        <v>1.1287499999999999</v>
      </c>
      <c r="Q819" s="86">
        <v>12.600000000000001</v>
      </c>
      <c r="R819" s="85">
        <v>12.600000000000001</v>
      </c>
      <c r="S819" s="87">
        <v>1943850</v>
      </c>
      <c r="T819" s="1">
        <v>3</v>
      </c>
      <c r="U819" s="88">
        <v>154273.8095238095</v>
      </c>
      <c r="V819" s="59">
        <v>6.4819816343853702</v>
      </c>
      <c r="X819" s="98">
        <v>121.80000000000001</v>
      </c>
      <c r="Y819" s="97">
        <v>40.42569786535303</v>
      </c>
    </row>
    <row r="820" spans="1:25">
      <c r="A820" s="89">
        <v>820</v>
      </c>
      <c r="B820" s="89">
        <v>820</v>
      </c>
      <c r="C820" s="89" t="s">
        <v>1363</v>
      </c>
      <c r="D820" s="58" t="s">
        <v>234</v>
      </c>
      <c r="E820" s="58" t="s">
        <v>234</v>
      </c>
      <c r="F820" s="89" t="s">
        <v>309</v>
      </c>
      <c r="G820" s="89" t="s">
        <v>310</v>
      </c>
      <c r="H820" s="89" t="s">
        <v>179</v>
      </c>
      <c r="I820" s="90">
        <v>38000</v>
      </c>
      <c r="J820" s="90">
        <v>38000</v>
      </c>
      <c r="K820" s="90">
        <v>20000</v>
      </c>
      <c r="L820" s="91">
        <v>16.54</v>
      </c>
      <c r="M820" s="92">
        <v>17</v>
      </c>
      <c r="N820" s="91">
        <v>6.782</v>
      </c>
      <c r="O820" s="90">
        <v>2</v>
      </c>
      <c r="P820" s="92">
        <v>5.0865</v>
      </c>
      <c r="Q820" s="93">
        <v>63</v>
      </c>
      <c r="R820" s="92">
        <v>63</v>
      </c>
      <c r="S820" s="87">
        <v>4502230</v>
      </c>
      <c r="T820" s="94">
        <v>11</v>
      </c>
      <c r="U820" s="95">
        <v>71463.968253968254</v>
      </c>
      <c r="V820" s="96">
        <v>13.99306565857364</v>
      </c>
      <c r="X820" s="98">
        <v>12.600000000000001</v>
      </c>
      <c r="Y820" s="97">
        <v>154.27380952380952</v>
      </c>
    </row>
    <row r="821" spans="1:25">
      <c r="A821" s="58">
        <v>821</v>
      </c>
      <c r="B821" s="58">
        <v>821</v>
      </c>
      <c r="C821" s="58" t="s">
        <v>1364</v>
      </c>
      <c r="D821" s="58" t="s">
        <v>234</v>
      </c>
      <c r="E821" s="58" t="s">
        <v>234</v>
      </c>
      <c r="F821" s="58" t="s">
        <v>316</v>
      </c>
      <c r="G821" s="58" t="s">
        <v>317</v>
      </c>
      <c r="H821" s="58" t="s">
        <v>199</v>
      </c>
      <c r="I821">
        <v>110000</v>
      </c>
      <c r="J821">
        <v>110000</v>
      </c>
      <c r="K821">
        <v>38000</v>
      </c>
      <c r="L821" s="74">
        <v>23.484000000000002</v>
      </c>
      <c r="M821" s="85">
        <v>24</v>
      </c>
      <c r="N821" s="74">
        <v>1.556</v>
      </c>
      <c r="O821">
        <v>2</v>
      </c>
      <c r="P821" s="84">
        <v>1.167</v>
      </c>
      <c r="Q821" s="86">
        <v>12.600000000000001</v>
      </c>
      <c r="R821" s="85">
        <v>12.600000000000001</v>
      </c>
      <c r="S821" s="87">
        <v>2681270</v>
      </c>
      <c r="T821" s="1">
        <v>7</v>
      </c>
      <c r="U821" s="88">
        <v>212799.20634920633</v>
      </c>
      <c r="V821" s="59">
        <v>4.6992656465033367</v>
      </c>
      <c r="X821" s="98">
        <v>63</v>
      </c>
      <c r="Y821" s="97">
        <v>71.463968253968247</v>
      </c>
    </row>
    <row r="822" spans="1:25">
      <c r="A822" s="58">
        <v>822</v>
      </c>
      <c r="B822" s="58">
        <v>822</v>
      </c>
      <c r="C822" s="58" t="s">
        <v>1365</v>
      </c>
      <c r="D822" s="58" t="s">
        <v>234</v>
      </c>
      <c r="E822" s="58" t="s">
        <v>234</v>
      </c>
      <c r="F822" s="58" t="s">
        <v>302</v>
      </c>
      <c r="G822" s="58" t="s">
        <v>303</v>
      </c>
      <c r="H822" s="58" t="s">
        <v>179</v>
      </c>
      <c r="I822">
        <v>38000</v>
      </c>
      <c r="J822">
        <v>38000</v>
      </c>
      <c r="K822" s="58" t="s">
        <v>185</v>
      </c>
      <c r="L822" s="74">
        <v>21.148</v>
      </c>
      <c r="M822" s="85">
        <v>22</v>
      </c>
      <c r="N822" s="74">
        <v>3.306</v>
      </c>
      <c r="O822">
        <v>2</v>
      </c>
      <c r="P822" s="84">
        <v>2.4794999999999998</v>
      </c>
      <c r="Q822" s="86">
        <v>29.400000000000006</v>
      </c>
      <c r="R822" s="85">
        <v>29.400000000000006</v>
      </c>
      <c r="S822" s="87">
        <v>2302050</v>
      </c>
      <c r="T822" s="1">
        <v>5</v>
      </c>
      <c r="U822" s="88">
        <v>78301.020408163255</v>
      </c>
      <c r="V822" s="59">
        <v>12.771225646706199</v>
      </c>
      <c r="X822" s="98">
        <v>12.600000000000001</v>
      </c>
      <c r="Y822" s="97">
        <v>212.79920634920632</v>
      </c>
    </row>
    <row r="823" spans="1:25">
      <c r="A823" s="58">
        <v>823</v>
      </c>
      <c r="B823" s="58">
        <v>823</v>
      </c>
      <c r="C823" s="58" t="s">
        <v>1366</v>
      </c>
      <c r="D823" s="58" t="s">
        <v>234</v>
      </c>
      <c r="E823" s="58" t="s">
        <v>234</v>
      </c>
      <c r="F823" s="58" t="s">
        <v>316</v>
      </c>
      <c r="G823" s="58" t="s">
        <v>317</v>
      </c>
      <c r="H823" s="58" t="s">
        <v>199</v>
      </c>
      <c r="I823">
        <v>110000</v>
      </c>
      <c r="J823">
        <v>110000</v>
      </c>
      <c r="K823">
        <v>38000</v>
      </c>
      <c r="L823" s="74">
        <v>25.893000000000001</v>
      </c>
      <c r="M823" s="85">
        <v>26</v>
      </c>
      <c r="N823" s="74">
        <v>0.89100000000000001</v>
      </c>
      <c r="O823">
        <v>2</v>
      </c>
      <c r="P823" s="84">
        <v>0.66825000000000001</v>
      </c>
      <c r="Q823" s="86">
        <v>8.4</v>
      </c>
      <c r="R823" s="85">
        <v>8.4</v>
      </c>
      <c r="S823" s="87">
        <v>2786670</v>
      </c>
      <c r="T823" s="1">
        <v>7</v>
      </c>
      <c r="U823" s="88">
        <v>331746.42857142858</v>
      </c>
      <c r="V823" s="59">
        <v>3.0143504613032759</v>
      </c>
      <c r="X823" s="98">
        <v>29.400000000000006</v>
      </c>
      <c r="Y823" s="97">
        <v>78.301020408163254</v>
      </c>
    </row>
    <row r="824" spans="1:25">
      <c r="A824" s="58">
        <v>824</v>
      </c>
      <c r="B824" s="58">
        <v>824</v>
      </c>
      <c r="C824" s="58" t="s">
        <v>1367</v>
      </c>
      <c r="D824" s="58" t="s">
        <v>234</v>
      </c>
      <c r="E824" s="58" t="s">
        <v>234</v>
      </c>
      <c r="F824" s="58" t="s">
        <v>316</v>
      </c>
      <c r="G824" s="58" t="s">
        <v>317</v>
      </c>
      <c r="H824" s="58" t="s">
        <v>199</v>
      </c>
      <c r="I824">
        <v>110000</v>
      </c>
      <c r="J824">
        <v>110000</v>
      </c>
      <c r="K824">
        <v>38000</v>
      </c>
      <c r="L824" s="74">
        <v>28.367000000000001</v>
      </c>
      <c r="M824" s="85">
        <v>29</v>
      </c>
      <c r="N824" s="74">
        <v>8.5630000000000006</v>
      </c>
      <c r="O824">
        <v>2</v>
      </c>
      <c r="P824" s="84">
        <v>6.42225</v>
      </c>
      <c r="Q824" s="86">
        <v>79.8</v>
      </c>
      <c r="R824" s="85">
        <v>79.8</v>
      </c>
      <c r="S824" s="87">
        <v>7031950</v>
      </c>
      <c r="T824" s="1">
        <v>11</v>
      </c>
      <c r="U824" s="88">
        <v>88119.674185463664</v>
      </c>
      <c r="V824" s="59">
        <v>11.348203556623696</v>
      </c>
      <c r="X824" s="98">
        <v>8.4</v>
      </c>
      <c r="Y824" s="97">
        <v>331.74642857142857</v>
      </c>
    </row>
    <row r="825" spans="1:25">
      <c r="A825" s="58">
        <v>825</v>
      </c>
      <c r="B825" s="58">
        <v>825</v>
      </c>
      <c r="C825" s="58" t="s">
        <v>1368</v>
      </c>
      <c r="D825" s="58" t="s">
        <v>234</v>
      </c>
      <c r="E825" s="58" t="s">
        <v>234</v>
      </c>
      <c r="F825" s="58" t="s">
        <v>316</v>
      </c>
      <c r="G825" s="58" t="s">
        <v>317</v>
      </c>
      <c r="H825" s="58" t="s">
        <v>199</v>
      </c>
      <c r="I825">
        <v>110000</v>
      </c>
      <c r="J825">
        <v>110000</v>
      </c>
      <c r="K825">
        <v>38000</v>
      </c>
      <c r="L825" s="74">
        <v>25.088999999999999</v>
      </c>
      <c r="M825" s="85">
        <v>26</v>
      </c>
      <c r="N825" s="74">
        <v>2.738</v>
      </c>
      <c r="O825">
        <v>2</v>
      </c>
      <c r="P825" s="84">
        <v>2.0535000000000001</v>
      </c>
      <c r="Q825" s="86">
        <v>25.200000000000003</v>
      </c>
      <c r="R825" s="85">
        <v>25.200000000000003</v>
      </c>
      <c r="S825" s="87">
        <v>4263430</v>
      </c>
      <c r="T825" s="1">
        <v>9</v>
      </c>
      <c r="U825" s="88">
        <v>169183.73015873015</v>
      </c>
      <c r="V825" s="59">
        <v>5.9107338457533025</v>
      </c>
      <c r="X825" s="98">
        <v>79.8</v>
      </c>
      <c r="Y825" s="97">
        <v>88.119674185463666</v>
      </c>
    </row>
    <row r="826" spans="1:25">
      <c r="A826" s="58">
        <v>826</v>
      </c>
      <c r="B826" s="58">
        <v>826</v>
      </c>
      <c r="C826" s="58" t="s">
        <v>1369</v>
      </c>
      <c r="D826" s="58" t="s">
        <v>234</v>
      </c>
      <c r="E826" s="58" t="s">
        <v>234</v>
      </c>
      <c r="F826" s="58" t="s">
        <v>316</v>
      </c>
      <c r="G826" s="58" t="s">
        <v>317</v>
      </c>
      <c r="H826" s="58" t="s">
        <v>199</v>
      </c>
      <c r="I826">
        <v>110000</v>
      </c>
      <c r="J826">
        <v>110000</v>
      </c>
      <c r="K826">
        <v>38000</v>
      </c>
      <c r="L826" s="74">
        <v>30.995000000000001</v>
      </c>
      <c r="M826" s="85">
        <v>31</v>
      </c>
      <c r="N826" s="74">
        <v>1.41</v>
      </c>
      <c r="O826">
        <v>2</v>
      </c>
      <c r="P826" s="84">
        <v>1.0574999999999999</v>
      </c>
      <c r="Q826" s="86">
        <v>12.600000000000001</v>
      </c>
      <c r="R826" s="85">
        <v>12.600000000000001</v>
      </c>
      <c r="S826" s="87">
        <v>3050170</v>
      </c>
      <c r="T826" s="1">
        <v>7</v>
      </c>
      <c r="U826" s="88">
        <v>242076.98412698411</v>
      </c>
      <c r="V826" s="59">
        <v>4.1309172931344813</v>
      </c>
      <c r="X826" s="98">
        <v>25.200000000000003</v>
      </c>
      <c r="Y826" s="97">
        <v>169.18373015873016</v>
      </c>
    </row>
    <row r="827" spans="1:25">
      <c r="A827" s="58">
        <v>827</v>
      </c>
      <c r="B827" s="58">
        <v>827</v>
      </c>
      <c r="C827" s="58" t="s">
        <v>1370</v>
      </c>
      <c r="D827" s="58" t="s">
        <v>182</v>
      </c>
      <c r="E827" s="58" t="s">
        <v>182</v>
      </c>
      <c r="F827" s="58" t="s">
        <v>302</v>
      </c>
      <c r="G827" s="58" t="s">
        <v>303</v>
      </c>
      <c r="H827" s="58" t="s">
        <v>179</v>
      </c>
      <c r="I827">
        <v>38000</v>
      </c>
      <c r="J827">
        <v>38000</v>
      </c>
      <c r="K827" s="58" t="s">
        <v>185</v>
      </c>
      <c r="L827" s="74">
        <v>7.6950000000000003</v>
      </c>
      <c r="M827" s="85">
        <v>8</v>
      </c>
      <c r="N827" s="74">
        <v>3.7869999999999999</v>
      </c>
      <c r="O827">
        <v>2</v>
      </c>
      <c r="P827" s="84">
        <v>2.8402500000000002</v>
      </c>
      <c r="Q827" s="86">
        <v>33.6</v>
      </c>
      <c r="R827" s="85">
        <v>33.6</v>
      </c>
      <c r="S827" s="87">
        <v>1237870</v>
      </c>
      <c r="T827" s="1">
        <v>6</v>
      </c>
      <c r="U827" s="88">
        <v>36841.369047619046</v>
      </c>
      <c r="V827" s="59">
        <v>27.143399549225688</v>
      </c>
      <c r="X827" s="98">
        <v>12.600000000000001</v>
      </c>
      <c r="Y827" s="97">
        <v>242.07698412698412</v>
      </c>
    </row>
    <row r="828" spans="1:25">
      <c r="A828" s="58">
        <v>828</v>
      </c>
      <c r="B828" s="58">
        <v>828</v>
      </c>
      <c r="C828" s="58" t="s">
        <v>1371</v>
      </c>
      <c r="D828" s="58" t="s">
        <v>182</v>
      </c>
      <c r="E828" s="58" t="s">
        <v>182</v>
      </c>
      <c r="F828" s="58" t="s">
        <v>183</v>
      </c>
      <c r="G828" s="58" t="s">
        <v>184</v>
      </c>
      <c r="H828" s="58" t="s">
        <v>179</v>
      </c>
      <c r="I828">
        <v>38000</v>
      </c>
      <c r="J828">
        <v>38000</v>
      </c>
      <c r="K828" s="58" t="s">
        <v>185</v>
      </c>
      <c r="L828" s="74">
        <v>8.3249999999999993</v>
      </c>
      <c r="M828" s="85">
        <v>9</v>
      </c>
      <c r="N828" s="74">
        <v>0.82199999999999995</v>
      </c>
      <c r="O828">
        <v>2</v>
      </c>
      <c r="P828" s="84">
        <v>0.61649999999999994</v>
      </c>
      <c r="Q828" s="86">
        <v>8.4</v>
      </c>
      <c r="R828" s="85">
        <v>8.4</v>
      </c>
      <c r="S828" s="87">
        <v>1379800</v>
      </c>
      <c r="T828" s="1">
        <v>2</v>
      </c>
      <c r="U828" s="88">
        <v>164261.90476190476</v>
      </c>
      <c r="V828" s="59">
        <v>6.087838817219887</v>
      </c>
      <c r="X828" s="98">
        <v>33.6</v>
      </c>
      <c r="Y828" s="97">
        <v>36.841369047619047</v>
      </c>
    </row>
    <row r="829" spans="1:25">
      <c r="A829" s="58">
        <v>829</v>
      </c>
      <c r="B829" s="58">
        <v>829</v>
      </c>
      <c r="C829" s="58" t="s">
        <v>1372</v>
      </c>
      <c r="D829" s="58" t="s">
        <v>182</v>
      </c>
      <c r="E829" s="58" t="s">
        <v>182</v>
      </c>
      <c r="F829" s="58" t="s">
        <v>183</v>
      </c>
      <c r="G829" s="58" t="s">
        <v>184</v>
      </c>
      <c r="H829" s="58" t="s">
        <v>179</v>
      </c>
      <c r="I829">
        <v>38000</v>
      </c>
      <c r="J829">
        <v>38000</v>
      </c>
      <c r="K829" s="58" t="s">
        <v>185</v>
      </c>
      <c r="L829" s="74">
        <v>9.4760000000000009</v>
      </c>
      <c r="M829" s="85">
        <v>10</v>
      </c>
      <c r="N829" s="74">
        <v>1.0589999999999999</v>
      </c>
      <c r="O829">
        <v>2</v>
      </c>
      <c r="P829" s="84">
        <v>0.7942499999999999</v>
      </c>
      <c r="Q829" s="86">
        <v>8.4</v>
      </c>
      <c r="R829" s="85">
        <v>8.4</v>
      </c>
      <c r="S829" s="87">
        <v>1432500</v>
      </c>
      <c r="T829" s="1">
        <v>2</v>
      </c>
      <c r="U829" s="88">
        <v>170535.71428571429</v>
      </c>
      <c r="V829" s="59">
        <v>5.8638743455497382</v>
      </c>
      <c r="X829" s="98">
        <v>8.4</v>
      </c>
      <c r="Y829" s="97">
        <v>164.26190476190479</v>
      </c>
    </row>
    <row r="830" spans="1:25">
      <c r="A830" s="58">
        <v>830</v>
      </c>
      <c r="B830" s="58">
        <v>830</v>
      </c>
      <c r="C830" s="58" t="s">
        <v>1373</v>
      </c>
      <c r="D830" s="58" t="s">
        <v>182</v>
      </c>
      <c r="E830" s="58" t="s">
        <v>182</v>
      </c>
      <c r="F830" s="58" t="s">
        <v>183</v>
      </c>
      <c r="G830" s="58" t="s">
        <v>184</v>
      </c>
      <c r="H830" s="58" t="s">
        <v>179</v>
      </c>
      <c r="I830">
        <v>38000</v>
      </c>
      <c r="J830">
        <v>38000</v>
      </c>
      <c r="K830" s="58" t="s">
        <v>185</v>
      </c>
      <c r="L830" s="74">
        <v>7.6150000000000002</v>
      </c>
      <c r="M830" s="85">
        <v>8</v>
      </c>
      <c r="N830" s="74">
        <v>0.55700000000000005</v>
      </c>
      <c r="O830">
        <v>2</v>
      </c>
      <c r="P830" s="84">
        <v>0.55700000000000005</v>
      </c>
      <c r="Q830" s="86">
        <v>4.2</v>
      </c>
      <c r="R830" s="85">
        <v>4.2</v>
      </c>
      <c r="S830" s="87">
        <v>909950</v>
      </c>
      <c r="T830" s="1">
        <v>4</v>
      </c>
      <c r="U830" s="88">
        <v>216654.76190476189</v>
      </c>
      <c r="V830" s="59">
        <v>4.6156382218803227</v>
      </c>
      <c r="X830" s="98">
        <v>8.4</v>
      </c>
      <c r="Y830" s="97">
        <v>170.53571428571428</v>
      </c>
    </row>
    <row r="831" spans="1:25">
      <c r="A831" s="58">
        <v>831</v>
      </c>
      <c r="B831" s="58">
        <v>831</v>
      </c>
      <c r="C831" s="58" t="s">
        <v>1374</v>
      </c>
      <c r="D831" s="58" t="s">
        <v>182</v>
      </c>
      <c r="E831" s="58" t="s">
        <v>182</v>
      </c>
      <c r="F831" s="58" t="s">
        <v>183</v>
      </c>
      <c r="G831" s="58" t="s">
        <v>184</v>
      </c>
      <c r="H831" s="58" t="s">
        <v>179</v>
      </c>
      <c r="I831">
        <v>38000</v>
      </c>
      <c r="J831">
        <v>38000</v>
      </c>
      <c r="K831" s="58" t="s">
        <v>185</v>
      </c>
      <c r="L831" s="74">
        <v>5.35</v>
      </c>
      <c r="M831" s="85">
        <v>6</v>
      </c>
      <c r="N831" s="74">
        <v>1.76</v>
      </c>
      <c r="O831">
        <v>2</v>
      </c>
      <c r="P831" s="84">
        <v>1.32</v>
      </c>
      <c r="Q831" s="86">
        <v>12.600000000000001</v>
      </c>
      <c r="R831" s="85">
        <v>12.600000000000001</v>
      </c>
      <c r="S831" s="87">
        <v>769410</v>
      </c>
      <c r="T831" s="1">
        <v>4</v>
      </c>
      <c r="U831" s="88">
        <v>61064.28571428571</v>
      </c>
      <c r="V831" s="59">
        <v>16.376184349046675</v>
      </c>
      <c r="X831" s="98">
        <v>4.2</v>
      </c>
      <c r="Y831" s="97">
        <v>216.6547619047619</v>
      </c>
    </row>
    <row r="832" spans="1:25">
      <c r="A832" s="58">
        <v>832</v>
      </c>
      <c r="B832" s="58">
        <v>832</v>
      </c>
      <c r="C832" s="58" t="s">
        <v>1375</v>
      </c>
      <c r="D832" s="58" t="s">
        <v>182</v>
      </c>
      <c r="E832" s="58" t="s">
        <v>182</v>
      </c>
      <c r="F832" s="58" t="s">
        <v>183</v>
      </c>
      <c r="G832" s="58" t="s">
        <v>184</v>
      </c>
      <c r="H832" s="58" t="s">
        <v>179</v>
      </c>
      <c r="I832">
        <v>38000</v>
      </c>
      <c r="J832">
        <v>38000</v>
      </c>
      <c r="K832" s="58" t="s">
        <v>185</v>
      </c>
      <c r="L832" s="74">
        <v>3.8220000000000001</v>
      </c>
      <c r="M832" s="85">
        <v>4</v>
      </c>
      <c r="N832" s="74">
        <v>0.41399999999999998</v>
      </c>
      <c r="O832">
        <v>2</v>
      </c>
      <c r="P832" s="84">
        <v>0.41399999999999998</v>
      </c>
      <c r="Q832" s="86">
        <v>4.2</v>
      </c>
      <c r="R832" s="85">
        <v>4.2</v>
      </c>
      <c r="S832" s="87">
        <v>628870</v>
      </c>
      <c r="T832" s="1">
        <v>4</v>
      </c>
      <c r="U832" s="88">
        <v>149730.95238095237</v>
      </c>
      <c r="V832" s="59">
        <v>6.6786458250512828</v>
      </c>
      <c r="X832" s="98">
        <v>12.600000000000001</v>
      </c>
      <c r="Y832" s="97">
        <v>61.06428571428571</v>
      </c>
    </row>
    <row r="833" spans="1:25">
      <c r="A833" s="89">
        <v>833</v>
      </c>
      <c r="B833" s="89">
        <v>833</v>
      </c>
      <c r="C833" s="89" t="s">
        <v>1376</v>
      </c>
      <c r="D833" s="58" t="s">
        <v>182</v>
      </c>
      <c r="E833" s="58" t="s">
        <v>182</v>
      </c>
      <c r="F833" s="89" t="s">
        <v>302</v>
      </c>
      <c r="G833" s="89" t="s">
        <v>303</v>
      </c>
      <c r="H833" s="89" t="s">
        <v>179</v>
      </c>
      <c r="I833" s="90">
        <v>38000</v>
      </c>
      <c r="J833" s="90">
        <v>38000</v>
      </c>
      <c r="K833" s="89" t="s">
        <v>185</v>
      </c>
      <c r="L833" s="91">
        <v>3.532</v>
      </c>
      <c r="M833" s="92">
        <v>4</v>
      </c>
      <c r="N833" s="91">
        <v>6.3959999999999999</v>
      </c>
      <c r="O833" s="90">
        <v>2</v>
      </c>
      <c r="P833" s="92">
        <v>4.7969999999999997</v>
      </c>
      <c r="Q833" s="93">
        <v>58.800000000000011</v>
      </c>
      <c r="R833" s="92">
        <v>58.800000000000011</v>
      </c>
      <c r="S833" s="87">
        <v>1761700</v>
      </c>
      <c r="T833" s="94">
        <v>11</v>
      </c>
      <c r="U833" s="95">
        <v>29960.88435374149</v>
      </c>
      <c r="V833" s="96">
        <v>33.376851904410522</v>
      </c>
      <c r="X833" s="98">
        <v>4.2</v>
      </c>
      <c r="Y833" s="97">
        <v>149.73095238095235</v>
      </c>
    </row>
    <row r="834" spans="1:25">
      <c r="A834" s="58">
        <v>834</v>
      </c>
      <c r="B834" s="58">
        <v>834</v>
      </c>
      <c r="C834" s="58" t="s">
        <v>1377</v>
      </c>
      <c r="D834" s="58" t="s">
        <v>182</v>
      </c>
      <c r="E834" s="58" t="s">
        <v>182</v>
      </c>
      <c r="F834" s="58" t="s">
        <v>302</v>
      </c>
      <c r="G834" s="58" t="s">
        <v>303</v>
      </c>
      <c r="H834" s="58" t="s">
        <v>179</v>
      </c>
      <c r="I834">
        <v>38000</v>
      </c>
      <c r="J834">
        <v>38000</v>
      </c>
      <c r="K834" s="58" t="s">
        <v>185</v>
      </c>
      <c r="L834" s="74">
        <v>11.041</v>
      </c>
      <c r="M834" s="85">
        <v>12</v>
      </c>
      <c r="N834" s="74">
        <v>0.318</v>
      </c>
      <c r="O834">
        <v>2</v>
      </c>
      <c r="P834" s="84">
        <v>0.318</v>
      </c>
      <c r="Q834" s="86">
        <v>4.2</v>
      </c>
      <c r="R834" s="85">
        <v>4.2</v>
      </c>
      <c r="S834" s="87">
        <v>1492540</v>
      </c>
      <c r="T834" s="1">
        <v>1</v>
      </c>
      <c r="U834" s="88">
        <v>355366.66666666663</v>
      </c>
      <c r="V834" s="59">
        <v>2.8139949348091173</v>
      </c>
      <c r="X834" s="98">
        <v>58.800000000000011</v>
      </c>
      <c r="Y834" s="97">
        <v>29.960884353741491</v>
      </c>
    </row>
    <row r="835" spans="1:25">
      <c r="A835" s="58">
        <v>835</v>
      </c>
      <c r="B835" s="58">
        <v>835</v>
      </c>
      <c r="C835" s="58" t="s">
        <v>1378</v>
      </c>
      <c r="D835" s="58" t="s">
        <v>182</v>
      </c>
      <c r="E835" s="58" t="s">
        <v>182</v>
      </c>
      <c r="F835" s="58" t="s">
        <v>302</v>
      </c>
      <c r="G835" s="58" t="s">
        <v>303</v>
      </c>
      <c r="H835" s="58" t="s">
        <v>179</v>
      </c>
      <c r="I835">
        <v>38000</v>
      </c>
      <c r="J835">
        <v>38000</v>
      </c>
      <c r="K835" s="58" t="s">
        <v>185</v>
      </c>
      <c r="L835" s="74">
        <v>12.997</v>
      </c>
      <c r="M835" s="85">
        <v>13</v>
      </c>
      <c r="N835" s="74">
        <v>1.7170000000000001</v>
      </c>
      <c r="O835">
        <v>2</v>
      </c>
      <c r="P835" s="84">
        <v>1.28775</v>
      </c>
      <c r="Q835" s="86">
        <v>12.600000000000001</v>
      </c>
      <c r="R835" s="85">
        <v>12.600000000000001</v>
      </c>
      <c r="S835" s="87">
        <v>1627650</v>
      </c>
      <c r="T835" s="1">
        <v>3</v>
      </c>
      <c r="U835" s="88">
        <v>129178.57142857142</v>
      </c>
      <c r="V835" s="59">
        <v>7.7412220071882789</v>
      </c>
      <c r="X835" s="98">
        <v>4.2</v>
      </c>
      <c r="Y835" s="97">
        <v>355.36666666666662</v>
      </c>
    </row>
    <row r="836" spans="1:25">
      <c r="A836" s="89">
        <v>836</v>
      </c>
      <c r="B836" s="89">
        <v>836</v>
      </c>
      <c r="C836" s="89" t="s">
        <v>1379</v>
      </c>
      <c r="D836" s="58" t="s">
        <v>182</v>
      </c>
      <c r="E836" s="58" t="s">
        <v>182</v>
      </c>
      <c r="F836" s="89" t="s">
        <v>302</v>
      </c>
      <c r="G836" s="89" t="s">
        <v>303</v>
      </c>
      <c r="H836" s="89" t="s">
        <v>179</v>
      </c>
      <c r="I836" s="90">
        <v>38000</v>
      </c>
      <c r="J836" s="90">
        <v>38000</v>
      </c>
      <c r="K836" s="89" t="s">
        <v>185</v>
      </c>
      <c r="L836" s="91">
        <v>10.215999999999999</v>
      </c>
      <c r="M836" s="92">
        <v>11</v>
      </c>
      <c r="N836" s="91">
        <v>23.7989999999999</v>
      </c>
      <c r="O836" s="90">
        <v>2</v>
      </c>
      <c r="P836" s="92">
        <v>17.849249999999927</v>
      </c>
      <c r="Q836" s="93">
        <v>218.39999999999998</v>
      </c>
      <c r="R836" s="92">
        <v>218.39999999999998</v>
      </c>
      <c r="S836" s="87">
        <v>9068760</v>
      </c>
      <c r="T836" s="94">
        <v>13</v>
      </c>
      <c r="U836" s="95">
        <v>41523.626373626379</v>
      </c>
      <c r="V836" s="96">
        <v>24.082675029441727</v>
      </c>
      <c r="X836" s="98">
        <v>12.600000000000001</v>
      </c>
      <c r="Y836" s="97">
        <v>129.17857142857142</v>
      </c>
    </row>
    <row r="837" spans="1:25">
      <c r="A837" s="58">
        <v>837</v>
      </c>
      <c r="B837" s="58">
        <v>837</v>
      </c>
      <c r="C837" s="58" t="s">
        <v>1380</v>
      </c>
      <c r="D837" s="58" t="s">
        <v>182</v>
      </c>
      <c r="E837" s="58" t="s">
        <v>182</v>
      </c>
      <c r="F837" s="58" t="s">
        <v>302</v>
      </c>
      <c r="G837" s="58" t="s">
        <v>303</v>
      </c>
      <c r="H837" s="58" t="s">
        <v>179</v>
      </c>
      <c r="I837">
        <v>38000</v>
      </c>
      <c r="J837">
        <v>38000</v>
      </c>
      <c r="K837" s="58" t="s">
        <v>185</v>
      </c>
      <c r="L837" s="74">
        <v>13.07</v>
      </c>
      <c r="M837" s="85">
        <v>14</v>
      </c>
      <c r="N837" s="74">
        <v>3.9510000000000001</v>
      </c>
      <c r="O837">
        <v>2</v>
      </c>
      <c r="P837" s="84">
        <v>2.9632499999999999</v>
      </c>
      <c r="Q837" s="86">
        <v>33.6</v>
      </c>
      <c r="R837" s="85">
        <v>33.6</v>
      </c>
      <c r="S837" s="87">
        <v>1905430</v>
      </c>
      <c r="T837" s="1">
        <v>6</v>
      </c>
      <c r="U837" s="88">
        <v>56709.226190476191</v>
      </c>
      <c r="V837" s="59">
        <v>17.633814939410001</v>
      </c>
      <c r="X837" s="98">
        <v>218.39999999999998</v>
      </c>
      <c r="Y837" s="97">
        <v>41.523626373626378</v>
      </c>
    </row>
    <row r="838" spans="1:25">
      <c r="A838" s="58">
        <v>838</v>
      </c>
      <c r="B838" s="58">
        <v>838</v>
      </c>
      <c r="C838" s="58" t="s">
        <v>1381</v>
      </c>
      <c r="D838" s="58" t="s">
        <v>234</v>
      </c>
      <c r="E838" s="58" t="s">
        <v>234</v>
      </c>
      <c r="F838" s="58" t="s">
        <v>235</v>
      </c>
      <c r="G838" s="58" t="s">
        <v>236</v>
      </c>
      <c r="H838" s="58" t="s">
        <v>179</v>
      </c>
      <c r="I838">
        <v>38000</v>
      </c>
      <c r="J838">
        <v>38000</v>
      </c>
      <c r="K838">
        <v>20000</v>
      </c>
      <c r="L838" s="74">
        <v>7.9139999999999997</v>
      </c>
      <c r="M838" s="85">
        <v>8</v>
      </c>
      <c r="N838" s="74">
        <v>3.1459999999999999</v>
      </c>
      <c r="O838">
        <v>2</v>
      </c>
      <c r="P838" s="84">
        <v>2.3594999999999997</v>
      </c>
      <c r="Q838" s="86">
        <v>25.200000000000003</v>
      </c>
      <c r="R838" s="85">
        <v>25.200000000000003</v>
      </c>
      <c r="S838" s="87">
        <v>1058430</v>
      </c>
      <c r="T838" s="1">
        <v>5</v>
      </c>
      <c r="U838" s="88">
        <v>42001.190476190473</v>
      </c>
      <c r="V838" s="59">
        <v>23.808848955528475</v>
      </c>
      <c r="X838" s="98">
        <v>33.6</v>
      </c>
      <c r="Y838" s="97">
        <v>56.709226190476194</v>
      </c>
    </row>
    <row r="839" spans="1:25">
      <c r="A839" s="89">
        <v>839</v>
      </c>
      <c r="B839" s="89">
        <v>839</v>
      </c>
      <c r="C839" s="89" t="s">
        <v>1382</v>
      </c>
      <c r="D839" s="58" t="s">
        <v>234</v>
      </c>
      <c r="E839" s="58" t="s">
        <v>234</v>
      </c>
      <c r="F839" s="89" t="s">
        <v>235</v>
      </c>
      <c r="G839" s="89" t="s">
        <v>236</v>
      </c>
      <c r="H839" s="89" t="s">
        <v>179</v>
      </c>
      <c r="I839" s="90">
        <v>38000</v>
      </c>
      <c r="J839" s="90">
        <v>38000</v>
      </c>
      <c r="K839" s="90">
        <v>20000</v>
      </c>
      <c r="L839" s="91">
        <v>3.3050000000000002</v>
      </c>
      <c r="M839" s="92">
        <v>4</v>
      </c>
      <c r="N839" s="91">
        <v>8.6259999999999906</v>
      </c>
      <c r="O839" s="90">
        <v>2</v>
      </c>
      <c r="P839" s="92">
        <v>6.4694999999999929</v>
      </c>
      <c r="Q839" s="93">
        <v>79.8</v>
      </c>
      <c r="R839" s="92">
        <v>79.8</v>
      </c>
      <c r="S839" s="87">
        <v>1761700</v>
      </c>
      <c r="T839" s="94">
        <v>11</v>
      </c>
      <c r="U839" s="95">
        <v>22076.441102756893</v>
      </c>
      <c r="V839" s="96">
        <v>45.297156155985697</v>
      </c>
      <c r="X839" s="98">
        <v>25.200000000000003</v>
      </c>
      <c r="Y839" s="97">
        <v>42.00119047619048</v>
      </c>
    </row>
    <row r="840" spans="1:25">
      <c r="A840" s="89">
        <v>840</v>
      </c>
      <c r="B840" s="89">
        <v>840</v>
      </c>
      <c r="C840" s="89" t="s">
        <v>1383</v>
      </c>
      <c r="D840" s="58" t="s">
        <v>234</v>
      </c>
      <c r="E840" s="58" t="s">
        <v>234</v>
      </c>
      <c r="F840" s="89" t="s">
        <v>235</v>
      </c>
      <c r="G840" s="89" t="s">
        <v>236</v>
      </c>
      <c r="H840" s="89" t="s">
        <v>179</v>
      </c>
      <c r="I840" s="90">
        <v>38000</v>
      </c>
      <c r="J840" s="90">
        <v>38000</v>
      </c>
      <c r="K840" s="90">
        <v>20000</v>
      </c>
      <c r="L840" s="91">
        <v>10.038</v>
      </c>
      <c r="M840" s="92">
        <v>11</v>
      </c>
      <c r="N840" s="91">
        <v>10.877000000000001</v>
      </c>
      <c r="O840" s="90">
        <v>2</v>
      </c>
      <c r="P840" s="92">
        <v>8.1577500000000001</v>
      </c>
      <c r="Q840" s="93">
        <v>100.80000000000001</v>
      </c>
      <c r="R840" s="92">
        <v>100.80000000000001</v>
      </c>
      <c r="S840" s="87">
        <v>3237370</v>
      </c>
      <c r="T840" s="94">
        <v>11</v>
      </c>
      <c r="U840" s="95">
        <v>32116.765873015869</v>
      </c>
      <c r="V840" s="96">
        <v>31.136385399259279</v>
      </c>
      <c r="X840" s="98">
        <v>79.8</v>
      </c>
      <c r="Y840" s="97">
        <v>22.076441102756892</v>
      </c>
    </row>
    <row r="841" spans="1:25">
      <c r="A841" s="58">
        <v>841</v>
      </c>
      <c r="B841" s="58">
        <v>841</v>
      </c>
      <c r="C841" s="58" t="s">
        <v>1384</v>
      </c>
      <c r="D841" s="58" t="s">
        <v>234</v>
      </c>
      <c r="E841" s="58" t="s">
        <v>234</v>
      </c>
      <c r="F841" s="58" t="s">
        <v>235</v>
      </c>
      <c r="G841" s="58" t="s">
        <v>236</v>
      </c>
      <c r="H841" s="58" t="s">
        <v>179</v>
      </c>
      <c r="I841">
        <v>38000</v>
      </c>
      <c r="J841">
        <v>38000</v>
      </c>
      <c r="K841">
        <v>20000</v>
      </c>
      <c r="L841" s="74">
        <v>8.74</v>
      </c>
      <c r="M841" s="85">
        <v>9</v>
      </c>
      <c r="N841" s="74">
        <v>0.77200000000000002</v>
      </c>
      <c r="O841">
        <v>2</v>
      </c>
      <c r="P841" s="84">
        <v>0.57899999999999996</v>
      </c>
      <c r="Q841" s="86">
        <v>4.2</v>
      </c>
      <c r="R841" s="85">
        <v>4.2</v>
      </c>
      <c r="S841" s="87">
        <v>1334440</v>
      </c>
      <c r="T841" s="1">
        <v>1</v>
      </c>
      <c r="U841" s="88">
        <v>317723.80952380953</v>
      </c>
      <c r="V841" s="59">
        <v>3.1473876682353645</v>
      </c>
      <c r="X841" s="98">
        <v>100.80000000000001</v>
      </c>
      <c r="Y841" s="97">
        <v>32.116765873015865</v>
      </c>
    </row>
    <row r="842" spans="1:25">
      <c r="A842" s="89">
        <v>842</v>
      </c>
      <c r="B842" s="89">
        <v>842</v>
      </c>
      <c r="C842" s="89" t="s">
        <v>1385</v>
      </c>
      <c r="D842" s="58" t="s">
        <v>234</v>
      </c>
      <c r="E842" s="58" t="s">
        <v>234</v>
      </c>
      <c r="F842" s="89" t="s">
        <v>326</v>
      </c>
      <c r="G842" s="89" t="s">
        <v>327</v>
      </c>
      <c r="H842" s="89" t="s">
        <v>199</v>
      </c>
      <c r="I842" s="90">
        <v>110000</v>
      </c>
      <c r="J842" s="90">
        <v>110000</v>
      </c>
      <c r="K842" s="90">
        <v>38000</v>
      </c>
      <c r="L842" s="91">
        <v>5.907</v>
      </c>
      <c r="M842" s="92">
        <v>6</v>
      </c>
      <c r="N842" s="91">
        <v>36.21</v>
      </c>
      <c r="O842" s="90">
        <v>2</v>
      </c>
      <c r="P842" s="92">
        <v>27.157499999999999</v>
      </c>
      <c r="Q842" s="93">
        <v>336</v>
      </c>
      <c r="R842" s="92">
        <v>336</v>
      </c>
      <c r="S842" s="87">
        <v>6397880</v>
      </c>
      <c r="T842" s="94">
        <v>12</v>
      </c>
      <c r="U842" s="95">
        <v>19041.309523809523</v>
      </c>
      <c r="V842" s="96">
        <v>52.517396387553376</v>
      </c>
      <c r="X842" s="98">
        <v>4.2</v>
      </c>
      <c r="Y842" s="97">
        <v>317.72380952380951</v>
      </c>
    </row>
    <row r="843" spans="1:25">
      <c r="A843" s="89">
        <v>843</v>
      </c>
      <c r="B843" s="89">
        <v>843</v>
      </c>
      <c r="C843" s="89" t="s">
        <v>1386</v>
      </c>
      <c r="D843" s="58" t="s">
        <v>234</v>
      </c>
      <c r="E843" s="58" t="s">
        <v>234</v>
      </c>
      <c r="F843" s="89" t="s">
        <v>630</v>
      </c>
      <c r="G843" s="89" t="s">
        <v>631</v>
      </c>
      <c r="H843" s="89" t="s">
        <v>179</v>
      </c>
      <c r="I843" s="90">
        <v>38000</v>
      </c>
      <c r="J843" s="89" t="s">
        <v>185</v>
      </c>
      <c r="K843" s="90">
        <v>38000</v>
      </c>
      <c r="L843" s="91">
        <v>12.163</v>
      </c>
      <c r="M843" s="92">
        <v>13</v>
      </c>
      <c r="N843" s="91">
        <v>13.75</v>
      </c>
      <c r="O843" s="90">
        <v>2</v>
      </c>
      <c r="P843" s="92">
        <v>10.3125</v>
      </c>
      <c r="Q843" s="93">
        <v>126</v>
      </c>
      <c r="R843" s="92">
        <v>126</v>
      </c>
      <c r="S843" s="87">
        <v>5191820</v>
      </c>
      <c r="T843" s="94">
        <v>13</v>
      </c>
      <c r="U843" s="95">
        <v>41204.920634920636</v>
      </c>
      <c r="V843" s="96">
        <v>24.268946149905045</v>
      </c>
      <c r="X843" s="98">
        <v>336</v>
      </c>
      <c r="Y843" s="97">
        <v>19.041309523809524</v>
      </c>
    </row>
    <row r="844" spans="1:25">
      <c r="A844" s="89">
        <v>844</v>
      </c>
      <c r="B844" s="89">
        <v>844</v>
      </c>
      <c r="C844" s="89" t="s">
        <v>1387</v>
      </c>
      <c r="D844" s="58" t="s">
        <v>234</v>
      </c>
      <c r="E844" s="58" t="s">
        <v>234</v>
      </c>
      <c r="F844" s="89" t="s">
        <v>323</v>
      </c>
      <c r="G844" s="89" t="s">
        <v>324</v>
      </c>
      <c r="H844" s="89" t="s">
        <v>179</v>
      </c>
      <c r="I844" s="90">
        <v>38000</v>
      </c>
      <c r="J844" s="90">
        <v>38000</v>
      </c>
      <c r="K844" s="90">
        <v>20000</v>
      </c>
      <c r="L844" s="91">
        <v>11.974</v>
      </c>
      <c r="M844" s="92">
        <v>12</v>
      </c>
      <c r="N844" s="91">
        <v>5.9640000000000004</v>
      </c>
      <c r="O844" s="90">
        <v>2</v>
      </c>
      <c r="P844" s="92">
        <v>4.4730000000000008</v>
      </c>
      <c r="Q844" s="93">
        <v>54.599999999999994</v>
      </c>
      <c r="R844" s="92">
        <v>54.599999999999994</v>
      </c>
      <c r="S844" s="87">
        <v>3448180</v>
      </c>
      <c r="T844" s="94">
        <v>11</v>
      </c>
      <c r="U844" s="95">
        <v>63153.479853479861</v>
      </c>
      <c r="V844" s="96">
        <v>15.834440197437486</v>
      </c>
      <c r="X844" s="98">
        <v>126</v>
      </c>
      <c r="Y844" s="97">
        <v>41.204920634920633</v>
      </c>
    </row>
    <row r="845" spans="1:25">
      <c r="A845" s="58">
        <v>845</v>
      </c>
      <c r="B845" s="58">
        <v>845</v>
      </c>
      <c r="C845" s="58" t="s">
        <v>1388</v>
      </c>
      <c r="D845" s="58" t="s">
        <v>234</v>
      </c>
      <c r="E845" s="58" t="s">
        <v>234</v>
      </c>
      <c r="F845" s="58" t="s">
        <v>323</v>
      </c>
      <c r="G845" s="58" t="s">
        <v>324</v>
      </c>
      <c r="H845" s="58" t="s">
        <v>179</v>
      </c>
      <c r="I845">
        <v>38000</v>
      </c>
      <c r="J845">
        <v>38000</v>
      </c>
      <c r="K845">
        <v>20000</v>
      </c>
      <c r="L845" s="74">
        <v>9.5210000000000008</v>
      </c>
      <c r="M845" s="85">
        <v>10</v>
      </c>
      <c r="N845" s="74">
        <v>3.1320000000000001</v>
      </c>
      <c r="O845">
        <v>2</v>
      </c>
      <c r="P845" s="84">
        <v>2.3490000000000002</v>
      </c>
      <c r="Q845" s="86">
        <v>25.200000000000003</v>
      </c>
      <c r="R845" s="85">
        <v>25.200000000000003</v>
      </c>
      <c r="S845" s="87">
        <v>1236090</v>
      </c>
      <c r="T845" s="1">
        <v>5</v>
      </c>
      <c r="U845" s="88">
        <v>49051.190476190473</v>
      </c>
      <c r="V845" s="59">
        <v>20.386865034099461</v>
      </c>
      <c r="X845" s="98">
        <v>54.599999999999994</v>
      </c>
      <c r="Y845" s="97">
        <v>63.153479853479851</v>
      </c>
    </row>
    <row r="846" spans="1:25">
      <c r="A846" s="58">
        <v>846</v>
      </c>
      <c r="B846" s="58">
        <v>846</v>
      </c>
      <c r="C846" s="58" t="s">
        <v>1389</v>
      </c>
      <c r="D846" s="58" t="s">
        <v>234</v>
      </c>
      <c r="E846" s="58" t="s">
        <v>234</v>
      </c>
      <c r="F846" s="58" t="s">
        <v>326</v>
      </c>
      <c r="G846" s="58" t="s">
        <v>327</v>
      </c>
      <c r="H846" s="58" t="s">
        <v>199</v>
      </c>
      <c r="I846">
        <v>110000</v>
      </c>
      <c r="J846">
        <v>110000</v>
      </c>
      <c r="K846">
        <v>38000</v>
      </c>
      <c r="L846" s="74">
        <v>12.335000000000001</v>
      </c>
      <c r="M846" s="85">
        <v>13</v>
      </c>
      <c r="N846" s="74">
        <v>4.2080000000000002</v>
      </c>
      <c r="O846">
        <v>2</v>
      </c>
      <c r="P846" s="84">
        <v>3.1560000000000001</v>
      </c>
      <c r="Q846" s="86">
        <v>37.800000000000004</v>
      </c>
      <c r="R846" s="85">
        <v>37.800000000000004</v>
      </c>
      <c r="S846" s="87">
        <v>3400230</v>
      </c>
      <c r="T846" s="1">
        <v>10</v>
      </c>
      <c r="U846" s="88">
        <v>89953.174603174586</v>
      </c>
      <c r="V846" s="59">
        <v>11.116895033571261</v>
      </c>
      <c r="X846" s="98">
        <v>25.200000000000003</v>
      </c>
      <c r="Y846" s="97">
        <v>49.05119047619047</v>
      </c>
    </row>
    <row r="847" spans="1:25">
      <c r="A847" s="58">
        <v>847</v>
      </c>
      <c r="B847" s="58">
        <v>847</v>
      </c>
      <c r="C847" s="58" t="s">
        <v>1390</v>
      </c>
      <c r="D847" s="58" t="s">
        <v>234</v>
      </c>
      <c r="E847" s="58" t="s">
        <v>234</v>
      </c>
      <c r="F847" s="58" t="s">
        <v>329</v>
      </c>
      <c r="G847" s="58" t="s">
        <v>330</v>
      </c>
      <c r="H847" s="58" t="s">
        <v>179</v>
      </c>
      <c r="I847">
        <v>38000</v>
      </c>
      <c r="J847">
        <v>38000</v>
      </c>
      <c r="K847" s="58" t="s">
        <v>185</v>
      </c>
      <c r="L847" s="74">
        <v>4.3019999999999996</v>
      </c>
      <c r="M847" s="85">
        <v>5</v>
      </c>
      <c r="N847" s="74">
        <v>0.437</v>
      </c>
      <c r="O847">
        <v>2</v>
      </c>
      <c r="P847" s="84">
        <v>0.437</v>
      </c>
      <c r="Q847" s="86">
        <v>4.2</v>
      </c>
      <c r="R847" s="85">
        <v>4.2</v>
      </c>
      <c r="S847" s="87">
        <v>699140</v>
      </c>
      <c r="T847" s="1">
        <v>4</v>
      </c>
      <c r="U847" s="88">
        <v>166461.90476190476</v>
      </c>
      <c r="V847" s="59">
        <v>6.0073804960379897</v>
      </c>
      <c r="X847" s="98">
        <v>37.800000000000004</v>
      </c>
      <c r="Y847" s="97">
        <v>89.953174603174588</v>
      </c>
    </row>
    <row r="848" spans="1:25">
      <c r="A848" s="58">
        <v>848</v>
      </c>
      <c r="B848" s="58">
        <v>848</v>
      </c>
      <c r="C848" s="58" t="s">
        <v>1391</v>
      </c>
      <c r="D848" s="58" t="s">
        <v>234</v>
      </c>
      <c r="E848" s="58" t="s">
        <v>234</v>
      </c>
      <c r="F848" s="58" t="s">
        <v>323</v>
      </c>
      <c r="G848" s="58" t="s">
        <v>324</v>
      </c>
      <c r="H848" s="58" t="s">
        <v>179</v>
      </c>
      <c r="I848">
        <v>38000</v>
      </c>
      <c r="J848">
        <v>38000</v>
      </c>
      <c r="K848">
        <v>20000</v>
      </c>
      <c r="L848" s="74">
        <v>8.3170000000000002</v>
      </c>
      <c r="M848" s="85">
        <v>9</v>
      </c>
      <c r="N848" s="74">
        <v>0.93300000000000005</v>
      </c>
      <c r="O848">
        <v>2</v>
      </c>
      <c r="P848" s="84">
        <v>0.69975000000000009</v>
      </c>
      <c r="Q848" s="86">
        <v>8.4</v>
      </c>
      <c r="R848" s="85">
        <v>8.4</v>
      </c>
      <c r="S848" s="87">
        <v>1379800</v>
      </c>
      <c r="T848" s="1">
        <v>2</v>
      </c>
      <c r="U848" s="88">
        <v>164261.90476190476</v>
      </c>
      <c r="V848" s="59">
        <v>6.087838817219887</v>
      </c>
      <c r="X848" s="98">
        <v>4.2</v>
      </c>
      <c r="Y848" s="97">
        <v>166.46190476190475</v>
      </c>
    </row>
    <row r="849" spans="1:25">
      <c r="A849" s="58">
        <v>849</v>
      </c>
      <c r="B849" s="58">
        <v>849</v>
      </c>
      <c r="C849" s="58" t="s">
        <v>1392</v>
      </c>
      <c r="D849" s="58" t="s">
        <v>234</v>
      </c>
      <c r="E849" s="58" t="s">
        <v>234</v>
      </c>
      <c r="F849" s="58" t="s">
        <v>323</v>
      </c>
      <c r="G849" s="58" t="s">
        <v>324</v>
      </c>
      <c r="H849" s="58" t="s">
        <v>179</v>
      </c>
      <c r="I849">
        <v>38000</v>
      </c>
      <c r="J849">
        <v>38000</v>
      </c>
      <c r="K849">
        <v>20000</v>
      </c>
      <c r="L849" s="74">
        <v>11.864000000000001</v>
      </c>
      <c r="M849" s="85">
        <v>12</v>
      </c>
      <c r="N849" s="74">
        <v>1.173</v>
      </c>
      <c r="O849">
        <v>2</v>
      </c>
      <c r="P849" s="84">
        <v>0.87975000000000003</v>
      </c>
      <c r="Q849" s="86">
        <v>8.4</v>
      </c>
      <c r="R849" s="85">
        <v>8.4</v>
      </c>
      <c r="S849" s="87">
        <v>1537900</v>
      </c>
      <c r="T849" s="1">
        <v>2</v>
      </c>
      <c r="U849" s="88">
        <v>183083.33333333331</v>
      </c>
      <c r="V849" s="59">
        <v>5.4619936276741008</v>
      </c>
      <c r="X849" s="98">
        <v>8.4</v>
      </c>
      <c r="Y849" s="97">
        <v>164.26190476190479</v>
      </c>
    </row>
    <row r="850" spans="1:25">
      <c r="A850" s="58">
        <v>850</v>
      </c>
      <c r="B850" s="58">
        <v>850</v>
      </c>
      <c r="C850" s="58" t="s">
        <v>1393</v>
      </c>
      <c r="D850" s="58" t="s">
        <v>234</v>
      </c>
      <c r="E850" s="58" t="s">
        <v>234</v>
      </c>
      <c r="F850" s="58" t="s">
        <v>329</v>
      </c>
      <c r="G850" s="58" t="s">
        <v>330</v>
      </c>
      <c r="H850" s="58" t="s">
        <v>179</v>
      </c>
      <c r="I850">
        <v>38000</v>
      </c>
      <c r="J850">
        <v>38000</v>
      </c>
      <c r="K850" s="58" t="s">
        <v>185</v>
      </c>
      <c r="L850" s="74">
        <v>5.931</v>
      </c>
      <c r="M850" s="85">
        <v>6</v>
      </c>
      <c r="N850" s="74">
        <v>4.2110000000000003</v>
      </c>
      <c r="O850">
        <v>2</v>
      </c>
      <c r="P850" s="84">
        <v>3.1582500000000002</v>
      </c>
      <c r="Q850" s="86">
        <v>37.800000000000004</v>
      </c>
      <c r="R850" s="85">
        <v>37.800000000000004</v>
      </c>
      <c r="S850" s="87">
        <v>1015350</v>
      </c>
      <c r="T850" s="1">
        <v>6</v>
      </c>
      <c r="U850" s="88">
        <v>26861.111111111109</v>
      </c>
      <c r="V850" s="59">
        <v>37.228541882109624</v>
      </c>
      <c r="X850" s="98">
        <v>8.4</v>
      </c>
      <c r="Y850" s="97">
        <v>183.08333333333331</v>
      </c>
    </row>
    <row r="851" spans="1:25">
      <c r="A851" s="58">
        <v>851</v>
      </c>
      <c r="B851" s="58">
        <v>851</v>
      </c>
      <c r="C851" s="58" t="s">
        <v>1394</v>
      </c>
      <c r="D851" s="58" t="s">
        <v>234</v>
      </c>
      <c r="E851" s="58" t="s">
        <v>234</v>
      </c>
      <c r="F851" s="58" t="s">
        <v>329</v>
      </c>
      <c r="G851" s="58" t="s">
        <v>330</v>
      </c>
      <c r="H851" s="58" t="s">
        <v>179</v>
      </c>
      <c r="I851">
        <v>38000</v>
      </c>
      <c r="J851">
        <v>38000</v>
      </c>
      <c r="K851" s="58" t="s">
        <v>185</v>
      </c>
      <c r="L851" s="74">
        <v>8.2650000000000006</v>
      </c>
      <c r="M851" s="85">
        <v>9</v>
      </c>
      <c r="N851" s="74">
        <v>0.42299999999999999</v>
      </c>
      <c r="O851">
        <v>2</v>
      </c>
      <c r="P851" s="84">
        <v>0.42299999999999999</v>
      </c>
      <c r="Q851" s="86">
        <v>4.2</v>
      </c>
      <c r="R851" s="85">
        <v>4.2</v>
      </c>
      <c r="S851" s="87">
        <v>1334440</v>
      </c>
      <c r="T851" s="1">
        <v>1</v>
      </c>
      <c r="U851" s="88">
        <v>317723.80952380953</v>
      </c>
      <c r="V851" s="59">
        <v>3.1473876682353645</v>
      </c>
      <c r="X851" s="98">
        <v>37.800000000000004</v>
      </c>
      <c r="Y851" s="97">
        <v>26.861111111111111</v>
      </c>
    </row>
    <row r="852" spans="1:25">
      <c r="A852" s="89">
        <v>852</v>
      </c>
      <c r="B852" s="89">
        <v>852</v>
      </c>
      <c r="C852" s="89" t="s">
        <v>1395</v>
      </c>
      <c r="D852" s="58" t="s">
        <v>234</v>
      </c>
      <c r="E852" s="58" t="s">
        <v>234</v>
      </c>
      <c r="F852" s="89" t="s">
        <v>623</v>
      </c>
      <c r="G852" s="89" t="s">
        <v>624</v>
      </c>
      <c r="H852" s="89" t="s">
        <v>179</v>
      </c>
      <c r="I852" s="90">
        <v>38000</v>
      </c>
      <c r="J852" s="90">
        <v>38000</v>
      </c>
      <c r="K852" s="89" t="s">
        <v>185</v>
      </c>
      <c r="L852" s="91">
        <v>8.3249999999999993</v>
      </c>
      <c r="M852" s="92">
        <v>9</v>
      </c>
      <c r="N852" s="91">
        <v>8.3569999999999904</v>
      </c>
      <c r="O852" s="90">
        <v>2</v>
      </c>
      <c r="P852" s="92">
        <v>6.2677499999999924</v>
      </c>
      <c r="Q852" s="93">
        <v>75.600000000000009</v>
      </c>
      <c r="R852" s="92">
        <v>75.600000000000009</v>
      </c>
      <c r="S852" s="87">
        <v>2815750</v>
      </c>
      <c r="T852" s="94">
        <v>11</v>
      </c>
      <c r="U852" s="95">
        <v>37245.370370370365</v>
      </c>
      <c r="V852" s="96">
        <v>26.848974518334373</v>
      </c>
      <c r="X852" s="98">
        <v>4.2</v>
      </c>
      <c r="Y852" s="97">
        <v>317.72380952380951</v>
      </c>
    </row>
    <row r="853" spans="1:25">
      <c r="A853" s="89">
        <v>853</v>
      </c>
      <c r="B853" s="89">
        <v>853</v>
      </c>
      <c r="C853" s="89" t="s">
        <v>1396</v>
      </c>
      <c r="D853" s="58" t="s">
        <v>234</v>
      </c>
      <c r="E853" s="58" t="s">
        <v>234</v>
      </c>
      <c r="F853" s="89" t="s">
        <v>329</v>
      </c>
      <c r="G853" s="89" t="s">
        <v>330</v>
      </c>
      <c r="H853" s="89" t="s">
        <v>179</v>
      </c>
      <c r="I853" s="90">
        <v>38000</v>
      </c>
      <c r="J853" s="90">
        <v>38000</v>
      </c>
      <c r="K853" s="89" t="s">
        <v>185</v>
      </c>
      <c r="L853" s="91">
        <v>4.3979999999999997</v>
      </c>
      <c r="M853" s="92">
        <v>5</v>
      </c>
      <c r="N853" s="91">
        <v>10.24</v>
      </c>
      <c r="O853" s="90">
        <v>2</v>
      </c>
      <c r="P853" s="92">
        <v>7.68</v>
      </c>
      <c r="Q853" s="93">
        <v>92.4</v>
      </c>
      <c r="R853" s="92">
        <v>92.4</v>
      </c>
      <c r="S853" s="87">
        <v>1972510</v>
      </c>
      <c r="T853" s="94">
        <v>11</v>
      </c>
      <c r="U853" s="95">
        <v>21347.51082251082</v>
      </c>
      <c r="V853" s="96">
        <v>46.843868979117978</v>
      </c>
      <c r="X853" s="98">
        <v>75.600000000000009</v>
      </c>
      <c r="Y853" s="97">
        <v>37.245370370370367</v>
      </c>
    </row>
    <row r="854" spans="1:25">
      <c r="A854" s="58">
        <v>854</v>
      </c>
      <c r="B854" s="58">
        <v>854</v>
      </c>
      <c r="C854" s="58" t="s">
        <v>1397</v>
      </c>
      <c r="D854" s="58" t="s">
        <v>234</v>
      </c>
      <c r="E854" s="58" t="s">
        <v>234</v>
      </c>
      <c r="F854" s="58" t="s">
        <v>630</v>
      </c>
      <c r="G854" s="58" t="s">
        <v>631</v>
      </c>
      <c r="H854" s="58" t="s">
        <v>179</v>
      </c>
      <c r="I854">
        <v>38000</v>
      </c>
      <c r="J854" s="58" t="s">
        <v>185</v>
      </c>
      <c r="K854">
        <v>38000</v>
      </c>
      <c r="L854" s="74">
        <v>3.75</v>
      </c>
      <c r="M854" s="85">
        <v>4</v>
      </c>
      <c r="N854" s="74">
        <v>2.6509999999999998</v>
      </c>
      <c r="O854">
        <v>2</v>
      </c>
      <c r="P854" s="84">
        <v>1.9882499999999999</v>
      </c>
      <c r="Q854" s="86">
        <v>21</v>
      </c>
      <c r="R854" s="85">
        <v>21</v>
      </c>
      <c r="S854" s="87">
        <v>628870</v>
      </c>
      <c r="T854" s="1">
        <v>4</v>
      </c>
      <c r="U854" s="88">
        <v>29946.190476190477</v>
      </c>
      <c r="V854" s="59">
        <v>33.393229125256411</v>
      </c>
      <c r="X854" s="98">
        <v>92.4</v>
      </c>
      <c r="Y854" s="97">
        <v>21.34751082251082</v>
      </c>
    </row>
    <row r="855" spans="1:25">
      <c r="A855" s="58">
        <v>855</v>
      </c>
      <c r="B855" s="58">
        <v>855</v>
      </c>
      <c r="C855" s="58" t="s">
        <v>1398</v>
      </c>
      <c r="D855" s="58" t="s">
        <v>234</v>
      </c>
      <c r="E855" s="58" t="s">
        <v>234</v>
      </c>
      <c r="F855" s="58" t="s">
        <v>323</v>
      </c>
      <c r="G855" s="58" t="s">
        <v>324</v>
      </c>
      <c r="H855" s="58" t="s">
        <v>179</v>
      </c>
      <c r="I855">
        <v>38000</v>
      </c>
      <c r="J855">
        <v>38000</v>
      </c>
      <c r="K855">
        <v>20000</v>
      </c>
      <c r="L855" s="74">
        <v>4.8620000000000001</v>
      </c>
      <c r="M855" s="85">
        <v>5</v>
      </c>
      <c r="N855" s="74">
        <v>3.0950000000000002</v>
      </c>
      <c r="O855">
        <v>2</v>
      </c>
      <c r="P855" s="84">
        <v>2.32125</v>
      </c>
      <c r="Q855" s="86">
        <v>25.200000000000003</v>
      </c>
      <c r="R855" s="85">
        <v>25.200000000000003</v>
      </c>
      <c r="S855" s="87">
        <v>791940</v>
      </c>
      <c r="T855" s="1">
        <v>5</v>
      </c>
      <c r="U855" s="88">
        <v>31426.190476190473</v>
      </c>
      <c r="V855" s="59">
        <v>31.820592469126453</v>
      </c>
      <c r="X855" s="98">
        <v>21</v>
      </c>
      <c r="Y855" s="97">
        <v>29.946190476190477</v>
      </c>
    </row>
    <row r="856" spans="1:25">
      <c r="A856" s="89">
        <v>856</v>
      </c>
      <c r="B856" s="89">
        <v>856</v>
      </c>
      <c r="C856" s="89" t="s">
        <v>1399</v>
      </c>
      <c r="D856" s="58" t="s">
        <v>234</v>
      </c>
      <c r="E856" s="58" t="s">
        <v>234</v>
      </c>
      <c r="F856" s="89" t="s">
        <v>329</v>
      </c>
      <c r="G856" s="89" t="s">
        <v>330</v>
      </c>
      <c r="H856" s="89" t="s">
        <v>179</v>
      </c>
      <c r="I856" s="90">
        <v>38000</v>
      </c>
      <c r="J856" s="90">
        <v>38000</v>
      </c>
      <c r="K856" s="89" t="s">
        <v>185</v>
      </c>
      <c r="L856" s="91">
        <v>16.684999999999999</v>
      </c>
      <c r="M856" s="92">
        <v>17</v>
      </c>
      <c r="N856" s="91">
        <v>5.3170000000000002</v>
      </c>
      <c r="O856" s="90">
        <v>2</v>
      </c>
      <c r="P856" s="92">
        <v>3.9877500000000001</v>
      </c>
      <c r="Q856" s="93">
        <v>46.2</v>
      </c>
      <c r="R856" s="92">
        <v>46.2</v>
      </c>
      <c r="S856" s="87">
        <v>4502230</v>
      </c>
      <c r="T856" s="94">
        <v>11</v>
      </c>
      <c r="U856" s="95">
        <v>97450.865800865795</v>
      </c>
      <c r="V856" s="96">
        <v>10.261581482954004</v>
      </c>
      <c r="X856" s="98">
        <v>25.200000000000003</v>
      </c>
      <c r="Y856" s="97">
        <v>31.426190476190477</v>
      </c>
    </row>
    <row r="857" spans="1:25">
      <c r="A857" s="89">
        <v>857</v>
      </c>
      <c r="B857" s="89">
        <v>857</v>
      </c>
      <c r="C857" s="89" t="s">
        <v>1400</v>
      </c>
      <c r="D857" s="58" t="s">
        <v>234</v>
      </c>
      <c r="E857" s="58" t="s">
        <v>234</v>
      </c>
      <c r="F857" s="89" t="s">
        <v>329</v>
      </c>
      <c r="G857" s="89" t="s">
        <v>330</v>
      </c>
      <c r="H857" s="89" t="s">
        <v>179</v>
      </c>
      <c r="I857" s="90">
        <v>38000</v>
      </c>
      <c r="J857" s="90">
        <v>38000</v>
      </c>
      <c r="K857" s="89" t="s">
        <v>185</v>
      </c>
      <c r="L857" s="91">
        <v>12.957000000000001</v>
      </c>
      <c r="M857" s="92">
        <v>13</v>
      </c>
      <c r="N857" s="91">
        <v>5.2480000000000002</v>
      </c>
      <c r="O857" s="90">
        <v>2</v>
      </c>
      <c r="P857" s="92">
        <v>3.9359999999999999</v>
      </c>
      <c r="Q857" s="93">
        <v>46.2</v>
      </c>
      <c r="R857" s="92">
        <v>46.2</v>
      </c>
      <c r="S857" s="87">
        <v>3658990</v>
      </c>
      <c r="T857" s="94">
        <v>11</v>
      </c>
      <c r="U857" s="95">
        <v>79198.917748917738</v>
      </c>
      <c r="V857" s="96">
        <v>12.626435163802032</v>
      </c>
      <c r="X857" s="98">
        <v>46.2</v>
      </c>
      <c r="Y857" s="97">
        <v>97.450865800865785</v>
      </c>
    </row>
    <row r="858" spans="1:25">
      <c r="A858" s="58">
        <v>858</v>
      </c>
      <c r="B858" s="58">
        <v>858</v>
      </c>
      <c r="C858" s="58" t="s">
        <v>1401</v>
      </c>
      <c r="D858" s="58" t="s">
        <v>234</v>
      </c>
      <c r="E858" s="58" t="s">
        <v>234</v>
      </c>
      <c r="F858" s="58" t="s">
        <v>329</v>
      </c>
      <c r="G858" s="58" t="s">
        <v>330</v>
      </c>
      <c r="H858" s="58" t="s">
        <v>179</v>
      </c>
      <c r="I858">
        <v>38000</v>
      </c>
      <c r="J858">
        <v>38000</v>
      </c>
      <c r="K858" s="58" t="s">
        <v>185</v>
      </c>
      <c r="L858" s="74">
        <v>17.137</v>
      </c>
      <c r="M858" s="85">
        <v>18</v>
      </c>
      <c r="N858" s="74">
        <v>1.1379999999999999</v>
      </c>
      <c r="O858">
        <v>2</v>
      </c>
      <c r="P858" s="84">
        <v>0.85349999999999993</v>
      </c>
      <c r="Q858" s="86">
        <v>8.4</v>
      </c>
      <c r="R858" s="85">
        <v>8.4</v>
      </c>
      <c r="S858" s="87">
        <v>1854100</v>
      </c>
      <c r="T858" s="1">
        <v>2</v>
      </c>
      <c r="U858" s="88">
        <v>220726.19047619047</v>
      </c>
      <c r="V858" s="59">
        <v>4.5304999730327387</v>
      </c>
      <c r="X858" s="98">
        <v>46.2</v>
      </c>
      <c r="Y858" s="97">
        <v>79.198917748917737</v>
      </c>
    </row>
    <row r="859" spans="1:25">
      <c r="A859" s="58">
        <v>859</v>
      </c>
      <c r="B859" s="58">
        <v>859</v>
      </c>
      <c r="C859" s="58" t="s">
        <v>1402</v>
      </c>
      <c r="D859" s="58" t="s">
        <v>234</v>
      </c>
      <c r="E859" s="58" t="s">
        <v>234</v>
      </c>
      <c r="F859" s="58" t="s">
        <v>329</v>
      </c>
      <c r="G859" s="58" t="s">
        <v>330</v>
      </c>
      <c r="H859" s="58" t="s">
        <v>179</v>
      </c>
      <c r="I859">
        <v>38000</v>
      </c>
      <c r="J859">
        <v>38000</v>
      </c>
      <c r="K859" s="58" t="s">
        <v>185</v>
      </c>
      <c r="L859" s="74">
        <v>19.07</v>
      </c>
      <c r="M859" s="85">
        <v>20</v>
      </c>
      <c r="N859" s="74">
        <v>1.675</v>
      </c>
      <c r="O859">
        <v>2</v>
      </c>
      <c r="P859" s="84">
        <v>1.2562500000000001</v>
      </c>
      <c r="Q859" s="86">
        <v>12.600000000000001</v>
      </c>
      <c r="R859" s="85">
        <v>12.600000000000001</v>
      </c>
      <c r="S859" s="87">
        <v>1996550</v>
      </c>
      <c r="T859" s="1">
        <v>3</v>
      </c>
      <c r="U859" s="88">
        <v>158456.3492063492</v>
      </c>
      <c r="V859" s="59">
        <v>6.3108862788309841</v>
      </c>
      <c r="X859" s="98">
        <v>8.4</v>
      </c>
      <c r="Y859" s="97">
        <v>220.72619047619045</v>
      </c>
    </row>
    <row r="860" spans="1:25">
      <c r="A860" s="89">
        <v>860</v>
      </c>
      <c r="B860" s="89">
        <v>860</v>
      </c>
      <c r="C860" s="89" t="s">
        <v>1403</v>
      </c>
      <c r="D860" s="58" t="s">
        <v>234</v>
      </c>
      <c r="E860" s="58" t="s">
        <v>234</v>
      </c>
      <c r="F860" s="89" t="s">
        <v>326</v>
      </c>
      <c r="G860" s="89" t="s">
        <v>327</v>
      </c>
      <c r="H860" s="89" t="s">
        <v>199</v>
      </c>
      <c r="I860" s="90">
        <v>110000</v>
      </c>
      <c r="J860" s="90">
        <v>110000</v>
      </c>
      <c r="K860" s="90">
        <v>38000</v>
      </c>
      <c r="L860" s="91">
        <v>9.3010000000000002</v>
      </c>
      <c r="M860" s="92">
        <v>10</v>
      </c>
      <c r="N860" s="91">
        <v>159.80600000000001</v>
      </c>
      <c r="O860" s="90">
        <v>2</v>
      </c>
      <c r="P860" s="92">
        <v>119.8545</v>
      </c>
      <c r="Q860" s="93">
        <v>1491</v>
      </c>
      <c r="R860" s="92">
        <v>1491</v>
      </c>
      <c r="S860" s="87">
        <v>42473340</v>
      </c>
      <c r="T860" s="94">
        <v>999999999</v>
      </c>
      <c r="U860" s="95">
        <v>28486.478873239437</v>
      </c>
      <c r="V860" s="96">
        <v>35.104373708307378</v>
      </c>
      <c r="X860" s="98">
        <v>12.600000000000001</v>
      </c>
      <c r="Y860" s="97">
        <v>158.45634920634922</v>
      </c>
    </row>
    <row r="861" spans="1:25">
      <c r="A861" s="58">
        <v>861</v>
      </c>
      <c r="B861" s="58">
        <v>861</v>
      </c>
      <c r="C861" s="58" t="s">
        <v>1404</v>
      </c>
      <c r="D861" s="58" t="s">
        <v>234</v>
      </c>
      <c r="E861" s="58" t="s">
        <v>234</v>
      </c>
      <c r="F861" s="58" t="s">
        <v>326</v>
      </c>
      <c r="G861" s="58" t="s">
        <v>327</v>
      </c>
      <c r="H861" s="58" t="s">
        <v>199</v>
      </c>
      <c r="I861">
        <v>110000</v>
      </c>
      <c r="J861">
        <v>110000</v>
      </c>
      <c r="K861">
        <v>38000</v>
      </c>
      <c r="L861" s="74">
        <v>16.594999999999999</v>
      </c>
      <c r="M861" s="85">
        <v>17</v>
      </c>
      <c r="N861" s="74">
        <v>4.1890000000000001</v>
      </c>
      <c r="O861">
        <v>2</v>
      </c>
      <c r="P861" s="84">
        <v>3.14175</v>
      </c>
      <c r="Q861" s="86">
        <v>37.800000000000004</v>
      </c>
      <c r="R861" s="85">
        <v>37.800000000000004</v>
      </c>
      <c r="S861" s="87">
        <v>3845270</v>
      </c>
      <c r="T861" s="1">
        <v>10</v>
      </c>
      <c r="U861" s="88">
        <v>101726.71957671957</v>
      </c>
      <c r="V861" s="59">
        <v>9.8302589935167113</v>
      </c>
      <c r="X861" s="98">
        <v>1491</v>
      </c>
      <c r="Y861" s="97">
        <v>28.486478873239438</v>
      </c>
    </row>
    <row r="862" spans="1:25">
      <c r="A862" s="89">
        <v>862</v>
      </c>
      <c r="B862" s="89">
        <v>862</v>
      </c>
      <c r="C862" s="89" t="s">
        <v>1405</v>
      </c>
      <c r="D862" s="58" t="s">
        <v>234</v>
      </c>
      <c r="E862" s="58" t="s">
        <v>234</v>
      </c>
      <c r="F862" s="89" t="s">
        <v>329</v>
      </c>
      <c r="G862" s="89" t="s">
        <v>330</v>
      </c>
      <c r="H862" s="89" t="s">
        <v>179</v>
      </c>
      <c r="I862" s="90">
        <v>38000</v>
      </c>
      <c r="J862" s="90">
        <v>38000</v>
      </c>
      <c r="K862" s="89" t="s">
        <v>185</v>
      </c>
      <c r="L862" s="91">
        <v>2.7120000000000002</v>
      </c>
      <c r="M862" s="92">
        <v>3</v>
      </c>
      <c r="N862" s="91">
        <v>5.0490000000000004</v>
      </c>
      <c r="O862" s="90">
        <v>2</v>
      </c>
      <c r="P862" s="92">
        <v>3.7867500000000005</v>
      </c>
      <c r="Q862" s="93">
        <v>46.2</v>
      </c>
      <c r="R862" s="92">
        <v>46.2</v>
      </c>
      <c r="S862" s="87">
        <v>1550890</v>
      </c>
      <c r="T862" s="94">
        <v>11</v>
      </c>
      <c r="U862" s="95">
        <v>33569.047619047618</v>
      </c>
      <c r="V862" s="96">
        <v>29.789346762181715</v>
      </c>
      <c r="X862" s="98">
        <v>37.800000000000004</v>
      </c>
      <c r="Y862" s="97">
        <v>101.72671957671957</v>
      </c>
    </row>
    <row r="863" spans="1:25">
      <c r="A863" s="58">
        <v>863</v>
      </c>
      <c r="B863" s="58">
        <v>863</v>
      </c>
      <c r="C863" s="58" t="s">
        <v>1406</v>
      </c>
      <c r="D863" s="58" t="s">
        <v>234</v>
      </c>
      <c r="E863" s="58" t="s">
        <v>234</v>
      </c>
      <c r="F863" s="58" t="s">
        <v>326</v>
      </c>
      <c r="G863" s="58" t="s">
        <v>327</v>
      </c>
      <c r="H863" s="58" t="s">
        <v>199</v>
      </c>
      <c r="I863">
        <v>110000</v>
      </c>
      <c r="J863">
        <v>110000</v>
      </c>
      <c r="K863">
        <v>38000</v>
      </c>
      <c r="L863" s="74">
        <v>19.323</v>
      </c>
      <c r="M863" s="85">
        <v>20</v>
      </c>
      <c r="N863" s="74">
        <v>2.8820000000000001</v>
      </c>
      <c r="O863">
        <v>2</v>
      </c>
      <c r="P863" s="84">
        <v>2.1615000000000002</v>
      </c>
      <c r="Q863" s="86">
        <v>25.200000000000003</v>
      </c>
      <c r="R863" s="85">
        <v>25.200000000000003</v>
      </c>
      <c r="S863" s="87">
        <v>3730450</v>
      </c>
      <c r="T863" s="1">
        <v>9</v>
      </c>
      <c r="U863" s="88">
        <v>148033.73015873015</v>
      </c>
      <c r="V863" s="59">
        <v>6.7552171989974408</v>
      </c>
      <c r="X863" s="98">
        <v>46.2</v>
      </c>
      <c r="Y863" s="97">
        <v>33.569047619047616</v>
      </c>
    </row>
    <row r="864" spans="1:25">
      <c r="A864" s="58">
        <v>864</v>
      </c>
      <c r="B864" s="58">
        <v>864</v>
      </c>
      <c r="C864" s="58" t="s">
        <v>1407</v>
      </c>
      <c r="D864" s="58" t="s">
        <v>234</v>
      </c>
      <c r="E864" s="58" t="s">
        <v>234</v>
      </c>
      <c r="F864" s="58" t="s">
        <v>329</v>
      </c>
      <c r="G864" s="58" t="s">
        <v>330</v>
      </c>
      <c r="H864" s="58" t="s">
        <v>179</v>
      </c>
      <c r="I864">
        <v>38000</v>
      </c>
      <c r="J864">
        <v>38000</v>
      </c>
      <c r="K864" s="58" t="s">
        <v>185</v>
      </c>
      <c r="L864" s="74">
        <v>10.401</v>
      </c>
      <c r="M864" s="85">
        <v>11</v>
      </c>
      <c r="N864" s="74">
        <v>0.45200000000000001</v>
      </c>
      <c r="O864">
        <v>2</v>
      </c>
      <c r="P864" s="84">
        <v>0.45200000000000001</v>
      </c>
      <c r="Q864" s="86">
        <v>4.2</v>
      </c>
      <c r="R864" s="85">
        <v>4.2</v>
      </c>
      <c r="S864" s="87">
        <v>1439840</v>
      </c>
      <c r="T864" s="1">
        <v>1</v>
      </c>
      <c r="U864" s="88">
        <v>342819.04761904763</v>
      </c>
      <c r="V864" s="59">
        <v>2.9169907767529724</v>
      </c>
      <c r="X864" s="98">
        <v>25.200000000000003</v>
      </c>
      <c r="Y864" s="97">
        <v>148.03373015873015</v>
      </c>
    </row>
    <row r="865" spans="1:25">
      <c r="A865" s="58">
        <v>865</v>
      </c>
      <c r="B865" s="58">
        <v>865</v>
      </c>
      <c r="C865" s="58" t="s">
        <v>1408</v>
      </c>
      <c r="D865" s="58" t="s">
        <v>234</v>
      </c>
      <c r="E865" s="58" t="s">
        <v>234</v>
      </c>
      <c r="F865" s="58" t="s">
        <v>329</v>
      </c>
      <c r="G865" s="58" t="s">
        <v>330</v>
      </c>
      <c r="H865" s="58" t="s">
        <v>179</v>
      </c>
      <c r="I865">
        <v>38000</v>
      </c>
      <c r="J865">
        <v>38000</v>
      </c>
      <c r="K865" s="58" t="s">
        <v>185</v>
      </c>
      <c r="L865" s="74">
        <v>7.6390000000000002</v>
      </c>
      <c r="M865" s="85">
        <v>8</v>
      </c>
      <c r="N865" s="74">
        <v>0.66800000000000004</v>
      </c>
      <c r="O865">
        <v>2</v>
      </c>
      <c r="P865" s="84">
        <v>0.501</v>
      </c>
      <c r="Q865" s="86">
        <v>4.2</v>
      </c>
      <c r="R865" s="85">
        <v>4.2</v>
      </c>
      <c r="S865" s="87">
        <v>909950</v>
      </c>
      <c r="T865" s="1">
        <v>4</v>
      </c>
      <c r="U865" s="88">
        <v>216654.76190476189</v>
      </c>
      <c r="V865" s="59">
        <v>4.6156382218803227</v>
      </c>
      <c r="X865" s="98">
        <v>4.2</v>
      </c>
      <c r="Y865" s="97">
        <v>342.81904761904764</v>
      </c>
    </row>
    <row r="866" spans="1:25">
      <c r="A866" s="58">
        <v>866</v>
      </c>
      <c r="B866" s="58">
        <v>866</v>
      </c>
      <c r="C866" s="58" t="s">
        <v>1409</v>
      </c>
      <c r="D866" s="58" t="s">
        <v>234</v>
      </c>
      <c r="E866" s="58" t="s">
        <v>234</v>
      </c>
      <c r="F866" s="58" t="s">
        <v>329</v>
      </c>
      <c r="G866" s="58" t="s">
        <v>330</v>
      </c>
      <c r="H866" s="58" t="s">
        <v>179</v>
      </c>
      <c r="I866">
        <v>38000</v>
      </c>
      <c r="J866">
        <v>38000</v>
      </c>
      <c r="K866" s="58" t="s">
        <v>185</v>
      </c>
      <c r="L866" s="74">
        <v>6.1139999999999999</v>
      </c>
      <c r="M866" s="85">
        <v>7</v>
      </c>
      <c r="N866" s="74">
        <v>0.48699999999999999</v>
      </c>
      <c r="O866">
        <v>2</v>
      </c>
      <c r="P866" s="84">
        <v>0.48699999999999999</v>
      </c>
      <c r="Q866" s="86">
        <v>4.2</v>
      </c>
      <c r="R866" s="85">
        <v>4.2</v>
      </c>
      <c r="S866" s="87">
        <v>839680</v>
      </c>
      <c r="T866" s="1">
        <v>4</v>
      </c>
      <c r="U866" s="88">
        <v>199923.80952380953</v>
      </c>
      <c r="V866" s="59">
        <v>5.0019054878048781</v>
      </c>
      <c r="X866" s="98">
        <v>4.2</v>
      </c>
      <c r="Y866" s="97">
        <v>216.6547619047619</v>
      </c>
    </row>
    <row r="867" spans="1:25">
      <c r="A867" s="89">
        <v>867</v>
      </c>
      <c r="B867" s="89">
        <v>867</v>
      </c>
      <c r="C867" s="89" t="s">
        <v>1410</v>
      </c>
      <c r="D867" s="58" t="s">
        <v>346</v>
      </c>
      <c r="E867" s="58" t="s">
        <v>234</v>
      </c>
      <c r="F867" s="89" t="s">
        <v>646</v>
      </c>
      <c r="G867" s="89" t="s">
        <v>647</v>
      </c>
      <c r="H867" s="89" t="s">
        <v>179</v>
      </c>
      <c r="I867" s="90">
        <v>38000</v>
      </c>
      <c r="J867" s="89" t="s">
        <v>185</v>
      </c>
      <c r="K867" s="90">
        <v>38000</v>
      </c>
      <c r="L867" s="91">
        <v>4.4050000000000002</v>
      </c>
      <c r="M867" s="92">
        <v>5</v>
      </c>
      <c r="N867" s="91">
        <v>51.771000000000001</v>
      </c>
      <c r="O867" s="90">
        <v>2</v>
      </c>
      <c r="P867" s="92">
        <v>38.828249999999997</v>
      </c>
      <c r="Q867" s="93">
        <v>483</v>
      </c>
      <c r="R867" s="92">
        <v>483</v>
      </c>
      <c r="S867" s="87">
        <v>8456580</v>
      </c>
      <c r="T867" s="94">
        <v>12</v>
      </c>
      <c r="U867" s="95">
        <v>17508.447204968943</v>
      </c>
      <c r="V867" s="96">
        <v>57.115287740434077</v>
      </c>
      <c r="X867" s="98">
        <v>4.2</v>
      </c>
      <c r="Y867" s="97">
        <v>199.92380952380952</v>
      </c>
    </row>
    <row r="868" spans="1:25">
      <c r="A868" s="58">
        <v>868</v>
      </c>
      <c r="B868" s="58">
        <v>868</v>
      </c>
      <c r="C868" s="58" t="s">
        <v>1411</v>
      </c>
      <c r="D868" s="58" t="s">
        <v>346</v>
      </c>
      <c r="E868" s="58" t="s">
        <v>346</v>
      </c>
      <c r="F868" s="58" t="s">
        <v>646</v>
      </c>
      <c r="G868" s="58" t="s">
        <v>647</v>
      </c>
      <c r="H868" s="58" t="s">
        <v>179</v>
      </c>
      <c r="I868">
        <v>38000</v>
      </c>
      <c r="J868" s="58" t="s">
        <v>185</v>
      </c>
      <c r="K868">
        <v>38000</v>
      </c>
      <c r="L868" s="74">
        <v>6.3979999999999997</v>
      </c>
      <c r="M868" s="85">
        <v>7</v>
      </c>
      <c r="N868" s="74">
        <v>2.3050000000000002</v>
      </c>
      <c r="O868">
        <v>2</v>
      </c>
      <c r="P868" s="84">
        <v>1.7287500000000002</v>
      </c>
      <c r="Q868" s="86">
        <v>21</v>
      </c>
      <c r="R868" s="85">
        <v>21</v>
      </c>
      <c r="S868" s="87">
        <v>839680</v>
      </c>
      <c r="T868" s="1">
        <v>4</v>
      </c>
      <c r="U868" s="88">
        <v>39984.761904761908</v>
      </c>
      <c r="V868" s="59">
        <v>25.009527439024389</v>
      </c>
      <c r="X868" s="98">
        <v>483</v>
      </c>
      <c r="Y868" s="97">
        <v>17.508447204968945</v>
      </c>
    </row>
    <row r="869" spans="1:25">
      <c r="A869" s="58">
        <v>869</v>
      </c>
      <c r="B869" s="58">
        <v>869</v>
      </c>
      <c r="C869" s="58" t="s">
        <v>1412</v>
      </c>
      <c r="D869" s="58" t="s">
        <v>346</v>
      </c>
      <c r="E869" s="58" t="s">
        <v>346</v>
      </c>
      <c r="F869" s="58" t="s">
        <v>347</v>
      </c>
      <c r="G869" s="58" t="s">
        <v>348</v>
      </c>
      <c r="H869" s="58" t="s">
        <v>199</v>
      </c>
      <c r="I869">
        <v>110000</v>
      </c>
      <c r="J869">
        <v>110000</v>
      </c>
      <c r="K869" s="58" t="s">
        <v>200</v>
      </c>
      <c r="L869" s="74">
        <v>9.4160000000000004</v>
      </c>
      <c r="M869" s="85">
        <v>10</v>
      </c>
      <c r="N869" s="74">
        <v>7.4470000000000001</v>
      </c>
      <c r="O869">
        <v>2</v>
      </c>
      <c r="P869" s="84">
        <v>5.5852500000000003</v>
      </c>
      <c r="Q869" s="86">
        <v>67.2</v>
      </c>
      <c r="R869" s="85">
        <v>67.2</v>
      </c>
      <c r="S869" s="87">
        <v>3026560</v>
      </c>
      <c r="T869" s="1">
        <v>11</v>
      </c>
      <c r="U869" s="88">
        <v>45038.095238095237</v>
      </c>
      <c r="V869" s="59">
        <v>22.203425671389301</v>
      </c>
      <c r="X869" s="98">
        <v>21</v>
      </c>
      <c r="Y869" s="97">
        <v>39.984761904761903</v>
      </c>
    </row>
    <row r="870" spans="1:25">
      <c r="A870" s="58">
        <v>870</v>
      </c>
      <c r="B870" s="58">
        <v>870</v>
      </c>
      <c r="C870" s="58" t="s">
        <v>1413</v>
      </c>
      <c r="D870" s="58" t="s">
        <v>346</v>
      </c>
      <c r="E870" s="58" t="s">
        <v>346</v>
      </c>
      <c r="F870" s="58" t="s">
        <v>347</v>
      </c>
      <c r="G870" s="58" t="s">
        <v>348</v>
      </c>
      <c r="H870" s="58" t="s">
        <v>199</v>
      </c>
      <c r="I870">
        <v>110000</v>
      </c>
      <c r="J870">
        <v>110000</v>
      </c>
      <c r="K870" s="58" t="s">
        <v>200</v>
      </c>
      <c r="L870" s="74">
        <v>7.2759999999999998</v>
      </c>
      <c r="M870" s="85">
        <v>8</v>
      </c>
      <c r="N870" s="74">
        <v>6.1040000000000001</v>
      </c>
      <c r="O870">
        <v>2</v>
      </c>
      <c r="P870" s="84">
        <v>4.5780000000000003</v>
      </c>
      <c r="Q870" s="86">
        <v>54.599999999999994</v>
      </c>
      <c r="R870" s="85">
        <v>54.599999999999994</v>
      </c>
      <c r="S870" s="87">
        <v>2604940</v>
      </c>
      <c r="T870" s="1">
        <v>11</v>
      </c>
      <c r="U870" s="88">
        <v>47709.523809523816</v>
      </c>
      <c r="V870" s="59">
        <v>20.960175666234154</v>
      </c>
      <c r="X870" s="98">
        <v>67.2</v>
      </c>
      <c r="Y870" s="97">
        <v>45.038095238095238</v>
      </c>
    </row>
    <row r="871" spans="1:25">
      <c r="A871" s="58">
        <v>871</v>
      </c>
      <c r="B871" s="58">
        <v>871</v>
      </c>
      <c r="C871" s="58" t="s">
        <v>1414</v>
      </c>
      <c r="D871" s="58" t="s">
        <v>346</v>
      </c>
      <c r="E871" s="58" t="s">
        <v>346</v>
      </c>
      <c r="F871" s="58" t="s">
        <v>347</v>
      </c>
      <c r="G871" s="58" t="s">
        <v>348</v>
      </c>
      <c r="H871" s="58" t="s">
        <v>199</v>
      </c>
      <c r="I871">
        <v>110000</v>
      </c>
      <c r="J871">
        <v>110000</v>
      </c>
      <c r="K871" s="58" t="s">
        <v>200</v>
      </c>
      <c r="L871" s="74">
        <v>10.159000000000001</v>
      </c>
      <c r="M871" s="85">
        <v>11</v>
      </c>
      <c r="N871" s="74">
        <v>1.5680000000000001</v>
      </c>
      <c r="O871">
        <v>2</v>
      </c>
      <c r="P871" s="84">
        <v>1.1760000000000002</v>
      </c>
      <c r="Q871" s="86">
        <v>12.600000000000001</v>
      </c>
      <c r="R871" s="85">
        <v>12.600000000000001</v>
      </c>
      <c r="S871" s="87">
        <v>1996170</v>
      </c>
      <c r="T871" s="1">
        <v>7</v>
      </c>
      <c r="U871" s="88">
        <v>158426.19047619044</v>
      </c>
      <c r="V871" s="59">
        <v>6.3120876478456251</v>
      </c>
      <c r="X871" s="98">
        <v>54.599999999999994</v>
      </c>
      <c r="Y871" s="97">
        <v>47.709523809523823</v>
      </c>
    </row>
    <row r="872" spans="1:25">
      <c r="A872" s="58">
        <v>872</v>
      </c>
      <c r="B872" s="58">
        <v>872</v>
      </c>
      <c r="C872" s="58" t="s">
        <v>1415</v>
      </c>
      <c r="D872" s="58" t="s">
        <v>346</v>
      </c>
      <c r="E872" s="58" t="s">
        <v>346</v>
      </c>
      <c r="F872" s="58" t="s">
        <v>347</v>
      </c>
      <c r="G872" s="58" t="s">
        <v>348</v>
      </c>
      <c r="H872" s="58" t="s">
        <v>199</v>
      </c>
      <c r="I872">
        <v>110000</v>
      </c>
      <c r="J872">
        <v>110000</v>
      </c>
      <c r="K872" s="58" t="s">
        <v>200</v>
      </c>
      <c r="L872" s="74">
        <v>8.5129999999999999</v>
      </c>
      <c r="M872" s="85">
        <v>9</v>
      </c>
      <c r="N872" s="74">
        <v>0.41</v>
      </c>
      <c r="O872">
        <v>2</v>
      </c>
      <c r="P872" s="84">
        <v>0.41</v>
      </c>
      <c r="Q872" s="86">
        <v>4.2</v>
      </c>
      <c r="R872" s="85">
        <v>4.2</v>
      </c>
      <c r="S872" s="87">
        <v>1890770</v>
      </c>
      <c r="T872" s="1">
        <v>7</v>
      </c>
      <c r="U872" s="88">
        <v>450183.33333333331</v>
      </c>
      <c r="V872" s="59">
        <v>2.2213172411239865</v>
      </c>
      <c r="X872" s="98">
        <v>12.600000000000001</v>
      </c>
      <c r="Y872" s="97">
        <v>158.42619047619044</v>
      </c>
    </row>
    <row r="873" spans="1:25">
      <c r="A873" s="58">
        <v>873</v>
      </c>
      <c r="B873" s="58">
        <v>873</v>
      </c>
      <c r="C873" s="58" t="s">
        <v>1416</v>
      </c>
      <c r="D873" s="58" t="s">
        <v>346</v>
      </c>
      <c r="E873" s="58" t="s">
        <v>346</v>
      </c>
      <c r="F873" s="58" t="s">
        <v>1417</v>
      </c>
      <c r="G873" s="58" t="s">
        <v>1418</v>
      </c>
      <c r="H873" s="58" t="s">
        <v>179</v>
      </c>
      <c r="I873">
        <v>38000</v>
      </c>
      <c r="J873">
        <v>38000</v>
      </c>
      <c r="K873" s="58" t="s">
        <v>185</v>
      </c>
      <c r="L873" s="74">
        <v>8.7840000000000007</v>
      </c>
      <c r="M873" s="85">
        <v>9</v>
      </c>
      <c r="N873" s="74">
        <v>0.503</v>
      </c>
      <c r="O873">
        <v>2</v>
      </c>
      <c r="P873" s="84">
        <v>0.503</v>
      </c>
      <c r="Q873" s="86">
        <v>4.2</v>
      </c>
      <c r="R873" s="85">
        <v>4.2</v>
      </c>
      <c r="S873" s="87">
        <v>1334440</v>
      </c>
      <c r="T873" s="1">
        <v>1</v>
      </c>
      <c r="U873" s="88">
        <v>317723.80952380953</v>
      </c>
      <c r="V873" s="59">
        <v>3.1473876682353645</v>
      </c>
      <c r="X873" s="98">
        <v>4.2</v>
      </c>
      <c r="Y873" s="97">
        <v>450.18333333333334</v>
      </c>
    </row>
    <row r="874" spans="1:25">
      <c r="A874" s="58">
        <v>874</v>
      </c>
      <c r="B874" s="58">
        <v>874</v>
      </c>
      <c r="C874" s="58" t="s">
        <v>1419</v>
      </c>
      <c r="D874" s="58" t="s">
        <v>346</v>
      </c>
      <c r="E874" s="58" t="s">
        <v>346</v>
      </c>
      <c r="F874" s="58" t="s">
        <v>646</v>
      </c>
      <c r="G874" s="58" t="s">
        <v>647</v>
      </c>
      <c r="H874" s="58" t="s">
        <v>179</v>
      </c>
      <c r="I874">
        <v>38000</v>
      </c>
      <c r="J874" s="58" t="s">
        <v>185</v>
      </c>
      <c r="K874">
        <v>38000</v>
      </c>
      <c r="L874" s="74">
        <v>7.4480000000000004</v>
      </c>
      <c r="M874" s="85">
        <v>8</v>
      </c>
      <c r="N874" s="74">
        <v>0.72499999999999998</v>
      </c>
      <c r="O874">
        <v>2</v>
      </c>
      <c r="P874" s="84">
        <v>0.54374999999999996</v>
      </c>
      <c r="Q874" s="86">
        <v>4.2</v>
      </c>
      <c r="R874" s="85">
        <v>4.2</v>
      </c>
      <c r="S874" s="87">
        <v>909950</v>
      </c>
      <c r="T874" s="1">
        <v>4</v>
      </c>
      <c r="U874" s="88">
        <v>216654.76190476189</v>
      </c>
      <c r="V874" s="59">
        <v>4.6156382218803227</v>
      </c>
      <c r="X874" s="98">
        <v>4.2</v>
      </c>
      <c r="Y874" s="97">
        <v>317.72380952380951</v>
      </c>
    </row>
    <row r="875" spans="1:25">
      <c r="A875" s="58">
        <v>875</v>
      </c>
      <c r="B875" s="58">
        <v>875</v>
      </c>
      <c r="C875" s="58" t="s">
        <v>1420</v>
      </c>
      <c r="D875" s="58" t="s">
        <v>346</v>
      </c>
      <c r="E875" s="58" t="s">
        <v>346</v>
      </c>
      <c r="F875" s="58" t="s">
        <v>652</v>
      </c>
      <c r="G875" s="58" t="s">
        <v>653</v>
      </c>
      <c r="H875" s="58" t="s">
        <v>179</v>
      </c>
      <c r="I875">
        <v>38000</v>
      </c>
      <c r="J875">
        <v>38000</v>
      </c>
      <c r="K875" s="58" t="s">
        <v>185</v>
      </c>
      <c r="L875" s="74">
        <v>11.552</v>
      </c>
      <c r="M875" s="85">
        <v>12</v>
      </c>
      <c r="N875" s="74">
        <v>0.73299999999999998</v>
      </c>
      <c r="O875">
        <v>2</v>
      </c>
      <c r="P875" s="84">
        <v>0.54974999999999996</v>
      </c>
      <c r="Q875" s="86">
        <v>4.2</v>
      </c>
      <c r="R875" s="85">
        <v>4.2</v>
      </c>
      <c r="S875" s="87">
        <v>1492540</v>
      </c>
      <c r="T875" s="1">
        <v>1</v>
      </c>
      <c r="U875" s="88">
        <v>355366.66666666663</v>
      </c>
      <c r="V875" s="59">
        <v>2.8139949348091173</v>
      </c>
      <c r="X875" s="98">
        <v>4.2</v>
      </c>
      <c r="Y875" s="97">
        <v>216.6547619047619</v>
      </c>
    </row>
    <row r="876" spans="1:25">
      <c r="A876" s="58">
        <v>876</v>
      </c>
      <c r="B876" s="58">
        <v>876</v>
      </c>
      <c r="C876" s="58" t="s">
        <v>1421</v>
      </c>
      <c r="D876" s="58" t="s">
        <v>351</v>
      </c>
      <c r="E876" s="58" t="s">
        <v>351</v>
      </c>
      <c r="F876" s="58" t="s">
        <v>652</v>
      </c>
      <c r="G876" s="58" t="s">
        <v>653</v>
      </c>
      <c r="H876" s="58" t="s">
        <v>179</v>
      </c>
      <c r="I876">
        <v>38000</v>
      </c>
      <c r="J876">
        <v>38000</v>
      </c>
      <c r="K876" s="58" t="s">
        <v>185</v>
      </c>
      <c r="L876" s="74">
        <v>11.834</v>
      </c>
      <c r="M876" s="85">
        <v>12</v>
      </c>
      <c r="N876" s="74">
        <v>0.371</v>
      </c>
      <c r="O876">
        <v>2</v>
      </c>
      <c r="P876" s="84">
        <v>0.371</v>
      </c>
      <c r="Q876" s="86">
        <v>4.2</v>
      </c>
      <c r="R876" s="85">
        <v>4.2</v>
      </c>
      <c r="S876" s="87">
        <v>1492540</v>
      </c>
      <c r="T876" s="1">
        <v>1</v>
      </c>
      <c r="U876" s="88">
        <v>355366.66666666663</v>
      </c>
      <c r="V876" s="59">
        <v>2.8139949348091173</v>
      </c>
      <c r="X876" s="98">
        <v>4.2</v>
      </c>
      <c r="Y876" s="97">
        <v>355.36666666666662</v>
      </c>
    </row>
    <row r="877" spans="1:25">
      <c r="A877" s="89">
        <v>877</v>
      </c>
      <c r="B877" s="89">
        <v>877</v>
      </c>
      <c r="C877" s="89" t="s">
        <v>1422</v>
      </c>
      <c r="D877" s="58" t="s">
        <v>346</v>
      </c>
      <c r="E877" s="58" t="s">
        <v>351</v>
      </c>
      <c r="F877" s="89" t="s">
        <v>352</v>
      </c>
      <c r="G877" s="89" t="s">
        <v>353</v>
      </c>
      <c r="H877" s="89" t="s">
        <v>179</v>
      </c>
      <c r="I877" s="90">
        <v>38000</v>
      </c>
      <c r="J877" s="90">
        <v>38000</v>
      </c>
      <c r="K877" s="90">
        <v>10000</v>
      </c>
      <c r="L877" s="91">
        <v>11.555</v>
      </c>
      <c r="M877" s="92">
        <v>12</v>
      </c>
      <c r="N877" s="91">
        <v>13.159000000000001</v>
      </c>
      <c r="O877" s="90">
        <v>2</v>
      </c>
      <c r="P877" s="92">
        <v>9.869250000000001</v>
      </c>
      <c r="Q877" s="93">
        <v>121.80000000000001</v>
      </c>
      <c r="R877" s="92">
        <v>121.80000000000001</v>
      </c>
      <c r="S877" s="87">
        <v>3448180</v>
      </c>
      <c r="T877" s="94">
        <v>11</v>
      </c>
      <c r="U877" s="95">
        <v>28310.180623973723</v>
      </c>
      <c r="V877" s="96">
        <v>35.322981978899016</v>
      </c>
      <c r="X877" s="98">
        <v>4.2</v>
      </c>
      <c r="Y877" s="97">
        <v>355.36666666666662</v>
      </c>
    </row>
    <row r="878" spans="1:25">
      <c r="A878" s="58">
        <v>878</v>
      </c>
      <c r="B878" s="58">
        <v>878</v>
      </c>
      <c r="C878" s="58" t="s">
        <v>1423</v>
      </c>
      <c r="D878" s="58" t="s">
        <v>346</v>
      </c>
      <c r="E878" s="58" t="s">
        <v>346</v>
      </c>
      <c r="F878" s="58" t="s">
        <v>352</v>
      </c>
      <c r="G878" s="58" t="s">
        <v>353</v>
      </c>
      <c r="H878" s="58" t="s">
        <v>179</v>
      </c>
      <c r="I878">
        <v>38000</v>
      </c>
      <c r="J878">
        <v>38000</v>
      </c>
      <c r="K878">
        <v>10000</v>
      </c>
      <c r="L878" s="74">
        <v>8.5730000000000004</v>
      </c>
      <c r="M878" s="85">
        <v>9</v>
      </c>
      <c r="N878" s="74">
        <v>0.52400000000000002</v>
      </c>
      <c r="O878">
        <v>2</v>
      </c>
      <c r="P878" s="84">
        <v>0.52400000000000002</v>
      </c>
      <c r="Q878" s="86">
        <v>4.2</v>
      </c>
      <c r="R878" s="85">
        <v>4.2</v>
      </c>
      <c r="S878" s="87">
        <v>1334440</v>
      </c>
      <c r="T878" s="1">
        <v>1</v>
      </c>
      <c r="U878" s="88">
        <v>317723.80952380953</v>
      </c>
      <c r="V878" s="59">
        <v>3.1473876682353645</v>
      </c>
      <c r="X878" s="98">
        <v>121.80000000000001</v>
      </c>
      <c r="Y878" s="97">
        <v>28.310180623973725</v>
      </c>
    </row>
    <row r="879" spans="1:25">
      <c r="A879" s="58">
        <v>879</v>
      </c>
      <c r="B879" s="58">
        <v>879</v>
      </c>
      <c r="C879" s="58" t="s">
        <v>1424</v>
      </c>
      <c r="D879" s="58" t="s">
        <v>346</v>
      </c>
      <c r="E879" s="58" t="s">
        <v>346</v>
      </c>
      <c r="F879" s="58" t="s">
        <v>352</v>
      </c>
      <c r="G879" s="58" t="s">
        <v>353</v>
      </c>
      <c r="H879" s="58" t="s">
        <v>179</v>
      </c>
      <c r="I879">
        <v>38000</v>
      </c>
      <c r="J879">
        <v>38000</v>
      </c>
      <c r="K879">
        <v>10000</v>
      </c>
      <c r="L879" s="74">
        <v>10.85</v>
      </c>
      <c r="M879" s="85">
        <v>11</v>
      </c>
      <c r="N879" s="74">
        <v>0.28799999999999998</v>
      </c>
      <c r="O879">
        <v>2</v>
      </c>
      <c r="P879" s="84">
        <v>0.28799999999999998</v>
      </c>
      <c r="Q879" s="86">
        <v>4.2</v>
      </c>
      <c r="R879" s="85">
        <v>4.2</v>
      </c>
      <c r="S879" s="87">
        <v>1439840</v>
      </c>
      <c r="T879" s="1">
        <v>1</v>
      </c>
      <c r="U879" s="88">
        <v>342819.04761904763</v>
      </c>
      <c r="V879" s="59">
        <v>2.9169907767529724</v>
      </c>
      <c r="X879" s="98">
        <v>4.2</v>
      </c>
      <c r="Y879" s="97">
        <v>317.72380952380951</v>
      </c>
    </row>
    <row r="880" spans="1:25">
      <c r="A880" s="58">
        <v>880</v>
      </c>
      <c r="B880" s="58">
        <v>880</v>
      </c>
      <c r="C880" s="58" t="s">
        <v>1425</v>
      </c>
      <c r="D880" s="58" t="s">
        <v>346</v>
      </c>
      <c r="E880" s="58" t="s">
        <v>346</v>
      </c>
      <c r="F880" s="58" t="s">
        <v>352</v>
      </c>
      <c r="G880" s="58" t="s">
        <v>353</v>
      </c>
      <c r="H880" s="58" t="s">
        <v>179</v>
      </c>
      <c r="I880">
        <v>38000</v>
      </c>
      <c r="J880">
        <v>38000</v>
      </c>
      <c r="K880">
        <v>10000</v>
      </c>
      <c r="L880" s="74">
        <v>7.5919999999999996</v>
      </c>
      <c r="M880" s="85">
        <v>8</v>
      </c>
      <c r="N880" s="74">
        <v>0.76300000000000001</v>
      </c>
      <c r="O880">
        <v>2</v>
      </c>
      <c r="P880" s="84">
        <v>0.57225000000000004</v>
      </c>
      <c r="Q880" s="86">
        <v>4.2</v>
      </c>
      <c r="R880" s="85">
        <v>4.2</v>
      </c>
      <c r="S880" s="87">
        <v>909950</v>
      </c>
      <c r="T880" s="1">
        <v>4</v>
      </c>
      <c r="U880" s="88">
        <v>216654.76190476189</v>
      </c>
      <c r="V880" s="59">
        <v>4.6156382218803227</v>
      </c>
      <c r="X880" s="98">
        <v>4.2</v>
      </c>
      <c r="Y880" s="97">
        <v>342.81904761904764</v>
      </c>
    </row>
    <row r="881" spans="1:25">
      <c r="A881" s="58">
        <v>881</v>
      </c>
      <c r="B881" s="58">
        <v>881</v>
      </c>
      <c r="C881" s="58" t="s">
        <v>1426</v>
      </c>
      <c r="D881" s="58" t="s">
        <v>346</v>
      </c>
      <c r="E881" s="58" t="s">
        <v>346</v>
      </c>
      <c r="F881" s="58" t="s">
        <v>1427</v>
      </c>
      <c r="G881" s="58" t="s">
        <v>1428</v>
      </c>
      <c r="H881" s="58" t="s">
        <v>199</v>
      </c>
      <c r="I881">
        <v>110000</v>
      </c>
      <c r="J881">
        <v>110000</v>
      </c>
      <c r="K881">
        <v>38000</v>
      </c>
      <c r="L881" s="74">
        <v>3.3460000000000001</v>
      </c>
      <c r="M881" s="85">
        <v>4</v>
      </c>
      <c r="N881" s="74">
        <v>1.8560000000000001</v>
      </c>
      <c r="O881">
        <v>2</v>
      </c>
      <c r="P881" s="84">
        <v>1.3920000000000001</v>
      </c>
      <c r="Q881" s="86">
        <v>16.8</v>
      </c>
      <c r="R881" s="85">
        <v>16.8</v>
      </c>
      <c r="S881" s="87">
        <v>1875790</v>
      </c>
      <c r="T881" s="1">
        <v>8</v>
      </c>
      <c r="U881" s="88">
        <v>111654.16666666666</v>
      </c>
      <c r="V881" s="59">
        <v>8.9562264432585739</v>
      </c>
      <c r="X881" s="98">
        <v>4.2</v>
      </c>
      <c r="Y881" s="97">
        <v>216.6547619047619</v>
      </c>
    </row>
    <row r="882" spans="1:25">
      <c r="A882" s="58">
        <v>882</v>
      </c>
      <c r="B882" s="58">
        <v>882</v>
      </c>
      <c r="C882" s="58" t="s">
        <v>1429</v>
      </c>
      <c r="D882" s="58" t="s">
        <v>346</v>
      </c>
      <c r="E882" s="58" t="s">
        <v>346</v>
      </c>
      <c r="F882" s="58" t="s">
        <v>652</v>
      </c>
      <c r="G882" s="58" t="s">
        <v>653</v>
      </c>
      <c r="H882" s="58" t="s">
        <v>179</v>
      </c>
      <c r="I882">
        <v>38000</v>
      </c>
      <c r="J882">
        <v>38000</v>
      </c>
      <c r="K882" s="58" t="s">
        <v>185</v>
      </c>
      <c r="L882" s="74">
        <v>13.34</v>
      </c>
      <c r="M882" s="85">
        <v>14</v>
      </c>
      <c r="N882" s="74">
        <v>0.41399999999999998</v>
      </c>
      <c r="O882">
        <v>2</v>
      </c>
      <c r="P882" s="84">
        <v>0.41399999999999998</v>
      </c>
      <c r="Q882" s="86">
        <v>4.2</v>
      </c>
      <c r="R882" s="85">
        <v>4.2</v>
      </c>
      <c r="S882" s="87">
        <v>1597940</v>
      </c>
      <c r="T882" s="1">
        <v>1</v>
      </c>
      <c r="U882" s="88">
        <v>380461.90476190473</v>
      </c>
      <c r="V882" s="59">
        <v>2.6283840444572388</v>
      </c>
      <c r="X882" s="98">
        <v>16.8</v>
      </c>
      <c r="Y882" s="97">
        <v>111.65416666666665</v>
      </c>
    </row>
    <row r="883" spans="1:25">
      <c r="A883" s="58">
        <v>883</v>
      </c>
      <c r="B883" s="58">
        <v>883</v>
      </c>
      <c r="C883" s="58" t="s">
        <v>1430</v>
      </c>
      <c r="D883" s="58" t="s">
        <v>187</v>
      </c>
      <c r="E883" s="58" t="s">
        <v>187</v>
      </c>
      <c r="F883" s="58" t="s">
        <v>188</v>
      </c>
      <c r="G883" s="58" t="s">
        <v>189</v>
      </c>
      <c r="H883" s="58" t="s">
        <v>179</v>
      </c>
      <c r="I883">
        <v>38000</v>
      </c>
      <c r="J883">
        <v>38000</v>
      </c>
      <c r="K883">
        <v>10000</v>
      </c>
      <c r="L883" s="74">
        <v>9.0540000000000003</v>
      </c>
      <c r="M883" s="85">
        <v>10</v>
      </c>
      <c r="N883" s="74">
        <v>2.9889999999999999</v>
      </c>
      <c r="O883">
        <v>2</v>
      </c>
      <c r="P883" s="84">
        <v>2.2417499999999997</v>
      </c>
      <c r="Q883" s="86">
        <v>25.200000000000003</v>
      </c>
      <c r="R883" s="85">
        <v>25.200000000000003</v>
      </c>
      <c r="S883" s="87">
        <v>1236090</v>
      </c>
      <c r="T883" s="1">
        <v>5</v>
      </c>
      <c r="U883" s="88">
        <v>49051.190476190473</v>
      </c>
      <c r="V883" s="59">
        <v>20.386865034099461</v>
      </c>
      <c r="X883" s="98">
        <v>4.2</v>
      </c>
      <c r="Y883" s="97">
        <v>380.46190476190475</v>
      </c>
    </row>
    <row r="884" spans="1:25">
      <c r="A884" s="58">
        <v>884</v>
      </c>
      <c r="B884" s="58">
        <v>884</v>
      </c>
      <c r="C884" s="58" t="s">
        <v>1431</v>
      </c>
      <c r="D884" s="58" t="s">
        <v>187</v>
      </c>
      <c r="E884" s="58" t="s">
        <v>187</v>
      </c>
      <c r="F884" s="58" t="s">
        <v>188</v>
      </c>
      <c r="G884" s="58" t="s">
        <v>189</v>
      </c>
      <c r="H884" s="58" t="s">
        <v>179</v>
      </c>
      <c r="I884">
        <v>38000</v>
      </c>
      <c r="J884">
        <v>38000</v>
      </c>
      <c r="K884">
        <v>10000</v>
      </c>
      <c r="L884" s="74">
        <v>6.55</v>
      </c>
      <c r="M884" s="85">
        <v>7</v>
      </c>
      <c r="N884" s="74">
        <v>0.81299999999999994</v>
      </c>
      <c r="O884">
        <v>2</v>
      </c>
      <c r="P884" s="84">
        <v>0.60975000000000001</v>
      </c>
      <c r="Q884" s="86">
        <v>4.2</v>
      </c>
      <c r="R884" s="85">
        <v>4.2</v>
      </c>
      <c r="S884" s="87">
        <v>839680</v>
      </c>
      <c r="T884" s="1">
        <v>4</v>
      </c>
      <c r="U884" s="88">
        <v>199923.80952380953</v>
      </c>
      <c r="V884" s="59">
        <v>5.0019054878048781</v>
      </c>
      <c r="X884" s="98">
        <v>25.200000000000003</v>
      </c>
      <c r="Y884" s="97">
        <v>49.05119047619047</v>
      </c>
    </row>
    <row r="885" spans="1:25">
      <c r="A885" s="58">
        <v>885</v>
      </c>
      <c r="B885" s="58">
        <v>885</v>
      </c>
      <c r="C885" s="58" t="s">
        <v>1432</v>
      </c>
      <c r="D885" s="58" t="s">
        <v>187</v>
      </c>
      <c r="E885" s="58" t="s">
        <v>187</v>
      </c>
      <c r="F885" s="58" t="s">
        <v>188</v>
      </c>
      <c r="G885" s="58" t="s">
        <v>189</v>
      </c>
      <c r="H885" s="58" t="s">
        <v>179</v>
      </c>
      <c r="I885">
        <v>38000</v>
      </c>
      <c r="J885">
        <v>38000</v>
      </c>
      <c r="K885">
        <v>10000</v>
      </c>
      <c r="L885" s="74">
        <v>6.4729999999999999</v>
      </c>
      <c r="M885" s="85">
        <v>7</v>
      </c>
      <c r="N885" s="74">
        <v>2.456</v>
      </c>
      <c r="O885">
        <v>2</v>
      </c>
      <c r="P885" s="84">
        <v>1.8420000000000001</v>
      </c>
      <c r="Q885" s="86">
        <v>21</v>
      </c>
      <c r="R885" s="85">
        <v>21</v>
      </c>
      <c r="S885" s="87">
        <v>839680</v>
      </c>
      <c r="T885" s="1">
        <v>4</v>
      </c>
      <c r="U885" s="88">
        <v>39984.761904761908</v>
      </c>
      <c r="V885" s="59">
        <v>25.009527439024389</v>
      </c>
      <c r="X885" s="98">
        <v>4.2</v>
      </c>
      <c r="Y885" s="97">
        <v>199.92380952380952</v>
      </c>
    </row>
    <row r="886" spans="1:25">
      <c r="A886" s="58">
        <v>886</v>
      </c>
      <c r="B886" s="58">
        <v>886</v>
      </c>
      <c r="C886" s="58" t="s">
        <v>1433</v>
      </c>
      <c r="D886" s="58" t="s">
        <v>187</v>
      </c>
      <c r="E886" s="58" t="s">
        <v>187</v>
      </c>
      <c r="F886" s="58" t="s">
        <v>188</v>
      </c>
      <c r="G886" s="58" t="s">
        <v>189</v>
      </c>
      <c r="H886" s="58" t="s">
        <v>179</v>
      </c>
      <c r="I886">
        <v>38000</v>
      </c>
      <c r="J886">
        <v>38000</v>
      </c>
      <c r="K886">
        <v>10000</v>
      </c>
      <c r="L886" s="74">
        <v>12.154999999999999</v>
      </c>
      <c r="M886" s="85">
        <v>13</v>
      </c>
      <c r="N886" s="74">
        <v>2.956</v>
      </c>
      <c r="O886">
        <v>2</v>
      </c>
      <c r="P886" s="84">
        <v>2.2170000000000001</v>
      </c>
      <c r="Q886" s="86">
        <v>25.200000000000003</v>
      </c>
      <c r="R886" s="85">
        <v>25.200000000000003</v>
      </c>
      <c r="S886" s="87">
        <v>1502580</v>
      </c>
      <c r="T886" s="1">
        <v>5</v>
      </c>
      <c r="U886" s="88">
        <v>59626.190476190466</v>
      </c>
      <c r="V886" s="59">
        <v>16.771153615780861</v>
      </c>
      <c r="X886" s="98">
        <v>21</v>
      </c>
      <c r="Y886" s="97">
        <v>39.984761904761903</v>
      </c>
    </row>
    <row r="887" spans="1:25">
      <c r="A887" s="58">
        <v>887</v>
      </c>
      <c r="B887" s="58">
        <v>887</v>
      </c>
      <c r="C887" s="58" t="s">
        <v>1434</v>
      </c>
      <c r="D887" s="58" t="s">
        <v>187</v>
      </c>
      <c r="E887" s="58" t="s">
        <v>187</v>
      </c>
      <c r="F887" s="58" t="s">
        <v>188</v>
      </c>
      <c r="G887" s="58" t="s">
        <v>189</v>
      </c>
      <c r="H887" s="58" t="s">
        <v>179</v>
      </c>
      <c r="I887">
        <v>38000</v>
      </c>
      <c r="J887">
        <v>38000</v>
      </c>
      <c r="K887">
        <v>10000</v>
      </c>
      <c r="L887" s="74">
        <v>12.862</v>
      </c>
      <c r="M887" s="85">
        <v>13</v>
      </c>
      <c r="N887" s="74">
        <v>1.3080000000000001</v>
      </c>
      <c r="O887">
        <v>2</v>
      </c>
      <c r="P887" s="84">
        <v>0.98100000000000009</v>
      </c>
      <c r="Q887" s="86">
        <v>8.4</v>
      </c>
      <c r="R887" s="85">
        <v>8.4</v>
      </c>
      <c r="S887" s="87">
        <v>1590600</v>
      </c>
      <c r="T887" s="1">
        <v>2</v>
      </c>
      <c r="U887" s="88">
        <v>189357.14285714284</v>
      </c>
      <c r="V887" s="59">
        <v>5.2810260279139944</v>
      </c>
      <c r="X887" s="98">
        <v>25.200000000000003</v>
      </c>
      <c r="Y887" s="97">
        <v>59.626190476190466</v>
      </c>
    </row>
    <row r="888" spans="1:25">
      <c r="A888" s="58">
        <v>888</v>
      </c>
      <c r="B888" s="58">
        <v>888</v>
      </c>
      <c r="C888" s="58" t="s">
        <v>1435</v>
      </c>
      <c r="D888" s="58" t="s">
        <v>187</v>
      </c>
      <c r="E888" s="58" t="s">
        <v>187</v>
      </c>
      <c r="F888" s="58" t="s">
        <v>188</v>
      </c>
      <c r="G888" s="58" t="s">
        <v>189</v>
      </c>
      <c r="H888" s="58" t="s">
        <v>179</v>
      </c>
      <c r="I888">
        <v>38000</v>
      </c>
      <c r="J888">
        <v>38000</v>
      </c>
      <c r="K888">
        <v>10000</v>
      </c>
      <c r="L888" s="74">
        <v>12.042</v>
      </c>
      <c r="M888" s="85">
        <v>13</v>
      </c>
      <c r="N888" s="74">
        <v>0.89100000000000001</v>
      </c>
      <c r="O888">
        <v>2</v>
      </c>
      <c r="P888" s="84">
        <v>0.66825000000000001</v>
      </c>
      <c r="Q888" s="86">
        <v>8.4</v>
      </c>
      <c r="R888" s="85">
        <v>8.4</v>
      </c>
      <c r="S888" s="87">
        <v>1590600</v>
      </c>
      <c r="T888" s="1">
        <v>2</v>
      </c>
      <c r="U888" s="88">
        <v>189357.14285714284</v>
      </c>
      <c r="V888" s="59">
        <v>5.2810260279139944</v>
      </c>
      <c r="X888" s="98">
        <v>8.4</v>
      </c>
      <c r="Y888" s="97">
        <v>189.35714285714283</v>
      </c>
    </row>
    <row r="889" spans="1:25">
      <c r="A889" s="89">
        <v>889</v>
      </c>
      <c r="B889" s="89">
        <v>889</v>
      </c>
      <c r="C889" s="89" t="s">
        <v>1436</v>
      </c>
      <c r="D889" s="58" t="s">
        <v>187</v>
      </c>
      <c r="E889" s="58" t="s">
        <v>187</v>
      </c>
      <c r="F889" s="89" t="s">
        <v>188</v>
      </c>
      <c r="G889" s="89" t="s">
        <v>189</v>
      </c>
      <c r="H889" s="89" t="s">
        <v>179</v>
      </c>
      <c r="I889" s="90">
        <v>38000</v>
      </c>
      <c r="J889" s="90">
        <v>38000</v>
      </c>
      <c r="K889" s="90">
        <v>10000</v>
      </c>
      <c r="L889" s="91">
        <v>10.007</v>
      </c>
      <c r="M889" s="92">
        <v>11</v>
      </c>
      <c r="N889" s="91">
        <v>7.0309999999999997</v>
      </c>
      <c r="O889" s="90">
        <v>2</v>
      </c>
      <c r="P889" s="92">
        <v>5.27325</v>
      </c>
      <c r="Q889" s="93">
        <v>63</v>
      </c>
      <c r="R889" s="92">
        <v>63</v>
      </c>
      <c r="S889" s="87">
        <v>3237370</v>
      </c>
      <c r="T889" s="94">
        <v>11</v>
      </c>
      <c r="U889" s="95">
        <v>51386.825396825399</v>
      </c>
      <c r="V889" s="96">
        <v>19.460240874537046</v>
      </c>
      <c r="X889" s="98">
        <v>8.4</v>
      </c>
      <c r="Y889" s="97">
        <v>189.35714285714283</v>
      </c>
    </row>
    <row r="890" spans="1:25">
      <c r="A890" s="58">
        <v>890</v>
      </c>
      <c r="B890" s="58">
        <v>890</v>
      </c>
      <c r="C890" s="58" t="s">
        <v>1437</v>
      </c>
      <c r="D890" s="58" t="s">
        <v>187</v>
      </c>
      <c r="E890" s="58" t="s">
        <v>187</v>
      </c>
      <c r="F890" s="58" t="s">
        <v>188</v>
      </c>
      <c r="G890" s="58" t="s">
        <v>189</v>
      </c>
      <c r="H890" s="58" t="s">
        <v>179</v>
      </c>
      <c r="I890">
        <v>38000</v>
      </c>
      <c r="J890">
        <v>38000</v>
      </c>
      <c r="K890">
        <v>10000</v>
      </c>
      <c r="L890" s="74">
        <v>9.7949999999999999</v>
      </c>
      <c r="M890" s="85">
        <v>10</v>
      </c>
      <c r="N890" s="74">
        <v>2.4689999999999999</v>
      </c>
      <c r="O890">
        <v>2</v>
      </c>
      <c r="P890" s="84">
        <v>1.85175</v>
      </c>
      <c r="Q890" s="86">
        <v>21</v>
      </c>
      <c r="R890" s="85">
        <v>21</v>
      </c>
      <c r="S890" s="87">
        <v>1050490</v>
      </c>
      <c r="T890" s="1">
        <v>4</v>
      </c>
      <c r="U890" s="88">
        <v>50023.333333333336</v>
      </c>
      <c r="V890" s="59">
        <v>19.990671020190579</v>
      </c>
      <c r="X890" s="98">
        <v>63</v>
      </c>
      <c r="Y890" s="97">
        <v>51.386825396825394</v>
      </c>
    </row>
    <row r="891" spans="1:25">
      <c r="A891" s="58">
        <v>891</v>
      </c>
      <c r="B891" s="58">
        <v>891</v>
      </c>
      <c r="C891" s="58" t="s">
        <v>1438</v>
      </c>
      <c r="D891" s="58" t="s">
        <v>187</v>
      </c>
      <c r="E891" s="58" t="s">
        <v>187</v>
      </c>
      <c r="F891" s="58" t="s">
        <v>359</v>
      </c>
      <c r="G891" s="58" t="s">
        <v>360</v>
      </c>
      <c r="H891" s="58" t="s">
        <v>179</v>
      </c>
      <c r="I891">
        <v>38000</v>
      </c>
      <c r="J891" s="58" t="s">
        <v>185</v>
      </c>
      <c r="K891">
        <v>38000</v>
      </c>
      <c r="L891" s="74">
        <v>5.9809999999999999</v>
      </c>
      <c r="M891" s="85">
        <v>6</v>
      </c>
      <c r="N891" s="74">
        <v>0.39500000000000002</v>
      </c>
      <c r="O891">
        <v>2</v>
      </c>
      <c r="P891" s="84">
        <v>0.39500000000000002</v>
      </c>
      <c r="Q891" s="86">
        <v>4.2</v>
      </c>
      <c r="R891" s="85">
        <v>4.2</v>
      </c>
      <c r="S891" s="87">
        <v>769410</v>
      </c>
      <c r="T891" s="1">
        <v>4</v>
      </c>
      <c r="U891" s="88">
        <v>183192.85714285713</v>
      </c>
      <c r="V891" s="59">
        <v>5.4587281163488903</v>
      </c>
      <c r="X891" s="98">
        <v>21</v>
      </c>
      <c r="Y891" s="97">
        <v>50.023333333333333</v>
      </c>
    </row>
    <row r="892" spans="1:25">
      <c r="A892" s="58">
        <v>892</v>
      </c>
      <c r="B892" s="58">
        <v>892</v>
      </c>
      <c r="C892" s="58" t="s">
        <v>1439</v>
      </c>
      <c r="D892" s="58" t="s">
        <v>187</v>
      </c>
      <c r="E892" s="58" t="s">
        <v>187</v>
      </c>
      <c r="F892" s="58" t="s">
        <v>359</v>
      </c>
      <c r="G892" s="58" t="s">
        <v>360</v>
      </c>
      <c r="H892" s="58" t="s">
        <v>179</v>
      </c>
      <c r="I892">
        <v>38000</v>
      </c>
      <c r="J892" s="58" t="s">
        <v>185</v>
      </c>
      <c r="K892">
        <v>38000</v>
      </c>
      <c r="L892" s="74">
        <v>5.9790000000000001</v>
      </c>
      <c r="M892" s="85">
        <v>6</v>
      </c>
      <c r="N892" s="74">
        <v>1.2769999999999999</v>
      </c>
      <c r="O892">
        <v>2</v>
      </c>
      <c r="P892" s="84">
        <v>0.95774999999999988</v>
      </c>
      <c r="Q892" s="86">
        <v>8.4</v>
      </c>
      <c r="R892" s="85">
        <v>8.4</v>
      </c>
      <c r="S892" s="87">
        <v>769410</v>
      </c>
      <c r="T892" s="1">
        <v>4</v>
      </c>
      <c r="U892" s="88">
        <v>91596.428571428565</v>
      </c>
      <c r="V892" s="59">
        <v>10.917456232697781</v>
      </c>
      <c r="X892" s="98">
        <v>4.2</v>
      </c>
      <c r="Y892" s="97">
        <v>183.19285714285712</v>
      </c>
    </row>
    <row r="893" spans="1:25">
      <c r="A893" s="89">
        <v>893</v>
      </c>
      <c r="B893" s="89">
        <v>893</v>
      </c>
      <c r="C893" s="89" t="s">
        <v>1440</v>
      </c>
      <c r="D893" s="58" t="s">
        <v>187</v>
      </c>
      <c r="E893" s="58" t="s">
        <v>187</v>
      </c>
      <c r="F893" s="89" t="s">
        <v>188</v>
      </c>
      <c r="G893" s="89" t="s">
        <v>189</v>
      </c>
      <c r="H893" s="89" t="s">
        <v>179</v>
      </c>
      <c r="I893" s="90">
        <v>38000</v>
      </c>
      <c r="J893" s="90">
        <v>38000</v>
      </c>
      <c r="K893" s="90">
        <v>10000</v>
      </c>
      <c r="L893" s="91">
        <v>4.9690000000000003</v>
      </c>
      <c r="M893" s="92">
        <v>5</v>
      </c>
      <c r="N893" s="91">
        <v>18.341999999999899</v>
      </c>
      <c r="O893" s="90">
        <v>2</v>
      </c>
      <c r="P893" s="92">
        <v>13.756499999999924</v>
      </c>
      <c r="Q893" s="93">
        <v>168</v>
      </c>
      <c r="R893" s="92">
        <v>168</v>
      </c>
      <c r="S893" s="87">
        <v>2818860</v>
      </c>
      <c r="T893" s="94">
        <v>12</v>
      </c>
      <c r="U893" s="95">
        <v>16778.928571428572</v>
      </c>
      <c r="V893" s="96">
        <v>59.598561120452949</v>
      </c>
      <c r="X893" s="98">
        <v>8.4</v>
      </c>
      <c r="Y893" s="97">
        <v>91.596428571428561</v>
      </c>
    </row>
    <row r="894" spans="1:25">
      <c r="A894" s="58">
        <v>895</v>
      </c>
      <c r="B894" s="58">
        <v>895</v>
      </c>
      <c r="C894" s="58" t="s">
        <v>1441</v>
      </c>
      <c r="D894" s="58" t="s">
        <v>187</v>
      </c>
      <c r="E894" s="58" t="s">
        <v>187</v>
      </c>
      <c r="F894" s="58" t="s">
        <v>368</v>
      </c>
      <c r="G894" s="58" t="s">
        <v>369</v>
      </c>
      <c r="H894" s="58" t="s">
        <v>199</v>
      </c>
      <c r="I894">
        <v>110000</v>
      </c>
      <c r="J894">
        <v>110000</v>
      </c>
      <c r="K894">
        <v>38000</v>
      </c>
      <c r="L894" s="74">
        <v>4.5609999999999999</v>
      </c>
      <c r="M894" s="85">
        <v>5</v>
      </c>
      <c r="N894" s="74">
        <v>4.4089999999999998</v>
      </c>
      <c r="O894">
        <v>2</v>
      </c>
      <c r="P894" s="84">
        <v>3.3067500000000001</v>
      </c>
      <c r="Q894" s="86">
        <v>37.800000000000004</v>
      </c>
      <c r="R894" s="85">
        <v>37.800000000000004</v>
      </c>
      <c r="S894" s="87">
        <v>2510150</v>
      </c>
      <c r="T894" s="1">
        <v>10</v>
      </c>
      <c r="U894" s="88">
        <v>66406.084656084655</v>
      </c>
      <c r="V894" s="59">
        <v>15.058861024241581</v>
      </c>
      <c r="X894" s="98">
        <v>168</v>
      </c>
      <c r="Y894" s="97">
        <v>16.778928571428573</v>
      </c>
    </row>
    <row r="895" spans="1:25">
      <c r="A895" s="58">
        <v>896</v>
      </c>
      <c r="B895" s="58">
        <v>896</v>
      </c>
      <c r="C895" s="58" t="s">
        <v>1442</v>
      </c>
      <c r="D895" s="58" t="s">
        <v>187</v>
      </c>
      <c r="E895" s="58" t="s">
        <v>187</v>
      </c>
      <c r="F895" s="58" t="s">
        <v>1443</v>
      </c>
      <c r="G895" s="58" t="s">
        <v>1444</v>
      </c>
      <c r="H895" s="58" t="s">
        <v>179</v>
      </c>
      <c r="I895">
        <v>38000</v>
      </c>
      <c r="J895" s="58" t="s">
        <v>185</v>
      </c>
      <c r="K895">
        <v>38000</v>
      </c>
      <c r="L895" s="74">
        <v>2.7629999999999999</v>
      </c>
      <c r="M895" s="85">
        <v>3</v>
      </c>
      <c r="N895" s="74">
        <v>0.754</v>
      </c>
      <c r="O895">
        <v>2</v>
      </c>
      <c r="P895" s="84">
        <v>0.5655</v>
      </c>
      <c r="Q895" s="86">
        <v>4.2</v>
      </c>
      <c r="R895" s="85">
        <v>4.2</v>
      </c>
      <c r="S895" s="87">
        <v>558600</v>
      </c>
      <c r="T895" s="1">
        <v>4</v>
      </c>
      <c r="U895" s="88">
        <v>133000</v>
      </c>
      <c r="V895" s="59">
        <v>7.518796992481203</v>
      </c>
      <c r="X895" s="98">
        <v>37.800000000000004</v>
      </c>
      <c r="Y895" s="97">
        <v>66.406084656084644</v>
      </c>
    </row>
    <row r="896" spans="1:25">
      <c r="A896" s="58">
        <v>897</v>
      </c>
      <c r="B896" s="58">
        <v>897</v>
      </c>
      <c r="C896" s="58" t="s">
        <v>1445</v>
      </c>
      <c r="D896" s="58" t="s">
        <v>187</v>
      </c>
      <c r="E896" s="58" t="s">
        <v>187</v>
      </c>
      <c r="F896" s="58" t="s">
        <v>1443</v>
      </c>
      <c r="G896" s="58" t="s">
        <v>1444</v>
      </c>
      <c r="H896" s="58" t="s">
        <v>179</v>
      </c>
      <c r="I896">
        <v>38000</v>
      </c>
      <c r="J896" s="58" t="s">
        <v>185</v>
      </c>
      <c r="K896">
        <v>38000</v>
      </c>
      <c r="L896" s="74">
        <v>2.2160000000000002</v>
      </c>
      <c r="M896" s="85">
        <v>3</v>
      </c>
      <c r="N896" s="74">
        <v>2.367</v>
      </c>
      <c r="O896">
        <v>2</v>
      </c>
      <c r="P896" s="84">
        <v>1.77525</v>
      </c>
      <c r="Q896" s="86">
        <v>21</v>
      </c>
      <c r="R896" s="85">
        <v>21</v>
      </c>
      <c r="S896" s="87">
        <v>558600</v>
      </c>
      <c r="T896" s="1">
        <v>4</v>
      </c>
      <c r="U896" s="88">
        <v>26600</v>
      </c>
      <c r="V896" s="59">
        <v>37.593984962406012</v>
      </c>
      <c r="X896" s="98">
        <v>4.2</v>
      </c>
      <c r="Y896" s="97">
        <v>133</v>
      </c>
    </row>
    <row r="897" spans="1:25">
      <c r="A897" s="58">
        <v>898</v>
      </c>
      <c r="B897" s="58">
        <v>898</v>
      </c>
      <c r="C897" s="58" t="s">
        <v>1446</v>
      </c>
      <c r="D897" s="58" t="s">
        <v>187</v>
      </c>
      <c r="E897" s="58" t="s">
        <v>187</v>
      </c>
      <c r="F897" s="58" t="s">
        <v>1443</v>
      </c>
      <c r="G897" s="58" t="s">
        <v>1444</v>
      </c>
      <c r="H897" s="58" t="s">
        <v>179</v>
      </c>
      <c r="I897">
        <v>38000</v>
      </c>
      <c r="J897" s="58" t="s">
        <v>185</v>
      </c>
      <c r="K897">
        <v>38000</v>
      </c>
      <c r="L897" s="74">
        <v>3.3170000000000002</v>
      </c>
      <c r="M897" s="85">
        <v>4</v>
      </c>
      <c r="N897" s="74">
        <v>2.9940000000000002</v>
      </c>
      <c r="O897">
        <v>2</v>
      </c>
      <c r="P897" s="84">
        <v>2.2455000000000003</v>
      </c>
      <c r="Q897" s="86">
        <v>25.200000000000003</v>
      </c>
      <c r="R897" s="85">
        <v>25.200000000000003</v>
      </c>
      <c r="S897" s="87">
        <v>703110</v>
      </c>
      <c r="T897" s="1">
        <v>5</v>
      </c>
      <c r="U897" s="88">
        <v>27901.190476190473</v>
      </c>
      <c r="V897" s="59">
        <v>35.840764602978204</v>
      </c>
      <c r="X897" s="98">
        <v>21</v>
      </c>
      <c r="Y897" s="97">
        <v>26.599999999999998</v>
      </c>
    </row>
    <row r="898" spans="1:25">
      <c r="A898" s="58">
        <v>899</v>
      </c>
      <c r="B898" s="58">
        <v>899</v>
      </c>
      <c r="C898" s="58" t="s">
        <v>1447</v>
      </c>
      <c r="D898" s="58" t="s">
        <v>187</v>
      </c>
      <c r="E898" s="58" t="s">
        <v>187</v>
      </c>
      <c r="F898" s="58" t="s">
        <v>359</v>
      </c>
      <c r="G898" s="58" t="s">
        <v>360</v>
      </c>
      <c r="H898" s="58" t="s">
        <v>179</v>
      </c>
      <c r="I898">
        <v>38000</v>
      </c>
      <c r="J898" s="58" t="s">
        <v>185</v>
      </c>
      <c r="K898">
        <v>38000</v>
      </c>
      <c r="L898" s="74">
        <v>3.7490000000000001</v>
      </c>
      <c r="M898" s="85">
        <v>4</v>
      </c>
      <c r="N898" s="74">
        <v>0.38700000000000001</v>
      </c>
      <c r="O898">
        <v>2</v>
      </c>
      <c r="P898" s="84">
        <v>0.38700000000000001</v>
      </c>
      <c r="Q898" s="86">
        <v>4.2</v>
      </c>
      <c r="R898" s="85">
        <v>4.2</v>
      </c>
      <c r="S898" s="87">
        <v>628870</v>
      </c>
      <c r="T898" s="1">
        <v>4</v>
      </c>
      <c r="U898" s="88">
        <v>149730.95238095237</v>
      </c>
      <c r="V898" s="59">
        <v>6.6786458250512828</v>
      </c>
      <c r="X898" s="98">
        <v>25.200000000000003</v>
      </c>
      <c r="Y898" s="97">
        <v>27.901190476190472</v>
      </c>
    </row>
    <row r="899" spans="1:25">
      <c r="A899" s="58">
        <v>900</v>
      </c>
      <c r="B899" s="58">
        <v>900</v>
      </c>
      <c r="C899" s="58" t="s">
        <v>1448</v>
      </c>
      <c r="D899" s="58" t="s">
        <v>187</v>
      </c>
      <c r="E899" s="58" t="s">
        <v>187</v>
      </c>
      <c r="F899" s="58" t="s">
        <v>191</v>
      </c>
      <c r="G899" s="58" t="s">
        <v>192</v>
      </c>
      <c r="H899" s="58" t="s">
        <v>179</v>
      </c>
      <c r="I899">
        <v>38000</v>
      </c>
      <c r="J899">
        <v>38000</v>
      </c>
      <c r="K899" s="58" t="s">
        <v>185</v>
      </c>
      <c r="L899" s="74">
        <v>7.3860000000000001</v>
      </c>
      <c r="M899" s="85">
        <v>8</v>
      </c>
      <c r="N899" s="74">
        <v>0.64500000000000002</v>
      </c>
      <c r="O899">
        <v>2</v>
      </c>
      <c r="P899" s="84">
        <v>0.48375000000000001</v>
      </c>
      <c r="Q899" s="86">
        <v>4.2</v>
      </c>
      <c r="R899" s="85">
        <v>4.2</v>
      </c>
      <c r="S899" s="87">
        <v>909950</v>
      </c>
      <c r="T899" s="1">
        <v>4</v>
      </c>
      <c r="U899" s="88">
        <v>216654.76190476189</v>
      </c>
      <c r="V899" s="59">
        <v>4.6156382218803227</v>
      </c>
      <c r="X899" s="98">
        <v>4.2</v>
      </c>
      <c r="Y899" s="97">
        <v>149.73095238095235</v>
      </c>
    </row>
    <row r="900" spans="1:25">
      <c r="A900" s="58">
        <v>901</v>
      </c>
      <c r="B900" s="58">
        <v>901</v>
      </c>
      <c r="C900" s="58" t="s">
        <v>1449</v>
      </c>
      <c r="D900" s="58" t="s">
        <v>187</v>
      </c>
      <c r="E900" s="58" t="s">
        <v>187</v>
      </c>
      <c r="F900" s="58" t="s">
        <v>228</v>
      </c>
      <c r="G900" s="58" t="s">
        <v>229</v>
      </c>
      <c r="H900" s="58" t="s">
        <v>179</v>
      </c>
      <c r="I900">
        <v>38000</v>
      </c>
      <c r="J900">
        <v>38000</v>
      </c>
      <c r="K900" s="58" t="s">
        <v>185</v>
      </c>
      <c r="L900" s="74">
        <v>9.8109999999999999</v>
      </c>
      <c r="M900" s="85">
        <v>10</v>
      </c>
      <c r="N900" s="74">
        <v>0.503</v>
      </c>
      <c r="O900">
        <v>2</v>
      </c>
      <c r="P900" s="84">
        <v>0.503</v>
      </c>
      <c r="Q900" s="86">
        <v>4.2</v>
      </c>
      <c r="R900" s="85">
        <v>4.2</v>
      </c>
      <c r="S900" s="87">
        <v>1387140</v>
      </c>
      <c r="T900" s="1">
        <v>1</v>
      </c>
      <c r="U900" s="88">
        <v>330271.42857142858</v>
      </c>
      <c r="V900" s="59">
        <v>3.0278126216531858</v>
      </c>
      <c r="X900" s="98">
        <v>4.2</v>
      </c>
      <c r="Y900" s="97">
        <v>216.6547619047619</v>
      </c>
    </row>
    <row r="901" spans="1:25">
      <c r="A901" s="58">
        <v>902</v>
      </c>
      <c r="B901" s="58">
        <v>902</v>
      </c>
      <c r="C901" s="58" t="s">
        <v>1450</v>
      </c>
      <c r="D901" s="58" t="s">
        <v>187</v>
      </c>
      <c r="E901" s="58" t="s">
        <v>187</v>
      </c>
      <c r="F901" s="58" t="s">
        <v>194</v>
      </c>
      <c r="G901" s="58" t="s">
        <v>195</v>
      </c>
      <c r="H901" s="58" t="s">
        <v>179</v>
      </c>
      <c r="I901">
        <v>38000</v>
      </c>
      <c r="J901" s="58" t="s">
        <v>185</v>
      </c>
      <c r="K901">
        <v>38000</v>
      </c>
      <c r="L901" s="74">
        <v>6.26</v>
      </c>
      <c r="M901" s="85">
        <v>7</v>
      </c>
      <c r="N901" s="74">
        <v>0.92300000000000004</v>
      </c>
      <c r="O901">
        <v>2</v>
      </c>
      <c r="P901" s="84">
        <v>0.69225000000000003</v>
      </c>
      <c r="Q901" s="86">
        <v>8.4</v>
      </c>
      <c r="R901" s="85">
        <v>8.4</v>
      </c>
      <c r="S901" s="87">
        <v>839680</v>
      </c>
      <c r="T901" s="1">
        <v>4</v>
      </c>
      <c r="U901" s="88">
        <v>99961.904761904763</v>
      </c>
      <c r="V901" s="59">
        <v>10.003810975609756</v>
      </c>
      <c r="X901" s="98">
        <v>4.2</v>
      </c>
      <c r="Y901" s="97">
        <v>330.2714285714286</v>
      </c>
    </row>
    <row r="902" spans="1:25">
      <c r="A902" s="58">
        <v>903</v>
      </c>
      <c r="B902" s="58">
        <v>903</v>
      </c>
      <c r="C902" s="58" t="s">
        <v>1451</v>
      </c>
      <c r="D902" s="58" t="s">
        <v>187</v>
      </c>
      <c r="E902" s="58" t="s">
        <v>187</v>
      </c>
      <c r="F902" s="58" t="s">
        <v>194</v>
      </c>
      <c r="G902" s="58" t="s">
        <v>195</v>
      </c>
      <c r="H902" s="58" t="s">
        <v>179</v>
      </c>
      <c r="I902">
        <v>38000</v>
      </c>
      <c r="J902" s="58" t="s">
        <v>185</v>
      </c>
      <c r="K902">
        <v>38000</v>
      </c>
      <c r="L902" s="74">
        <v>3.36</v>
      </c>
      <c r="M902" s="85">
        <v>4</v>
      </c>
      <c r="N902" s="74">
        <v>3.1419999999999999</v>
      </c>
      <c r="O902">
        <v>2</v>
      </c>
      <c r="P902" s="84">
        <v>2.3565</v>
      </c>
      <c r="Q902" s="86">
        <v>25.200000000000003</v>
      </c>
      <c r="R902" s="85">
        <v>25.200000000000003</v>
      </c>
      <c r="S902" s="87">
        <v>703110</v>
      </c>
      <c r="T902" s="1">
        <v>5</v>
      </c>
      <c r="U902" s="88">
        <v>27901.190476190473</v>
      </c>
      <c r="V902" s="59">
        <v>35.840764602978204</v>
      </c>
      <c r="X902" s="98">
        <v>8.4</v>
      </c>
      <c r="Y902" s="97">
        <v>99.961904761904762</v>
      </c>
    </row>
    <row r="903" spans="1:25">
      <c r="A903" s="58">
        <v>904</v>
      </c>
      <c r="B903" s="58">
        <v>904</v>
      </c>
      <c r="C903" s="58" t="s">
        <v>1452</v>
      </c>
      <c r="D903" s="58" t="s">
        <v>187</v>
      </c>
      <c r="E903" s="58" t="s">
        <v>187</v>
      </c>
      <c r="F903" s="58" t="s">
        <v>531</v>
      </c>
      <c r="G903" s="58" t="s">
        <v>532</v>
      </c>
      <c r="H903" s="58" t="s">
        <v>179</v>
      </c>
      <c r="I903">
        <v>38000</v>
      </c>
      <c r="J903">
        <v>38000</v>
      </c>
      <c r="K903" s="58" t="s">
        <v>185</v>
      </c>
      <c r="L903" s="74">
        <v>8.7959999999999994</v>
      </c>
      <c r="M903" s="85">
        <v>9</v>
      </c>
      <c r="N903" s="74">
        <v>1.2849999999999999</v>
      </c>
      <c r="O903">
        <v>2</v>
      </c>
      <c r="P903" s="84">
        <v>0.96374999999999988</v>
      </c>
      <c r="Q903" s="86">
        <v>8.4</v>
      </c>
      <c r="R903" s="85">
        <v>8.4</v>
      </c>
      <c r="S903" s="87">
        <v>1379800</v>
      </c>
      <c r="T903" s="1">
        <v>2</v>
      </c>
      <c r="U903" s="88">
        <v>164261.90476190476</v>
      </c>
      <c r="V903" s="59">
        <v>6.087838817219887</v>
      </c>
      <c r="X903" s="98">
        <v>25.200000000000003</v>
      </c>
      <c r="Y903" s="97">
        <v>27.901190476190472</v>
      </c>
    </row>
    <row r="904" spans="1:25">
      <c r="A904" s="58">
        <v>905</v>
      </c>
      <c r="B904" s="58">
        <v>905</v>
      </c>
      <c r="C904" s="58" t="s">
        <v>1453</v>
      </c>
      <c r="D904" s="58" t="s">
        <v>187</v>
      </c>
      <c r="E904" s="58" t="s">
        <v>187</v>
      </c>
      <c r="F904" s="58" t="s">
        <v>531</v>
      </c>
      <c r="G904" s="58" t="s">
        <v>532</v>
      </c>
      <c r="H904" s="58" t="s">
        <v>179</v>
      </c>
      <c r="I904">
        <v>38000</v>
      </c>
      <c r="J904">
        <v>38000</v>
      </c>
      <c r="K904" s="58" t="s">
        <v>185</v>
      </c>
      <c r="L904" s="74">
        <v>12.413</v>
      </c>
      <c r="M904" s="85">
        <v>13</v>
      </c>
      <c r="N904" s="74">
        <v>0.42799999999999999</v>
      </c>
      <c r="O904">
        <v>2</v>
      </c>
      <c r="P904" s="84">
        <v>0.42799999999999999</v>
      </c>
      <c r="Q904" s="86">
        <v>4.2</v>
      </c>
      <c r="R904" s="85">
        <v>4.2</v>
      </c>
      <c r="S904" s="87">
        <v>1545240</v>
      </c>
      <c r="T904" s="1">
        <v>1</v>
      </c>
      <c r="U904" s="88">
        <v>367914.28571428568</v>
      </c>
      <c r="V904" s="59">
        <v>2.7180243845616214</v>
      </c>
      <c r="X904" s="98">
        <v>8.4</v>
      </c>
      <c r="Y904" s="97">
        <v>164.26190476190479</v>
      </c>
    </row>
    <row r="905" spans="1:25">
      <c r="A905" s="58">
        <v>906</v>
      </c>
      <c r="B905" s="58">
        <v>906</v>
      </c>
      <c r="C905" s="58" t="s">
        <v>1454</v>
      </c>
      <c r="D905" s="58" t="s">
        <v>187</v>
      </c>
      <c r="E905" s="58" t="s">
        <v>187</v>
      </c>
      <c r="F905" s="58" t="s">
        <v>374</v>
      </c>
      <c r="G905" s="58" t="s">
        <v>375</v>
      </c>
      <c r="H905" s="58" t="s">
        <v>179</v>
      </c>
      <c r="I905">
        <v>38000</v>
      </c>
      <c r="J905">
        <v>38000</v>
      </c>
      <c r="K905">
        <v>20000</v>
      </c>
      <c r="L905" s="74">
        <v>3.7789999999999999</v>
      </c>
      <c r="M905" s="85">
        <v>4</v>
      </c>
      <c r="N905" s="74">
        <v>1.3440000000000001</v>
      </c>
      <c r="O905">
        <v>2</v>
      </c>
      <c r="P905" s="84">
        <v>1.008</v>
      </c>
      <c r="Q905" s="86">
        <v>8.4</v>
      </c>
      <c r="R905" s="85">
        <v>8.4</v>
      </c>
      <c r="S905" s="87">
        <v>628870</v>
      </c>
      <c r="T905" s="1">
        <v>4</v>
      </c>
      <c r="U905" s="88">
        <v>74865.476190476184</v>
      </c>
      <c r="V905" s="59">
        <v>13.357291650102566</v>
      </c>
      <c r="X905" s="98">
        <v>4.2</v>
      </c>
      <c r="Y905" s="97">
        <v>367.91428571428571</v>
      </c>
    </row>
    <row r="906" spans="1:25">
      <c r="A906" s="89">
        <v>907</v>
      </c>
      <c r="B906" s="89">
        <v>907</v>
      </c>
      <c r="C906" s="89" t="s">
        <v>1455</v>
      </c>
      <c r="D906" s="58" t="s">
        <v>187</v>
      </c>
      <c r="E906" s="58" t="s">
        <v>187</v>
      </c>
      <c r="F906" s="89" t="s">
        <v>231</v>
      </c>
      <c r="G906" s="89" t="s">
        <v>232</v>
      </c>
      <c r="H906" s="89" t="s">
        <v>179</v>
      </c>
      <c r="I906" s="90">
        <v>38000</v>
      </c>
      <c r="J906" s="89" t="s">
        <v>185</v>
      </c>
      <c r="K906" s="90">
        <v>38000</v>
      </c>
      <c r="L906" s="91">
        <v>3.6179999999999999</v>
      </c>
      <c r="M906" s="92">
        <v>4</v>
      </c>
      <c r="N906" s="91">
        <v>12.867000000000001</v>
      </c>
      <c r="O906" s="90">
        <v>2</v>
      </c>
      <c r="P906" s="92">
        <v>9.6502499999999998</v>
      </c>
      <c r="Q906" s="93">
        <v>117.60000000000002</v>
      </c>
      <c r="R906" s="92">
        <v>117.60000000000002</v>
      </c>
      <c r="S906" s="87">
        <v>1761700</v>
      </c>
      <c r="T906" s="94">
        <v>11</v>
      </c>
      <c r="U906" s="95">
        <v>14980.442176870745</v>
      </c>
      <c r="V906" s="96">
        <v>66.753703808821044</v>
      </c>
      <c r="X906" s="98">
        <v>8.4</v>
      </c>
      <c r="Y906" s="97">
        <v>74.865476190476173</v>
      </c>
    </row>
    <row r="907" spans="1:25">
      <c r="A907" s="58">
        <v>908</v>
      </c>
      <c r="B907" s="58">
        <v>908</v>
      </c>
      <c r="C907" s="58" t="s">
        <v>1456</v>
      </c>
      <c r="D907" s="58" t="s">
        <v>187</v>
      </c>
      <c r="E907" s="58" t="s">
        <v>187</v>
      </c>
      <c r="F907" s="58" t="s">
        <v>800</v>
      </c>
      <c r="G907" s="58" t="s">
        <v>801</v>
      </c>
      <c r="H907" s="58" t="s">
        <v>199</v>
      </c>
      <c r="I907">
        <v>110000</v>
      </c>
      <c r="J907">
        <v>20000</v>
      </c>
      <c r="K907">
        <v>110000</v>
      </c>
      <c r="L907" s="74">
        <v>4.867</v>
      </c>
      <c r="M907" s="85">
        <v>5</v>
      </c>
      <c r="N907" s="74">
        <v>1.7929999999999999</v>
      </c>
      <c r="O907">
        <v>2</v>
      </c>
      <c r="P907" s="84">
        <v>1.3447499999999999</v>
      </c>
      <c r="Q907" s="86">
        <v>12.600000000000001</v>
      </c>
      <c r="R907" s="85">
        <v>12.600000000000001</v>
      </c>
      <c r="S907" s="87">
        <v>1679970</v>
      </c>
      <c r="T907" s="1">
        <v>7</v>
      </c>
      <c r="U907" s="88">
        <v>133330.95238095237</v>
      </c>
      <c r="V907" s="59">
        <v>7.5001339309630541</v>
      </c>
      <c r="X907" s="98">
        <v>117.60000000000002</v>
      </c>
      <c r="Y907" s="97">
        <v>14.980442176870746</v>
      </c>
    </row>
    <row r="908" spans="1:25">
      <c r="A908" s="58">
        <v>909</v>
      </c>
      <c r="B908" s="58">
        <v>909</v>
      </c>
      <c r="C908" s="58" t="s">
        <v>1457</v>
      </c>
      <c r="D908" s="58" t="s">
        <v>187</v>
      </c>
      <c r="E908" s="58" t="s">
        <v>187</v>
      </c>
      <c r="F908" s="58" t="s">
        <v>677</v>
      </c>
      <c r="G908" s="58" t="s">
        <v>678</v>
      </c>
      <c r="H908" s="58" t="s">
        <v>179</v>
      </c>
      <c r="I908">
        <v>38000</v>
      </c>
      <c r="J908" s="58" t="s">
        <v>185</v>
      </c>
      <c r="K908">
        <v>38000</v>
      </c>
      <c r="L908" s="74">
        <v>4.9969999999999999</v>
      </c>
      <c r="M908" s="85">
        <v>5</v>
      </c>
      <c r="N908" s="74">
        <v>3.8980000000000001</v>
      </c>
      <c r="O908">
        <v>2</v>
      </c>
      <c r="P908" s="84">
        <v>2.9235000000000002</v>
      </c>
      <c r="Q908" s="86">
        <v>33.6</v>
      </c>
      <c r="R908" s="85">
        <v>33.6</v>
      </c>
      <c r="S908" s="87">
        <v>904090</v>
      </c>
      <c r="T908" s="1">
        <v>6</v>
      </c>
      <c r="U908" s="88">
        <v>26907.440476190473</v>
      </c>
      <c r="V908" s="59">
        <v>37.164441593204216</v>
      </c>
      <c r="X908" s="98">
        <v>12.600000000000001</v>
      </c>
      <c r="Y908" s="97">
        <v>133.33095238095237</v>
      </c>
    </row>
    <row r="909" spans="1:25">
      <c r="A909" s="58">
        <v>910</v>
      </c>
      <c r="B909" s="58">
        <v>910</v>
      </c>
      <c r="C909" s="58" t="s">
        <v>1458</v>
      </c>
      <c r="D909" s="58" t="s">
        <v>187</v>
      </c>
      <c r="E909" s="58" t="s">
        <v>187</v>
      </c>
      <c r="F909" s="58" t="s">
        <v>531</v>
      </c>
      <c r="G909" s="58" t="s">
        <v>532</v>
      </c>
      <c r="H909" s="58" t="s">
        <v>179</v>
      </c>
      <c r="I909">
        <v>38000</v>
      </c>
      <c r="J909">
        <v>38000</v>
      </c>
      <c r="K909" s="58" t="s">
        <v>185</v>
      </c>
      <c r="L909" s="74">
        <v>3.581</v>
      </c>
      <c r="M909" s="85">
        <v>4</v>
      </c>
      <c r="N909" s="74">
        <v>2.6989999999999998</v>
      </c>
      <c r="O909">
        <v>2</v>
      </c>
      <c r="P909" s="84">
        <v>2.0242499999999999</v>
      </c>
      <c r="Q909" s="86">
        <v>21</v>
      </c>
      <c r="R909" s="85">
        <v>21</v>
      </c>
      <c r="S909" s="87">
        <v>628870</v>
      </c>
      <c r="T909" s="1">
        <v>4</v>
      </c>
      <c r="U909" s="88">
        <v>29946.190476190477</v>
      </c>
      <c r="V909" s="59">
        <v>33.393229125256411</v>
      </c>
      <c r="X909" s="98">
        <v>33.6</v>
      </c>
      <c r="Y909" s="97">
        <v>26.907440476190473</v>
      </c>
    </row>
    <row r="910" spans="1:25">
      <c r="A910" s="58">
        <v>911</v>
      </c>
      <c r="B910" s="58">
        <v>911</v>
      </c>
      <c r="C910" s="58" t="s">
        <v>1459</v>
      </c>
      <c r="D910" s="58" t="s">
        <v>187</v>
      </c>
      <c r="E910" s="58" t="s">
        <v>187</v>
      </c>
      <c r="F910" s="58" t="s">
        <v>531</v>
      </c>
      <c r="G910" s="58" t="s">
        <v>532</v>
      </c>
      <c r="H910" s="58" t="s">
        <v>179</v>
      </c>
      <c r="I910">
        <v>38000</v>
      </c>
      <c r="J910">
        <v>38000</v>
      </c>
      <c r="K910" s="58" t="s">
        <v>185</v>
      </c>
      <c r="L910" s="74">
        <v>3.9630000000000001</v>
      </c>
      <c r="M910" s="85">
        <v>4</v>
      </c>
      <c r="N910" s="74">
        <v>1.8120000000000001</v>
      </c>
      <c r="O910">
        <v>2</v>
      </c>
      <c r="P910" s="84">
        <v>1.359</v>
      </c>
      <c r="Q910" s="86">
        <v>16.8</v>
      </c>
      <c r="R910" s="85">
        <v>16.8</v>
      </c>
      <c r="S910" s="87">
        <v>628870</v>
      </c>
      <c r="T910" s="1">
        <v>4</v>
      </c>
      <c r="U910" s="88">
        <v>37432.738095238092</v>
      </c>
      <c r="V910" s="59">
        <v>26.714583300205131</v>
      </c>
      <c r="X910" s="98">
        <v>21</v>
      </c>
      <c r="Y910" s="97">
        <v>29.946190476190477</v>
      </c>
    </row>
    <row r="911" spans="1:25">
      <c r="A911" s="58">
        <v>912</v>
      </c>
      <c r="B911" s="58">
        <v>912</v>
      </c>
      <c r="C911" s="58" t="s">
        <v>1460</v>
      </c>
      <c r="D911" s="58" t="s">
        <v>187</v>
      </c>
      <c r="E911" s="58" t="s">
        <v>187</v>
      </c>
      <c r="F911" s="58" t="s">
        <v>377</v>
      </c>
      <c r="H911" s="58" t="s">
        <v>179</v>
      </c>
      <c r="I911">
        <v>38000</v>
      </c>
      <c r="L911" s="74">
        <v>3.0070000000000001</v>
      </c>
      <c r="M911" s="85">
        <v>4</v>
      </c>
      <c r="N911" s="74">
        <v>3.2480000000000002</v>
      </c>
      <c r="O911">
        <v>2</v>
      </c>
      <c r="P911" s="84">
        <v>2.4359999999999999</v>
      </c>
      <c r="Q911" s="86">
        <v>29.400000000000006</v>
      </c>
      <c r="R911" s="85">
        <v>29.400000000000006</v>
      </c>
      <c r="S911" s="87">
        <v>703110</v>
      </c>
      <c r="T911" s="1">
        <v>5</v>
      </c>
      <c r="U911" s="88">
        <v>23915.306122448976</v>
      </c>
      <c r="V911" s="59">
        <v>41.814225370141237</v>
      </c>
      <c r="X911" s="98">
        <v>16.8</v>
      </c>
      <c r="Y911" s="97">
        <v>37.432738095238086</v>
      </c>
    </row>
    <row r="912" spans="1:25">
      <c r="A912" s="58">
        <v>913</v>
      </c>
      <c r="B912" s="58">
        <v>913</v>
      </c>
      <c r="C912" s="58" t="s">
        <v>1461</v>
      </c>
      <c r="D912" s="58" t="s">
        <v>187</v>
      </c>
      <c r="E912" s="58" t="s">
        <v>187</v>
      </c>
      <c r="F912" s="58" t="s">
        <v>377</v>
      </c>
      <c r="H912" s="58" t="s">
        <v>179</v>
      </c>
      <c r="I912">
        <v>38000</v>
      </c>
      <c r="L912" s="74">
        <v>4.4370000000000003</v>
      </c>
      <c r="M912" s="85">
        <v>5</v>
      </c>
      <c r="N912" s="74">
        <v>2.9340000000000002</v>
      </c>
      <c r="O912">
        <v>2</v>
      </c>
      <c r="P912" s="84">
        <v>2.2004999999999999</v>
      </c>
      <c r="Q912" s="86">
        <v>25.200000000000003</v>
      </c>
      <c r="R912" s="85">
        <v>25.200000000000003</v>
      </c>
      <c r="S912" s="87">
        <v>791940</v>
      </c>
      <c r="T912" s="1">
        <v>5</v>
      </c>
      <c r="U912" s="88">
        <v>31426.190476190473</v>
      </c>
      <c r="V912" s="59">
        <v>31.820592469126453</v>
      </c>
      <c r="X912" s="98">
        <v>29.400000000000006</v>
      </c>
      <c r="Y912" s="97">
        <v>23.915306122448975</v>
      </c>
    </row>
    <row r="913" spans="1:25">
      <c r="A913" s="58">
        <v>914</v>
      </c>
      <c r="B913" s="58">
        <v>914</v>
      </c>
      <c r="C913" s="58" t="s">
        <v>1462</v>
      </c>
      <c r="D913" s="58" t="s">
        <v>187</v>
      </c>
      <c r="E913" s="58" t="s">
        <v>187</v>
      </c>
      <c r="F913" s="58" t="s">
        <v>377</v>
      </c>
      <c r="H913" s="58" t="s">
        <v>179</v>
      </c>
      <c r="I913">
        <v>38000</v>
      </c>
      <c r="L913" s="74">
        <v>4.5039999999999996</v>
      </c>
      <c r="M913" s="85">
        <v>5</v>
      </c>
      <c r="N913" s="74">
        <v>4.4889999999999999</v>
      </c>
      <c r="O913">
        <v>2</v>
      </c>
      <c r="P913" s="84">
        <v>3.3667499999999997</v>
      </c>
      <c r="Q913" s="86">
        <v>37.800000000000004</v>
      </c>
      <c r="R913" s="85">
        <v>37.800000000000004</v>
      </c>
      <c r="S913" s="87">
        <v>904090</v>
      </c>
      <c r="T913" s="1">
        <v>6</v>
      </c>
      <c r="U913" s="88">
        <v>23917.724867724864</v>
      </c>
      <c r="V913" s="59">
        <v>41.809996792354752</v>
      </c>
      <c r="X913" s="98">
        <v>25.200000000000003</v>
      </c>
      <c r="Y913" s="97">
        <v>31.426190476190477</v>
      </c>
    </row>
    <row r="914" spans="1:25">
      <c r="A914" s="58">
        <v>915</v>
      </c>
      <c r="B914" s="58">
        <v>915</v>
      </c>
      <c r="C914" s="58" t="s">
        <v>1463</v>
      </c>
      <c r="D914" s="58" t="s">
        <v>187</v>
      </c>
      <c r="E914" s="58" t="s">
        <v>187</v>
      </c>
      <c r="F914" s="58" t="s">
        <v>377</v>
      </c>
      <c r="H914" s="58" t="s">
        <v>179</v>
      </c>
      <c r="I914">
        <v>38000</v>
      </c>
      <c r="L914" s="74">
        <v>1.5329999999999999</v>
      </c>
      <c r="M914" s="85">
        <v>2</v>
      </c>
      <c r="N914" s="74">
        <v>1.4350000000000001</v>
      </c>
      <c r="O914">
        <v>2</v>
      </c>
      <c r="P914" s="84">
        <v>1.0762499999999999</v>
      </c>
      <c r="Q914" s="86">
        <v>12.600000000000001</v>
      </c>
      <c r="R914" s="85">
        <v>12.600000000000001</v>
      </c>
      <c r="S914" s="87">
        <v>488330</v>
      </c>
      <c r="T914" s="1">
        <v>4</v>
      </c>
      <c r="U914" s="88">
        <v>38756.349206349201</v>
      </c>
      <c r="V914" s="59">
        <v>25.802223905965231</v>
      </c>
      <c r="X914" s="98">
        <v>37.800000000000004</v>
      </c>
      <c r="Y914" s="97">
        <v>23.917724867724864</v>
      </c>
    </row>
    <row r="915" spans="1:25">
      <c r="A915" s="89">
        <v>916</v>
      </c>
      <c r="B915" s="89">
        <v>916</v>
      </c>
      <c r="C915" s="89" t="s">
        <v>1464</v>
      </c>
      <c r="D915" s="58" t="s">
        <v>187</v>
      </c>
      <c r="E915" s="58" t="s">
        <v>187</v>
      </c>
      <c r="F915" s="89" t="s">
        <v>377</v>
      </c>
      <c r="G915" s="89"/>
      <c r="H915" s="89" t="s">
        <v>179</v>
      </c>
      <c r="I915" s="90">
        <v>38000</v>
      </c>
      <c r="J915" s="89"/>
      <c r="K915" s="89"/>
      <c r="L915" s="91">
        <v>3.4649999999999999</v>
      </c>
      <c r="M915" s="92">
        <v>4</v>
      </c>
      <c r="N915" s="91">
        <v>5.3230000000000004</v>
      </c>
      <c r="O915" s="90">
        <v>2</v>
      </c>
      <c r="P915" s="92">
        <v>3.9922500000000003</v>
      </c>
      <c r="Q915" s="93">
        <v>46.2</v>
      </c>
      <c r="R915" s="92">
        <v>46.2</v>
      </c>
      <c r="S915" s="87">
        <v>1761700</v>
      </c>
      <c r="T915" s="94">
        <v>11</v>
      </c>
      <c r="U915" s="95">
        <v>38132.034632034629</v>
      </c>
      <c r="V915" s="96">
        <v>26.224669353465401</v>
      </c>
      <c r="X915" s="98">
        <v>12.600000000000001</v>
      </c>
      <c r="Y915" s="97">
        <v>38.756349206349206</v>
      </c>
    </row>
    <row r="916" spans="1:25">
      <c r="A916" s="58">
        <v>917</v>
      </c>
      <c r="B916" s="58">
        <v>917</v>
      </c>
      <c r="C916" s="58" t="s">
        <v>1465</v>
      </c>
      <c r="D916" s="58" t="s">
        <v>187</v>
      </c>
      <c r="E916" s="58" t="s">
        <v>187</v>
      </c>
      <c r="F916" s="58" t="s">
        <v>377</v>
      </c>
      <c r="H916" s="58" t="s">
        <v>179</v>
      </c>
      <c r="I916">
        <v>38000</v>
      </c>
      <c r="L916" s="74">
        <v>4.9829999999999997</v>
      </c>
      <c r="M916" s="85">
        <v>5</v>
      </c>
      <c r="N916" s="74">
        <v>1.4910000000000001</v>
      </c>
      <c r="O916">
        <v>2</v>
      </c>
      <c r="P916" s="84">
        <v>1.1182500000000002</v>
      </c>
      <c r="Q916" s="86">
        <v>12.600000000000001</v>
      </c>
      <c r="R916" s="85">
        <v>12.600000000000001</v>
      </c>
      <c r="S916" s="87">
        <v>699140</v>
      </c>
      <c r="T916" s="1">
        <v>4</v>
      </c>
      <c r="U916" s="88">
        <v>55487.301587301583</v>
      </c>
      <c r="V916" s="59">
        <v>18.02214148811397</v>
      </c>
      <c r="X916" s="98">
        <v>46.2</v>
      </c>
      <c r="Y916" s="97">
        <v>38.132034632034632</v>
      </c>
    </row>
    <row r="917" spans="1:25">
      <c r="A917" s="58">
        <v>918</v>
      </c>
      <c r="B917" s="58">
        <v>918</v>
      </c>
      <c r="C917" s="58" t="s">
        <v>1466</v>
      </c>
      <c r="D917" s="58" t="s">
        <v>187</v>
      </c>
      <c r="E917" s="58" t="s">
        <v>187</v>
      </c>
      <c r="F917" s="58" t="s">
        <v>683</v>
      </c>
      <c r="G917" s="58" t="s">
        <v>684</v>
      </c>
      <c r="H917" s="58" t="s">
        <v>179</v>
      </c>
      <c r="I917">
        <v>38000</v>
      </c>
      <c r="J917" s="58" t="s">
        <v>185</v>
      </c>
      <c r="K917">
        <v>38000</v>
      </c>
      <c r="L917" s="74">
        <v>3.5449999999999999</v>
      </c>
      <c r="M917" s="85">
        <v>4</v>
      </c>
      <c r="N917" s="74">
        <v>0.84</v>
      </c>
      <c r="O917">
        <v>2</v>
      </c>
      <c r="P917" s="84">
        <v>0.63</v>
      </c>
      <c r="Q917" s="86">
        <v>8.4</v>
      </c>
      <c r="R917" s="85">
        <v>8.4</v>
      </c>
      <c r="S917" s="87">
        <v>628870</v>
      </c>
      <c r="T917" s="1">
        <v>4</v>
      </c>
      <c r="U917" s="88">
        <v>74865.476190476184</v>
      </c>
      <c r="V917" s="59">
        <v>13.357291650102566</v>
      </c>
      <c r="X917" s="98">
        <v>12.600000000000001</v>
      </c>
      <c r="Y917" s="97">
        <v>55.487301587301587</v>
      </c>
    </row>
    <row r="918" spans="1:25">
      <c r="A918" s="58">
        <v>919</v>
      </c>
      <c r="B918" s="58">
        <v>919</v>
      </c>
      <c r="C918" s="58" t="s">
        <v>1467</v>
      </c>
      <c r="D918" s="58" t="s">
        <v>187</v>
      </c>
      <c r="E918" s="58" t="s">
        <v>187</v>
      </c>
      <c r="F918" s="58" t="s">
        <v>683</v>
      </c>
      <c r="G918" s="58" t="s">
        <v>684</v>
      </c>
      <c r="H918" s="58" t="s">
        <v>179</v>
      </c>
      <c r="I918">
        <v>38000</v>
      </c>
      <c r="J918" s="58" t="s">
        <v>185</v>
      </c>
      <c r="K918">
        <v>38000</v>
      </c>
      <c r="L918" s="74">
        <v>4.4009999999999998</v>
      </c>
      <c r="M918" s="85">
        <v>5</v>
      </c>
      <c r="N918" s="74">
        <v>2.5510000000000002</v>
      </c>
      <c r="O918">
        <v>2</v>
      </c>
      <c r="P918" s="84">
        <v>1.9132500000000001</v>
      </c>
      <c r="Q918" s="86">
        <v>21</v>
      </c>
      <c r="R918" s="85">
        <v>21</v>
      </c>
      <c r="S918" s="87">
        <v>699140</v>
      </c>
      <c r="T918" s="1">
        <v>4</v>
      </c>
      <c r="U918" s="88">
        <v>33292.380952380954</v>
      </c>
      <c r="V918" s="59">
        <v>30.036902480189948</v>
      </c>
      <c r="X918" s="98">
        <v>8.4</v>
      </c>
      <c r="Y918" s="97">
        <v>74.865476190476173</v>
      </c>
    </row>
    <row r="919" spans="1:25">
      <c r="A919" s="58">
        <v>920</v>
      </c>
      <c r="B919" s="58">
        <v>920</v>
      </c>
      <c r="C919" s="58" t="s">
        <v>1468</v>
      </c>
      <c r="D919" s="58" t="s">
        <v>187</v>
      </c>
      <c r="E919" s="58" t="s">
        <v>187</v>
      </c>
      <c r="F919" s="58" t="s">
        <v>1469</v>
      </c>
      <c r="G919" s="58" t="s">
        <v>1470</v>
      </c>
      <c r="H919" s="58" t="s">
        <v>179</v>
      </c>
      <c r="I919">
        <v>38000</v>
      </c>
      <c r="J919">
        <v>38000</v>
      </c>
      <c r="K919">
        <v>20000</v>
      </c>
      <c r="L919" s="74">
        <v>2.1789999999999998</v>
      </c>
      <c r="M919" s="85">
        <v>3</v>
      </c>
      <c r="N919" s="74">
        <v>2.11</v>
      </c>
      <c r="O919">
        <v>2</v>
      </c>
      <c r="P919" s="84">
        <v>1.5825</v>
      </c>
      <c r="Q919" s="86">
        <v>16.8</v>
      </c>
      <c r="R919" s="85">
        <v>16.8</v>
      </c>
      <c r="S919" s="87">
        <v>558600</v>
      </c>
      <c r="T919" s="1">
        <v>4</v>
      </c>
      <c r="U919" s="88">
        <v>33250</v>
      </c>
      <c r="V919" s="59">
        <v>30.075187969924812</v>
      </c>
      <c r="X919" s="98">
        <v>21</v>
      </c>
      <c r="Y919" s="97">
        <v>33.292380952380952</v>
      </c>
    </row>
    <row r="920" spans="1:25">
      <c r="A920" s="58">
        <v>921</v>
      </c>
      <c r="B920" s="58">
        <v>921</v>
      </c>
      <c r="C920" s="58" t="s">
        <v>1471</v>
      </c>
      <c r="D920" s="58" t="s">
        <v>187</v>
      </c>
      <c r="E920" s="58" t="s">
        <v>187</v>
      </c>
      <c r="F920" s="58" t="s">
        <v>228</v>
      </c>
      <c r="G920" s="58" t="s">
        <v>229</v>
      </c>
      <c r="H920" s="58" t="s">
        <v>179</v>
      </c>
      <c r="I920">
        <v>38000</v>
      </c>
      <c r="J920">
        <v>38000</v>
      </c>
      <c r="K920" s="58" t="s">
        <v>185</v>
      </c>
      <c r="L920" s="74">
        <v>6.2990000000000004</v>
      </c>
      <c r="M920" s="85">
        <v>7</v>
      </c>
      <c r="N920" s="74">
        <v>0.28699999999999998</v>
      </c>
      <c r="O920">
        <v>2</v>
      </c>
      <c r="P920" s="84">
        <v>0.28699999999999998</v>
      </c>
      <c r="Q920" s="86">
        <v>4.2</v>
      </c>
      <c r="R920" s="85">
        <v>4.2</v>
      </c>
      <c r="S920" s="87">
        <v>839680</v>
      </c>
      <c r="T920" s="1">
        <v>4</v>
      </c>
      <c r="U920" s="88">
        <v>199923.80952380953</v>
      </c>
      <c r="V920" s="59">
        <v>5.0019054878048781</v>
      </c>
      <c r="X920" s="98">
        <v>16.8</v>
      </c>
      <c r="Y920" s="97">
        <v>33.25</v>
      </c>
    </row>
    <row r="921" spans="1:25">
      <c r="A921" s="58">
        <v>922</v>
      </c>
      <c r="B921" s="58">
        <v>922</v>
      </c>
      <c r="C921" s="58" t="s">
        <v>1472</v>
      </c>
      <c r="D921" s="58" t="s">
        <v>187</v>
      </c>
      <c r="E921" s="58" t="s">
        <v>187</v>
      </c>
      <c r="F921" s="58" t="s">
        <v>228</v>
      </c>
      <c r="G921" s="58" t="s">
        <v>229</v>
      </c>
      <c r="H921" s="58" t="s">
        <v>179</v>
      </c>
      <c r="I921">
        <v>38000</v>
      </c>
      <c r="J921">
        <v>38000</v>
      </c>
      <c r="K921" s="58" t="s">
        <v>185</v>
      </c>
      <c r="L921" s="74">
        <v>4.8959999999999999</v>
      </c>
      <c r="M921" s="85">
        <v>5</v>
      </c>
      <c r="N921" s="74">
        <v>0.622</v>
      </c>
      <c r="O921">
        <v>2</v>
      </c>
      <c r="P921" s="84">
        <v>0.46650000000000003</v>
      </c>
      <c r="Q921" s="86">
        <v>4.2</v>
      </c>
      <c r="R921" s="85">
        <v>4.2</v>
      </c>
      <c r="S921" s="87">
        <v>699140</v>
      </c>
      <c r="T921" s="1">
        <v>4</v>
      </c>
      <c r="U921" s="88">
        <v>166461.90476190476</v>
      </c>
      <c r="V921" s="59">
        <v>6.0073804960379897</v>
      </c>
      <c r="X921" s="98">
        <v>4.2</v>
      </c>
      <c r="Y921" s="97">
        <v>199.92380952380952</v>
      </c>
    </row>
    <row r="922" spans="1:25">
      <c r="A922" s="58">
        <v>923</v>
      </c>
      <c r="B922" s="58">
        <v>923</v>
      </c>
      <c r="C922" s="58" t="s">
        <v>1473</v>
      </c>
      <c r="D922" s="58" t="s">
        <v>234</v>
      </c>
      <c r="E922" s="58" t="s">
        <v>234</v>
      </c>
      <c r="F922" s="58" t="s">
        <v>235</v>
      </c>
      <c r="G922" s="58" t="s">
        <v>236</v>
      </c>
      <c r="H922" s="58" t="s">
        <v>179</v>
      </c>
      <c r="I922">
        <v>38000</v>
      </c>
      <c r="J922">
        <v>38000</v>
      </c>
      <c r="K922">
        <v>20000</v>
      </c>
      <c r="L922" s="74">
        <v>7.3869999999999996</v>
      </c>
      <c r="M922" s="85">
        <v>8</v>
      </c>
      <c r="N922" s="74">
        <v>0.47399999999999998</v>
      </c>
      <c r="O922">
        <v>2</v>
      </c>
      <c r="P922" s="84">
        <v>0.47399999999999998</v>
      </c>
      <c r="Q922" s="86">
        <v>4.2</v>
      </c>
      <c r="R922" s="85">
        <v>4.2</v>
      </c>
      <c r="S922" s="87">
        <v>909950</v>
      </c>
      <c r="T922" s="1">
        <v>4</v>
      </c>
      <c r="U922" s="88">
        <v>216654.76190476189</v>
      </c>
      <c r="V922" s="59">
        <v>4.6156382218803227</v>
      </c>
      <c r="X922" s="98">
        <v>4.2</v>
      </c>
      <c r="Y922" s="97">
        <v>166.46190476190475</v>
      </c>
    </row>
    <row r="923" spans="1:25">
      <c r="A923" s="58">
        <v>924</v>
      </c>
      <c r="B923" s="58">
        <v>924</v>
      </c>
      <c r="C923" s="58" t="s">
        <v>1474</v>
      </c>
      <c r="D923" s="58" t="s">
        <v>234</v>
      </c>
      <c r="E923" s="58" t="s">
        <v>234</v>
      </c>
      <c r="F923" s="58" t="s">
        <v>235</v>
      </c>
      <c r="G923" s="58" t="s">
        <v>236</v>
      </c>
      <c r="H923" s="58" t="s">
        <v>179</v>
      </c>
      <c r="I923">
        <v>38000</v>
      </c>
      <c r="J923">
        <v>38000</v>
      </c>
      <c r="K923">
        <v>20000</v>
      </c>
      <c r="L923" s="74">
        <v>5.2809999999999997</v>
      </c>
      <c r="M923" s="85">
        <v>6</v>
      </c>
      <c r="N923" s="74">
        <v>0.46300000000000002</v>
      </c>
      <c r="O923">
        <v>2</v>
      </c>
      <c r="P923" s="84">
        <v>0.46300000000000002</v>
      </c>
      <c r="Q923" s="86">
        <v>4.2</v>
      </c>
      <c r="R923" s="85">
        <v>4.2</v>
      </c>
      <c r="S923" s="87">
        <v>769410</v>
      </c>
      <c r="T923" s="1">
        <v>4</v>
      </c>
      <c r="U923" s="88">
        <v>183192.85714285713</v>
      </c>
      <c r="V923" s="59">
        <v>5.4587281163488903</v>
      </c>
      <c r="X923" s="98">
        <v>4.2</v>
      </c>
      <c r="Y923" s="97">
        <v>216.6547619047619</v>
      </c>
    </row>
    <row r="924" spans="1:25">
      <c r="A924" s="58">
        <v>925</v>
      </c>
      <c r="B924" s="58">
        <v>925</v>
      </c>
      <c r="C924" s="58" t="s">
        <v>1475</v>
      </c>
      <c r="D924" s="58" t="s">
        <v>234</v>
      </c>
      <c r="E924" s="58" t="s">
        <v>234</v>
      </c>
      <c r="F924" s="58" t="s">
        <v>235</v>
      </c>
      <c r="G924" s="58" t="s">
        <v>236</v>
      </c>
      <c r="H924" s="58" t="s">
        <v>179</v>
      </c>
      <c r="I924">
        <v>38000</v>
      </c>
      <c r="J924">
        <v>38000</v>
      </c>
      <c r="K924">
        <v>20000</v>
      </c>
      <c r="L924" s="74">
        <v>8.0540000000000003</v>
      </c>
      <c r="M924" s="85">
        <v>9</v>
      </c>
      <c r="N924" s="74">
        <v>0.312</v>
      </c>
      <c r="O924">
        <v>2</v>
      </c>
      <c r="P924" s="84">
        <v>0.312</v>
      </c>
      <c r="Q924" s="86">
        <v>4.2</v>
      </c>
      <c r="R924" s="85">
        <v>4.2</v>
      </c>
      <c r="S924" s="87">
        <v>1334440</v>
      </c>
      <c r="T924" s="1">
        <v>1</v>
      </c>
      <c r="U924" s="88">
        <v>317723.80952380953</v>
      </c>
      <c r="V924" s="59">
        <v>3.1473876682353645</v>
      </c>
      <c r="X924" s="98">
        <v>4.2</v>
      </c>
      <c r="Y924" s="97">
        <v>183.19285714285712</v>
      </c>
    </row>
    <row r="925" spans="1:25">
      <c r="A925" s="58">
        <v>926</v>
      </c>
      <c r="B925" s="58">
        <v>926</v>
      </c>
      <c r="C925" s="58" t="s">
        <v>1476</v>
      </c>
      <c r="D925" s="58" t="s">
        <v>234</v>
      </c>
      <c r="E925" s="58" t="s">
        <v>234</v>
      </c>
      <c r="F925" s="58" t="s">
        <v>235</v>
      </c>
      <c r="G925" s="58" t="s">
        <v>236</v>
      </c>
      <c r="H925" s="58" t="s">
        <v>179</v>
      </c>
      <c r="I925">
        <v>38000</v>
      </c>
      <c r="J925">
        <v>38000</v>
      </c>
      <c r="K925">
        <v>20000</v>
      </c>
      <c r="L925" s="74">
        <v>8.8889999999999993</v>
      </c>
      <c r="M925" s="85">
        <v>9</v>
      </c>
      <c r="N925" s="74">
        <v>0.89700000000000002</v>
      </c>
      <c r="O925">
        <v>2</v>
      </c>
      <c r="P925" s="84">
        <v>0.67274999999999996</v>
      </c>
      <c r="Q925" s="86">
        <v>8.4</v>
      </c>
      <c r="R925" s="85">
        <v>8.4</v>
      </c>
      <c r="S925" s="87">
        <v>1379800</v>
      </c>
      <c r="T925" s="1">
        <v>2</v>
      </c>
      <c r="U925" s="88">
        <v>164261.90476190476</v>
      </c>
      <c r="V925" s="59">
        <v>6.087838817219887</v>
      </c>
      <c r="X925" s="98">
        <v>4.2</v>
      </c>
      <c r="Y925" s="97">
        <v>317.72380952380951</v>
      </c>
    </row>
    <row r="926" spans="1:25">
      <c r="A926" s="58">
        <v>927</v>
      </c>
      <c r="B926" s="58">
        <v>927</v>
      </c>
      <c r="C926" s="58" t="s">
        <v>1477</v>
      </c>
      <c r="D926" s="58" t="s">
        <v>234</v>
      </c>
      <c r="E926" s="58" t="s">
        <v>234</v>
      </c>
      <c r="F926" s="58" t="s">
        <v>235</v>
      </c>
      <c r="G926" s="58" t="s">
        <v>236</v>
      </c>
      <c r="H926" s="58" t="s">
        <v>179</v>
      </c>
      <c r="I926">
        <v>38000</v>
      </c>
      <c r="J926">
        <v>38000</v>
      </c>
      <c r="K926">
        <v>20000</v>
      </c>
      <c r="L926" s="74">
        <v>8.5069999999999997</v>
      </c>
      <c r="M926" s="85">
        <v>9</v>
      </c>
      <c r="N926" s="74">
        <v>0.83199999999999996</v>
      </c>
      <c r="O926">
        <v>2</v>
      </c>
      <c r="P926" s="84">
        <v>0.624</v>
      </c>
      <c r="Q926" s="86">
        <v>8.4</v>
      </c>
      <c r="R926" s="85">
        <v>8.4</v>
      </c>
      <c r="S926" s="87">
        <v>1379800</v>
      </c>
      <c r="T926" s="1">
        <v>2</v>
      </c>
      <c r="U926" s="88">
        <v>164261.90476190476</v>
      </c>
      <c r="V926" s="59">
        <v>6.087838817219887</v>
      </c>
      <c r="X926" s="98">
        <v>8.4</v>
      </c>
      <c r="Y926" s="97">
        <v>164.26190476190479</v>
      </c>
    </row>
    <row r="927" spans="1:25">
      <c r="A927" s="58">
        <v>928</v>
      </c>
      <c r="B927" s="58">
        <v>928</v>
      </c>
      <c r="C927" s="58" t="s">
        <v>1478</v>
      </c>
      <c r="D927" s="58" t="s">
        <v>234</v>
      </c>
      <c r="E927" s="58" t="s">
        <v>234</v>
      </c>
      <c r="F927" s="58" t="s">
        <v>235</v>
      </c>
      <c r="G927" s="58" t="s">
        <v>236</v>
      </c>
      <c r="H927" s="58" t="s">
        <v>179</v>
      </c>
      <c r="I927">
        <v>38000</v>
      </c>
      <c r="J927">
        <v>38000</v>
      </c>
      <c r="K927">
        <v>20000</v>
      </c>
      <c r="L927" s="74">
        <v>20.452000000000002</v>
      </c>
      <c r="M927" s="85">
        <v>21</v>
      </c>
      <c r="N927" s="74">
        <v>0.38900000000000001</v>
      </c>
      <c r="O927">
        <v>2</v>
      </c>
      <c r="P927" s="84">
        <v>0.38900000000000001</v>
      </c>
      <c r="Q927" s="86">
        <v>4.2</v>
      </c>
      <c r="R927" s="85">
        <v>4.2</v>
      </c>
      <c r="S927" s="87">
        <v>1966840</v>
      </c>
      <c r="T927" s="1">
        <v>1</v>
      </c>
      <c r="U927" s="88">
        <v>468295.23809523805</v>
      </c>
      <c r="V927" s="59">
        <v>2.135405015151207</v>
      </c>
      <c r="X927" s="98">
        <v>8.4</v>
      </c>
      <c r="Y927" s="97">
        <v>164.26190476190479</v>
      </c>
    </row>
    <row r="928" spans="1:25">
      <c r="A928" s="58">
        <v>929</v>
      </c>
      <c r="B928" s="58">
        <v>929</v>
      </c>
      <c r="C928" s="58" t="s">
        <v>1479</v>
      </c>
      <c r="D928" s="58" t="s">
        <v>234</v>
      </c>
      <c r="E928" s="58" t="s">
        <v>234</v>
      </c>
      <c r="F928" s="58" t="s">
        <v>235</v>
      </c>
      <c r="G928" s="58" t="s">
        <v>236</v>
      </c>
      <c r="H928" s="58" t="s">
        <v>179</v>
      </c>
      <c r="I928">
        <v>38000</v>
      </c>
      <c r="J928">
        <v>38000</v>
      </c>
      <c r="K928">
        <v>20000</v>
      </c>
      <c r="L928" s="74">
        <v>17.134</v>
      </c>
      <c r="M928" s="85">
        <v>18</v>
      </c>
      <c r="N928" s="74">
        <v>1.083</v>
      </c>
      <c r="O928">
        <v>2</v>
      </c>
      <c r="P928" s="84">
        <v>0.81224999999999992</v>
      </c>
      <c r="Q928" s="86">
        <v>8.4</v>
      </c>
      <c r="R928" s="85">
        <v>8.4</v>
      </c>
      <c r="S928" s="87">
        <v>1854100</v>
      </c>
      <c r="T928" s="1">
        <v>2</v>
      </c>
      <c r="U928" s="88">
        <v>220726.19047619047</v>
      </c>
      <c r="V928" s="59">
        <v>4.5304999730327387</v>
      </c>
      <c r="X928" s="98">
        <v>4.2</v>
      </c>
      <c r="Y928" s="97">
        <v>468.29523809523806</v>
      </c>
    </row>
    <row r="929" spans="1:25">
      <c r="A929" s="58">
        <v>930</v>
      </c>
      <c r="B929" s="58">
        <v>930</v>
      </c>
      <c r="C929" s="58" t="s">
        <v>1480</v>
      </c>
      <c r="D929" s="58" t="s">
        <v>234</v>
      </c>
      <c r="E929" s="58" t="s">
        <v>234</v>
      </c>
      <c r="F929" s="58" t="s">
        <v>235</v>
      </c>
      <c r="G929" s="58" t="s">
        <v>236</v>
      </c>
      <c r="H929" s="58" t="s">
        <v>179</v>
      </c>
      <c r="I929">
        <v>38000</v>
      </c>
      <c r="J929">
        <v>38000</v>
      </c>
      <c r="K929">
        <v>20000</v>
      </c>
      <c r="L929" s="74">
        <v>20.925999999999998</v>
      </c>
      <c r="M929" s="85">
        <v>21</v>
      </c>
      <c r="N929" s="74">
        <v>0.58899999999999997</v>
      </c>
      <c r="O929">
        <v>2</v>
      </c>
      <c r="P929" s="84">
        <v>0.58899999999999997</v>
      </c>
      <c r="Q929" s="86">
        <v>4.2</v>
      </c>
      <c r="R929" s="85">
        <v>4.2</v>
      </c>
      <c r="S929" s="87">
        <v>1966840</v>
      </c>
      <c r="T929" s="1">
        <v>1</v>
      </c>
      <c r="U929" s="88">
        <v>468295.23809523805</v>
      </c>
      <c r="V929" s="59">
        <v>2.135405015151207</v>
      </c>
      <c r="X929" s="98">
        <v>8.4</v>
      </c>
      <c r="Y929" s="97">
        <v>220.72619047619045</v>
      </c>
    </row>
    <row r="930" spans="1:25">
      <c r="A930" s="58">
        <v>931</v>
      </c>
      <c r="B930" s="58">
        <v>931</v>
      </c>
      <c r="C930" s="58" t="s">
        <v>1481</v>
      </c>
      <c r="D930" s="58" t="s">
        <v>234</v>
      </c>
      <c r="E930" s="58" t="s">
        <v>234</v>
      </c>
      <c r="F930" s="58" t="s">
        <v>235</v>
      </c>
      <c r="G930" s="58" t="s">
        <v>236</v>
      </c>
      <c r="H930" s="58" t="s">
        <v>179</v>
      </c>
      <c r="I930">
        <v>38000</v>
      </c>
      <c r="J930">
        <v>38000</v>
      </c>
      <c r="K930">
        <v>20000</v>
      </c>
      <c r="L930" s="74">
        <v>18.271999999999998</v>
      </c>
      <c r="M930" s="85">
        <v>19</v>
      </c>
      <c r="N930" s="74">
        <v>1.881</v>
      </c>
      <c r="O930">
        <v>2</v>
      </c>
      <c r="P930" s="84">
        <v>1.4107499999999999</v>
      </c>
      <c r="Q930" s="86">
        <v>16.8</v>
      </c>
      <c r="R930" s="85">
        <v>16.8</v>
      </c>
      <c r="S930" s="87">
        <v>1682920</v>
      </c>
      <c r="T930" s="1">
        <v>4</v>
      </c>
      <c r="U930" s="88">
        <v>100173.80952380953</v>
      </c>
      <c r="V930" s="59">
        <v>9.9826492049532956</v>
      </c>
      <c r="X930" s="98">
        <v>4.2</v>
      </c>
      <c r="Y930" s="97">
        <v>468.29523809523806</v>
      </c>
    </row>
    <row r="931" spans="1:25">
      <c r="A931" s="58">
        <v>932</v>
      </c>
      <c r="B931" s="58">
        <v>932</v>
      </c>
      <c r="C931" s="58" t="s">
        <v>1482</v>
      </c>
      <c r="D931" s="58" t="s">
        <v>234</v>
      </c>
      <c r="E931" s="58" t="s">
        <v>234</v>
      </c>
      <c r="F931" s="58" t="s">
        <v>235</v>
      </c>
      <c r="G931" s="58" t="s">
        <v>236</v>
      </c>
      <c r="H931" s="58" t="s">
        <v>179</v>
      </c>
      <c r="I931">
        <v>38000</v>
      </c>
      <c r="J931">
        <v>38000</v>
      </c>
      <c r="K931">
        <v>20000</v>
      </c>
      <c r="L931" s="74">
        <v>13.481999999999999</v>
      </c>
      <c r="M931" s="85">
        <v>14</v>
      </c>
      <c r="N931" s="74">
        <v>0.57899999999999996</v>
      </c>
      <c r="O931">
        <v>2</v>
      </c>
      <c r="P931" s="84">
        <v>0.57899999999999996</v>
      </c>
      <c r="Q931" s="86">
        <v>4.2</v>
      </c>
      <c r="R931" s="85">
        <v>4.2</v>
      </c>
      <c r="S931" s="87">
        <v>1597940</v>
      </c>
      <c r="T931" s="1">
        <v>1</v>
      </c>
      <c r="U931" s="88">
        <v>380461.90476190473</v>
      </c>
      <c r="V931" s="59">
        <v>2.6283840444572388</v>
      </c>
      <c r="X931" s="98">
        <v>16.8</v>
      </c>
      <c r="Y931" s="97">
        <v>100.17380952380952</v>
      </c>
    </row>
    <row r="932" spans="1:25">
      <c r="A932" s="58">
        <v>933</v>
      </c>
      <c r="B932" s="58">
        <v>933</v>
      </c>
      <c r="C932" s="58" t="s">
        <v>1483</v>
      </c>
      <c r="D932" s="58" t="s">
        <v>215</v>
      </c>
      <c r="E932" s="58" t="s">
        <v>215</v>
      </c>
      <c r="F932" s="58" t="s">
        <v>225</v>
      </c>
      <c r="G932" s="58" t="s">
        <v>226</v>
      </c>
      <c r="H932" s="58" t="s">
        <v>179</v>
      </c>
      <c r="I932">
        <v>38000</v>
      </c>
      <c r="J932">
        <v>38000</v>
      </c>
      <c r="K932">
        <v>20000</v>
      </c>
      <c r="L932" s="74">
        <v>4.0179999999999998</v>
      </c>
      <c r="M932" s="85">
        <v>5</v>
      </c>
      <c r="N932" s="74">
        <v>0.56399999999999995</v>
      </c>
      <c r="O932">
        <v>2</v>
      </c>
      <c r="P932" s="84">
        <v>0.56399999999999995</v>
      </c>
      <c r="Q932" s="86">
        <v>4.2</v>
      </c>
      <c r="R932" s="85">
        <v>4.2</v>
      </c>
      <c r="S932" s="87">
        <v>699140</v>
      </c>
      <c r="T932" s="1">
        <v>4</v>
      </c>
      <c r="U932" s="88">
        <v>166461.90476190476</v>
      </c>
      <c r="V932" s="59">
        <v>6.0073804960379897</v>
      </c>
      <c r="X932" s="98">
        <v>4.2</v>
      </c>
      <c r="Y932" s="97">
        <v>380.46190476190475</v>
      </c>
    </row>
    <row r="933" spans="1:25">
      <c r="A933" s="58">
        <v>934</v>
      </c>
      <c r="B933" s="58">
        <v>934</v>
      </c>
      <c r="C933" s="58" t="s">
        <v>1484</v>
      </c>
      <c r="D933" s="58" t="s">
        <v>176</v>
      </c>
      <c r="E933" s="58" t="s">
        <v>176</v>
      </c>
      <c r="F933" s="58" t="s">
        <v>177</v>
      </c>
      <c r="G933" s="58" t="s">
        <v>178</v>
      </c>
      <c r="H933" s="58" t="s">
        <v>179</v>
      </c>
      <c r="I933">
        <v>38000</v>
      </c>
      <c r="J933">
        <v>38000</v>
      </c>
      <c r="K933">
        <v>20000</v>
      </c>
      <c r="L933" s="74">
        <v>11.46</v>
      </c>
      <c r="M933" s="85">
        <v>12</v>
      </c>
      <c r="N933" s="74">
        <v>0.60499999999999998</v>
      </c>
      <c r="O933">
        <v>2</v>
      </c>
      <c r="P933" s="84">
        <v>0.60499999999999998</v>
      </c>
      <c r="Q933" s="86">
        <v>4.2</v>
      </c>
      <c r="R933" s="85">
        <v>4.2</v>
      </c>
      <c r="S933" s="87">
        <v>1492540</v>
      </c>
      <c r="T933" s="1">
        <v>1</v>
      </c>
      <c r="U933" s="88">
        <v>355366.66666666663</v>
      </c>
      <c r="V933" s="59">
        <v>2.8139949348091173</v>
      </c>
      <c r="X933" s="98">
        <v>4.2</v>
      </c>
      <c r="Y933" s="97">
        <v>166.46190476190475</v>
      </c>
    </row>
    <row r="934" spans="1:25">
      <c r="A934" s="58">
        <v>935</v>
      </c>
      <c r="B934" s="58">
        <v>935</v>
      </c>
      <c r="C934" s="58" t="s">
        <v>1485</v>
      </c>
      <c r="D934" s="58" t="s">
        <v>346</v>
      </c>
      <c r="E934" s="58" t="s">
        <v>346</v>
      </c>
      <c r="F934" s="58" t="s">
        <v>1486</v>
      </c>
      <c r="G934" s="58" t="s">
        <v>1487</v>
      </c>
      <c r="H934" s="58" t="s">
        <v>199</v>
      </c>
      <c r="I934">
        <v>110000</v>
      </c>
      <c r="J934">
        <v>20000</v>
      </c>
      <c r="K934">
        <v>110000</v>
      </c>
      <c r="L934" s="74">
        <v>4.2320000000000002</v>
      </c>
      <c r="M934" s="85">
        <v>5</v>
      </c>
      <c r="N934" s="74">
        <v>2.734</v>
      </c>
      <c r="O934">
        <v>2</v>
      </c>
      <c r="P934" s="84">
        <v>2.0505</v>
      </c>
      <c r="Q934" s="86">
        <v>25.200000000000003</v>
      </c>
      <c r="R934" s="85">
        <v>25.200000000000003</v>
      </c>
      <c r="S934" s="87">
        <v>2398000</v>
      </c>
      <c r="T934" s="1">
        <v>9</v>
      </c>
      <c r="U934" s="88">
        <v>95158.730158730148</v>
      </c>
      <c r="V934" s="59">
        <v>10.508757297748126</v>
      </c>
      <c r="X934" s="98">
        <v>4.2</v>
      </c>
      <c r="Y934" s="97">
        <v>355.36666666666662</v>
      </c>
    </row>
    <row r="935" spans="1:25">
      <c r="A935" s="58">
        <v>936</v>
      </c>
      <c r="B935" s="58">
        <v>936</v>
      </c>
      <c r="C935" s="58" t="s">
        <v>1488</v>
      </c>
      <c r="D935" s="58" t="s">
        <v>346</v>
      </c>
      <c r="E935" s="58" t="s">
        <v>351</v>
      </c>
      <c r="F935" s="58" t="s">
        <v>1486</v>
      </c>
      <c r="G935" s="58" t="s">
        <v>1487</v>
      </c>
      <c r="H935" s="58" t="s">
        <v>199</v>
      </c>
      <c r="I935">
        <v>110000</v>
      </c>
      <c r="J935">
        <v>20000</v>
      </c>
      <c r="K935">
        <v>110000</v>
      </c>
      <c r="L935" s="74">
        <v>3.9319999999999999</v>
      </c>
      <c r="M935" s="85">
        <v>4</v>
      </c>
      <c r="N935" s="74">
        <v>2.6190000000000002</v>
      </c>
      <c r="O935">
        <v>2</v>
      </c>
      <c r="P935" s="84">
        <v>1.9642500000000003</v>
      </c>
      <c r="Q935" s="86">
        <v>21</v>
      </c>
      <c r="R935" s="85">
        <v>21</v>
      </c>
      <c r="S935" s="87">
        <v>1875790</v>
      </c>
      <c r="T935" s="1">
        <v>8</v>
      </c>
      <c r="U935" s="88">
        <v>89323.333333333328</v>
      </c>
      <c r="V935" s="59">
        <v>11.195283054073217</v>
      </c>
      <c r="X935" s="98">
        <v>25.200000000000003</v>
      </c>
      <c r="Y935" s="97">
        <v>95.158730158730151</v>
      </c>
    </row>
    <row r="936" spans="1:25">
      <c r="A936" s="58">
        <v>937</v>
      </c>
      <c r="B936" s="58">
        <v>937</v>
      </c>
      <c r="C936" s="58" t="s">
        <v>1489</v>
      </c>
      <c r="D936" s="58" t="s">
        <v>852</v>
      </c>
      <c r="E936" s="58" t="s">
        <v>346</v>
      </c>
      <c r="F936" s="58" t="s">
        <v>422</v>
      </c>
      <c r="G936" s="58" t="s">
        <v>423</v>
      </c>
      <c r="H936" s="58" t="s">
        <v>199</v>
      </c>
      <c r="I936">
        <v>110000</v>
      </c>
      <c r="J936">
        <v>110000</v>
      </c>
      <c r="K936">
        <v>20000</v>
      </c>
      <c r="L936" s="74">
        <v>5.774</v>
      </c>
      <c r="M936" s="85">
        <v>6</v>
      </c>
      <c r="N936" s="74">
        <v>1.88</v>
      </c>
      <c r="O936">
        <v>2</v>
      </c>
      <c r="P936" s="84">
        <v>1.41</v>
      </c>
      <c r="Q936" s="86">
        <v>16.8</v>
      </c>
      <c r="R936" s="85">
        <v>16.8</v>
      </c>
      <c r="S936" s="87">
        <v>2016330</v>
      </c>
      <c r="T936" s="1">
        <v>8</v>
      </c>
      <c r="U936" s="88">
        <v>120019.64285714286</v>
      </c>
      <c r="V936" s="59">
        <v>8.3319694692833011</v>
      </c>
      <c r="X936" s="98">
        <v>21</v>
      </c>
      <c r="Y936" s="97">
        <v>89.323333333333323</v>
      </c>
    </row>
    <row r="937" spans="1:25">
      <c r="A937" s="58">
        <v>938</v>
      </c>
      <c r="B937" s="58">
        <v>938</v>
      </c>
      <c r="C937" s="58" t="s">
        <v>1490</v>
      </c>
      <c r="D937" s="58" t="s">
        <v>384</v>
      </c>
      <c r="E937" s="58" t="s">
        <v>384</v>
      </c>
      <c r="F937" s="58" t="s">
        <v>381</v>
      </c>
      <c r="G937" s="58" t="s">
        <v>382</v>
      </c>
      <c r="H937" s="58" t="s">
        <v>199</v>
      </c>
      <c r="I937">
        <v>110000</v>
      </c>
      <c r="J937">
        <v>20000</v>
      </c>
      <c r="K937">
        <v>110000</v>
      </c>
      <c r="L937" s="74">
        <v>7.399</v>
      </c>
      <c r="M937" s="85">
        <v>8</v>
      </c>
      <c r="N937" s="74">
        <v>2.0819999999999999</v>
      </c>
      <c r="O937">
        <v>2</v>
      </c>
      <c r="P937" s="84">
        <v>1.5614999999999999</v>
      </c>
      <c r="Q937" s="86">
        <v>16.8</v>
      </c>
      <c r="R937" s="85">
        <v>16.8</v>
      </c>
      <c r="S937" s="87">
        <v>2156870</v>
      </c>
      <c r="T937" s="1">
        <v>8</v>
      </c>
      <c r="U937" s="88">
        <v>128385.11904761904</v>
      </c>
      <c r="V937" s="59">
        <v>7.7890647095096135</v>
      </c>
      <c r="X937" s="98">
        <v>16.8</v>
      </c>
      <c r="Y937" s="97">
        <v>120.01964285714286</v>
      </c>
    </row>
    <row r="938" spans="1:25">
      <c r="A938" s="58">
        <v>939</v>
      </c>
      <c r="B938" s="58">
        <v>939</v>
      </c>
      <c r="C938" s="58" t="s">
        <v>1491</v>
      </c>
      <c r="D938" s="58" t="s">
        <v>380</v>
      </c>
      <c r="E938" s="58" t="s">
        <v>380</v>
      </c>
      <c r="F938" s="58" t="s">
        <v>386</v>
      </c>
      <c r="G938" s="58" t="s">
        <v>387</v>
      </c>
      <c r="H938" s="58" t="s">
        <v>179</v>
      </c>
      <c r="I938">
        <v>38000</v>
      </c>
      <c r="J938">
        <v>38000</v>
      </c>
      <c r="K938">
        <v>20000</v>
      </c>
      <c r="L938" s="74">
        <v>9.8019999999999996</v>
      </c>
      <c r="M938" s="85">
        <v>10</v>
      </c>
      <c r="N938" s="74">
        <v>3.3370000000000002</v>
      </c>
      <c r="O938">
        <v>2</v>
      </c>
      <c r="P938" s="84">
        <v>2.5027500000000003</v>
      </c>
      <c r="Q938" s="86">
        <v>29.400000000000006</v>
      </c>
      <c r="R938" s="85">
        <v>29.400000000000006</v>
      </c>
      <c r="S938" s="87">
        <v>1236090</v>
      </c>
      <c r="T938" s="1">
        <v>5</v>
      </c>
      <c r="U938" s="88">
        <v>42043.8775510204</v>
      </c>
      <c r="V938" s="59">
        <v>23.78467587311604</v>
      </c>
      <c r="X938" s="98">
        <v>16.8</v>
      </c>
      <c r="Y938" s="97">
        <v>128.38511904761904</v>
      </c>
    </row>
    <row r="939" spans="1:25">
      <c r="A939" s="58">
        <v>940</v>
      </c>
      <c r="B939" s="58">
        <v>940</v>
      </c>
      <c r="C939" s="58" t="s">
        <v>1492</v>
      </c>
      <c r="D939" s="58" t="s">
        <v>380</v>
      </c>
      <c r="E939" s="58" t="s">
        <v>380</v>
      </c>
      <c r="F939" s="58" t="s">
        <v>1493</v>
      </c>
      <c r="G939" s="58" t="s">
        <v>1494</v>
      </c>
      <c r="H939" s="58" t="s">
        <v>179</v>
      </c>
      <c r="I939">
        <v>38000</v>
      </c>
      <c r="J939">
        <v>38000</v>
      </c>
      <c r="K939" s="58" t="s">
        <v>185</v>
      </c>
      <c r="L939" s="74">
        <v>11.734</v>
      </c>
      <c r="M939" s="85">
        <v>12</v>
      </c>
      <c r="N939" s="74">
        <v>0.53700000000000003</v>
      </c>
      <c r="O939">
        <v>2</v>
      </c>
      <c r="P939" s="84">
        <v>0.53700000000000003</v>
      </c>
      <c r="Q939" s="86">
        <v>4.2</v>
      </c>
      <c r="R939" s="85">
        <v>4.2</v>
      </c>
      <c r="S939" s="87">
        <v>1492540</v>
      </c>
      <c r="T939" s="1">
        <v>1</v>
      </c>
      <c r="U939" s="88">
        <v>355366.66666666663</v>
      </c>
      <c r="V939" s="59">
        <v>2.8139949348091173</v>
      </c>
      <c r="X939" s="98">
        <v>29.400000000000006</v>
      </c>
      <c r="Y939" s="97">
        <v>42.043877551020394</v>
      </c>
    </row>
    <row r="940" spans="1:25">
      <c r="A940" s="58">
        <v>941</v>
      </c>
      <c r="B940" s="58">
        <v>941</v>
      </c>
      <c r="C940" s="58" t="s">
        <v>1495</v>
      </c>
      <c r="D940" s="58" t="s">
        <v>380</v>
      </c>
      <c r="E940" s="58" t="s">
        <v>380</v>
      </c>
      <c r="F940" s="58" t="s">
        <v>381</v>
      </c>
      <c r="G940" s="58" t="s">
        <v>382</v>
      </c>
      <c r="H940" s="58" t="s">
        <v>199</v>
      </c>
      <c r="I940">
        <v>110000</v>
      </c>
      <c r="J940">
        <v>20000</v>
      </c>
      <c r="K940">
        <v>110000</v>
      </c>
      <c r="L940" s="74">
        <v>11.413</v>
      </c>
      <c r="M940" s="85">
        <v>12</v>
      </c>
      <c r="N940" s="74">
        <v>0.45600000000000002</v>
      </c>
      <c r="O940">
        <v>2</v>
      </c>
      <c r="P940" s="84">
        <v>0.45600000000000002</v>
      </c>
      <c r="Q940" s="86">
        <v>4.2</v>
      </c>
      <c r="R940" s="85">
        <v>4.2</v>
      </c>
      <c r="S940" s="87">
        <v>2048870</v>
      </c>
      <c r="T940" s="1">
        <v>7</v>
      </c>
      <c r="U940" s="88">
        <v>487826.19047619047</v>
      </c>
      <c r="V940" s="59">
        <v>2.0499104384367968</v>
      </c>
      <c r="X940" s="98">
        <v>4.2</v>
      </c>
      <c r="Y940" s="97">
        <v>355.36666666666662</v>
      </c>
    </row>
    <row r="941" spans="1:25">
      <c r="A941" s="58">
        <v>942</v>
      </c>
      <c r="B941" s="58">
        <v>942</v>
      </c>
      <c r="C941" s="58" t="s">
        <v>1496</v>
      </c>
      <c r="D941" s="58" t="s">
        <v>380</v>
      </c>
      <c r="E941" s="58" t="s">
        <v>384</v>
      </c>
      <c r="F941" s="58" t="s">
        <v>381</v>
      </c>
      <c r="G941" s="58" t="s">
        <v>382</v>
      </c>
      <c r="H941" s="58" t="s">
        <v>199</v>
      </c>
      <c r="I941">
        <v>110000</v>
      </c>
      <c r="J941">
        <v>20000</v>
      </c>
      <c r="K941">
        <v>110000</v>
      </c>
      <c r="L941" s="74">
        <v>9.5190000000000001</v>
      </c>
      <c r="M941" s="85">
        <v>10</v>
      </c>
      <c r="N941" s="74">
        <v>4.49</v>
      </c>
      <c r="O941">
        <v>2</v>
      </c>
      <c r="P941" s="84">
        <v>3.3675000000000002</v>
      </c>
      <c r="Q941" s="86">
        <v>37.800000000000004</v>
      </c>
      <c r="R941" s="85">
        <v>37.800000000000004</v>
      </c>
      <c r="S941" s="87">
        <v>3066450</v>
      </c>
      <c r="T941" s="1">
        <v>10</v>
      </c>
      <c r="U941" s="88">
        <v>81123.015873015858</v>
      </c>
      <c r="V941" s="59">
        <v>12.326957882893902</v>
      </c>
      <c r="X941" s="98">
        <v>4.2</v>
      </c>
      <c r="Y941" s="97">
        <v>487.82619047619045</v>
      </c>
    </row>
    <row r="942" spans="1:25">
      <c r="A942" s="58">
        <v>943</v>
      </c>
      <c r="B942" s="58">
        <v>943</v>
      </c>
      <c r="C942" s="58" t="s">
        <v>1497</v>
      </c>
      <c r="D942" s="58" t="s">
        <v>207</v>
      </c>
      <c r="E942" s="58" t="s">
        <v>207</v>
      </c>
      <c r="F942" s="58" t="s">
        <v>698</v>
      </c>
      <c r="G942" s="58" t="s">
        <v>699</v>
      </c>
      <c r="H942" s="58" t="s">
        <v>199</v>
      </c>
      <c r="I942">
        <v>110000</v>
      </c>
      <c r="J942" s="58" t="s">
        <v>185</v>
      </c>
      <c r="K942">
        <v>110000</v>
      </c>
      <c r="L942" s="74">
        <v>12.856999999999999</v>
      </c>
      <c r="M942" s="85">
        <v>13</v>
      </c>
      <c r="N942" s="74">
        <v>0.17199999999999999</v>
      </c>
      <c r="O942">
        <v>2</v>
      </c>
      <c r="P942" s="84">
        <v>0.17199999999999999</v>
      </c>
      <c r="Q942" s="86">
        <v>4.2</v>
      </c>
      <c r="R942" s="85">
        <v>4.2</v>
      </c>
      <c r="S942" s="87">
        <v>2101570</v>
      </c>
      <c r="T942" s="1">
        <v>7</v>
      </c>
      <c r="U942" s="88">
        <v>500373.80952380953</v>
      </c>
      <c r="V942" s="59">
        <v>1.9985058789381271</v>
      </c>
      <c r="X942" s="98">
        <v>37.800000000000004</v>
      </c>
      <c r="Y942" s="97">
        <v>81.123015873015859</v>
      </c>
    </row>
    <row r="943" spans="1:25">
      <c r="A943" s="58">
        <v>944</v>
      </c>
      <c r="B943" s="58">
        <v>944</v>
      </c>
      <c r="C943" s="58" t="s">
        <v>1498</v>
      </c>
      <c r="D943" s="58" t="s">
        <v>207</v>
      </c>
      <c r="E943" s="58" t="s">
        <v>207</v>
      </c>
      <c r="F943" s="58" t="s">
        <v>389</v>
      </c>
      <c r="G943" s="58" t="s">
        <v>390</v>
      </c>
      <c r="H943" s="58" t="s">
        <v>199</v>
      </c>
      <c r="I943">
        <v>110000</v>
      </c>
      <c r="J943">
        <v>110000</v>
      </c>
      <c r="K943">
        <v>38000</v>
      </c>
      <c r="L943" s="74">
        <v>6.6130000000000004</v>
      </c>
      <c r="M943" s="85">
        <v>7</v>
      </c>
      <c r="N943" s="74">
        <v>1.5189999999999999</v>
      </c>
      <c r="O943">
        <v>2</v>
      </c>
      <c r="P943" s="84">
        <v>1.1392499999999999</v>
      </c>
      <c r="Q943" s="86">
        <v>12.600000000000001</v>
      </c>
      <c r="R943" s="85">
        <v>12.600000000000001</v>
      </c>
      <c r="S943" s="87">
        <v>1785370</v>
      </c>
      <c r="T943" s="1">
        <v>7</v>
      </c>
      <c r="U943" s="88">
        <v>141696.03174603172</v>
      </c>
      <c r="V943" s="59">
        <v>7.0573606591350826</v>
      </c>
      <c r="X943" s="98">
        <v>4.2</v>
      </c>
      <c r="Y943" s="97">
        <v>500.37380952380948</v>
      </c>
    </row>
    <row r="944" spans="1:25">
      <c r="A944" s="58">
        <v>945</v>
      </c>
      <c r="B944" s="58">
        <v>945</v>
      </c>
      <c r="C944" s="58" t="s">
        <v>1499</v>
      </c>
      <c r="D944" s="58" t="s">
        <v>207</v>
      </c>
      <c r="E944" s="58" t="s">
        <v>207</v>
      </c>
      <c r="F944" s="58" t="s">
        <v>389</v>
      </c>
      <c r="G944" s="58" t="s">
        <v>390</v>
      </c>
      <c r="H944" s="58" t="s">
        <v>199</v>
      </c>
      <c r="I944">
        <v>110000</v>
      </c>
      <c r="J944">
        <v>110000</v>
      </c>
      <c r="K944">
        <v>38000</v>
      </c>
      <c r="L944" s="74">
        <v>7.6079999999999997</v>
      </c>
      <c r="M944" s="85">
        <v>8</v>
      </c>
      <c r="N944" s="74">
        <v>3.4990000000000001</v>
      </c>
      <c r="O944">
        <v>2</v>
      </c>
      <c r="P944" s="84">
        <v>2.62425</v>
      </c>
      <c r="Q944" s="86">
        <v>29.400000000000006</v>
      </c>
      <c r="R944" s="85">
        <v>29.400000000000006</v>
      </c>
      <c r="S944" s="87">
        <v>2664490</v>
      </c>
      <c r="T944" s="1">
        <v>9</v>
      </c>
      <c r="U944" s="88">
        <v>90628.911564625829</v>
      </c>
      <c r="V944" s="59">
        <v>11.034006507812004</v>
      </c>
      <c r="X944" s="98">
        <v>12.600000000000001</v>
      </c>
      <c r="Y944" s="97">
        <v>141.69603174603171</v>
      </c>
    </row>
    <row r="945" spans="1:25">
      <c r="A945" s="58">
        <v>946</v>
      </c>
      <c r="B945" s="58">
        <v>946</v>
      </c>
      <c r="C945" s="58" t="s">
        <v>1500</v>
      </c>
      <c r="D945" s="58" t="s">
        <v>207</v>
      </c>
      <c r="E945" s="58" t="s">
        <v>207</v>
      </c>
      <c r="F945" s="58" t="s">
        <v>393</v>
      </c>
      <c r="G945" s="58" t="s">
        <v>394</v>
      </c>
      <c r="H945" s="58" t="s">
        <v>179</v>
      </c>
      <c r="I945">
        <v>38000</v>
      </c>
      <c r="J945">
        <v>38000</v>
      </c>
      <c r="K945" s="58" t="s">
        <v>185</v>
      </c>
      <c r="L945" s="74">
        <v>6.8070000000000004</v>
      </c>
      <c r="M945" s="85">
        <v>7</v>
      </c>
      <c r="N945" s="74">
        <v>2.4740000000000002</v>
      </c>
      <c r="O945">
        <v>2</v>
      </c>
      <c r="P945" s="84">
        <v>1.8555000000000001</v>
      </c>
      <c r="Q945" s="86">
        <v>21</v>
      </c>
      <c r="R945" s="85">
        <v>21</v>
      </c>
      <c r="S945" s="87">
        <v>839680</v>
      </c>
      <c r="T945" s="1">
        <v>4</v>
      </c>
      <c r="U945" s="88">
        <v>39984.761904761908</v>
      </c>
      <c r="V945" s="59">
        <v>25.009527439024389</v>
      </c>
      <c r="X945" s="98">
        <v>29.400000000000006</v>
      </c>
      <c r="Y945" s="97">
        <v>90.628911564625824</v>
      </c>
    </row>
    <row r="946" spans="1:25">
      <c r="A946" s="58">
        <v>947</v>
      </c>
      <c r="B946" s="58">
        <v>947</v>
      </c>
      <c r="C946" s="58" t="s">
        <v>1501</v>
      </c>
      <c r="D946" s="58" t="s">
        <v>207</v>
      </c>
      <c r="E946" s="58" t="s">
        <v>207</v>
      </c>
      <c r="F946" s="58" t="s">
        <v>389</v>
      </c>
      <c r="G946" s="58" t="s">
        <v>390</v>
      </c>
      <c r="H946" s="58" t="s">
        <v>199</v>
      </c>
      <c r="I946">
        <v>110000</v>
      </c>
      <c r="J946">
        <v>110000</v>
      </c>
      <c r="K946">
        <v>38000</v>
      </c>
      <c r="L946" s="74">
        <v>8.5879999999999992</v>
      </c>
      <c r="M946" s="85">
        <v>9</v>
      </c>
      <c r="N946" s="74">
        <v>1.55</v>
      </c>
      <c r="O946">
        <v>2</v>
      </c>
      <c r="P946" s="84">
        <v>1.1625000000000001</v>
      </c>
      <c r="Q946" s="86">
        <v>12.600000000000001</v>
      </c>
      <c r="R946" s="85">
        <v>12.600000000000001</v>
      </c>
      <c r="S946" s="87">
        <v>1890770</v>
      </c>
      <c r="T946" s="1">
        <v>7</v>
      </c>
      <c r="U946" s="88">
        <v>150061.11111111109</v>
      </c>
      <c r="V946" s="59">
        <v>6.6639517233719605</v>
      </c>
      <c r="X946" s="98">
        <v>21</v>
      </c>
      <c r="Y946" s="97">
        <v>39.984761904761903</v>
      </c>
    </row>
    <row r="947" spans="1:25">
      <c r="A947" s="58">
        <v>948</v>
      </c>
      <c r="B947" s="58">
        <v>948</v>
      </c>
      <c r="C947" s="58" t="s">
        <v>1502</v>
      </c>
      <c r="D947" s="58" t="s">
        <v>207</v>
      </c>
      <c r="E947" s="58" t="s">
        <v>207</v>
      </c>
      <c r="F947" s="58" t="s">
        <v>389</v>
      </c>
      <c r="G947" s="58" t="s">
        <v>390</v>
      </c>
      <c r="H947" s="58" t="s">
        <v>199</v>
      </c>
      <c r="I947">
        <v>110000</v>
      </c>
      <c r="J947">
        <v>110000</v>
      </c>
      <c r="K947">
        <v>38000</v>
      </c>
      <c r="L947" s="74">
        <v>6.8289999999999997</v>
      </c>
      <c r="M947" s="85">
        <v>7</v>
      </c>
      <c r="N947" s="74">
        <v>0.64</v>
      </c>
      <c r="O947">
        <v>2</v>
      </c>
      <c r="P947" s="84">
        <v>0.48</v>
      </c>
      <c r="Q947" s="86">
        <v>4.2</v>
      </c>
      <c r="R947" s="85">
        <v>4.2</v>
      </c>
      <c r="S947" s="87">
        <v>1785370</v>
      </c>
      <c r="T947" s="1">
        <v>7</v>
      </c>
      <c r="U947" s="88">
        <v>425088.09523809521</v>
      </c>
      <c r="V947" s="59">
        <v>2.3524535530450272</v>
      </c>
      <c r="X947" s="98">
        <v>12.600000000000001</v>
      </c>
      <c r="Y947" s="97">
        <v>150.0611111111111</v>
      </c>
    </row>
    <row r="948" spans="1:25">
      <c r="A948" s="89">
        <v>949</v>
      </c>
      <c r="B948" s="89">
        <v>949</v>
      </c>
      <c r="C948" s="89" t="s">
        <v>1503</v>
      </c>
      <c r="D948" s="58" t="s">
        <v>207</v>
      </c>
      <c r="E948" s="58" t="s">
        <v>207</v>
      </c>
      <c r="F948" s="89" t="s">
        <v>393</v>
      </c>
      <c r="G948" s="89" t="s">
        <v>394</v>
      </c>
      <c r="H948" s="89" t="s">
        <v>179</v>
      </c>
      <c r="I948" s="90">
        <v>38000</v>
      </c>
      <c r="J948" s="90">
        <v>38000</v>
      </c>
      <c r="K948" s="89" t="s">
        <v>185</v>
      </c>
      <c r="L948" s="91">
        <v>8.1180000000000003</v>
      </c>
      <c r="M948" s="92">
        <v>9</v>
      </c>
      <c r="N948" s="91">
        <v>5.9189999999999996</v>
      </c>
      <c r="O948" s="90">
        <v>2</v>
      </c>
      <c r="P948" s="92">
        <v>4.4392499999999995</v>
      </c>
      <c r="Q948" s="93">
        <v>54.599999999999994</v>
      </c>
      <c r="R948" s="92">
        <v>54.599999999999994</v>
      </c>
      <c r="S948" s="87">
        <v>2815750</v>
      </c>
      <c r="T948" s="94">
        <v>11</v>
      </c>
      <c r="U948" s="95">
        <v>51570.512820512828</v>
      </c>
      <c r="V948" s="96">
        <v>19.390926041019263</v>
      </c>
      <c r="X948" s="98">
        <v>4.2</v>
      </c>
      <c r="Y948" s="97">
        <v>425.08809523809521</v>
      </c>
    </row>
    <row r="949" spans="1:25">
      <c r="A949" s="89">
        <v>950</v>
      </c>
      <c r="B949" s="89">
        <v>950</v>
      </c>
      <c r="C949" s="89" t="s">
        <v>1504</v>
      </c>
      <c r="D949" s="58" t="s">
        <v>207</v>
      </c>
      <c r="E949" s="58" t="s">
        <v>207</v>
      </c>
      <c r="F949" s="89" t="s">
        <v>393</v>
      </c>
      <c r="G949" s="89" t="s">
        <v>394</v>
      </c>
      <c r="H949" s="89" t="s">
        <v>179</v>
      </c>
      <c r="I949" s="90">
        <v>38000</v>
      </c>
      <c r="J949" s="90">
        <v>38000</v>
      </c>
      <c r="K949" s="89" t="s">
        <v>185</v>
      </c>
      <c r="L949" s="91">
        <v>10.439</v>
      </c>
      <c r="M949" s="92">
        <v>11</v>
      </c>
      <c r="N949" s="91">
        <v>6.8410000000000002</v>
      </c>
      <c r="O949" s="90">
        <v>2</v>
      </c>
      <c r="P949" s="92">
        <v>5.1307499999999999</v>
      </c>
      <c r="Q949" s="93">
        <v>63</v>
      </c>
      <c r="R949" s="92">
        <v>63</v>
      </c>
      <c r="S949" s="87">
        <v>3237370</v>
      </c>
      <c r="T949" s="94">
        <v>11</v>
      </c>
      <c r="U949" s="95">
        <v>51386.825396825399</v>
      </c>
      <c r="V949" s="96">
        <v>19.460240874537046</v>
      </c>
      <c r="X949" s="98">
        <v>54.599999999999994</v>
      </c>
      <c r="Y949" s="97">
        <v>51.570512820512832</v>
      </c>
    </row>
    <row r="950" spans="1:25">
      <c r="A950" s="58">
        <v>951</v>
      </c>
      <c r="B950" s="58">
        <v>951</v>
      </c>
      <c r="C950" s="58" t="s">
        <v>1505</v>
      </c>
      <c r="D950" s="58" t="s">
        <v>207</v>
      </c>
      <c r="E950" s="58" t="s">
        <v>207</v>
      </c>
      <c r="F950" s="58" t="s">
        <v>705</v>
      </c>
      <c r="G950" s="58" t="s">
        <v>706</v>
      </c>
      <c r="H950" s="58" t="s">
        <v>179</v>
      </c>
      <c r="I950">
        <v>38000</v>
      </c>
      <c r="J950" s="58" t="s">
        <v>185</v>
      </c>
      <c r="K950">
        <v>38000</v>
      </c>
      <c r="L950" s="74">
        <v>10.708</v>
      </c>
      <c r="M950" s="85">
        <v>11</v>
      </c>
      <c r="N950" s="74">
        <v>2.331</v>
      </c>
      <c r="O950">
        <v>2</v>
      </c>
      <c r="P950" s="84">
        <v>1.7482500000000001</v>
      </c>
      <c r="Q950" s="86">
        <v>21</v>
      </c>
      <c r="R950" s="85">
        <v>21</v>
      </c>
      <c r="S950" s="87">
        <v>1120760</v>
      </c>
      <c r="T950" s="1">
        <v>4</v>
      </c>
      <c r="U950" s="88">
        <v>53369.523809523809</v>
      </c>
      <c r="V950" s="59">
        <v>18.737285413469433</v>
      </c>
      <c r="X950" s="98">
        <v>63</v>
      </c>
      <c r="Y950" s="97">
        <v>51.386825396825394</v>
      </c>
    </row>
    <row r="951" spans="1:25">
      <c r="A951" s="58">
        <v>952</v>
      </c>
      <c r="B951" s="58">
        <v>952</v>
      </c>
      <c r="C951" s="58" t="s">
        <v>1506</v>
      </c>
      <c r="D951" s="58" t="s">
        <v>207</v>
      </c>
      <c r="E951" s="58" t="s">
        <v>207</v>
      </c>
      <c r="F951" s="58" t="s">
        <v>705</v>
      </c>
      <c r="G951" s="58" t="s">
        <v>706</v>
      </c>
      <c r="H951" s="58" t="s">
        <v>179</v>
      </c>
      <c r="I951">
        <v>38000</v>
      </c>
      <c r="J951" s="58" t="s">
        <v>185</v>
      </c>
      <c r="K951">
        <v>38000</v>
      </c>
      <c r="L951" s="74">
        <v>11.326000000000001</v>
      </c>
      <c r="M951" s="85">
        <v>12</v>
      </c>
      <c r="N951" s="74">
        <v>2.9220000000000002</v>
      </c>
      <c r="O951">
        <v>2</v>
      </c>
      <c r="P951" s="84">
        <v>2.1915</v>
      </c>
      <c r="Q951" s="86">
        <v>25.200000000000003</v>
      </c>
      <c r="R951" s="85">
        <v>25.200000000000003</v>
      </c>
      <c r="S951" s="87">
        <v>1413750</v>
      </c>
      <c r="T951" s="1">
        <v>5</v>
      </c>
      <c r="U951" s="88">
        <v>56101.190476190473</v>
      </c>
      <c r="V951" s="59">
        <v>17.824933687002655</v>
      </c>
      <c r="X951" s="98">
        <v>21</v>
      </c>
      <c r="Y951" s="97">
        <v>53.369523809523812</v>
      </c>
    </row>
    <row r="952" spans="1:25">
      <c r="A952" s="58">
        <v>953</v>
      </c>
      <c r="B952" s="58">
        <v>953</v>
      </c>
      <c r="C952" s="58" t="s">
        <v>1507</v>
      </c>
      <c r="D952" s="58" t="s">
        <v>207</v>
      </c>
      <c r="E952" s="58" t="s">
        <v>207</v>
      </c>
      <c r="F952" s="58" t="s">
        <v>389</v>
      </c>
      <c r="G952" s="58" t="s">
        <v>390</v>
      </c>
      <c r="H952" s="58" t="s">
        <v>199</v>
      </c>
      <c r="I952">
        <v>110000</v>
      </c>
      <c r="J952">
        <v>110000</v>
      </c>
      <c r="K952">
        <v>38000</v>
      </c>
      <c r="L952" s="74">
        <v>10.335000000000001</v>
      </c>
      <c r="M952" s="85">
        <v>11</v>
      </c>
      <c r="N952" s="74">
        <v>0.6</v>
      </c>
      <c r="O952">
        <v>2</v>
      </c>
      <c r="P952" s="84">
        <v>0.6</v>
      </c>
      <c r="Q952" s="86">
        <v>4.2</v>
      </c>
      <c r="R952" s="85">
        <v>4.2</v>
      </c>
      <c r="S952" s="87">
        <v>1996170</v>
      </c>
      <c r="T952" s="1">
        <v>7</v>
      </c>
      <c r="U952" s="88">
        <v>475278.57142857142</v>
      </c>
      <c r="V952" s="59">
        <v>2.1040292159485414</v>
      </c>
      <c r="X952" s="98">
        <v>25.200000000000003</v>
      </c>
      <c r="Y952" s="97">
        <v>56.101190476190474</v>
      </c>
    </row>
    <row r="953" spans="1:25">
      <c r="A953" s="58">
        <v>954</v>
      </c>
      <c r="B953" s="58">
        <v>954</v>
      </c>
      <c r="C953" s="58" t="s">
        <v>1508</v>
      </c>
      <c r="D953" s="58" t="s">
        <v>207</v>
      </c>
      <c r="E953" s="58" t="s">
        <v>207</v>
      </c>
      <c r="F953" s="58" t="s">
        <v>698</v>
      </c>
      <c r="G953" s="58" t="s">
        <v>699</v>
      </c>
      <c r="H953" s="58" t="s">
        <v>199</v>
      </c>
      <c r="I953">
        <v>110000</v>
      </c>
      <c r="J953" s="58" t="s">
        <v>185</v>
      </c>
      <c r="K953">
        <v>110000</v>
      </c>
      <c r="L953" s="74">
        <v>13.099</v>
      </c>
      <c r="M953" s="85">
        <v>14</v>
      </c>
      <c r="N953" s="74">
        <v>3.6560000000000001</v>
      </c>
      <c r="O953">
        <v>2</v>
      </c>
      <c r="P953" s="84">
        <v>2.742</v>
      </c>
      <c r="Q953" s="86">
        <v>33.6</v>
      </c>
      <c r="R953" s="85">
        <v>33.6</v>
      </c>
      <c r="S953" s="87">
        <v>3511490</v>
      </c>
      <c r="T953" s="1">
        <v>10</v>
      </c>
      <c r="U953" s="88">
        <v>104508.63095238095</v>
      </c>
      <c r="V953" s="59">
        <v>9.568587693543197</v>
      </c>
      <c r="X953" s="98">
        <v>4.2</v>
      </c>
      <c r="Y953" s="97">
        <v>475.27857142857147</v>
      </c>
    </row>
    <row r="954" spans="1:25">
      <c r="A954" s="58">
        <v>955</v>
      </c>
      <c r="B954" s="58">
        <v>955</v>
      </c>
      <c r="C954" s="58" t="s">
        <v>1509</v>
      </c>
      <c r="D954" s="58" t="s">
        <v>207</v>
      </c>
      <c r="E954" s="58" t="s">
        <v>207</v>
      </c>
      <c r="F954" s="58" t="s">
        <v>698</v>
      </c>
      <c r="G954" s="58" t="s">
        <v>699</v>
      </c>
      <c r="H954" s="58" t="s">
        <v>199</v>
      </c>
      <c r="I954">
        <v>110000</v>
      </c>
      <c r="J954" s="58" t="s">
        <v>185</v>
      </c>
      <c r="K954">
        <v>110000</v>
      </c>
      <c r="L954" s="74">
        <v>9.2390000000000008</v>
      </c>
      <c r="M954" s="85">
        <v>10</v>
      </c>
      <c r="N954" s="74">
        <v>1.742</v>
      </c>
      <c r="O954">
        <v>2</v>
      </c>
      <c r="P954" s="84">
        <v>1.3065</v>
      </c>
      <c r="Q954" s="86">
        <v>12.600000000000001</v>
      </c>
      <c r="R954" s="85">
        <v>12.600000000000001</v>
      </c>
      <c r="S954" s="87">
        <v>1943470</v>
      </c>
      <c r="T954" s="1">
        <v>7</v>
      </c>
      <c r="U954" s="88">
        <v>154243.65079365077</v>
      </c>
      <c r="V954" s="59">
        <v>6.4832490339444409</v>
      </c>
      <c r="X954" s="98">
        <v>33.6</v>
      </c>
      <c r="Y954" s="97">
        <v>104.50863095238094</v>
      </c>
    </row>
    <row r="955" spans="1:25">
      <c r="A955" s="58">
        <v>956</v>
      </c>
      <c r="B955" s="58">
        <v>956</v>
      </c>
      <c r="C955" s="58" t="s">
        <v>1510</v>
      </c>
      <c r="D955" s="58" t="s">
        <v>207</v>
      </c>
      <c r="E955" s="58" t="s">
        <v>207</v>
      </c>
      <c r="F955" s="58" t="s">
        <v>242</v>
      </c>
      <c r="G955" s="58" t="s">
        <v>243</v>
      </c>
      <c r="H955" s="58" t="s">
        <v>179</v>
      </c>
      <c r="I955">
        <v>38000</v>
      </c>
      <c r="J955">
        <v>38000</v>
      </c>
      <c r="K955">
        <v>20000</v>
      </c>
      <c r="L955" s="74">
        <v>9.4990000000000006</v>
      </c>
      <c r="M955" s="85">
        <v>10</v>
      </c>
      <c r="N955" s="74">
        <v>0.93899999999999995</v>
      </c>
      <c r="O955">
        <v>2</v>
      </c>
      <c r="P955" s="84">
        <v>0.70424999999999993</v>
      </c>
      <c r="Q955" s="86">
        <v>8.4</v>
      </c>
      <c r="R955" s="85">
        <v>8.4</v>
      </c>
      <c r="S955" s="87">
        <v>1432500</v>
      </c>
      <c r="T955" s="1">
        <v>2</v>
      </c>
      <c r="U955" s="88">
        <v>170535.71428571429</v>
      </c>
      <c r="V955" s="59">
        <v>5.8638743455497382</v>
      </c>
      <c r="X955" s="98">
        <v>12.600000000000001</v>
      </c>
      <c r="Y955" s="97">
        <v>154.24365079365077</v>
      </c>
    </row>
    <row r="956" spans="1:25">
      <c r="A956" s="58">
        <v>957</v>
      </c>
      <c r="B956" s="58">
        <v>957</v>
      </c>
      <c r="C956" s="58" t="s">
        <v>1511</v>
      </c>
      <c r="D956" s="58" t="s">
        <v>202</v>
      </c>
      <c r="E956" s="58" t="s">
        <v>202</v>
      </c>
      <c r="F956" s="58" t="s">
        <v>398</v>
      </c>
      <c r="G956" s="58" t="s">
        <v>399</v>
      </c>
      <c r="H956" s="58" t="s">
        <v>179</v>
      </c>
      <c r="I956">
        <v>38000</v>
      </c>
      <c r="J956">
        <v>38000</v>
      </c>
      <c r="K956">
        <v>10000</v>
      </c>
      <c r="L956" s="74">
        <v>8.6630000000000003</v>
      </c>
      <c r="M956" s="85">
        <v>9</v>
      </c>
      <c r="N956" s="74">
        <v>1.216</v>
      </c>
      <c r="O956">
        <v>2</v>
      </c>
      <c r="P956" s="84">
        <v>0.91199999999999992</v>
      </c>
      <c r="Q956" s="86">
        <v>8.4</v>
      </c>
      <c r="R956" s="85">
        <v>8.4</v>
      </c>
      <c r="S956" s="87">
        <v>1379800</v>
      </c>
      <c r="T956" s="1">
        <v>2</v>
      </c>
      <c r="U956" s="88">
        <v>164261.90476190476</v>
      </c>
      <c r="V956" s="59">
        <v>6.087838817219887</v>
      </c>
      <c r="X956" s="98">
        <v>8.4</v>
      </c>
      <c r="Y956" s="97">
        <v>170.53571428571428</v>
      </c>
    </row>
    <row r="957" spans="1:25">
      <c r="A957" s="58">
        <v>958</v>
      </c>
      <c r="B957" s="58">
        <v>958</v>
      </c>
      <c r="C957" s="58" t="s">
        <v>1512</v>
      </c>
      <c r="D957" s="58" t="s">
        <v>207</v>
      </c>
      <c r="E957" s="58" t="s">
        <v>207</v>
      </c>
      <c r="F957" s="58" t="s">
        <v>502</v>
      </c>
      <c r="G957" s="58" t="s">
        <v>503</v>
      </c>
      <c r="H957" s="58" t="s">
        <v>179</v>
      </c>
      <c r="I957">
        <v>38000</v>
      </c>
      <c r="J957">
        <v>38000</v>
      </c>
      <c r="K957" s="58" t="s">
        <v>185</v>
      </c>
      <c r="L957" s="74">
        <v>13.872999999999999</v>
      </c>
      <c r="M957" s="85">
        <v>14</v>
      </c>
      <c r="N957" s="74">
        <v>0.86599999999999999</v>
      </c>
      <c r="O957">
        <v>2</v>
      </c>
      <c r="P957" s="84">
        <v>0.64949999999999997</v>
      </c>
      <c r="Q957" s="86">
        <v>8.4</v>
      </c>
      <c r="R957" s="85">
        <v>8.4</v>
      </c>
      <c r="S957" s="87">
        <v>1643300</v>
      </c>
      <c r="T957" s="1">
        <v>2</v>
      </c>
      <c r="U957" s="88">
        <v>195630.95238095237</v>
      </c>
      <c r="V957" s="59">
        <v>5.1116655510253759</v>
      </c>
      <c r="X957" s="98">
        <v>8.4</v>
      </c>
      <c r="Y957" s="97">
        <v>164.26190476190479</v>
      </c>
    </row>
    <row r="958" spans="1:25">
      <c r="A958" s="58">
        <v>959</v>
      </c>
      <c r="B958" s="58">
        <v>959</v>
      </c>
      <c r="C958" s="58" t="s">
        <v>1513</v>
      </c>
      <c r="D958" s="58" t="s">
        <v>384</v>
      </c>
      <c r="E958" s="58" t="s">
        <v>207</v>
      </c>
      <c r="F958" s="58" t="s">
        <v>476</v>
      </c>
      <c r="G958" s="58" t="s">
        <v>477</v>
      </c>
      <c r="H958" s="58" t="s">
        <v>179</v>
      </c>
      <c r="I958">
        <v>38000</v>
      </c>
      <c r="J958">
        <v>20000</v>
      </c>
      <c r="K958">
        <v>38000</v>
      </c>
      <c r="L958" s="74">
        <v>3.1789999999999998</v>
      </c>
      <c r="M958" s="85">
        <v>4</v>
      </c>
      <c r="N958" s="74">
        <v>2.3759999999999999</v>
      </c>
      <c r="O958">
        <v>2</v>
      </c>
      <c r="P958" s="84">
        <v>1.782</v>
      </c>
      <c r="Q958" s="86">
        <v>21</v>
      </c>
      <c r="R958" s="85">
        <v>21</v>
      </c>
      <c r="S958" s="87">
        <v>628870</v>
      </c>
      <c r="T958" s="1">
        <v>4</v>
      </c>
      <c r="U958" s="88">
        <v>29946.190476190477</v>
      </c>
      <c r="V958" s="59">
        <v>33.393229125256411</v>
      </c>
      <c r="X958" s="98">
        <v>8.4</v>
      </c>
      <c r="Y958" s="97">
        <v>195.63095238095238</v>
      </c>
    </row>
    <row r="959" spans="1:25">
      <c r="A959" s="58">
        <v>960</v>
      </c>
      <c r="B959" s="58">
        <v>960</v>
      </c>
      <c r="C959" s="58" t="s">
        <v>1514</v>
      </c>
      <c r="D959" s="58" t="s">
        <v>207</v>
      </c>
      <c r="E959" s="58" t="s">
        <v>207</v>
      </c>
      <c r="F959" s="58" t="s">
        <v>476</v>
      </c>
      <c r="G959" s="58" t="s">
        <v>477</v>
      </c>
      <c r="H959" s="58" t="s">
        <v>179</v>
      </c>
      <c r="I959">
        <v>38000</v>
      </c>
      <c r="J959">
        <v>20000</v>
      </c>
      <c r="K959">
        <v>38000</v>
      </c>
      <c r="L959" s="74">
        <v>2.41</v>
      </c>
      <c r="M959" s="85">
        <v>3</v>
      </c>
      <c r="N959" s="74">
        <v>0.77300000000000002</v>
      </c>
      <c r="O959">
        <v>2</v>
      </c>
      <c r="P959" s="84">
        <v>0.57974999999999999</v>
      </c>
      <c r="Q959" s="86">
        <v>4.2</v>
      </c>
      <c r="R959" s="85">
        <v>4.2</v>
      </c>
      <c r="S959" s="87">
        <v>558600</v>
      </c>
      <c r="T959" s="1">
        <v>4</v>
      </c>
      <c r="U959" s="88">
        <v>133000</v>
      </c>
      <c r="V959" s="59">
        <v>7.518796992481203</v>
      </c>
      <c r="X959" s="98">
        <v>21</v>
      </c>
      <c r="Y959" s="97">
        <v>29.946190476190477</v>
      </c>
    </row>
    <row r="960" spans="1:25">
      <c r="A960" s="58">
        <v>961</v>
      </c>
      <c r="B960" s="58">
        <v>961</v>
      </c>
      <c r="C960" s="58" t="s">
        <v>1515</v>
      </c>
      <c r="D960" s="58" t="s">
        <v>215</v>
      </c>
      <c r="E960" s="58" t="s">
        <v>215</v>
      </c>
      <c r="F960" s="58" t="s">
        <v>483</v>
      </c>
      <c r="G960" s="58" t="s">
        <v>484</v>
      </c>
      <c r="H960" s="58" t="s">
        <v>179</v>
      </c>
      <c r="I960">
        <v>38000</v>
      </c>
      <c r="L960" s="74">
        <v>2.085</v>
      </c>
      <c r="M960" s="85">
        <v>3</v>
      </c>
      <c r="N960" s="74">
        <v>0.2</v>
      </c>
      <c r="O960">
        <v>2</v>
      </c>
      <c r="P960" s="84">
        <v>0.2</v>
      </c>
      <c r="Q960" s="86">
        <v>4.2</v>
      </c>
      <c r="R960" s="85">
        <v>4.2</v>
      </c>
      <c r="S960" s="87">
        <v>558600</v>
      </c>
      <c r="T960" s="1">
        <v>4</v>
      </c>
      <c r="U960" s="88">
        <v>133000</v>
      </c>
      <c r="V960" s="59">
        <v>7.518796992481203</v>
      </c>
      <c r="X960" s="98">
        <v>4.2</v>
      </c>
      <c r="Y960" s="97">
        <v>133</v>
      </c>
    </row>
    <row r="961" spans="1:25">
      <c r="A961" s="58">
        <v>962</v>
      </c>
      <c r="B961" s="58">
        <v>962</v>
      </c>
      <c r="C961" s="58" t="s">
        <v>1516</v>
      </c>
      <c r="D961" s="58" t="s">
        <v>215</v>
      </c>
      <c r="E961" s="58" t="s">
        <v>176</v>
      </c>
      <c r="F961" s="58" t="s">
        <v>713</v>
      </c>
      <c r="G961" s="58" t="s">
        <v>714</v>
      </c>
      <c r="H961" s="58" t="s">
        <v>199</v>
      </c>
      <c r="I961">
        <v>110000</v>
      </c>
      <c r="J961" s="58" t="s">
        <v>185</v>
      </c>
      <c r="K961">
        <v>110000</v>
      </c>
      <c r="L961" s="74">
        <v>5.5549999999999997</v>
      </c>
      <c r="M961" s="85">
        <v>6</v>
      </c>
      <c r="N961" s="74">
        <v>5.0510000000000002</v>
      </c>
      <c r="O961">
        <v>2</v>
      </c>
      <c r="P961" s="84">
        <v>3.7882500000000001</v>
      </c>
      <c r="Q961" s="86">
        <v>46.2</v>
      </c>
      <c r="R961" s="85">
        <v>46.2</v>
      </c>
      <c r="S961" s="87">
        <v>2183320</v>
      </c>
      <c r="T961" s="1">
        <v>11</v>
      </c>
      <c r="U961" s="88">
        <v>47258.008658008657</v>
      </c>
      <c r="V961" s="59">
        <v>21.160434567539344</v>
      </c>
      <c r="X961" s="98">
        <v>4.2</v>
      </c>
      <c r="Y961" s="97">
        <v>133</v>
      </c>
    </row>
    <row r="962" spans="1:25">
      <c r="A962" s="58">
        <v>963</v>
      </c>
      <c r="B962" s="58">
        <v>963</v>
      </c>
      <c r="C962" s="58" t="s">
        <v>1517</v>
      </c>
      <c r="D962" s="58" t="s">
        <v>176</v>
      </c>
      <c r="E962" s="58" t="s">
        <v>176</v>
      </c>
      <c r="F962" s="58" t="s">
        <v>713</v>
      </c>
      <c r="G962" s="58" t="s">
        <v>714</v>
      </c>
      <c r="H962" s="58" t="s">
        <v>199</v>
      </c>
      <c r="I962">
        <v>110000</v>
      </c>
      <c r="J962" s="58" t="s">
        <v>185</v>
      </c>
      <c r="K962">
        <v>110000</v>
      </c>
      <c r="L962" s="74">
        <v>2.323</v>
      </c>
      <c r="M962" s="85">
        <v>3</v>
      </c>
      <c r="N962" s="74">
        <v>7.915</v>
      </c>
      <c r="O962">
        <v>2</v>
      </c>
      <c r="P962" s="84">
        <v>5.9362500000000002</v>
      </c>
      <c r="Q962" s="86">
        <v>71.400000000000006</v>
      </c>
      <c r="R962" s="85">
        <v>71.400000000000006</v>
      </c>
      <c r="S962" s="87">
        <v>1550890</v>
      </c>
      <c r="T962" s="1">
        <v>11</v>
      </c>
      <c r="U962" s="88">
        <v>21721.148459383752</v>
      </c>
      <c r="V962" s="59">
        <v>46.038081359735379</v>
      </c>
      <c r="X962" s="98">
        <v>46.2</v>
      </c>
      <c r="Y962" s="97">
        <v>47.258008658008656</v>
      </c>
    </row>
    <row r="963" spans="1:25">
      <c r="A963" s="58">
        <v>964</v>
      </c>
      <c r="B963" s="58">
        <v>964</v>
      </c>
      <c r="C963" s="58" t="s">
        <v>1518</v>
      </c>
      <c r="D963" s="58" t="s">
        <v>215</v>
      </c>
      <c r="E963" s="58" t="s">
        <v>215</v>
      </c>
      <c r="F963" s="58" t="s">
        <v>713</v>
      </c>
      <c r="G963" s="58" t="s">
        <v>714</v>
      </c>
      <c r="H963" s="58" t="s">
        <v>199</v>
      </c>
      <c r="I963">
        <v>110000</v>
      </c>
      <c r="J963" s="58" t="s">
        <v>185</v>
      </c>
      <c r="K963">
        <v>110000</v>
      </c>
      <c r="L963" s="74">
        <v>2.1070000000000002</v>
      </c>
      <c r="M963" s="85">
        <v>3</v>
      </c>
      <c r="N963" s="74">
        <v>1.2869999999999999</v>
      </c>
      <c r="O963">
        <v>2</v>
      </c>
      <c r="P963" s="84">
        <v>0.96524999999999994</v>
      </c>
      <c r="Q963" s="86">
        <v>8.4</v>
      </c>
      <c r="R963" s="85">
        <v>8.4</v>
      </c>
      <c r="S963" s="87">
        <v>1574570</v>
      </c>
      <c r="T963" s="1">
        <v>7</v>
      </c>
      <c r="U963" s="88">
        <v>187448.80952380953</v>
      </c>
      <c r="V963" s="59">
        <v>5.3347898156322042</v>
      </c>
      <c r="X963" s="98">
        <v>71.400000000000006</v>
      </c>
      <c r="Y963" s="97">
        <v>21.721148459383752</v>
      </c>
    </row>
    <row r="964" spans="1:25">
      <c r="A964" s="58">
        <v>965</v>
      </c>
      <c r="B964" s="58">
        <v>965</v>
      </c>
      <c r="C964" s="58" t="s">
        <v>1519</v>
      </c>
      <c r="D964" s="58" t="s">
        <v>215</v>
      </c>
      <c r="E964" s="58" t="s">
        <v>176</v>
      </c>
      <c r="F964" s="58" t="s">
        <v>406</v>
      </c>
      <c r="G964" s="58" t="s">
        <v>407</v>
      </c>
      <c r="H964" s="58" t="s">
        <v>179</v>
      </c>
      <c r="I964">
        <v>38000</v>
      </c>
      <c r="J964" s="58" t="s">
        <v>185</v>
      </c>
      <c r="K964">
        <v>38000</v>
      </c>
      <c r="L964" s="74">
        <v>3.2109999999999999</v>
      </c>
      <c r="M964" s="85">
        <v>4</v>
      </c>
      <c r="N964" s="74">
        <v>1.54</v>
      </c>
      <c r="O964">
        <v>2</v>
      </c>
      <c r="P964" s="84">
        <v>1.155</v>
      </c>
      <c r="Q964" s="86">
        <v>12.600000000000001</v>
      </c>
      <c r="R964" s="85">
        <v>12.600000000000001</v>
      </c>
      <c r="S964" s="87">
        <v>628870</v>
      </c>
      <c r="T964" s="1">
        <v>4</v>
      </c>
      <c r="U964" s="88">
        <v>49910.317460317456</v>
      </c>
      <c r="V964" s="59">
        <v>20.035937475153851</v>
      </c>
      <c r="X964" s="98">
        <v>8.4</v>
      </c>
      <c r="Y964" s="97">
        <v>187.44880952380953</v>
      </c>
    </row>
    <row r="965" spans="1:25">
      <c r="A965" s="58">
        <v>966</v>
      </c>
      <c r="B965" s="58">
        <v>966</v>
      </c>
      <c r="C965" s="58" t="s">
        <v>1520</v>
      </c>
      <c r="D965" s="58" t="s">
        <v>215</v>
      </c>
      <c r="E965" s="58" t="s">
        <v>215</v>
      </c>
      <c r="F965" s="58" t="s">
        <v>406</v>
      </c>
      <c r="G965" s="58" t="s">
        <v>407</v>
      </c>
      <c r="H965" s="58" t="s">
        <v>179</v>
      </c>
      <c r="I965">
        <v>38000</v>
      </c>
      <c r="J965" s="58" t="s">
        <v>185</v>
      </c>
      <c r="K965">
        <v>38000</v>
      </c>
      <c r="L965" s="74">
        <v>2.4489999999999998</v>
      </c>
      <c r="M965" s="85">
        <v>3</v>
      </c>
      <c r="N965" s="74">
        <v>1.569</v>
      </c>
      <c r="O965">
        <v>2</v>
      </c>
      <c r="P965" s="84">
        <v>1.17675</v>
      </c>
      <c r="Q965" s="86">
        <v>12.600000000000001</v>
      </c>
      <c r="R965" s="85">
        <v>12.600000000000001</v>
      </c>
      <c r="S965" s="87">
        <v>558600</v>
      </c>
      <c r="T965" s="1">
        <v>4</v>
      </c>
      <c r="U965" s="88">
        <v>44333.333333333328</v>
      </c>
      <c r="V965" s="59">
        <v>22.556390977443613</v>
      </c>
      <c r="X965" s="98">
        <v>12.600000000000001</v>
      </c>
      <c r="Y965" s="97">
        <v>49.910317460317451</v>
      </c>
    </row>
    <row r="966" spans="1:25">
      <c r="A966" s="89">
        <v>967</v>
      </c>
      <c r="B966" s="89">
        <v>967</v>
      </c>
      <c r="C966" s="89" t="s">
        <v>1521</v>
      </c>
      <c r="D966" s="58" t="s">
        <v>215</v>
      </c>
      <c r="E966" s="58" t="s">
        <v>215</v>
      </c>
      <c r="F966" s="89" t="s">
        <v>406</v>
      </c>
      <c r="G966" s="89" t="s">
        <v>407</v>
      </c>
      <c r="H966" s="89" t="s">
        <v>179</v>
      </c>
      <c r="I966" s="90">
        <v>38000</v>
      </c>
      <c r="J966" s="89" t="s">
        <v>185</v>
      </c>
      <c r="K966" s="90">
        <v>38000</v>
      </c>
      <c r="L966" s="91">
        <v>4.9530000000000003</v>
      </c>
      <c r="M966" s="92">
        <v>5</v>
      </c>
      <c r="N966" s="91">
        <v>6.7460000000000004</v>
      </c>
      <c r="O966" s="90">
        <v>2</v>
      </c>
      <c r="P966" s="92">
        <v>5.0594999999999999</v>
      </c>
      <c r="Q966" s="93">
        <v>58.800000000000011</v>
      </c>
      <c r="R966" s="92">
        <v>58.800000000000011</v>
      </c>
      <c r="S966" s="87">
        <v>1972510</v>
      </c>
      <c r="T966" s="94">
        <v>11</v>
      </c>
      <c r="U966" s="95">
        <v>33546.088435374142</v>
      </c>
      <c r="V966" s="96">
        <v>29.809734804893264</v>
      </c>
      <c r="X966" s="98">
        <v>12.600000000000001</v>
      </c>
      <c r="Y966" s="97">
        <v>44.333333333333329</v>
      </c>
    </row>
    <row r="967" spans="1:25">
      <c r="A967" s="58">
        <v>968</v>
      </c>
      <c r="B967" s="58">
        <v>968</v>
      </c>
      <c r="C967" s="58" t="s">
        <v>1522</v>
      </c>
      <c r="D967" s="58" t="s">
        <v>176</v>
      </c>
      <c r="E967" s="58" t="s">
        <v>176</v>
      </c>
      <c r="F967" s="58" t="s">
        <v>1523</v>
      </c>
      <c r="G967" s="58" t="s">
        <v>1524</v>
      </c>
      <c r="H967" s="58" t="s">
        <v>199</v>
      </c>
      <c r="I967">
        <v>110000</v>
      </c>
      <c r="J967" s="58" t="s">
        <v>1525</v>
      </c>
      <c r="K967">
        <v>110000</v>
      </c>
      <c r="L967" s="74">
        <v>1.84</v>
      </c>
      <c r="M967" s="85">
        <v>2</v>
      </c>
      <c r="N967" s="74">
        <v>0.8</v>
      </c>
      <c r="O967">
        <v>2</v>
      </c>
      <c r="P967" s="84">
        <v>0.60000000000000009</v>
      </c>
      <c r="Q967" s="86">
        <v>4.2</v>
      </c>
      <c r="R967" s="85">
        <v>4.2</v>
      </c>
      <c r="S967" s="87">
        <v>1340080</v>
      </c>
      <c r="T967" s="1">
        <v>11</v>
      </c>
      <c r="U967" s="88">
        <v>319066.66666666663</v>
      </c>
      <c r="V967" s="59">
        <v>3.134141245298788</v>
      </c>
      <c r="X967" s="98">
        <v>58.800000000000011</v>
      </c>
      <c r="Y967" s="97">
        <v>33.546088435374138</v>
      </c>
    </row>
    <row r="968" spans="1:25">
      <c r="A968" s="58">
        <v>969</v>
      </c>
      <c r="B968" s="58">
        <v>969</v>
      </c>
      <c r="C968" s="58" t="s">
        <v>1526</v>
      </c>
      <c r="D968" s="58" t="s">
        <v>176</v>
      </c>
      <c r="E968" s="58" t="s">
        <v>176</v>
      </c>
      <c r="F968" s="58" t="s">
        <v>1523</v>
      </c>
      <c r="G968" s="58" t="s">
        <v>1524</v>
      </c>
      <c r="H968" s="58" t="s">
        <v>199</v>
      </c>
      <c r="I968">
        <v>110000</v>
      </c>
      <c r="J968" s="58" t="s">
        <v>1525</v>
      </c>
      <c r="K968">
        <v>110000</v>
      </c>
      <c r="L968" s="74">
        <v>3.81</v>
      </c>
      <c r="M968" s="85">
        <v>4</v>
      </c>
      <c r="N968" s="74">
        <v>1.026</v>
      </c>
      <c r="O968">
        <v>2</v>
      </c>
      <c r="P968" s="84">
        <v>0.76950000000000007</v>
      </c>
      <c r="Q968" s="86">
        <v>8.4</v>
      </c>
      <c r="R968" s="85">
        <v>8.4</v>
      </c>
      <c r="S968" s="87">
        <v>1627270</v>
      </c>
      <c r="T968" s="1">
        <v>7</v>
      </c>
      <c r="U968" s="88">
        <v>193722.61904761905</v>
      </c>
      <c r="V968" s="59">
        <v>5.162019824614231</v>
      </c>
      <c r="X968" s="98">
        <v>4.2</v>
      </c>
      <c r="Y968" s="97">
        <v>319.06666666666661</v>
      </c>
    </row>
    <row r="969" spans="1:25">
      <c r="A969" s="58">
        <v>970</v>
      </c>
      <c r="B969" s="58">
        <v>970</v>
      </c>
      <c r="C969" s="58" t="s">
        <v>1527</v>
      </c>
      <c r="D969" s="58" t="s">
        <v>215</v>
      </c>
      <c r="E969" s="58" t="s">
        <v>215</v>
      </c>
      <c r="F969" s="58" t="s">
        <v>840</v>
      </c>
      <c r="G969" s="58" t="s">
        <v>841</v>
      </c>
      <c r="H969" s="58" t="s">
        <v>199</v>
      </c>
      <c r="I969">
        <v>110000</v>
      </c>
      <c r="J969" s="58" t="s">
        <v>185</v>
      </c>
      <c r="K969">
        <v>110000</v>
      </c>
      <c r="L969" s="74">
        <v>5.9029999999999996</v>
      </c>
      <c r="M969" s="85">
        <v>6</v>
      </c>
      <c r="N969" s="74">
        <v>2.7440000000000002</v>
      </c>
      <c r="O969">
        <v>2</v>
      </c>
      <c r="P969" s="84">
        <v>2.0580000000000003</v>
      </c>
      <c r="Q969" s="86">
        <v>25.200000000000003</v>
      </c>
      <c r="R969" s="85">
        <v>25.200000000000003</v>
      </c>
      <c r="S969" s="87">
        <v>2486830</v>
      </c>
      <c r="T969" s="1">
        <v>9</v>
      </c>
      <c r="U969" s="88">
        <v>98683.730158730148</v>
      </c>
      <c r="V969" s="59">
        <v>10.133382659852103</v>
      </c>
      <c r="X969" s="98">
        <v>8.4</v>
      </c>
      <c r="Y969" s="97">
        <v>193.72261904761905</v>
      </c>
    </row>
    <row r="970" spans="1:25">
      <c r="A970" s="58">
        <v>971</v>
      </c>
      <c r="B970" s="58">
        <v>971</v>
      </c>
      <c r="C970" s="58" t="s">
        <v>1528</v>
      </c>
      <c r="D970" s="58" t="s">
        <v>215</v>
      </c>
      <c r="E970" s="58" t="s">
        <v>176</v>
      </c>
      <c r="F970" s="58" t="s">
        <v>713</v>
      </c>
      <c r="G970" s="58" t="s">
        <v>714</v>
      </c>
      <c r="H970" s="58" t="s">
        <v>199</v>
      </c>
      <c r="I970">
        <v>110000</v>
      </c>
      <c r="J970" s="58" t="s">
        <v>185</v>
      </c>
      <c r="K970">
        <v>110000</v>
      </c>
      <c r="L970" s="74">
        <v>2.7970000000000002</v>
      </c>
      <c r="M970" s="85">
        <v>3</v>
      </c>
      <c r="N970" s="74">
        <v>0.79900000000000004</v>
      </c>
      <c r="O970">
        <v>2</v>
      </c>
      <c r="P970" s="84">
        <v>0.59925000000000006</v>
      </c>
      <c r="Q970" s="86">
        <v>4.2</v>
      </c>
      <c r="R970" s="85">
        <v>4.2</v>
      </c>
      <c r="S970" s="87">
        <v>1574570</v>
      </c>
      <c r="T970" s="1">
        <v>7</v>
      </c>
      <c r="U970" s="88">
        <v>374897.61904761905</v>
      </c>
      <c r="V970" s="59">
        <v>2.6673949078161021</v>
      </c>
      <c r="X970" s="98">
        <v>25.200000000000003</v>
      </c>
      <c r="Y970" s="97">
        <v>98.683730158730157</v>
      </c>
    </row>
    <row r="971" spans="1:25">
      <c r="A971" s="58">
        <v>972</v>
      </c>
      <c r="B971" s="58">
        <v>972</v>
      </c>
      <c r="C971" s="58" t="s">
        <v>1529</v>
      </c>
      <c r="D971" s="58" t="s">
        <v>215</v>
      </c>
      <c r="E971" s="58" t="s">
        <v>176</v>
      </c>
      <c r="F971" s="58" t="s">
        <v>719</v>
      </c>
      <c r="G971" s="58" t="s">
        <v>720</v>
      </c>
      <c r="H971" s="58" t="s">
        <v>199</v>
      </c>
      <c r="I971">
        <v>110000</v>
      </c>
      <c r="J971">
        <v>38000</v>
      </c>
      <c r="K971">
        <v>110000</v>
      </c>
      <c r="L971" s="74">
        <v>6.1159999999999997</v>
      </c>
      <c r="M971" s="85">
        <v>7</v>
      </c>
      <c r="N971" s="74">
        <v>9.3800000000000008</v>
      </c>
      <c r="O971">
        <v>2</v>
      </c>
      <c r="P971" s="84">
        <v>7.0350000000000001</v>
      </c>
      <c r="Q971" s="86">
        <v>84</v>
      </c>
      <c r="R971" s="85">
        <v>84</v>
      </c>
      <c r="S971" s="87">
        <v>2394130</v>
      </c>
      <c r="T971" s="1">
        <v>11</v>
      </c>
      <c r="U971" s="88">
        <v>28501.547619047618</v>
      </c>
      <c r="V971" s="59">
        <v>35.085814053539281</v>
      </c>
      <c r="X971" s="98">
        <v>4.2</v>
      </c>
      <c r="Y971" s="97">
        <v>374.89761904761906</v>
      </c>
    </row>
    <row r="972" spans="1:25">
      <c r="A972" s="58">
        <v>973</v>
      </c>
      <c r="B972" s="58">
        <v>973</v>
      </c>
      <c r="C972" s="58" t="s">
        <v>1530</v>
      </c>
      <c r="D972" s="58" t="s">
        <v>176</v>
      </c>
      <c r="E972" s="58" t="s">
        <v>176</v>
      </c>
      <c r="F972" s="58" t="s">
        <v>564</v>
      </c>
      <c r="G972" s="58" t="s">
        <v>565</v>
      </c>
      <c r="H972" s="58" t="s">
        <v>199</v>
      </c>
      <c r="I972">
        <v>110000</v>
      </c>
      <c r="L972" s="74">
        <v>3.1150000000000002</v>
      </c>
      <c r="M972" s="85">
        <v>4</v>
      </c>
      <c r="N972" s="74">
        <v>6.3609999999999998</v>
      </c>
      <c r="O972">
        <v>2</v>
      </c>
      <c r="P972" s="84">
        <v>4.7707499999999996</v>
      </c>
      <c r="Q972" s="86">
        <v>58.800000000000011</v>
      </c>
      <c r="R972" s="85">
        <v>58.800000000000011</v>
      </c>
      <c r="S972" s="87">
        <v>1761700</v>
      </c>
      <c r="T972" s="1">
        <v>11</v>
      </c>
      <c r="U972" s="88">
        <v>29960.88435374149</v>
      </c>
      <c r="V972" s="59">
        <v>33.376851904410522</v>
      </c>
      <c r="X972" s="98">
        <v>84</v>
      </c>
      <c r="Y972" s="97">
        <v>28.501547619047617</v>
      </c>
    </row>
    <row r="973" spans="1:25">
      <c r="A973" s="58">
        <v>974</v>
      </c>
      <c r="B973" s="58">
        <v>974</v>
      </c>
      <c r="C973" s="58" t="s">
        <v>1531</v>
      </c>
      <c r="D973" s="58" t="s">
        <v>215</v>
      </c>
      <c r="E973" s="58" t="s">
        <v>176</v>
      </c>
      <c r="F973" s="58" t="s">
        <v>719</v>
      </c>
      <c r="G973" s="58" t="s">
        <v>720</v>
      </c>
      <c r="H973" s="58" t="s">
        <v>199</v>
      </c>
      <c r="I973">
        <v>110000</v>
      </c>
      <c r="J973">
        <v>38000</v>
      </c>
      <c r="K973">
        <v>110000</v>
      </c>
      <c r="L973" s="74">
        <v>5.282</v>
      </c>
      <c r="M973" s="85">
        <v>6</v>
      </c>
      <c r="N973" s="74">
        <v>7.26</v>
      </c>
      <c r="O973">
        <v>2</v>
      </c>
      <c r="P973" s="84">
        <v>5.4450000000000003</v>
      </c>
      <c r="Q973" s="86">
        <v>67.2</v>
      </c>
      <c r="R973" s="85">
        <v>67.2</v>
      </c>
      <c r="S973" s="87">
        <v>2183320</v>
      </c>
      <c r="T973" s="1">
        <v>11</v>
      </c>
      <c r="U973" s="88">
        <v>32489.88095238095</v>
      </c>
      <c r="V973" s="59">
        <v>30.778813916420862</v>
      </c>
      <c r="X973" s="98">
        <v>58.800000000000011</v>
      </c>
      <c r="Y973" s="97">
        <v>29.960884353741491</v>
      </c>
    </row>
    <row r="974" spans="1:25">
      <c r="A974" s="58">
        <v>975</v>
      </c>
      <c r="B974" s="58">
        <v>975</v>
      </c>
      <c r="C974" s="58" t="s">
        <v>1532</v>
      </c>
      <c r="D974" s="58" t="s">
        <v>215</v>
      </c>
      <c r="E974" s="58" t="s">
        <v>215</v>
      </c>
      <c r="F974" s="58" t="s">
        <v>719</v>
      </c>
      <c r="G974" s="58" t="s">
        <v>720</v>
      </c>
      <c r="H974" s="58" t="s">
        <v>199</v>
      </c>
      <c r="I974">
        <v>110000</v>
      </c>
      <c r="J974">
        <v>38000</v>
      </c>
      <c r="K974">
        <v>110000</v>
      </c>
      <c r="L974" s="74">
        <v>2.5049999999999999</v>
      </c>
      <c r="M974" s="85">
        <v>3</v>
      </c>
      <c r="N974" s="74">
        <v>1.42</v>
      </c>
      <c r="O974">
        <v>2</v>
      </c>
      <c r="P974" s="84">
        <v>1.0649999999999999</v>
      </c>
      <c r="Q974" s="86">
        <v>12.600000000000001</v>
      </c>
      <c r="R974" s="85">
        <v>12.600000000000001</v>
      </c>
      <c r="S974" s="87">
        <v>1574570</v>
      </c>
      <c r="T974" s="1">
        <v>7</v>
      </c>
      <c r="U974" s="88">
        <v>124965.873015873</v>
      </c>
      <c r="V974" s="59">
        <v>8.0021847234483072</v>
      </c>
      <c r="X974" s="98">
        <v>67.2</v>
      </c>
      <c r="Y974" s="97">
        <v>32.48988095238095</v>
      </c>
    </row>
    <row r="975" spans="1:25">
      <c r="A975" s="58">
        <v>976</v>
      </c>
      <c r="B975" s="58">
        <v>976</v>
      </c>
      <c r="C975" s="58" t="s">
        <v>1533</v>
      </c>
      <c r="D975" s="58" t="s">
        <v>215</v>
      </c>
      <c r="E975" s="58" t="s">
        <v>215</v>
      </c>
      <c r="F975" s="58" t="s">
        <v>727</v>
      </c>
      <c r="G975" s="58" t="s">
        <v>728</v>
      </c>
      <c r="H975" s="58" t="s">
        <v>199</v>
      </c>
      <c r="I975">
        <v>110000</v>
      </c>
      <c r="L975" s="74">
        <v>2.2170000000000001</v>
      </c>
      <c r="M975" s="85">
        <v>3</v>
      </c>
      <c r="N975" s="74">
        <v>2.8519999999999999</v>
      </c>
      <c r="O975">
        <v>2</v>
      </c>
      <c r="P975" s="84">
        <v>2.1389999999999998</v>
      </c>
      <c r="Q975" s="86">
        <v>25.200000000000003</v>
      </c>
      <c r="R975" s="85">
        <v>25.200000000000003</v>
      </c>
      <c r="S975" s="87">
        <v>2220340</v>
      </c>
      <c r="T975" s="1">
        <v>9</v>
      </c>
      <c r="U975" s="88">
        <v>88108.730158730148</v>
      </c>
      <c r="V975" s="59">
        <v>11.349613122314603</v>
      </c>
      <c r="X975" s="98">
        <v>12.600000000000001</v>
      </c>
      <c r="Y975" s="97">
        <v>124.965873015873</v>
      </c>
    </row>
    <row r="976" spans="1:25">
      <c r="A976" s="58">
        <v>977</v>
      </c>
      <c r="B976" s="58">
        <v>977</v>
      </c>
      <c r="C976" s="58" t="s">
        <v>1534</v>
      </c>
      <c r="D976" s="58" t="s">
        <v>215</v>
      </c>
      <c r="E976" s="58" t="s">
        <v>215</v>
      </c>
      <c r="F976" s="58" t="s">
        <v>727</v>
      </c>
      <c r="G976" s="58" t="s">
        <v>728</v>
      </c>
      <c r="H976" s="58" t="s">
        <v>199</v>
      </c>
      <c r="I976">
        <v>110000</v>
      </c>
      <c r="L976" s="74">
        <v>5.2619999999999996</v>
      </c>
      <c r="M976" s="85">
        <v>6</v>
      </c>
      <c r="N976" s="74">
        <v>0.65300000000000002</v>
      </c>
      <c r="O976">
        <v>2</v>
      </c>
      <c r="P976" s="84">
        <v>0.48975000000000002</v>
      </c>
      <c r="Q976" s="86">
        <v>4.2</v>
      </c>
      <c r="R976" s="85">
        <v>4.2</v>
      </c>
      <c r="S976" s="87">
        <v>1732670</v>
      </c>
      <c r="T976" s="1">
        <v>7</v>
      </c>
      <c r="U976" s="88">
        <v>412540.47619047615</v>
      </c>
      <c r="V976" s="59">
        <v>2.4240045709800482</v>
      </c>
      <c r="X976" s="98">
        <v>25.200000000000003</v>
      </c>
      <c r="Y976" s="97">
        <v>88.108730158730154</v>
      </c>
    </row>
    <row r="977" spans="1:25">
      <c r="A977" s="58">
        <v>978</v>
      </c>
      <c r="B977" s="58">
        <v>978</v>
      </c>
      <c r="C977" s="58" t="s">
        <v>1535</v>
      </c>
      <c r="D977" s="58" t="s">
        <v>215</v>
      </c>
      <c r="E977" s="58" t="s">
        <v>215</v>
      </c>
      <c r="F977" s="58" t="s">
        <v>1536</v>
      </c>
      <c r="G977" s="58" t="s">
        <v>1537</v>
      </c>
      <c r="H977" s="58" t="s">
        <v>179</v>
      </c>
      <c r="I977">
        <v>38000</v>
      </c>
      <c r="J977" s="58" t="s">
        <v>185</v>
      </c>
      <c r="K977">
        <v>38000</v>
      </c>
      <c r="L977" s="74">
        <v>4.8029999999999999</v>
      </c>
      <c r="M977" s="85">
        <v>5</v>
      </c>
      <c r="N977" s="74">
        <v>1.052</v>
      </c>
      <c r="O977">
        <v>2</v>
      </c>
      <c r="P977" s="84">
        <v>0.78900000000000003</v>
      </c>
      <c r="Q977" s="86">
        <v>8.4</v>
      </c>
      <c r="R977" s="85">
        <v>8.4</v>
      </c>
      <c r="S977" s="87">
        <v>699140</v>
      </c>
      <c r="T977" s="1">
        <v>4</v>
      </c>
      <c r="U977" s="88">
        <v>83230.952380952382</v>
      </c>
      <c r="V977" s="59">
        <v>12.014760992075979</v>
      </c>
      <c r="X977" s="98">
        <v>4.2</v>
      </c>
      <c r="Y977" s="97">
        <v>412.54047619047617</v>
      </c>
    </row>
    <row r="978" spans="1:25">
      <c r="A978" s="58">
        <v>979</v>
      </c>
      <c r="B978" s="58">
        <v>979</v>
      </c>
      <c r="C978" s="58" t="s">
        <v>1538</v>
      </c>
      <c r="D978" s="58" t="s">
        <v>215</v>
      </c>
      <c r="E978" s="58" t="s">
        <v>215</v>
      </c>
      <c r="F978" s="58" t="s">
        <v>727</v>
      </c>
      <c r="G978" s="58" t="s">
        <v>728</v>
      </c>
      <c r="H978" s="58" t="s">
        <v>199</v>
      </c>
      <c r="I978">
        <v>110000</v>
      </c>
      <c r="L978" s="74">
        <v>6.1559999999999997</v>
      </c>
      <c r="M978" s="85">
        <v>7</v>
      </c>
      <c r="N978" s="74">
        <v>0.53100000000000003</v>
      </c>
      <c r="O978">
        <v>2</v>
      </c>
      <c r="P978" s="84">
        <v>0.53100000000000003</v>
      </c>
      <c r="Q978" s="86">
        <v>4.2</v>
      </c>
      <c r="R978" s="85">
        <v>4.2</v>
      </c>
      <c r="S978" s="87">
        <v>1785370</v>
      </c>
      <c r="T978" s="1">
        <v>7</v>
      </c>
      <c r="U978" s="88">
        <v>425088.09523809521</v>
      </c>
      <c r="V978" s="59">
        <v>2.3524535530450272</v>
      </c>
      <c r="X978" s="98">
        <v>8.4</v>
      </c>
      <c r="Y978" s="97">
        <v>83.230952380952374</v>
      </c>
    </row>
    <row r="979" spans="1:25">
      <c r="A979" s="58">
        <v>980</v>
      </c>
      <c r="B979" s="58">
        <v>980</v>
      </c>
      <c r="C979" s="58" t="s">
        <v>1539</v>
      </c>
      <c r="D979" s="58" t="s">
        <v>215</v>
      </c>
      <c r="E979" s="58" t="s">
        <v>215</v>
      </c>
      <c r="F979" s="58" t="s">
        <v>845</v>
      </c>
      <c r="G979" s="58" t="s">
        <v>846</v>
      </c>
      <c r="H979" s="58" t="s">
        <v>199</v>
      </c>
      <c r="I979">
        <v>110000</v>
      </c>
      <c r="L979" s="74">
        <v>3.048</v>
      </c>
      <c r="M979" s="85">
        <v>4</v>
      </c>
      <c r="N979" s="74">
        <v>0.71399999999999997</v>
      </c>
      <c r="O979">
        <v>2</v>
      </c>
      <c r="P979" s="84">
        <v>0.53549999999999998</v>
      </c>
      <c r="Q979" s="86">
        <v>4.2</v>
      </c>
      <c r="R979" s="85">
        <v>4.2</v>
      </c>
      <c r="S979" s="87">
        <v>1627270</v>
      </c>
      <c r="T979" s="1">
        <v>7</v>
      </c>
      <c r="U979" s="88">
        <v>387445.23809523811</v>
      </c>
      <c r="V979" s="59">
        <v>2.5810099123071155</v>
      </c>
      <c r="X979" s="98">
        <v>4.2</v>
      </c>
      <c r="Y979" s="97">
        <v>425.08809523809521</v>
      </c>
    </row>
    <row r="980" spans="1:25">
      <c r="A980" s="58">
        <v>981</v>
      </c>
      <c r="B980" s="58">
        <v>981</v>
      </c>
      <c r="C980" s="58" t="s">
        <v>1540</v>
      </c>
      <c r="D980" s="58" t="s">
        <v>176</v>
      </c>
      <c r="E980" s="58" t="s">
        <v>176</v>
      </c>
      <c r="F980" s="58" t="s">
        <v>272</v>
      </c>
      <c r="G980" s="58" t="s">
        <v>273</v>
      </c>
      <c r="H980" s="58" t="s">
        <v>179</v>
      </c>
      <c r="I980">
        <v>38000</v>
      </c>
      <c r="J980">
        <v>38000</v>
      </c>
      <c r="K980" s="58" t="s">
        <v>185</v>
      </c>
      <c r="L980" s="74">
        <v>6.7060000000000004</v>
      </c>
      <c r="M980" s="85">
        <v>7</v>
      </c>
      <c r="N980" s="74">
        <v>0.69499999999999995</v>
      </c>
      <c r="O980">
        <v>2</v>
      </c>
      <c r="P980" s="84">
        <v>0.52124999999999999</v>
      </c>
      <c r="Q980" s="86">
        <v>4.2</v>
      </c>
      <c r="R980" s="85">
        <v>4.2</v>
      </c>
      <c r="S980" s="87">
        <v>839680</v>
      </c>
      <c r="T980" s="1">
        <v>4</v>
      </c>
      <c r="U980" s="88">
        <v>199923.80952380953</v>
      </c>
      <c r="V980" s="59">
        <v>5.0019054878048781</v>
      </c>
      <c r="X980" s="98">
        <v>4.2</v>
      </c>
      <c r="Y980" s="97">
        <v>387.4452380952381</v>
      </c>
    </row>
    <row r="981" spans="1:25">
      <c r="A981" s="58">
        <v>982</v>
      </c>
      <c r="B981" s="58">
        <v>982</v>
      </c>
      <c r="C981" s="58" t="s">
        <v>1541</v>
      </c>
      <c r="D981" s="58" t="s">
        <v>489</v>
      </c>
      <c r="E981" s="58" t="s">
        <v>1169</v>
      </c>
      <c r="F981" s="58" t="s">
        <v>869</v>
      </c>
      <c r="G981" s="58" t="s">
        <v>870</v>
      </c>
      <c r="H981" s="58" t="s">
        <v>179</v>
      </c>
      <c r="I981">
        <v>38000</v>
      </c>
      <c r="J981">
        <v>38000</v>
      </c>
      <c r="K981" s="58" t="s">
        <v>185</v>
      </c>
      <c r="L981" s="74">
        <v>6.3760000000000003</v>
      </c>
      <c r="M981" s="85">
        <v>7</v>
      </c>
      <c r="N981" s="74">
        <v>0.83099999999999996</v>
      </c>
      <c r="O981">
        <v>2</v>
      </c>
      <c r="P981" s="84">
        <v>0.62324999999999997</v>
      </c>
      <c r="Q981" s="86">
        <v>8.4</v>
      </c>
      <c r="R981" s="85">
        <v>8.4</v>
      </c>
      <c r="S981" s="87">
        <v>839680</v>
      </c>
      <c r="T981" s="1">
        <v>4</v>
      </c>
      <c r="U981" s="88">
        <v>99961.904761904763</v>
      </c>
      <c r="V981" s="59">
        <v>10.003810975609756</v>
      </c>
      <c r="X981" s="98">
        <v>4.2</v>
      </c>
      <c r="Y981" s="97">
        <v>199.92380952380952</v>
      </c>
    </row>
    <row r="982" spans="1:25">
      <c r="A982" s="58">
        <v>983</v>
      </c>
      <c r="B982" s="58">
        <v>983</v>
      </c>
      <c r="C982" s="58" t="s">
        <v>1542</v>
      </c>
      <c r="D982" s="58" t="s">
        <v>197</v>
      </c>
      <c r="E982" s="58" t="s">
        <v>197</v>
      </c>
      <c r="F982" s="58" t="s">
        <v>1543</v>
      </c>
      <c r="G982" s="58" t="s">
        <v>1544</v>
      </c>
      <c r="H982" s="58" t="s">
        <v>199</v>
      </c>
      <c r="I982">
        <v>110000</v>
      </c>
      <c r="J982" s="58" t="s">
        <v>185</v>
      </c>
      <c r="K982">
        <v>110000</v>
      </c>
      <c r="L982" s="74">
        <v>8.9890000000000008</v>
      </c>
      <c r="M982" s="85">
        <v>9</v>
      </c>
      <c r="N982" s="74">
        <v>1.9590000000000001</v>
      </c>
      <c r="O982">
        <v>2</v>
      </c>
      <c r="P982" s="84">
        <v>1.4692500000000002</v>
      </c>
      <c r="Q982" s="86">
        <v>16.8</v>
      </c>
      <c r="R982" s="85">
        <v>16.8</v>
      </c>
      <c r="S982" s="87">
        <v>2227140</v>
      </c>
      <c r="T982" s="1">
        <v>8</v>
      </c>
      <c r="U982" s="88">
        <v>132567.85714285713</v>
      </c>
      <c r="V982" s="59">
        <v>7.5433066623562057</v>
      </c>
      <c r="X982" s="98">
        <v>8.4</v>
      </c>
      <c r="Y982" s="97">
        <v>99.961904761904762</v>
      </c>
    </row>
    <row r="983" spans="1:25">
      <c r="A983" s="58">
        <v>984</v>
      </c>
      <c r="B983" s="58">
        <v>984</v>
      </c>
      <c r="C983" s="58" t="s">
        <v>1545</v>
      </c>
      <c r="D983" s="58" t="s">
        <v>410</v>
      </c>
      <c r="E983" s="58" t="s">
        <v>410</v>
      </c>
      <c r="F983" s="58" t="s">
        <v>411</v>
      </c>
      <c r="G983" s="58" t="s">
        <v>412</v>
      </c>
      <c r="H983" s="58" t="s">
        <v>179</v>
      </c>
      <c r="I983">
        <v>38000</v>
      </c>
      <c r="J983">
        <v>38000</v>
      </c>
      <c r="K983" s="58" t="s">
        <v>185</v>
      </c>
      <c r="L983" s="74">
        <v>8.1449999999999996</v>
      </c>
      <c r="M983" s="85">
        <v>9</v>
      </c>
      <c r="N983" s="74">
        <v>0.93100000000000005</v>
      </c>
      <c r="O983">
        <v>2</v>
      </c>
      <c r="P983" s="84">
        <v>0.69825000000000004</v>
      </c>
      <c r="Q983" s="86">
        <v>8.4</v>
      </c>
      <c r="R983" s="85">
        <v>8.4</v>
      </c>
      <c r="S983" s="87">
        <v>1379800</v>
      </c>
      <c r="T983" s="1">
        <v>2</v>
      </c>
      <c r="U983" s="88">
        <v>164261.90476190476</v>
      </c>
      <c r="V983" s="59">
        <v>6.087838817219887</v>
      </c>
      <c r="X983" s="98">
        <v>16.8</v>
      </c>
      <c r="Y983" s="97">
        <v>132.56785714285712</v>
      </c>
    </row>
    <row r="984" spans="1:25">
      <c r="A984" s="58">
        <v>985</v>
      </c>
      <c r="B984" s="58">
        <v>985</v>
      </c>
      <c r="C984" s="58" t="s">
        <v>1546</v>
      </c>
      <c r="D984" s="58" t="s">
        <v>410</v>
      </c>
      <c r="E984" s="58" t="s">
        <v>410</v>
      </c>
      <c r="F984" s="58" t="s">
        <v>1113</v>
      </c>
      <c r="G984" s="58" t="s">
        <v>1114</v>
      </c>
      <c r="H984" s="58" t="s">
        <v>179</v>
      </c>
      <c r="I984">
        <v>38000</v>
      </c>
      <c r="J984">
        <v>38000</v>
      </c>
      <c r="K984">
        <v>10000</v>
      </c>
      <c r="L984" s="74">
        <v>6.7329999999999997</v>
      </c>
      <c r="M984" s="85">
        <v>7</v>
      </c>
      <c r="N984" s="74">
        <v>1.1020000000000001</v>
      </c>
      <c r="O984">
        <v>2</v>
      </c>
      <c r="P984" s="84">
        <v>0.82650000000000001</v>
      </c>
      <c r="Q984" s="86">
        <v>8.4</v>
      </c>
      <c r="R984" s="85">
        <v>8.4</v>
      </c>
      <c r="S984" s="87">
        <v>839680</v>
      </c>
      <c r="T984" s="1">
        <v>4</v>
      </c>
      <c r="U984" s="88">
        <v>99961.904761904763</v>
      </c>
      <c r="V984" s="59">
        <v>10.003810975609756</v>
      </c>
      <c r="X984" s="98">
        <v>8.4</v>
      </c>
      <c r="Y984" s="97">
        <v>164.26190476190479</v>
      </c>
    </row>
    <row r="985" spans="1:25">
      <c r="A985" s="58">
        <v>986</v>
      </c>
      <c r="B985" s="58">
        <v>986</v>
      </c>
      <c r="C985" s="58" t="s">
        <v>1547</v>
      </c>
      <c r="D985" s="58" t="s">
        <v>197</v>
      </c>
      <c r="E985" s="58" t="s">
        <v>197</v>
      </c>
      <c r="F985" s="58" t="s">
        <v>1548</v>
      </c>
      <c r="G985" s="58" t="s">
        <v>1549</v>
      </c>
      <c r="H985" s="58" t="s">
        <v>199</v>
      </c>
      <c r="I985">
        <v>110000</v>
      </c>
      <c r="J985" s="58" t="s">
        <v>185</v>
      </c>
      <c r="K985">
        <v>110000</v>
      </c>
      <c r="L985" s="74">
        <v>4.2930000000000001</v>
      </c>
      <c r="M985" s="85">
        <v>5</v>
      </c>
      <c r="N985" s="74">
        <v>2.98</v>
      </c>
      <c r="O985">
        <v>2</v>
      </c>
      <c r="P985" s="84">
        <v>2.2349999999999999</v>
      </c>
      <c r="Q985" s="86">
        <v>25.200000000000003</v>
      </c>
      <c r="R985" s="85">
        <v>25.200000000000003</v>
      </c>
      <c r="S985" s="87">
        <v>2398000</v>
      </c>
      <c r="T985" s="1">
        <v>9</v>
      </c>
      <c r="U985" s="88">
        <v>95158.730158730148</v>
      </c>
      <c r="V985" s="59">
        <v>10.508757297748126</v>
      </c>
      <c r="X985" s="98">
        <v>8.4</v>
      </c>
      <c r="Y985" s="97">
        <v>99.961904761904762</v>
      </c>
    </row>
    <row r="986" spans="1:25">
      <c r="A986" s="58">
        <v>987</v>
      </c>
      <c r="B986" s="58">
        <v>987</v>
      </c>
      <c r="C986" s="58" t="s">
        <v>1550</v>
      </c>
      <c r="D986" s="58" t="s">
        <v>197</v>
      </c>
      <c r="E986" s="58" t="s">
        <v>197</v>
      </c>
      <c r="F986" s="58" t="s">
        <v>1551</v>
      </c>
      <c r="G986" s="58" t="s">
        <v>1552</v>
      </c>
      <c r="H986" s="58" t="s">
        <v>179</v>
      </c>
      <c r="I986">
        <v>38000</v>
      </c>
      <c r="J986" s="58" t="s">
        <v>185</v>
      </c>
      <c r="K986">
        <v>38000</v>
      </c>
      <c r="L986" s="74">
        <v>1.9550000000000001</v>
      </c>
      <c r="M986" s="85">
        <v>2</v>
      </c>
      <c r="N986" s="74">
        <v>2.0670000000000002</v>
      </c>
      <c r="O986">
        <v>2</v>
      </c>
      <c r="P986" s="84">
        <v>1.5502500000000001</v>
      </c>
      <c r="Q986" s="86">
        <v>16.8</v>
      </c>
      <c r="R986" s="85">
        <v>16.8</v>
      </c>
      <c r="S986" s="87">
        <v>488330</v>
      </c>
      <c r="T986" s="1">
        <v>4</v>
      </c>
      <c r="U986" s="88">
        <v>29067.261904761905</v>
      </c>
      <c r="V986" s="59">
        <v>34.402965207953635</v>
      </c>
      <c r="X986" s="98">
        <v>25.200000000000003</v>
      </c>
      <c r="Y986" s="97">
        <v>95.158730158730151</v>
      </c>
    </row>
    <row r="987" spans="1:25">
      <c r="A987" s="58">
        <v>988</v>
      </c>
      <c r="B987" s="58">
        <v>988</v>
      </c>
      <c r="C987" s="58" t="s">
        <v>1553</v>
      </c>
      <c r="D987" s="58" t="s">
        <v>197</v>
      </c>
      <c r="E987" s="58" t="s">
        <v>197</v>
      </c>
      <c r="F987" s="58" t="s">
        <v>1551</v>
      </c>
      <c r="G987" s="58" t="s">
        <v>1552</v>
      </c>
      <c r="H987" s="58" t="s">
        <v>179</v>
      </c>
      <c r="I987">
        <v>38000</v>
      </c>
      <c r="J987" s="58" t="s">
        <v>185</v>
      </c>
      <c r="K987">
        <v>38000</v>
      </c>
      <c r="L987" s="74">
        <v>4.8280000000000003</v>
      </c>
      <c r="M987" s="85">
        <v>5</v>
      </c>
      <c r="N987" s="74">
        <v>0.57699999999999996</v>
      </c>
      <c r="O987">
        <v>2</v>
      </c>
      <c r="P987" s="84">
        <v>0.57699999999999996</v>
      </c>
      <c r="Q987" s="86">
        <v>4.2</v>
      </c>
      <c r="R987" s="85">
        <v>4.2</v>
      </c>
      <c r="S987" s="87">
        <v>699140</v>
      </c>
      <c r="T987" s="1">
        <v>4</v>
      </c>
      <c r="U987" s="88">
        <v>166461.90476190476</v>
      </c>
      <c r="V987" s="59">
        <v>6.0073804960379897</v>
      </c>
      <c r="X987" s="98">
        <v>16.8</v>
      </c>
      <c r="Y987" s="97">
        <v>29.067261904761907</v>
      </c>
    </row>
    <row r="988" spans="1:25">
      <c r="A988" s="58">
        <v>989</v>
      </c>
      <c r="B988" s="58">
        <v>989</v>
      </c>
      <c r="C988" s="58" t="s">
        <v>1554</v>
      </c>
      <c r="D988" s="58" t="s">
        <v>197</v>
      </c>
      <c r="E988" s="58" t="s">
        <v>197</v>
      </c>
      <c r="F988" s="58" t="s">
        <v>1551</v>
      </c>
      <c r="G988" s="58" t="s">
        <v>1552</v>
      </c>
      <c r="H988" s="58" t="s">
        <v>179</v>
      </c>
      <c r="I988">
        <v>38000</v>
      </c>
      <c r="J988" s="58" t="s">
        <v>185</v>
      </c>
      <c r="K988">
        <v>38000</v>
      </c>
      <c r="L988" s="74">
        <v>2.1640000000000001</v>
      </c>
      <c r="M988" s="85">
        <v>3</v>
      </c>
      <c r="N988" s="74">
        <v>1.9530000000000001</v>
      </c>
      <c r="O988">
        <v>2</v>
      </c>
      <c r="P988" s="84">
        <v>1.46475</v>
      </c>
      <c r="Q988" s="86">
        <v>16.8</v>
      </c>
      <c r="R988" s="85">
        <v>16.8</v>
      </c>
      <c r="S988" s="87">
        <v>558600</v>
      </c>
      <c r="T988" s="1">
        <v>4</v>
      </c>
      <c r="U988" s="88">
        <v>33250</v>
      </c>
      <c r="V988" s="59">
        <v>30.075187969924812</v>
      </c>
      <c r="X988" s="98">
        <v>4.2</v>
      </c>
      <c r="Y988" s="97">
        <v>166.46190476190475</v>
      </c>
    </row>
    <row r="989" spans="1:25">
      <c r="A989" s="58">
        <v>990</v>
      </c>
      <c r="B989" s="58">
        <v>990</v>
      </c>
      <c r="C989" s="58" t="s">
        <v>1555</v>
      </c>
      <c r="D989" s="58" t="s">
        <v>187</v>
      </c>
      <c r="E989" s="58" t="s">
        <v>187</v>
      </c>
      <c r="F989" s="58" t="s">
        <v>1469</v>
      </c>
      <c r="G989" s="58" t="s">
        <v>1470</v>
      </c>
      <c r="H989" s="58" t="s">
        <v>179</v>
      </c>
      <c r="I989">
        <v>38000</v>
      </c>
      <c r="J989">
        <v>38000</v>
      </c>
      <c r="K989">
        <v>20000</v>
      </c>
      <c r="L989" s="74">
        <v>1.282</v>
      </c>
      <c r="M989" s="85">
        <v>2</v>
      </c>
      <c r="N989" s="74">
        <v>1.766</v>
      </c>
      <c r="O989">
        <v>2</v>
      </c>
      <c r="P989" s="84">
        <v>1.3245</v>
      </c>
      <c r="Q989" s="86">
        <v>12.600000000000001</v>
      </c>
      <c r="R989" s="85">
        <v>12.600000000000001</v>
      </c>
      <c r="S989" s="87">
        <v>488330</v>
      </c>
      <c r="T989" s="1">
        <v>4</v>
      </c>
      <c r="U989" s="88">
        <v>38756.349206349201</v>
      </c>
      <c r="V989" s="59">
        <v>25.802223905965231</v>
      </c>
      <c r="X989" s="98">
        <v>16.8</v>
      </c>
      <c r="Y989" s="97">
        <v>33.25</v>
      </c>
    </row>
    <row r="990" spans="1:25">
      <c r="A990" s="58">
        <v>991</v>
      </c>
      <c r="B990" s="58">
        <v>991</v>
      </c>
      <c r="C990" s="58" t="s">
        <v>1556</v>
      </c>
      <c r="D990" s="58" t="s">
        <v>187</v>
      </c>
      <c r="E990" s="58" t="s">
        <v>187</v>
      </c>
      <c r="F990" s="58" t="s">
        <v>731</v>
      </c>
      <c r="G990" s="58" t="s">
        <v>732</v>
      </c>
      <c r="H990" s="58" t="s">
        <v>179</v>
      </c>
      <c r="I990">
        <v>38000</v>
      </c>
      <c r="L990" s="74">
        <v>4.944</v>
      </c>
      <c r="M990" s="85">
        <v>5</v>
      </c>
      <c r="N990" s="74">
        <v>0.70599999999999996</v>
      </c>
      <c r="O990">
        <v>2</v>
      </c>
      <c r="P990" s="84">
        <v>0.52949999999999997</v>
      </c>
      <c r="Q990" s="86">
        <v>4.2</v>
      </c>
      <c r="R990" s="85">
        <v>4.2</v>
      </c>
      <c r="S990" s="87">
        <v>699140</v>
      </c>
      <c r="T990" s="1">
        <v>4</v>
      </c>
      <c r="U990" s="88">
        <v>166461.90476190476</v>
      </c>
      <c r="V990" s="59">
        <v>6.0073804960379897</v>
      </c>
      <c r="X990" s="98">
        <v>12.600000000000001</v>
      </c>
      <c r="Y990" s="97">
        <v>38.756349206349206</v>
      </c>
    </row>
    <row r="991" spans="1:25">
      <c r="A991" s="58">
        <v>992</v>
      </c>
      <c r="B991" s="58">
        <v>992</v>
      </c>
      <c r="C991" s="58" t="s">
        <v>1557</v>
      </c>
      <c r="D991" s="58" t="s">
        <v>187</v>
      </c>
      <c r="E991" s="58" t="s">
        <v>187</v>
      </c>
      <c r="F991" s="58" t="s">
        <v>418</v>
      </c>
      <c r="G991" s="58" t="s">
        <v>419</v>
      </c>
      <c r="H991" s="58" t="s">
        <v>199</v>
      </c>
      <c r="I991">
        <v>110000</v>
      </c>
      <c r="J991" s="58" t="s">
        <v>185</v>
      </c>
      <c r="K991">
        <v>110000</v>
      </c>
      <c r="L991" s="74">
        <v>10.983000000000001</v>
      </c>
      <c r="M991" s="85">
        <v>11</v>
      </c>
      <c r="N991" s="74">
        <v>0.60899999999999999</v>
      </c>
      <c r="O991">
        <v>2</v>
      </c>
      <c r="P991" s="84">
        <v>0.60899999999999999</v>
      </c>
      <c r="Q991" s="86">
        <v>4.2</v>
      </c>
      <c r="R991" s="85">
        <v>4.2</v>
      </c>
      <c r="S991" s="87">
        <v>1996170</v>
      </c>
      <c r="T991" s="1">
        <v>7</v>
      </c>
      <c r="U991" s="88">
        <v>475278.57142857142</v>
      </c>
      <c r="V991" s="59">
        <v>2.1040292159485414</v>
      </c>
      <c r="X991" s="98">
        <v>4.2</v>
      </c>
      <c r="Y991" s="97">
        <v>166.46190476190475</v>
      </c>
    </row>
    <row r="992" spans="1:25">
      <c r="A992" s="58">
        <v>993</v>
      </c>
      <c r="B992" s="58">
        <v>993</v>
      </c>
      <c r="C992" s="58" t="s">
        <v>1558</v>
      </c>
      <c r="D992" s="58" t="s">
        <v>187</v>
      </c>
      <c r="E992" s="58" t="s">
        <v>187</v>
      </c>
      <c r="F992" s="58" t="s">
        <v>418</v>
      </c>
      <c r="G992" s="58" t="s">
        <v>419</v>
      </c>
      <c r="H992" s="58" t="s">
        <v>199</v>
      </c>
      <c r="I992">
        <v>110000</v>
      </c>
      <c r="J992" s="58" t="s">
        <v>185</v>
      </c>
      <c r="K992">
        <v>110000</v>
      </c>
      <c r="L992" s="74">
        <v>8.7390000000000008</v>
      </c>
      <c r="M992" s="85">
        <v>9</v>
      </c>
      <c r="N992" s="74">
        <v>8.3800000000000008</v>
      </c>
      <c r="O992">
        <v>2</v>
      </c>
      <c r="P992" s="84">
        <v>6.2850000000000001</v>
      </c>
      <c r="Q992" s="86">
        <v>75.600000000000009</v>
      </c>
      <c r="R992" s="85">
        <v>75.600000000000009</v>
      </c>
      <c r="S992" s="87">
        <v>2815750</v>
      </c>
      <c r="T992" s="1">
        <v>11</v>
      </c>
      <c r="U992" s="88">
        <v>37245.370370370365</v>
      </c>
      <c r="V992" s="59">
        <v>26.848974518334373</v>
      </c>
      <c r="X992" s="98">
        <v>4.2</v>
      </c>
      <c r="Y992" s="97">
        <v>475.27857142857147</v>
      </c>
    </row>
    <row r="993" spans="1:25">
      <c r="A993" s="58">
        <v>994</v>
      </c>
      <c r="B993" s="58">
        <v>994</v>
      </c>
      <c r="C993" s="58" t="s">
        <v>1559</v>
      </c>
      <c r="D993" s="58" t="s">
        <v>187</v>
      </c>
      <c r="E993" s="58" t="s">
        <v>187</v>
      </c>
      <c r="F993" s="58" t="s">
        <v>752</v>
      </c>
      <c r="G993" s="58" t="s">
        <v>753</v>
      </c>
      <c r="H993" s="58" t="s">
        <v>199</v>
      </c>
      <c r="I993">
        <v>110000</v>
      </c>
      <c r="J993" s="58" t="s">
        <v>185</v>
      </c>
      <c r="K993">
        <v>110000</v>
      </c>
      <c r="L993" s="74">
        <v>12.298999999999999</v>
      </c>
      <c r="M993" s="85">
        <v>13</v>
      </c>
      <c r="N993" s="74">
        <v>4.1550000000000002</v>
      </c>
      <c r="O993">
        <v>2</v>
      </c>
      <c r="P993" s="84">
        <v>3.11625</v>
      </c>
      <c r="Q993" s="86">
        <v>37.800000000000004</v>
      </c>
      <c r="R993" s="85">
        <v>37.800000000000004</v>
      </c>
      <c r="S993" s="87">
        <v>3400230</v>
      </c>
      <c r="T993" s="1">
        <v>10</v>
      </c>
      <c r="U993" s="88">
        <v>89953.174603174586</v>
      </c>
      <c r="V993" s="59">
        <v>11.116895033571261</v>
      </c>
      <c r="X993" s="98">
        <v>75.600000000000009</v>
      </c>
      <c r="Y993" s="97">
        <v>37.245370370370367</v>
      </c>
    </row>
    <row r="994" spans="1:25">
      <c r="A994" s="58">
        <v>995</v>
      </c>
      <c r="B994" s="58">
        <v>995</v>
      </c>
      <c r="C994" s="58" t="s">
        <v>1560</v>
      </c>
      <c r="D994" s="58" t="s">
        <v>187</v>
      </c>
      <c r="E994" s="58" t="s">
        <v>187</v>
      </c>
      <c r="F994" s="58" t="s">
        <v>368</v>
      </c>
      <c r="G994" s="58" t="s">
        <v>369</v>
      </c>
      <c r="H994" s="58" t="s">
        <v>199</v>
      </c>
      <c r="I994">
        <v>110000</v>
      </c>
      <c r="J994">
        <v>110000</v>
      </c>
      <c r="K994">
        <v>38000</v>
      </c>
      <c r="L994" s="74">
        <v>6.1189999999999998</v>
      </c>
      <c r="M994" s="85">
        <v>7</v>
      </c>
      <c r="N994" s="74">
        <v>8.2750000000000004</v>
      </c>
      <c r="O994">
        <v>2</v>
      </c>
      <c r="P994" s="84">
        <v>6.2062500000000007</v>
      </c>
      <c r="Q994" s="86">
        <v>75.600000000000009</v>
      </c>
      <c r="R994" s="85">
        <v>75.600000000000009</v>
      </c>
      <c r="S994" s="87">
        <v>2394130</v>
      </c>
      <c r="T994" s="1">
        <v>11</v>
      </c>
      <c r="U994" s="88">
        <v>31668.386243386241</v>
      </c>
      <c r="V994" s="59">
        <v>31.577232648185358</v>
      </c>
      <c r="X994" s="98">
        <v>37.800000000000004</v>
      </c>
      <c r="Y994" s="97">
        <v>89.953174603174588</v>
      </c>
    </row>
    <row r="995" spans="1:25">
      <c r="A995" s="58">
        <v>996</v>
      </c>
      <c r="B995" s="58">
        <v>996</v>
      </c>
      <c r="C995" s="58" t="s">
        <v>1561</v>
      </c>
      <c r="D995" s="58" t="s">
        <v>187</v>
      </c>
      <c r="E995" s="58" t="s">
        <v>187</v>
      </c>
      <c r="F995" s="58" t="s">
        <v>368</v>
      </c>
      <c r="G995" s="58" t="s">
        <v>369</v>
      </c>
      <c r="H995" s="58" t="s">
        <v>199</v>
      </c>
      <c r="I995">
        <v>110000</v>
      </c>
      <c r="J995">
        <v>110000</v>
      </c>
      <c r="K995">
        <v>38000</v>
      </c>
      <c r="L995" s="74">
        <v>9.3409999999999993</v>
      </c>
      <c r="M995" s="85">
        <v>10</v>
      </c>
      <c r="N995" s="74">
        <v>1.871</v>
      </c>
      <c r="O995">
        <v>2</v>
      </c>
      <c r="P995" s="84">
        <v>1.4032499999999999</v>
      </c>
      <c r="Q995" s="86">
        <v>16.8</v>
      </c>
      <c r="R995" s="85">
        <v>16.8</v>
      </c>
      <c r="S995" s="87">
        <v>2297410</v>
      </c>
      <c r="T995" s="1">
        <v>8</v>
      </c>
      <c r="U995" s="88">
        <v>136750.59523809524</v>
      </c>
      <c r="V995" s="59">
        <v>7.3125824297796216</v>
      </c>
      <c r="X995" s="98">
        <v>75.600000000000009</v>
      </c>
      <c r="Y995" s="97">
        <v>31.668386243386241</v>
      </c>
    </row>
    <row r="996" spans="1:25">
      <c r="A996" s="89">
        <v>997</v>
      </c>
      <c r="B996" s="89">
        <v>997</v>
      </c>
      <c r="C996" s="89" t="s">
        <v>1562</v>
      </c>
      <c r="D996" s="58" t="s">
        <v>187</v>
      </c>
      <c r="E996" s="58" t="s">
        <v>187</v>
      </c>
      <c r="F996" s="89" t="s">
        <v>415</v>
      </c>
      <c r="G996" s="89" t="s">
        <v>416</v>
      </c>
      <c r="H996" s="89" t="s">
        <v>179</v>
      </c>
      <c r="I996" s="90">
        <v>38000</v>
      </c>
      <c r="J996" s="90">
        <v>38000</v>
      </c>
      <c r="K996" s="89" t="s">
        <v>185</v>
      </c>
      <c r="L996" s="91">
        <v>7.1909999999999998</v>
      </c>
      <c r="M996" s="92">
        <v>8</v>
      </c>
      <c r="N996" s="91">
        <v>11.635</v>
      </c>
      <c r="O996" s="90">
        <v>2</v>
      </c>
      <c r="P996" s="92">
        <v>8.7262500000000003</v>
      </c>
      <c r="Q996" s="93">
        <v>105</v>
      </c>
      <c r="R996" s="92">
        <v>105</v>
      </c>
      <c r="S996" s="87">
        <v>2604940</v>
      </c>
      <c r="T996" s="94">
        <v>11</v>
      </c>
      <c r="U996" s="95">
        <v>24808.952380952382</v>
      </c>
      <c r="V996" s="96">
        <v>40.308030127373378</v>
      </c>
      <c r="X996" s="98">
        <v>16.8</v>
      </c>
      <c r="Y996" s="97">
        <v>136.75059523809523</v>
      </c>
    </row>
    <row r="997" spans="1:25">
      <c r="A997" s="58">
        <v>998</v>
      </c>
      <c r="B997" s="58">
        <v>998</v>
      </c>
      <c r="C997" s="58" t="s">
        <v>1563</v>
      </c>
      <c r="D997" s="58" t="s">
        <v>187</v>
      </c>
      <c r="E997" s="58" t="s">
        <v>187</v>
      </c>
      <c r="F997" s="58" t="s">
        <v>418</v>
      </c>
      <c r="G997" s="58" t="s">
        <v>419</v>
      </c>
      <c r="H997" s="58" t="s">
        <v>199</v>
      </c>
      <c r="I997">
        <v>110000</v>
      </c>
      <c r="J997" s="58" t="s">
        <v>185</v>
      </c>
      <c r="K997">
        <v>110000</v>
      </c>
      <c r="L997" s="74">
        <v>3.7810000000000001</v>
      </c>
      <c r="M997" s="85">
        <v>4</v>
      </c>
      <c r="N997" s="74">
        <v>5.2130000000000001</v>
      </c>
      <c r="O997">
        <v>2</v>
      </c>
      <c r="P997" s="84">
        <v>3.9097499999999998</v>
      </c>
      <c r="Q997" s="86">
        <v>46.2</v>
      </c>
      <c r="R997" s="85">
        <v>46.2</v>
      </c>
      <c r="S997" s="87">
        <v>1761700</v>
      </c>
      <c r="T997" s="1">
        <v>11</v>
      </c>
      <c r="U997" s="88">
        <v>38132.034632034629</v>
      </c>
      <c r="V997" s="59">
        <v>26.224669353465401</v>
      </c>
      <c r="X997" s="98">
        <v>105</v>
      </c>
      <c r="Y997" s="97">
        <v>24.808952380952384</v>
      </c>
    </row>
    <row r="998" spans="1:25">
      <c r="A998" s="58">
        <v>999</v>
      </c>
      <c r="B998" s="58">
        <v>999</v>
      </c>
      <c r="C998" s="58" t="s">
        <v>1564</v>
      </c>
      <c r="D998" s="58" t="s">
        <v>187</v>
      </c>
      <c r="E998" s="58" t="s">
        <v>187</v>
      </c>
      <c r="F998" s="58" t="s">
        <v>368</v>
      </c>
      <c r="G998" s="58" t="s">
        <v>369</v>
      </c>
      <c r="H998" s="58" t="s">
        <v>199</v>
      </c>
      <c r="I998">
        <v>110000</v>
      </c>
      <c r="J998">
        <v>110000</v>
      </c>
      <c r="K998">
        <v>38000</v>
      </c>
      <c r="L998" s="74">
        <v>10.545</v>
      </c>
      <c r="M998" s="85">
        <v>11</v>
      </c>
      <c r="N998" s="74">
        <v>1.3560000000000001</v>
      </c>
      <c r="O998">
        <v>2</v>
      </c>
      <c r="P998" s="84">
        <v>1.0170000000000001</v>
      </c>
      <c r="Q998" s="86">
        <v>12.600000000000001</v>
      </c>
      <c r="R998" s="85">
        <v>12.600000000000001</v>
      </c>
      <c r="S998" s="87">
        <v>1996170</v>
      </c>
      <c r="T998" s="1">
        <v>7</v>
      </c>
      <c r="U998" s="88">
        <v>158426.19047619044</v>
      </c>
      <c r="V998" s="59">
        <v>6.3120876478456251</v>
      </c>
      <c r="X998" s="98">
        <v>46.2</v>
      </c>
      <c r="Y998" s="97">
        <v>38.132034632034632</v>
      </c>
    </row>
    <row r="999" spans="1:25">
      <c r="A999" s="58">
        <v>1000</v>
      </c>
      <c r="B999" s="58">
        <v>1000</v>
      </c>
      <c r="C999" s="58" t="s">
        <v>1565</v>
      </c>
      <c r="D999" s="58" t="s">
        <v>187</v>
      </c>
      <c r="E999" s="58" t="s">
        <v>187</v>
      </c>
      <c r="F999" s="58" t="s">
        <v>368</v>
      </c>
      <c r="G999" s="58" t="s">
        <v>369</v>
      </c>
      <c r="H999" s="58" t="s">
        <v>199</v>
      </c>
      <c r="I999">
        <v>110000</v>
      </c>
      <c r="J999">
        <v>110000</v>
      </c>
      <c r="K999">
        <v>38000</v>
      </c>
      <c r="L999" s="74">
        <v>3.1829999999999998</v>
      </c>
      <c r="M999" s="85">
        <v>4</v>
      </c>
      <c r="N999" s="74">
        <v>1.82</v>
      </c>
      <c r="O999">
        <v>2</v>
      </c>
      <c r="P999" s="84">
        <v>1.365</v>
      </c>
      <c r="Q999" s="86">
        <v>16.8</v>
      </c>
      <c r="R999" s="85">
        <v>16.8</v>
      </c>
      <c r="S999" s="87">
        <v>1875790</v>
      </c>
      <c r="T999" s="1">
        <v>8</v>
      </c>
      <c r="U999" s="88">
        <v>111654.16666666666</v>
      </c>
      <c r="V999" s="59">
        <v>8.9562264432585739</v>
      </c>
      <c r="X999" s="98">
        <v>12.600000000000001</v>
      </c>
      <c r="Y999" s="97">
        <v>158.42619047619044</v>
      </c>
    </row>
    <row r="1000" spans="1:25">
      <c r="A1000" s="58">
        <v>1001</v>
      </c>
      <c r="B1000" s="58">
        <v>1001</v>
      </c>
      <c r="C1000" s="58" t="s">
        <v>1566</v>
      </c>
      <c r="D1000" s="58" t="s">
        <v>187</v>
      </c>
      <c r="E1000" s="58" t="s">
        <v>187</v>
      </c>
      <c r="F1000" s="58" t="s">
        <v>368</v>
      </c>
      <c r="G1000" s="58" t="s">
        <v>369</v>
      </c>
      <c r="H1000" s="58" t="s">
        <v>199</v>
      </c>
      <c r="I1000">
        <v>110000</v>
      </c>
      <c r="J1000">
        <v>110000</v>
      </c>
      <c r="K1000">
        <v>38000</v>
      </c>
      <c r="L1000" s="74">
        <v>7.1539999999999999</v>
      </c>
      <c r="M1000" s="85">
        <v>8</v>
      </c>
      <c r="N1000" s="74">
        <v>5.444</v>
      </c>
      <c r="O1000">
        <v>2</v>
      </c>
      <c r="P1000" s="84">
        <v>4.0830000000000002</v>
      </c>
      <c r="Q1000" s="86">
        <v>50.400000000000006</v>
      </c>
      <c r="R1000" s="85">
        <v>50.400000000000006</v>
      </c>
      <c r="S1000" s="87">
        <v>2604940</v>
      </c>
      <c r="T1000" s="1">
        <v>11</v>
      </c>
      <c r="U1000" s="88">
        <v>51685.317460317456</v>
      </c>
      <c r="V1000" s="59">
        <v>19.347854461139224</v>
      </c>
      <c r="X1000" s="98">
        <v>16.8</v>
      </c>
      <c r="Y1000" s="97">
        <v>111.65416666666665</v>
      </c>
    </row>
    <row r="1001" spans="1:25">
      <c r="A1001" s="89">
        <v>1002</v>
      </c>
      <c r="B1001" s="89">
        <v>1002</v>
      </c>
      <c r="C1001" s="89" t="s">
        <v>1567</v>
      </c>
      <c r="D1001" s="58" t="s">
        <v>351</v>
      </c>
      <c r="E1001" s="58" t="s">
        <v>351</v>
      </c>
      <c r="F1001" s="89" t="s">
        <v>514</v>
      </c>
      <c r="G1001" s="89" t="s">
        <v>515</v>
      </c>
      <c r="H1001" s="89" t="s">
        <v>179</v>
      </c>
      <c r="I1001" s="90">
        <v>38000</v>
      </c>
      <c r="J1001" s="90">
        <v>38000</v>
      </c>
      <c r="K1001" s="90">
        <v>20000</v>
      </c>
      <c r="L1001" s="91">
        <v>10.009</v>
      </c>
      <c r="M1001" s="92">
        <v>11</v>
      </c>
      <c r="N1001" s="91">
        <v>21.5</v>
      </c>
      <c r="O1001" s="90">
        <v>2</v>
      </c>
      <c r="P1001" s="92">
        <v>16.125</v>
      </c>
      <c r="Q1001" s="93">
        <v>197.4</v>
      </c>
      <c r="R1001" s="92">
        <v>197.4</v>
      </c>
      <c r="S1001" s="87">
        <v>9068760</v>
      </c>
      <c r="T1001" s="94">
        <v>13</v>
      </c>
      <c r="U1001" s="95">
        <v>45941.033434650453</v>
      </c>
      <c r="V1001" s="96">
        <v>21.76703319968772</v>
      </c>
      <c r="X1001" s="98">
        <v>50.400000000000006</v>
      </c>
      <c r="Y1001" s="97">
        <v>51.685317460317449</v>
      </c>
    </row>
    <row r="1002" spans="1:25">
      <c r="A1002" s="89">
        <v>1003</v>
      </c>
      <c r="B1002" s="89">
        <v>1003</v>
      </c>
      <c r="C1002" s="89" t="s">
        <v>1568</v>
      </c>
      <c r="D1002" s="58" t="s">
        <v>249</v>
      </c>
      <c r="E1002" s="58" t="s">
        <v>351</v>
      </c>
      <c r="F1002" s="89" t="s">
        <v>514</v>
      </c>
      <c r="G1002" s="89" t="s">
        <v>515</v>
      </c>
      <c r="H1002" s="89" t="s">
        <v>179</v>
      </c>
      <c r="I1002" s="90">
        <v>38000</v>
      </c>
      <c r="J1002" s="90">
        <v>38000</v>
      </c>
      <c r="K1002" s="90">
        <v>20000</v>
      </c>
      <c r="L1002" s="91">
        <v>8.3970000000000002</v>
      </c>
      <c r="M1002" s="92">
        <v>9</v>
      </c>
      <c r="N1002" s="91">
        <v>25.306000000000001</v>
      </c>
      <c r="O1002" s="90">
        <v>2</v>
      </c>
      <c r="P1002" s="92">
        <v>18.979500000000002</v>
      </c>
      <c r="Q1002" s="93">
        <v>235.20000000000005</v>
      </c>
      <c r="R1002" s="92">
        <v>235.20000000000005</v>
      </c>
      <c r="S1002" s="87">
        <v>8678360</v>
      </c>
      <c r="T1002" s="94">
        <v>12</v>
      </c>
      <c r="U1002" s="95">
        <v>36897.78911564625</v>
      </c>
      <c r="V1002" s="96">
        <v>27.101894828055077</v>
      </c>
      <c r="X1002" s="98">
        <v>197.4</v>
      </c>
      <c r="Y1002" s="97">
        <v>45.941033434650457</v>
      </c>
    </row>
    <row r="1003" spans="1:25">
      <c r="A1003" s="89">
        <v>1004</v>
      </c>
      <c r="B1003" s="89">
        <v>1004</v>
      </c>
      <c r="C1003" s="89" t="s">
        <v>1569</v>
      </c>
      <c r="D1003" s="58" t="s">
        <v>249</v>
      </c>
      <c r="E1003" s="58" t="s">
        <v>351</v>
      </c>
      <c r="F1003" s="89" t="s">
        <v>250</v>
      </c>
      <c r="G1003" s="89" t="s">
        <v>251</v>
      </c>
      <c r="H1003" s="89" t="s">
        <v>199</v>
      </c>
      <c r="I1003" s="90">
        <v>110000</v>
      </c>
      <c r="J1003" s="89"/>
      <c r="K1003" s="89"/>
      <c r="L1003" s="91">
        <v>8.6319999999999997</v>
      </c>
      <c r="M1003" s="92">
        <v>9</v>
      </c>
      <c r="N1003" s="91">
        <v>22.242000000000001</v>
      </c>
      <c r="O1003" s="90">
        <v>2</v>
      </c>
      <c r="P1003" s="92">
        <v>16.6815</v>
      </c>
      <c r="Q1003" s="93">
        <v>205.8</v>
      </c>
      <c r="R1003" s="92">
        <v>205.8</v>
      </c>
      <c r="S1003" s="87">
        <v>8678360</v>
      </c>
      <c r="T1003" s="94">
        <v>12</v>
      </c>
      <c r="U1003" s="95">
        <v>42168.901846452864</v>
      </c>
      <c r="V1003" s="96">
        <v>23.714157974548186</v>
      </c>
      <c r="X1003" s="98">
        <v>235.20000000000005</v>
      </c>
      <c r="Y1003" s="97">
        <v>36.897789115646248</v>
      </c>
    </row>
    <row r="1004" spans="1:25">
      <c r="A1004" s="58">
        <v>1005</v>
      </c>
      <c r="B1004" s="58">
        <v>1005</v>
      </c>
      <c r="C1004" s="58" t="s">
        <v>1570</v>
      </c>
      <c r="D1004" s="58" t="s">
        <v>351</v>
      </c>
      <c r="E1004" s="58" t="s">
        <v>351</v>
      </c>
      <c r="F1004" s="58" t="s">
        <v>422</v>
      </c>
      <c r="G1004" s="58" t="s">
        <v>423</v>
      </c>
      <c r="H1004" s="58" t="s">
        <v>199</v>
      </c>
      <c r="I1004">
        <v>110000</v>
      </c>
      <c r="J1004">
        <v>110000</v>
      </c>
      <c r="K1004">
        <v>20000</v>
      </c>
      <c r="L1004" s="74">
        <v>7.2030000000000003</v>
      </c>
      <c r="M1004" s="85">
        <v>8</v>
      </c>
      <c r="N1004" s="74">
        <v>13.323</v>
      </c>
      <c r="O1004">
        <v>2</v>
      </c>
      <c r="P1004" s="84">
        <v>9.9922500000000003</v>
      </c>
      <c r="Q1004" s="86">
        <v>121.80000000000001</v>
      </c>
      <c r="R1004" s="85">
        <v>121.80000000000001</v>
      </c>
      <c r="S1004" s="87">
        <v>2604940</v>
      </c>
      <c r="T1004" s="1">
        <v>11</v>
      </c>
      <c r="U1004" s="88">
        <v>21387.027914614118</v>
      </c>
      <c r="V1004" s="59">
        <v>46.757314947753123</v>
      </c>
      <c r="X1004" s="98">
        <v>205.8</v>
      </c>
      <c r="Y1004" s="97">
        <v>42.168901846452862</v>
      </c>
    </row>
    <row r="1005" spans="1:25">
      <c r="A1005" s="58">
        <v>1006</v>
      </c>
      <c r="B1005" s="58">
        <v>1006</v>
      </c>
      <c r="C1005" s="58" t="s">
        <v>1571</v>
      </c>
      <c r="D1005" s="58" t="s">
        <v>351</v>
      </c>
      <c r="E1005" s="58" t="s">
        <v>351</v>
      </c>
      <c r="F1005" s="58" t="s">
        <v>514</v>
      </c>
      <c r="G1005" s="58" t="s">
        <v>515</v>
      </c>
      <c r="H1005" s="58" t="s">
        <v>179</v>
      </c>
      <c r="I1005">
        <v>38000</v>
      </c>
      <c r="J1005">
        <v>38000</v>
      </c>
      <c r="K1005">
        <v>20000</v>
      </c>
      <c r="L1005" s="74">
        <v>6.8719999999999999</v>
      </c>
      <c r="M1005" s="85">
        <v>7</v>
      </c>
      <c r="N1005" s="74">
        <v>3.573</v>
      </c>
      <c r="O1005">
        <v>2</v>
      </c>
      <c r="P1005" s="84">
        <v>2.6797499999999999</v>
      </c>
      <c r="Q1005" s="86">
        <v>29.400000000000006</v>
      </c>
      <c r="R1005" s="85">
        <v>29.400000000000006</v>
      </c>
      <c r="S1005" s="87">
        <v>969600</v>
      </c>
      <c r="T1005" s="1">
        <v>5</v>
      </c>
      <c r="U1005" s="88">
        <v>32979.591836734689</v>
      </c>
      <c r="V1005" s="59">
        <v>30.321782178217831</v>
      </c>
      <c r="X1005" s="98">
        <v>121.80000000000001</v>
      </c>
      <c r="Y1005" s="97">
        <v>21.387027914614119</v>
      </c>
    </row>
    <row r="1006" spans="1:25">
      <c r="A1006" s="58">
        <v>1007</v>
      </c>
      <c r="B1006" s="58">
        <v>1007</v>
      </c>
      <c r="C1006" s="58" t="s">
        <v>1572</v>
      </c>
      <c r="D1006" s="58" t="s">
        <v>346</v>
      </c>
      <c r="E1006" s="58" t="s">
        <v>234</v>
      </c>
      <c r="F1006" s="58" t="s">
        <v>425</v>
      </c>
      <c r="G1006" s="58" t="s">
        <v>426</v>
      </c>
      <c r="H1006" s="58" t="s">
        <v>199</v>
      </c>
      <c r="I1006">
        <v>110000</v>
      </c>
      <c r="J1006">
        <v>110000</v>
      </c>
      <c r="K1006">
        <v>38000</v>
      </c>
      <c r="L1006" s="74">
        <v>5.1740000000000004</v>
      </c>
      <c r="M1006" s="85">
        <v>6</v>
      </c>
      <c r="N1006" s="74">
        <v>9.9710000000000001</v>
      </c>
      <c r="O1006">
        <v>2</v>
      </c>
      <c r="P1006" s="84">
        <v>7.4782500000000001</v>
      </c>
      <c r="Q1006" s="86">
        <v>92.4</v>
      </c>
      <c r="R1006" s="85">
        <v>92.4</v>
      </c>
      <c r="S1006" s="87">
        <v>2183320</v>
      </c>
      <c r="T1006" s="1">
        <v>11</v>
      </c>
      <c r="U1006" s="88">
        <v>23629.004329004329</v>
      </c>
      <c r="V1006" s="59">
        <v>42.320869135078688</v>
      </c>
      <c r="X1006" s="98">
        <v>29.400000000000006</v>
      </c>
      <c r="Y1006" s="97">
        <v>32.979591836734691</v>
      </c>
    </row>
    <row r="1007" spans="1:25">
      <c r="A1007" s="58">
        <v>1008</v>
      </c>
      <c r="B1007" s="58">
        <v>1008</v>
      </c>
      <c r="C1007" s="58" t="s">
        <v>1573</v>
      </c>
      <c r="D1007" s="58" t="s">
        <v>234</v>
      </c>
      <c r="E1007" s="58" t="s">
        <v>234</v>
      </c>
      <c r="F1007" s="58" t="s">
        <v>425</v>
      </c>
      <c r="G1007" s="58" t="s">
        <v>426</v>
      </c>
      <c r="H1007" s="58" t="s">
        <v>199</v>
      </c>
      <c r="I1007">
        <v>110000</v>
      </c>
      <c r="J1007">
        <v>110000</v>
      </c>
      <c r="K1007">
        <v>38000</v>
      </c>
      <c r="L1007" s="74">
        <v>2.5419999999999998</v>
      </c>
      <c r="M1007" s="85">
        <v>3</v>
      </c>
      <c r="N1007" s="74">
        <v>4.992</v>
      </c>
      <c r="O1007">
        <v>2</v>
      </c>
      <c r="P1007" s="84">
        <v>3.7439999999999998</v>
      </c>
      <c r="Q1007" s="86">
        <v>46.2</v>
      </c>
      <c r="R1007" s="85">
        <v>46.2</v>
      </c>
      <c r="S1007" s="87">
        <v>1550890</v>
      </c>
      <c r="T1007" s="1">
        <v>11</v>
      </c>
      <c r="U1007" s="88">
        <v>33569.047619047618</v>
      </c>
      <c r="V1007" s="59">
        <v>29.789346762181715</v>
      </c>
      <c r="X1007" s="98">
        <v>92.4</v>
      </c>
      <c r="Y1007" s="97">
        <v>23.629004329004328</v>
      </c>
    </row>
    <row r="1008" spans="1:25">
      <c r="A1008" s="58">
        <v>1009</v>
      </c>
      <c r="B1008" s="58">
        <v>1009</v>
      </c>
      <c r="C1008" s="58" t="s">
        <v>1574</v>
      </c>
      <c r="D1008" s="58" t="s">
        <v>234</v>
      </c>
      <c r="E1008" s="58" t="s">
        <v>234</v>
      </c>
      <c r="F1008" s="58" t="s">
        <v>630</v>
      </c>
      <c r="G1008" s="58" t="s">
        <v>631</v>
      </c>
      <c r="H1008" s="58" t="s">
        <v>179</v>
      </c>
      <c r="I1008">
        <v>38000</v>
      </c>
      <c r="J1008" s="58" t="s">
        <v>185</v>
      </c>
      <c r="K1008">
        <v>38000</v>
      </c>
      <c r="L1008" s="74">
        <v>9.1790000000000003</v>
      </c>
      <c r="M1008" s="85">
        <v>10</v>
      </c>
      <c r="N1008" s="74">
        <v>0.47699999999999998</v>
      </c>
      <c r="O1008">
        <v>2</v>
      </c>
      <c r="P1008" s="84">
        <v>0.47699999999999998</v>
      </c>
      <c r="Q1008" s="86">
        <v>4.2</v>
      </c>
      <c r="R1008" s="85">
        <v>4.2</v>
      </c>
      <c r="S1008" s="87">
        <v>1387140</v>
      </c>
      <c r="T1008" s="1">
        <v>1</v>
      </c>
      <c r="U1008" s="88">
        <v>330271.42857142858</v>
      </c>
      <c r="V1008" s="59">
        <v>3.0278126216531858</v>
      </c>
      <c r="X1008" s="98">
        <v>46.2</v>
      </c>
      <c r="Y1008" s="97">
        <v>33.569047619047616</v>
      </c>
    </row>
    <row r="1009" spans="1:25">
      <c r="A1009" s="58">
        <v>1010</v>
      </c>
      <c r="B1009" s="58">
        <v>1010</v>
      </c>
      <c r="C1009" s="58" t="s">
        <v>1575</v>
      </c>
      <c r="D1009" s="58" t="s">
        <v>234</v>
      </c>
      <c r="E1009" s="58" t="s">
        <v>234</v>
      </c>
      <c r="F1009" s="58" t="s">
        <v>630</v>
      </c>
      <c r="G1009" s="58" t="s">
        <v>631</v>
      </c>
      <c r="H1009" s="58" t="s">
        <v>179</v>
      </c>
      <c r="I1009">
        <v>38000</v>
      </c>
      <c r="J1009" s="58" t="s">
        <v>185</v>
      </c>
      <c r="K1009">
        <v>38000</v>
      </c>
      <c r="L1009" s="74">
        <v>6.5970000000000004</v>
      </c>
      <c r="M1009" s="85">
        <v>7</v>
      </c>
      <c r="N1009" s="74">
        <v>3.673</v>
      </c>
      <c r="O1009">
        <v>2</v>
      </c>
      <c r="P1009" s="84">
        <v>2.75475</v>
      </c>
      <c r="Q1009" s="86">
        <v>33.6</v>
      </c>
      <c r="R1009" s="85">
        <v>33.6</v>
      </c>
      <c r="S1009" s="87">
        <v>1126610</v>
      </c>
      <c r="T1009" s="1">
        <v>6</v>
      </c>
      <c r="U1009" s="88">
        <v>33530.059523809519</v>
      </c>
      <c r="V1009" s="59">
        <v>29.823985230026363</v>
      </c>
      <c r="X1009" s="98">
        <v>4.2</v>
      </c>
      <c r="Y1009" s="97">
        <v>330.2714285714286</v>
      </c>
    </row>
    <row r="1010" spans="1:25">
      <c r="A1010" s="58">
        <v>1011</v>
      </c>
      <c r="B1010" s="58">
        <v>1011</v>
      </c>
      <c r="C1010" s="58" t="s">
        <v>1576</v>
      </c>
      <c r="D1010" s="58" t="s">
        <v>234</v>
      </c>
      <c r="E1010" s="58" t="s">
        <v>234</v>
      </c>
      <c r="F1010" s="58" t="s">
        <v>337</v>
      </c>
      <c r="G1010" s="58" t="s">
        <v>338</v>
      </c>
      <c r="H1010" s="58" t="s">
        <v>179</v>
      </c>
      <c r="I1010">
        <v>38000</v>
      </c>
      <c r="J1010">
        <v>38000</v>
      </c>
      <c r="K1010" s="58" t="s">
        <v>185</v>
      </c>
      <c r="L1010" s="74">
        <v>10.711</v>
      </c>
      <c r="M1010" s="85">
        <v>11</v>
      </c>
      <c r="N1010" s="74">
        <v>0.92200000000000004</v>
      </c>
      <c r="O1010">
        <v>2</v>
      </c>
      <c r="P1010" s="84">
        <v>0.6915</v>
      </c>
      <c r="Q1010" s="86">
        <v>8.4</v>
      </c>
      <c r="R1010" s="85">
        <v>8.4</v>
      </c>
      <c r="S1010" s="87">
        <v>1485200</v>
      </c>
      <c r="T1010" s="1">
        <v>2</v>
      </c>
      <c r="U1010" s="88">
        <v>176809.52380952382</v>
      </c>
      <c r="V1010" s="59">
        <v>5.655803932130353</v>
      </c>
      <c r="X1010" s="98">
        <v>33.6</v>
      </c>
      <c r="Y1010" s="97">
        <v>33.53005952380952</v>
      </c>
    </row>
    <row r="1011" spans="1:25">
      <c r="A1011" s="58">
        <v>1012</v>
      </c>
      <c r="B1011" s="58">
        <v>1012</v>
      </c>
      <c r="C1011" s="58" t="s">
        <v>1577</v>
      </c>
      <c r="D1011" s="58" t="s">
        <v>234</v>
      </c>
      <c r="E1011" s="58" t="s">
        <v>234</v>
      </c>
      <c r="F1011" s="58" t="s">
        <v>630</v>
      </c>
      <c r="G1011" s="58" t="s">
        <v>631</v>
      </c>
      <c r="H1011" s="58" t="s">
        <v>179</v>
      </c>
      <c r="I1011">
        <v>38000</v>
      </c>
      <c r="J1011" s="58" t="s">
        <v>185</v>
      </c>
      <c r="K1011">
        <v>38000</v>
      </c>
      <c r="L1011" s="74">
        <v>10.968999999999999</v>
      </c>
      <c r="M1011" s="85">
        <v>11</v>
      </c>
      <c r="N1011" s="74">
        <v>2.2949999999999999</v>
      </c>
      <c r="O1011">
        <v>2</v>
      </c>
      <c r="P1011" s="84">
        <v>1.7212499999999999</v>
      </c>
      <c r="Q1011" s="86">
        <v>21</v>
      </c>
      <c r="R1011" s="85">
        <v>21</v>
      </c>
      <c r="S1011" s="87">
        <v>1120760</v>
      </c>
      <c r="T1011" s="1">
        <v>4</v>
      </c>
      <c r="U1011" s="88">
        <v>53369.523809523809</v>
      </c>
      <c r="V1011" s="59">
        <v>18.737285413469433</v>
      </c>
      <c r="X1011" s="98">
        <v>8.4</v>
      </c>
      <c r="Y1011" s="97">
        <v>176.8095238095238</v>
      </c>
    </row>
    <row r="1012" spans="1:25">
      <c r="A1012" s="58">
        <v>1013</v>
      </c>
      <c r="B1012" s="58">
        <v>1013</v>
      </c>
      <c r="C1012" s="58" t="s">
        <v>1578</v>
      </c>
      <c r="D1012" s="58" t="s">
        <v>234</v>
      </c>
      <c r="E1012" s="58" t="s">
        <v>234</v>
      </c>
      <c r="F1012" s="58" t="s">
        <v>326</v>
      </c>
      <c r="G1012" s="58" t="s">
        <v>327</v>
      </c>
      <c r="H1012" s="58" t="s">
        <v>199</v>
      </c>
      <c r="I1012">
        <v>110000</v>
      </c>
      <c r="J1012">
        <v>110000</v>
      </c>
      <c r="K1012">
        <v>38000</v>
      </c>
      <c r="L1012" s="74">
        <v>8.8390000000000004</v>
      </c>
      <c r="M1012" s="85">
        <v>9</v>
      </c>
      <c r="N1012" s="74">
        <v>7.0819999999999999</v>
      </c>
      <c r="O1012">
        <v>2</v>
      </c>
      <c r="P1012" s="84">
        <v>5.3114999999999997</v>
      </c>
      <c r="Q1012" s="86">
        <v>63</v>
      </c>
      <c r="R1012" s="85">
        <v>63</v>
      </c>
      <c r="S1012" s="87">
        <v>2815750</v>
      </c>
      <c r="T1012" s="1">
        <v>11</v>
      </c>
      <c r="U1012" s="88">
        <v>44694.444444444445</v>
      </c>
      <c r="V1012" s="59">
        <v>22.374145431945308</v>
      </c>
      <c r="X1012" s="98">
        <v>21</v>
      </c>
      <c r="Y1012" s="97">
        <v>53.369523809523812</v>
      </c>
    </row>
    <row r="1013" spans="1:25">
      <c r="A1013" s="58">
        <v>1014</v>
      </c>
      <c r="B1013" s="58">
        <v>1014</v>
      </c>
      <c r="C1013" s="58" t="s">
        <v>1579</v>
      </c>
      <c r="D1013" s="58" t="s">
        <v>234</v>
      </c>
      <c r="E1013" s="58" t="s">
        <v>234</v>
      </c>
      <c r="F1013" s="58" t="s">
        <v>326</v>
      </c>
      <c r="G1013" s="58" t="s">
        <v>327</v>
      </c>
      <c r="H1013" s="58" t="s">
        <v>199</v>
      </c>
      <c r="I1013">
        <v>110000</v>
      </c>
      <c r="J1013">
        <v>110000</v>
      </c>
      <c r="K1013">
        <v>38000</v>
      </c>
      <c r="L1013" s="74">
        <v>5.2939999999999996</v>
      </c>
      <c r="M1013" s="85">
        <v>6</v>
      </c>
      <c r="N1013" s="74">
        <v>0.97099999999999997</v>
      </c>
      <c r="O1013">
        <v>2</v>
      </c>
      <c r="P1013" s="84">
        <v>0.72824999999999995</v>
      </c>
      <c r="Q1013" s="86">
        <v>8.4</v>
      </c>
      <c r="R1013" s="85">
        <v>8.4</v>
      </c>
      <c r="S1013" s="87">
        <v>1732670</v>
      </c>
      <c r="T1013" s="1">
        <v>7</v>
      </c>
      <c r="U1013" s="88">
        <v>206270.23809523808</v>
      </c>
      <c r="V1013" s="59">
        <v>4.8480091419600964</v>
      </c>
      <c r="X1013" s="98">
        <v>63</v>
      </c>
      <c r="Y1013" s="97">
        <v>44.694444444444443</v>
      </c>
    </row>
    <row r="1014" spans="1:25">
      <c r="A1014" s="58">
        <v>1015</v>
      </c>
      <c r="B1014" s="58">
        <v>1015</v>
      </c>
      <c r="C1014" s="58" t="s">
        <v>1580</v>
      </c>
      <c r="D1014" s="58" t="s">
        <v>187</v>
      </c>
      <c r="E1014" s="58" t="s">
        <v>187</v>
      </c>
      <c r="F1014" s="58" t="s">
        <v>752</v>
      </c>
      <c r="G1014" s="58" t="s">
        <v>753</v>
      </c>
      <c r="H1014" s="58" t="s">
        <v>199</v>
      </c>
      <c r="I1014">
        <v>110000</v>
      </c>
      <c r="J1014" s="58" t="s">
        <v>185</v>
      </c>
      <c r="K1014">
        <v>110000</v>
      </c>
      <c r="L1014" s="74">
        <v>2.4489999999999998</v>
      </c>
      <c r="M1014" s="85">
        <v>3</v>
      </c>
      <c r="N1014" s="74">
        <v>10.191000000000001</v>
      </c>
      <c r="O1014">
        <v>2</v>
      </c>
      <c r="P1014" s="84">
        <v>7.6432500000000001</v>
      </c>
      <c r="Q1014" s="86">
        <v>92.4</v>
      </c>
      <c r="R1014" s="85">
        <v>92.4</v>
      </c>
      <c r="S1014" s="87">
        <v>1550890</v>
      </c>
      <c r="T1014" s="1">
        <v>11</v>
      </c>
      <c r="U1014" s="88">
        <v>16784.523809523809</v>
      </c>
      <c r="V1014" s="59">
        <v>59.57869352436343</v>
      </c>
      <c r="X1014" s="98">
        <v>8.4</v>
      </c>
      <c r="Y1014" s="97">
        <v>206.27023809523808</v>
      </c>
    </row>
    <row r="1015" spans="1:25">
      <c r="A1015" s="58">
        <v>1016</v>
      </c>
      <c r="B1015" s="58">
        <v>1016</v>
      </c>
      <c r="C1015" s="58" t="s">
        <v>1581</v>
      </c>
      <c r="D1015" s="58" t="s">
        <v>187</v>
      </c>
      <c r="E1015" s="58" t="s">
        <v>187</v>
      </c>
      <c r="F1015" s="58" t="s">
        <v>752</v>
      </c>
      <c r="G1015" s="58" t="s">
        <v>753</v>
      </c>
      <c r="H1015" s="58" t="s">
        <v>199</v>
      </c>
      <c r="I1015">
        <v>110000</v>
      </c>
      <c r="J1015" s="58" t="s">
        <v>185</v>
      </c>
      <c r="K1015">
        <v>110000</v>
      </c>
      <c r="L1015" s="74">
        <v>6.5759999999999996</v>
      </c>
      <c r="M1015" s="85">
        <v>7</v>
      </c>
      <c r="N1015" s="74">
        <v>6.468</v>
      </c>
      <c r="O1015">
        <v>2</v>
      </c>
      <c r="P1015" s="84">
        <v>4.851</v>
      </c>
      <c r="Q1015" s="86">
        <v>58.800000000000011</v>
      </c>
      <c r="R1015" s="85">
        <v>58.800000000000011</v>
      </c>
      <c r="S1015" s="87">
        <v>2394130</v>
      </c>
      <c r="T1015" s="1">
        <v>11</v>
      </c>
      <c r="U1015" s="88">
        <v>40716.496598639445</v>
      </c>
      <c r="V1015" s="59">
        <v>24.560069837477503</v>
      </c>
      <c r="X1015" s="98">
        <v>92.4</v>
      </c>
      <c r="Y1015" s="97">
        <v>16.784523809523808</v>
      </c>
    </row>
    <row r="1016" spans="1:25">
      <c r="A1016" s="89">
        <v>1017</v>
      </c>
      <c r="B1016" s="89">
        <v>1017</v>
      </c>
      <c r="C1016" s="89" t="s">
        <v>1582</v>
      </c>
      <c r="D1016" s="58" t="s">
        <v>187</v>
      </c>
      <c r="E1016" s="58" t="s">
        <v>187</v>
      </c>
      <c r="F1016" s="89" t="s">
        <v>432</v>
      </c>
      <c r="G1016" s="89" t="s">
        <v>433</v>
      </c>
      <c r="H1016" s="89" t="s">
        <v>199</v>
      </c>
      <c r="I1016" s="90">
        <v>110000</v>
      </c>
      <c r="J1016" s="89"/>
      <c r="K1016" s="89"/>
      <c r="L1016" s="91">
        <v>7.89</v>
      </c>
      <c r="M1016" s="92">
        <v>8</v>
      </c>
      <c r="N1016" s="91">
        <v>49.463999999999899</v>
      </c>
      <c r="O1016" s="90">
        <v>2</v>
      </c>
      <c r="P1016" s="92">
        <v>37.097999999999928</v>
      </c>
      <c r="Q1016" s="93">
        <v>457.79999999999995</v>
      </c>
      <c r="R1016" s="92">
        <v>457.79999999999995</v>
      </c>
      <c r="S1016" s="87">
        <v>11877300</v>
      </c>
      <c r="T1016" s="94">
        <v>12</v>
      </c>
      <c r="U1016" s="95">
        <v>25944.298820445612</v>
      </c>
      <c r="V1016" s="96">
        <v>38.544113561162888</v>
      </c>
      <c r="X1016" s="98">
        <v>58.800000000000011</v>
      </c>
      <c r="Y1016" s="97">
        <v>40.716496598639445</v>
      </c>
    </row>
    <row r="1017" spans="1:25">
      <c r="A1017" s="58">
        <v>1018</v>
      </c>
      <c r="B1017" s="58">
        <v>1018</v>
      </c>
      <c r="C1017" s="58" t="s">
        <v>1583</v>
      </c>
      <c r="D1017" s="58" t="s">
        <v>187</v>
      </c>
      <c r="E1017" s="58" t="s">
        <v>187</v>
      </c>
      <c r="F1017" s="58" t="s">
        <v>368</v>
      </c>
      <c r="G1017" s="58" t="s">
        <v>369</v>
      </c>
      <c r="H1017" s="58" t="s">
        <v>199</v>
      </c>
      <c r="I1017">
        <v>110000</v>
      </c>
      <c r="J1017">
        <v>110000</v>
      </c>
      <c r="K1017">
        <v>38000</v>
      </c>
      <c r="L1017" s="74">
        <v>10.090999999999999</v>
      </c>
      <c r="M1017" s="85">
        <v>11</v>
      </c>
      <c r="N1017" s="74">
        <v>0.99399999999999999</v>
      </c>
      <c r="O1017">
        <v>2</v>
      </c>
      <c r="P1017" s="84">
        <v>0.74550000000000005</v>
      </c>
      <c r="Q1017" s="86">
        <v>8.4</v>
      </c>
      <c r="R1017" s="85">
        <v>8.4</v>
      </c>
      <c r="S1017" s="87">
        <v>1996170</v>
      </c>
      <c r="T1017" s="1">
        <v>7</v>
      </c>
      <c r="U1017" s="88">
        <v>237639.28571428571</v>
      </c>
      <c r="V1017" s="59">
        <v>4.2080584318970828</v>
      </c>
      <c r="X1017" s="98">
        <v>457.79999999999995</v>
      </c>
      <c r="Y1017" s="97">
        <v>25.944298820445614</v>
      </c>
    </row>
    <row r="1018" spans="1:25">
      <c r="A1018" s="58">
        <v>1019</v>
      </c>
      <c r="B1018" s="58">
        <v>1019</v>
      </c>
      <c r="C1018" s="58" t="s">
        <v>1584</v>
      </c>
      <c r="D1018" s="58" t="s">
        <v>187</v>
      </c>
      <c r="E1018" s="58" t="s">
        <v>187</v>
      </c>
      <c r="F1018" s="58" t="s">
        <v>746</v>
      </c>
      <c r="G1018" s="58" t="s">
        <v>747</v>
      </c>
      <c r="H1018" s="58" t="s">
        <v>199</v>
      </c>
      <c r="I1018">
        <v>110000</v>
      </c>
      <c r="J1018">
        <v>110000</v>
      </c>
      <c r="K1018">
        <v>38000</v>
      </c>
      <c r="L1018" s="74">
        <v>6.9749999999999996</v>
      </c>
      <c r="M1018" s="85">
        <v>7</v>
      </c>
      <c r="N1018" s="74">
        <v>1.135</v>
      </c>
      <c r="O1018">
        <v>2</v>
      </c>
      <c r="P1018" s="84">
        <v>0.85125000000000006</v>
      </c>
      <c r="Q1018" s="86">
        <v>8.4</v>
      </c>
      <c r="R1018" s="85">
        <v>8.4</v>
      </c>
      <c r="S1018" s="87">
        <v>1785370</v>
      </c>
      <c r="T1018" s="1">
        <v>7</v>
      </c>
      <c r="U1018" s="88">
        <v>212544.0476190476</v>
      </c>
      <c r="V1018" s="59">
        <v>4.7049071060900545</v>
      </c>
      <c r="X1018" s="98">
        <v>8.4</v>
      </c>
      <c r="Y1018" s="97">
        <v>237.63928571428573</v>
      </c>
    </row>
    <row r="1019" spans="1:25">
      <c r="A1019" s="58">
        <v>1020</v>
      </c>
      <c r="B1019" s="58">
        <v>1020</v>
      </c>
      <c r="C1019" s="58" t="s">
        <v>1585</v>
      </c>
      <c r="D1019" s="58" t="s">
        <v>187</v>
      </c>
      <c r="E1019" s="58" t="s">
        <v>187</v>
      </c>
      <c r="F1019" s="58" t="s">
        <v>746</v>
      </c>
      <c r="G1019" s="58" t="s">
        <v>747</v>
      </c>
      <c r="H1019" s="58" t="s">
        <v>199</v>
      </c>
      <c r="I1019">
        <v>110000</v>
      </c>
      <c r="J1019">
        <v>110000</v>
      </c>
      <c r="K1019">
        <v>38000</v>
      </c>
      <c r="L1019" s="74">
        <v>3.7040000000000002</v>
      </c>
      <c r="M1019" s="85">
        <v>4</v>
      </c>
      <c r="N1019" s="74">
        <v>2.8730000000000002</v>
      </c>
      <c r="O1019">
        <v>2</v>
      </c>
      <c r="P1019" s="84">
        <v>2.1547499999999999</v>
      </c>
      <c r="Q1019" s="86">
        <v>25.200000000000003</v>
      </c>
      <c r="R1019" s="85">
        <v>25.200000000000003</v>
      </c>
      <c r="S1019" s="87">
        <v>2309170</v>
      </c>
      <c r="T1019" s="1">
        <v>9</v>
      </c>
      <c r="U1019" s="88">
        <v>91633.730158730148</v>
      </c>
      <c r="V1019" s="59">
        <v>10.913012034627162</v>
      </c>
      <c r="X1019" s="98">
        <v>8.4</v>
      </c>
      <c r="Y1019" s="97">
        <v>212.5440476190476</v>
      </c>
    </row>
    <row r="1020" spans="1:25">
      <c r="A1020" s="58">
        <v>1021</v>
      </c>
      <c r="B1020" s="58">
        <v>1021</v>
      </c>
      <c r="C1020" s="58" t="s">
        <v>1586</v>
      </c>
      <c r="D1020" s="58" t="s">
        <v>187</v>
      </c>
      <c r="E1020" s="58" t="s">
        <v>187</v>
      </c>
      <c r="F1020" s="58" t="s">
        <v>746</v>
      </c>
      <c r="G1020" s="58" t="s">
        <v>747</v>
      </c>
      <c r="H1020" s="58" t="s">
        <v>199</v>
      </c>
      <c r="I1020">
        <v>110000</v>
      </c>
      <c r="J1020">
        <v>110000</v>
      </c>
      <c r="K1020">
        <v>38000</v>
      </c>
      <c r="L1020" s="74">
        <v>3.2090000000000001</v>
      </c>
      <c r="M1020" s="85">
        <v>4</v>
      </c>
      <c r="N1020" s="74">
        <v>2.1179999999999999</v>
      </c>
      <c r="O1020">
        <v>2</v>
      </c>
      <c r="P1020" s="84">
        <v>1.5884999999999998</v>
      </c>
      <c r="Q1020" s="86">
        <v>16.8</v>
      </c>
      <c r="R1020" s="85">
        <v>16.8</v>
      </c>
      <c r="S1020" s="87">
        <v>1875790</v>
      </c>
      <c r="T1020" s="1">
        <v>8</v>
      </c>
      <c r="U1020" s="88">
        <v>111654.16666666666</v>
      </c>
      <c r="V1020" s="59">
        <v>8.9562264432585739</v>
      </c>
      <c r="X1020" s="98">
        <v>25.200000000000003</v>
      </c>
      <c r="Y1020" s="97">
        <v>91.633730158730145</v>
      </c>
    </row>
    <row r="1021" spans="1:25">
      <c r="A1021" s="58">
        <v>1022</v>
      </c>
      <c r="B1021" s="58">
        <v>1022</v>
      </c>
      <c r="C1021" s="58" t="s">
        <v>1587</v>
      </c>
      <c r="D1021" s="58" t="s">
        <v>187</v>
      </c>
      <c r="E1021" s="58" t="s">
        <v>187</v>
      </c>
      <c r="F1021" s="58" t="s">
        <v>368</v>
      </c>
      <c r="G1021" s="58" t="s">
        <v>369</v>
      </c>
      <c r="H1021" s="58" t="s">
        <v>199</v>
      </c>
      <c r="I1021">
        <v>110000</v>
      </c>
      <c r="J1021">
        <v>110000</v>
      </c>
      <c r="K1021">
        <v>38000</v>
      </c>
      <c r="L1021" s="74">
        <v>5.0279999999999996</v>
      </c>
      <c r="M1021" s="85">
        <v>6</v>
      </c>
      <c r="N1021" s="74">
        <v>3.464</v>
      </c>
      <c r="O1021">
        <v>2</v>
      </c>
      <c r="P1021" s="84">
        <v>2.5979999999999999</v>
      </c>
      <c r="Q1021" s="86">
        <v>29.400000000000006</v>
      </c>
      <c r="R1021" s="85">
        <v>29.400000000000006</v>
      </c>
      <c r="S1021" s="87">
        <v>2486830</v>
      </c>
      <c r="T1021" s="1">
        <v>9</v>
      </c>
      <c r="U1021" s="88">
        <v>84586.054421768698</v>
      </c>
      <c r="V1021" s="59">
        <v>11.822279769827453</v>
      </c>
      <c r="X1021" s="98">
        <v>16.8</v>
      </c>
      <c r="Y1021" s="97">
        <v>111.65416666666665</v>
      </c>
    </row>
    <row r="1022" spans="1:25">
      <c r="A1022" s="58">
        <v>1023</v>
      </c>
      <c r="B1022" s="58">
        <v>1023</v>
      </c>
      <c r="C1022" s="58" t="s">
        <v>1588</v>
      </c>
      <c r="D1022" s="58" t="s">
        <v>187</v>
      </c>
      <c r="E1022" s="58" t="s">
        <v>187</v>
      </c>
      <c r="F1022" s="58" t="s">
        <v>368</v>
      </c>
      <c r="G1022" s="58" t="s">
        <v>369</v>
      </c>
      <c r="H1022" s="58" t="s">
        <v>199</v>
      </c>
      <c r="I1022">
        <v>110000</v>
      </c>
      <c r="J1022">
        <v>110000</v>
      </c>
      <c r="K1022">
        <v>38000</v>
      </c>
      <c r="L1022" s="74">
        <v>8.2769999999999992</v>
      </c>
      <c r="M1022" s="85">
        <v>9</v>
      </c>
      <c r="N1022" s="74">
        <v>1.0549999999999999</v>
      </c>
      <c r="O1022">
        <v>2</v>
      </c>
      <c r="P1022" s="84">
        <v>0.79125000000000001</v>
      </c>
      <c r="Q1022" s="86">
        <v>8.4</v>
      </c>
      <c r="R1022" s="85">
        <v>8.4</v>
      </c>
      <c r="S1022" s="87">
        <v>1890770</v>
      </c>
      <c r="T1022" s="1">
        <v>7</v>
      </c>
      <c r="U1022" s="88">
        <v>225091.66666666666</v>
      </c>
      <c r="V1022" s="59">
        <v>4.4426344822479731</v>
      </c>
      <c r="X1022" s="98">
        <v>29.400000000000006</v>
      </c>
      <c r="Y1022" s="97">
        <v>84.586054421768694</v>
      </c>
    </row>
    <row r="1023" spans="1:25">
      <c r="A1023" s="58">
        <v>1024</v>
      </c>
      <c r="B1023" s="58">
        <v>1024</v>
      </c>
      <c r="C1023" s="58" t="s">
        <v>1589</v>
      </c>
      <c r="D1023" s="58" t="s">
        <v>187</v>
      </c>
      <c r="E1023" s="58" t="s">
        <v>187</v>
      </c>
      <c r="F1023" s="58" t="s">
        <v>368</v>
      </c>
      <c r="G1023" s="58" t="s">
        <v>369</v>
      </c>
      <c r="H1023" s="58" t="s">
        <v>199</v>
      </c>
      <c r="I1023">
        <v>110000</v>
      </c>
      <c r="J1023">
        <v>110000</v>
      </c>
      <c r="K1023">
        <v>38000</v>
      </c>
      <c r="L1023" s="74">
        <v>7.4489999999999998</v>
      </c>
      <c r="M1023" s="85">
        <v>8</v>
      </c>
      <c r="N1023" s="74">
        <v>3.6539999999999999</v>
      </c>
      <c r="O1023">
        <v>2</v>
      </c>
      <c r="P1023" s="84">
        <v>2.7404999999999999</v>
      </c>
      <c r="Q1023" s="86">
        <v>33.6</v>
      </c>
      <c r="R1023" s="85">
        <v>33.6</v>
      </c>
      <c r="S1023" s="87">
        <v>2843930</v>
      </c>
      <c r="T1023" s="1">
        <v>10</v>
      </c>
      <c r="U1023" s="88">
        <v>84640.773809523802</v>
      </c>
      <c r="V1023" s="59">
        <v>11.814636787825298</v>
      </c>
      <c r="X1023" s="98">
        <v>8.4</v>
      </c>
      <c r="Y1023" s="97">
        <v>225.09166666666667</v>
      </c>
    </row>
    <row r="1024" spans="1:25">
      <c r="A1024" s="58">
        <v>1025</v>
      </c>
      <c r="B1024" s="58">
        <v>1025</v>
      </c>
      <c r="C1024" s="58" t="s">
        <v>1590</v>
      </c>
      <c r="D1024" s="58" t="s">
        <v>187</v>
      </c>
      <c r="E1024" s="58" t="s">
        <v>187</v>
      </c>
      <c r="F1024" s="58" t="s">
        <v>368</v>
      </c>
      <c r="G1024" s="58" t="s">
        <v>369</v>
      </c>
      <c r="H1024" s="58" t="s">
        <v>199</v>
      </c>
      <c r="I1024">
        <v>110000</v>
      </c>
      <c r="J1024">
        <v>110000</v>
      </c>
      <c r="K1024">
        <v>38000</v>
      </c>
      <c r="L1024" s="74">
        <v>10.709</v>
      </c>
      <c r="M1024" s="85">
        <v>11</v>
      </c>
      <c r="N1024" s="74">
        <v>2.4140000000000001</v>
      </c>
      <c r="O1024">
        <v>2</v>
      </c>
      <c r="P1024" s="84">
        <v>1.8105000000000002</v>
      </c>
      <c r="Q1024" s="86">
        <v>21</v>
      </c>
      <c r="R1024" s="85">
        <v>21</v>
      </c>
      <c r="S1024" s="87">
        <v>2367680</v>
      </c>
      <c r="T1024" s="1">
        <v>8</v>
      </c>
      <c r="U1024" s="88">
        <v>112746.66666666667</v>
      </c>
      <c r="V1024" s="59">
        <v>8.8694418164616842</v>
      </c>
      <c r="X1024" s="98">
        <v>33.6</v>
      </c>
      <c r="Y1024" s="97">
        <v>84.640773809523793</v>
      </c>
    </row>
    <row r="1025" spans="1:25">
      <c r="A1025" s="58">
        <v>1026</v>
      </c>
      <c r="B1025" s="58">
        <v>1026</v>
      </c>
      <c r="C1025" s="58" t="s">
        <v>1591</v>
      </c>
      <c r="D1025" s="58" t="s">
        <v>187</v>
      </c>
      <c r="E1025" s="58" t="s">
        <v>187</v>
      </c>
      <c r="F1025" s="58" t="s">
        <v>752</v>
      </c>
      <c r="G1025" s="58" t="s">
        <v>753</v>
      </c>
      <c r="H1025" s="58" t="s">
        <v>199</v>
      </c>
      <c r="I1025">
        <v>110000</v>
      </c>
      <c r="J1025" s="58" t="s">
        <v>185</v>
      </c>
      <c r="K1025">
        <v>110000</v>
      </c>
      <c r="L1025" s="74">
        <v>10.584</v>
      </c>
      <c r="M1025" s="85">
        <v>11</v>
      </c>
      <c r="N1025" s="74">
        <v>0.63</v>
      </c>
      <c r="O1025">
        <v>2</v>
      </c>
      <c r="P1025" s="84">
        <v>0.47250000000000003</v>
      </c>
      <c r="Q1025" s="86">
        <v>4.2</v>
      </c>
      <c r="R1025" s="85">
        <v>4.2</v>
      </c>
      <c r="S1025" s="87">
        <v>1996170</v>
      </c>
      <c r="T1025" s="1">
        <v>7</v>
      </c>
      <c r="U1025" s="88">
        <v>475278.57142857142</v>
      </c>
      <c r="V1025" s="59">
        <v>2.1040292159485414</v>
      </c>
      <c r="X1025" s="98">
        <v>21</v>
      </c>
      <c r="Y1025" s="97">
        <v>112.74666666666667</v>
      </c>
    </row>
    <row r="1026" spans="1:25">
      <c r="A1026" s="58">
        <v>1027</v>
      </c>
      <c r="B1026" s="58">
        <v>1027</v>
      </c>
      <c r="C1026" s="58" t="s">
        <v>1592</v>
      </c>
      <c r="D1026" s="58" t="s">
        <v>187</v>
      </c>
      <c r="E1026" s="58" t="s">
        <v>187</v>
      </c>
      <c r="F1026" s="58" t="s">
        <v>1593</v>
      </c>
      <c r="G1026" s="58" t="s">
        <v>1594</v>
      </c>
      <c r="H1026" s="58" t="s">
        <v>179</v>
      </c>
      <c r="I1026">
        <v>38000</v>
      </c>
      <c r="J1026">
        <v>38000</v>
      </c>
      <c r="K1026" s="58" t="s">
        <v>185</v>
      </c>
      <c r="L1026" s="74">
        <v>3.0419999999999998</v>
      </c>
      <c r="M1026" s="85">
        <v>4</v>
      </c>
      <c r="N1026" s="74">
        <v>0.77100000000000002</v>
      </c>
      <c r="O1026">
        <v>2</v>
      </c>
      <c r="P1026" s="84">
        <v>0.57825000000000004</v>
      </c>
      <c r="Q1026" s="86">
        <v>4.2</v>
      </c>
      <c r="R1026" s="85">
        <v>4.2</v>
      </c>
      <c r="S1026" s="87">
        <v>628870</v>
      </c>
      <c r="T1026" s="1">
        <v>4</v>
      </c>
      <c r="U1026" s="88">
        <v>149730.95238095237</v>
      </c>
      <c r="V1026" s="59">
        <v>6.6786458250512828</v>
      </c>
      <c r="X1026" s="98">
        <v>4.2</v>
      </c>
      <c r="Y1026" s="97">
        <v>475.27857142857147</v>
      </c>
    </row>
    <row r="1027" spans="1:25">
      <c r="A1027" s="58">
        <v>1028</v>
      </c>
      <c r="B1027" s="58">
        <v>1028</v>
      </c>
      <c r="C1027" s="58" t="s">
        <v>1595</v>
      </c>
      <c r="D1027" s="58" t="s">
        <v>187</v>
      </c>
      <c r="E1027" s="58" t="s">
        <v>187</v>
      </c>
      <c r="F1027" s="58" t="s">
        <v>368</v>
      </c>
      <c r="G1027" s="58" t="s">
        <v>369</v>
      </c>
      <c r="H1027" s="58" t="s">
        <v>199</v>
      </c>
      <c r="I1027">
        <v>110000</v>
      </c>
      <c r="J1027">
        <v>110000</v>
      </c>
      <c r="K1027">
        <v>38000</v>
      </c>
      <c r="L1027" s="74">
        <v>3.5219999999999998</v>
      </c>
      <c r="M1027" s="85">
        <v>4</v>
      </c>
      <c r="N1027" s="74">
        <v>0.72099999999999997</v>
      </c>
      <c r="O1027">
        <v>2</v>
      </c>
      <c r="P1027" s="84">
        <v>0.54074999999999995</v>
      </c>
      <c r="Q1027" s="86">
        <v>4.2</v>
      </c>
      <c r="R1027" s="85">
        <v>4.2</v>
      </c>
      <c r="S1027" s="87">
        <v>1627270</v>
      </c>
      <c r="T1027" s="1">
        <v>7</v>
      </c>
      <c r="U1027" s="88">
        <v>387445.23809523811</v>
      </c>
      <c r="V1027" s="59">
        <v>2.5810099123071155</v>
      </c>
      <c r="X1027" s="98">
        <v>4.2</v>
      </c>
      <c r="Y1027" s="97">
        <v>149.73095238095235</v>
      </c>
    </row>
    <row r="1028" spans="1:25">
      <c r="A1028" s="58">
        <v>1029</v>
      </c>
      <c r="B1028" s="58">
        <v>1029</v>
      </c>
      <c r="C1028" s="58" t="s">
        <v>1596</v>
      </c>
      <c r="D1028" s="58" t="s">
        <v>187</v>
      </c>
      <c r="E1028" s="58" t="s">
        <v>187</v>
      </c>
      <c r="F1028" s="58" t="s">
        <v>752</v>
      </c>
      <c r="G1028" s="58" t="s">
        <v>753</v>
      </c>
      <c r="H1028" s="58" t="s">
        <v>199</v>
      </c>
      <c r="I1028">
        <v>110000</v>
      </c>
      <c r="J1028" s="58" t="s">
        <v>185</v>
      </c>
      <c r="K1028">
        <v>110000</v>
      </c>
      <c r="L1028" s="74">
        <v>8.9030000000000005</v>
      </c>
      <c r="M1028" s="85">
        <v>9</v>
      </c>
      <c r="N1028" s="74">
        <v>3.0739999999999998</v>
      </c>
      <c r="O1028">
        <v>2</v>
      </c>
      <c r="P1028" s="84">
        <v>2.3054999999999999</v>
      </c>
      <c r="Q1028" s="86">
        <v>25.200000000000003</v>
      </c>
      <c r="R1028" s="85">
        <v>25.200000000000003</v>
      </c>
      <c r="S1028" s="87">
        <v>2753320</v>
      </c>
      <c r="T1028" s="1">
        <v>9</v>
      </c>
      <c r="U1028" s="88">
        <v>109258.73015873015</v>
      </c>
      <c r="V1028" s="59">
        <v>9.1525866953350885</v>
      </c>
      <c r="X1028" s="98">
        <v>4.2</v>
      </c>
      <c r="Y1028" s="97">
        <v>387.4452380952381</v>
      </c>
    </row>
    <row r="1029" spans="1:25">
      <c r="A1029" s="58">
        <v>1030</v>
      </c>
      <c r="B1029" s="58">
        <v>1030</v>
      </c>
      <c r="C1029" s="58" t="s">
        <v>1597</v>
      </c>
      <c r="D1029" s="58" t="s">
        <v>187</v>
      </c>
      <c r="E1029" s="58" t="s">
        <v>187</v>
      </c>
      <c r="F1029" s="58" t="s">
        <v>752</v>
      </c>
      <c r="G1029" s="58" t="s">
        <v>753</v>
      </c>
      <c r="H1029" s="58" t="s">
        <v>199</v>
      </c>
      <c r="I1029">
        <v>110000</v>
      </c>
      <c r="J1029" s="58" t="s">
        <v>185</v>
      </c>
      <c r="K1029">
        <v>110000</v>
      </c>
      <c r="L1029" s="74">
        <v>10.583</v>
      </c>
      <c r="M1029" s="85">
        <v>11</v>
      </c>
      <c r="N1029" s="74">
        <v>2.1539999999999999</v>
      </c>
      <c r="O1029">
        <v>2</v>
      </c>
      <c r="P1029" s="84">
        <v>1.6154999999999999</v>
      </c>
      <c r="Q1029" s="86">
        <v>16.8</v>
      </c>
      <c r="R1029" s="85">
        <v>16.8</v>
      </c>
      <c r="S1029" s="87">
        <v>2367680</v>
      </c>
      <c r="T1029" s="1">
        <v>8</v>
      </c>
      <c r="U1029" s="88">
        <v>140933.33333333331</v>
      </c>
      <c r="V1029" s="59">
        <v>7.0955534531693472</v>
      </c>
      <c r="X1029" s="98">
        <v>25.200000000000003</v>
      </c>
      <c r="Y1029" s="97">
        <v>109.25873015873015</v>
      </c>
    </row>
    <row r="1030" spans="1:25">
      <c r="A1030" s="58">
        <v>1031</v>
      </c>
      <c r="B1030" s="58">
        <v>1031</v>
      </c>
      <c r="C1030" s="58" t="s">
        <v>1598</v>
      </c>
      <c r="D1030" s="58" t="s">
        <v>187</v>
      </c>
      <c r="E1030" s="58" t="s">
        <v>187</v>
      </c>
      <c r="F1030" s="58" t="s">
        <v>859</v>
      </c>
      <c r="G1030" s="58" t="s">
        <v>860</v>
      </c>
      <c r="H1030" s="58" t="s">
        <v>179</v>
      </c>
      <c r="I1030">
        <v>38000</v>
      </c>
      <c r="J1030">
        <v>38000</v>
      </c>
      <c r="K1030" s="58" t="s">
        <v>185</v>
      </c>
      <c r="L1030" s="74">
        <v>8.4480000000000004</v>
      </c>
      <c r="M1030" s="85">
        <v>9</v>
      </c>
      <c r="N1030" s="74">
        <v>2.3029999999999999</v>
      </c>
      <c r="O1030">
        <v>2</v>
      </c>
      <c r="P1030" s="84">
        <v>1.72725</v>
      </c>
      <c r="Q1030" s="86">
        <v>21</v>
      </c>
      <c r="R1030" s="85">
        <v>21</v>
      </c>
      <c r="S1030" s="87">
        <v>980220</v>
      </c>
      <c r="T1030" s="1">
        <v>4</v>
      </c>
      <c r="U1030" s="88">
        <v>46677.142857142855</v>
      </c>
      <c r="V1030" s="59">
        <v>21.423762012609416</v>
      </c>
      <c r="X1030" s="98">
        <v>16.8</v>
      </c>
      <c r="Y1030" s="97">
        <v>140.93333333333334</v>
      </c>
    </row>
    <row r="1031" spans="1:25">
      <c r="A1031" s="58">
        <v>1032</v>
      </c>
      <c r="B1031" s="58">
        <v>1032</v>
      </c>
      <c r="C1031" s="58" t="s">
        <v>1599</v>
      </c>
      <c r="D1031" s="58" t="s">
        <v>187</v>
      </c>
      <c r="E1031" s="58" t="s">
        <v>187</v>
      </c>
      <c r="F1031" s="58" t="s">
        <v>1600</v>
      </c>
      <c r="G1031" s="58" t="s">
        <v>1601</v>
      </c>
      <c r="H1031" s="58" t="s">
        <v>199</v>
      </c>
      <c r="I1031">
        <v>110000</v>
      </c>
      <c r="J1031">
        <v>110000</v>
      </c>
      <c r="K1031">
        <v>38000</v>
      </c>
      <c r="L1031" s="74">
        <v>3.3570000000000002</v>
      </c>
      <c r="M1031" s="85">
        <v>4</v>
      </c>
      <c r="N1031" s="74">
        <v>0.83899999999999997</v>
      </c>
      <c r="O1031">
        <v>2</v>
      </c>
      <c r="P1031" s="84">
        <v>0.62924999999999998</v>
      </c>
      <c r="Q1031" s="86">
        <v>8.4</v>
      </c>
      <c r="R1031" s="85">
        <v>8.4</v>
      </c>
      <c r="S1031" s="87">
        <v>1627270</v>
      </c>
      <c r="T1031" s="1">
        <v>7</v>
      </c>
      <c r="U1031" s="88">
        <v>193722.61904761905</v>
      </c>
      <c r="V1031" s="59">
        <v>5.162019824614231</v>
      </c>
      <c r="X1031" s="98">
        <v>21</v>
      </c>
      <c r="Y1031" s="97">
        <v>46.677142857142854</v>
      </c>
    </row>
    <row r="1032" spans="1:25">
      <c r="A1032" s="89">
        <v>1033</v>
      </c>
      <c r="B1032" s="89">
        <v>1033</v>
      </c>
      <c r="C1032" s="89" t="s">
        <v>1602</v>
      </c>
      <c r="D1032" s="58" t="s">
        <v>182</v>
      </c>
      <c r="E1032" s="58" t="s">
        <v>182</v>
      </c>
      <c r="F1032" s="89" t="s">
        <v>873</v>
      </c>
      <c r="G1032" s="89" t="s">
        <v>874</v>
      </c>
      <c r="H1032" s="89" t="s">
        <v>179</v>
      </c>
      <c r="I1032" s="90">
        <v>38000</v>
      </c>
      <c r="J1032" s="90">
        <v>38000</v>
      </c>
      <c r="K1032" s="89" t="s">
        <v>185</v>
      </c>
      <c r="L1032" s="91">
        <v>2.7010000000000001</v>
      </c>
      <c r="M1032" s="92">
        <v>3</v>
      </c>
      <c r="N1032" s="91">
        <v>19.050999999999899</v>
      </c>
      <c r="O1032" s="90">
        <v>2</v>
      </c>
      <c r="P1032" s="92">
        <v>14.288249999999923</v>
      </c>
      <c r="Q1032" s="93">
        <v>176.4</v>
      </c>
      <c r="R1032" s="92">
        <v>176.4</v>
      </c>
      <c r="S1032" s="87">
        <v>4117400</v>
      </c>
      <c r="T1032" s="94">
        <v>12</v>
      </c>
      <c r="U1032" s="95">
        <v>23341.269841269841</v>
      </c>
      <c r="V1032" s="96">
        <v>42.842570554233255</v>
      </c>
      <c r="X1032" s="98">
        <v>8.4</v>
      </c>
      <c r="Y1032" s="97">
        <v>193.72261904761905</v>
      </c>
    </row>
    <row r="1033" spans="1:25">
      <c r="A1033" s="58">
        <v>1034</v>
      </c>
      <c r="B1033" s="58">
        <v>1034</v>
      </c>
      <c r="C1033" s="58" t="s">
        <v>1603</v>
      </c>
      <c r="D1033" s="58" t="s">
        <v>182</v>
      </c>
      <c r="E1033" s="58" t="s">
        <v>182</v>
      </c>
      <c r="F1033" s="58" t="s">
        <v>873</v>
      </c>
      <c r="G1033" s="58" t="s">
        <v>874</v>
      </c>
      <c r="H1033" s="58" t="s">
        <v>179</v>
      </c>
      <c r="I1033">
        <v>38000</v>
      </c>
      <c r="J1033">
        <v>38000</v>
      </c>
      <c r="K1033" s="58" t="s">
        <v>185</v>
      </c>
      <c r="L1033" s="74">
        <v>4.5839999999999996</v>
      </c>
      <c r="M1033" s="85">
        <v>5</v>
      </c>
      <c r="N1033" s="74">
        <v>1.2509999999999999</v>
      </c>
      <c r="O1033">
        <v>2</v>
      </c>
      <c r="P1033" s="84">
        <v>0.93824999999999992</v>
      </c>
      <c r="Q1033" s="86">
        <v>8.4</v>
      </c>
      <c r="R1033" s="85">
        <v>8.4</v>
      </c>
      <c r="S1033" s="87">
        <v>699140</v>
      </c>
      <c r="T1033" s="1">
        <v>4</v>
      </c>
      <c r="U1033" s="88">
        <v>83230.952380952382</v>
      </c>
      <c r="V1033" s="59">
        <v>12.014760992075979</v>
      </c>
      <c r="X1033" s="98">
        <v>176.4</v>
      </c>
      <c r="Y1033" s="97">
        <v>23.341269841269838</v>
      </c>
    </row>
    <row r="1034" spans="1:25">
      <c r="A1034" s="58">
        <v>1035</v>
      </c>
      <c r="B1034" s="58">
        <v>1035</v>
      </c>
      <c r="C1034" s="58" t="s">
        <v>1604</v>
      </c>
      <c r="D1034" s="58" t="s">
        <v>182</v>
      </c>
      <c r="E1034" s="58" t="s">
        <v>182</v>
      </c>
      <c r="F1034" s="58" t="s">
        <v>440</v>
      </c>
      <c r="G1034" s="58" t="s">
        <v>441</v>
      </c>
      <c r="H1034" s="58" t="s">
        <v>199</v>
      </c>
      <c r="I1034">
        <v>110000</v>
      </c>
      <c r="L1034" s="74">
        <v>4.45</v>
      </c>
      <c r="M1034" s="85">
        <v>5</v>
      </c>
      <c r="N1034" s="74">
        <v>1.6819999999999999</v>
      </c>
      <c r="O1034">
        <v>2</v>
      </c>
      <c r="P1034" s="84">
        <v>1.2614999999999998</v>
      </c>
      <c r="Q1034" s="86">
        <v>12.600000000000001</v>
      </c>
      <c r="R1034" s="85">
        <v>12.600000000000001</v>
      </c>
      <c r="S1034" s="87">
        <v>1679970</v>
      </c>
      <c r="T1034" s="1">
        <v>7</v>
      </c>
      <c r="U1034" s="88">
        <v>133330.95238095237</v>
      </c>
      <c r="V1034" s="59">
        <v>7.5001339309630541</v>
      </c>
      <c r="X1034" s="98">
        <v>8.4</v>
      </c>
      <c r="Y1034" s="97">
        <v>83.230952380952374</v>
      </c>
    </row>
    <row r="1035" spans="1:25">
      <c r="A1035" s="89">
        <v>1036</v>
      </c>
      <c r="B1035" s="89">
        <v>1036</v>
      </c>
      <c r="C1035" s="89" t="s">
        <v>1605</v>
      </c>
      <c r="D1035" s="58" t="s">
        <v>182</v>
      </c>
      <c r="E1035" s="58" t="s">
        <v>182</v>
      </c>
      <c r="F1035" s="89" t="s">
        <v>440</v>
      </c>
      <c r="G1035" s="89" t="s">
        <v>441</v>
      </c>
      <c r="H1035" s="89" t="s">
        <v>199</v>
      </c>
      <c r="I1035" s="90">
        <v>110000</v>
      </c>
      <c r="J1035" s="89"/>
      <c r="K1035" s="89"/>
      <c r="L1035" s="91">
        <v>8.6669999999999998</v>
      </c>
      <c r="M1035" s="92">
        <v>9</v>
      </c>
      <c r="N1035" s="91">
        <v>22.649000000000001</v>
      </c>
      <c r="O1035" s="90">
        <v>2</v>
      </c>
      <c r="P1035" s="92">
        <v>16.986750000000001</v>
      </c>
      <c r="Q1035" s="93">
        <v>210</v>
      </c>
      <c r="R1035" s="92">
        <v>210</v>
      </c>
      <c r="S1035" s="87">
        <v>8678360</v>
      </c>
      <c r="T1035" s="94">
        <v>12</v>
      </c>
      <c r="U1035" s="95">
        <v>41325.523809523809</v>
      </c>
      <c r="V1035" s="96">
        <v>24.198120382192027</v>
      </c>
      <c r="X1035" s="98">
        <v>12.600000000000001</v>
      </c>
      <c r="Y1035" s="97">
        <v>133.33095238095237</v>
      </c>
    </row>
    <row r="1036" spans="1:25">
      <c r="A1036" s="58">
        <v>1037</v>
      </c>
      <c r="B1036" s="58">
        <v>1037</v>
      </c>
      <c r="C1036" s="58" t="s">
        <v>1606</v>
      </c>
      <c r="D1036" s="58" t="s">
        <v>182</v>
      </c>
      <c r="E1036" s="58" t="s">
        <v>182</v>
      </c>
      <c r="F1036" s="58" t="s">
        <v>443</v>
      </c>
      <c r="G1036" s="58" t="s">
        <v>444</v>
      </c>
      <c r="H1036" s="58" t="s">
        <v>199</v>
      </c>
      <c r="I1036">
        <v>110000</v>
      </c>
      <c r="J1036" s="58" t="s">
        <v>185</v>
      </c>
      <c r="K1036">
        <v>110000</v>
      </c>
      <c r="L1036" s="74">
        <v>7.89</v>
      </c>
      <c r="M1036" s="85">
        <v>8</v>
      </c>
      <c r="N1036" s="74">
        <v>1.696</v>
      </c>
      <c r="O1036">
        <v>2</v>
      </c>
      <c r="P1036" s="84">
        <v>1.272</v>
      </c>
      <c r="Q1036" s="86">
        <v>12.600000000000001</v>
      </c>
      <c r="R1036" s="85">
        <v>12.600000000000001</v>
      </c>
      <c r="S1036" s="87">
        <v>1838070</v>
      </c>
      <c r="T1036" s="1">
        <v>7</v>
      </c>
      <c r="U1036" s="88">
        <v>145878.57142857142</v>
      </c>
      <c r="V1036" s="59">
        <v>6.8550164030749654</v>
      </c>
      <c r="X1036" s="98">
        <v>210</v>
      </c>
      <c r="Y1036" s="97">
        <v>41.325523809523816</v>
      </c>
    </row>
    <row r="1037" spans="1:25">
      <c r="A1037" s="58">
        <v>1038</v>
      </c>
      <c r="B1037" s="58">
        <v>1038</v>
      </c>
      <c r="C1037" s="58" t="s">
        <v>1607</v>
      </c>
      <c r="D1037" s="58" t="s">
        <v>182</v>
      </c>
      <c r="E1037" s="58" t="s">
        <v>182</v>
      </c>
      <c r="F1037" s="58" t="s">
        <v>446</v>
      </c>
      <c r="G1037" s="58" t="s">
        <v>447</v>
      </c>
      <c r="H1037" s="58" t="s">
        <v>199</v>
      </c>
      <c r="I1037">
        <v>110000</v>
      </c>
      <c r="J1037">
        <v>33000</v>
      </c>
      <c r="K1037">
        <v>110000</v>
      </c>
      <c r="L1037" s="74">
        <v>3.5190000000000001</v>
      </c>
      <c r="M1037" s="85">
        <v>4</v>
      </c>
      <c r="N1037" s="74">
        <v>0.83399999999999996</v>
      </c>
      <c r="O1037">
        <v>2</v>
      </c>
      <c r="P1037" s="84">
        <v>0.62549999999999994</v>
      </c>
      <c r="Q1037" s="86">
        <v>8.4</v>
      </c>
      <c r="R1037" s="85">
        <v>8.4</v>
      </c>
      <c r="S1037" s="87">
        <v>1627270</v>
      </c>
      <c r="T1037" s="1">
        <v>7</v>
      </c>
      <c r="U1037" s="88">
        <v>193722.61904761905</v>
      </c>
      <c r="V1037" s="59">
        <v>5.162019824614231</v>
      </c>
      <c r="X1037" s="98">
        <v>12.600000000000001</v>
      </c>
      <c r="Y1037" s="97">
        <v>145.87857142857141</v>
      </c>
    </row>
    <row r="1038" spans="1:25">
      <c r="A1038" s="89">
        <v>1039</v>
      </c>
      <c r="B1038" s="89">
        <v>1039</v>
      </c>
      <c r="C1038" s="89" t="s">
        <v>1608</v>
      </c>
      <c r="D1038" s="58" t="s">
        <v>182</v>
      </c>
      <c r="E1038" s="58" t="s">
        <v>182</v>
      </c>
      <c r="F1038" s="89" t="s">
        <v>443</v>
      </c>
      <c r="G1038" s="89" t="s">
        <v>444</v>
      </c>
      <c r="H1038" s="89" t="s">
        <v>199</v>
      </c>
      <c r="I1038" s="90">
        <v>110000</v>
      </c>
      <c r="J1038" s="89" t="s">
        <v>185</v>
      </c>
      <c r="K1038" s="90">
        <v>110000</v>
      </c>
      <c r="L1038" s="91">
        <v>2.589</v>
      </c>
      <c r="M1038" s="92">
        <v>3</v>
      </c>
      <c r="N1038" s="91">
        <v>25.739999999999899</v>
      </c>
      <c r="O1038" s="90">
        <v>2</v>
      </c>
      <c r="P1038" s="92">
        <v>19.304999999999925</v>
      </c>
      <c r="Q1038" s="93">
        <v>239.39999999999998</v>
      </c>
      <c r="R1038" s="92">
        <v>239.39999999999998</v>
      </c>
      <c r="S1038" s="87">
        <v>4117400</v>
      </c>
      <c r="T1038" s="94">
        <v>12</v>
      </c>
      <c r="U1038" s="95">
        <v>17198.830409356728</v>
      </c>
      <c r="V1038" s="96">
        <v>58.143488609316549</v>
      </c>
      <c r="X1038" s="98">
        <v>8.4</v>
      </c>
      <c r="Y1038" s="97">
        <v>193.72261904761905</v>
      </c>
    </row>
    <row r="1039" spans="1:25">
      <c r="A1039" s="58">
        <v>1040</v>
      </c>
      <c r="B1039" s="58">
        <v>1040</v>
      </c>
      <c r="C1039" s="58" t="s">
        <v>1609</v>
      </c>
      <c r="D1039" s="58" t="s">
        <v>182</v>
      </c>
      <c r="E1039" s="58" t="s">
        <v>182</v>
      </c>
      <c r="F1039" s="58" t="s">
        <v>312</v>
      </c>
      <c r="G1039" s="58" t="s">
        <v>313</v>
      </c>
      <c r="H1039" s="58" t="s">
        <v>179</v>
      </c>
      <c r="I1039">
        <v>38000</v>
      </c>
      <c r="J1039">
        <v>38000</v>
      </c>
      <c r="K1039">
        <v>10000</v>
      </c>
      <c r="L1039" s="74">
        <v>3.3290000000000002</v>
      </c>
      <c r="M1039" s="85">
        <v>4</v>
      </c>
      <c r="N1039" s="74">
        <v>1.1970000000000001</v>
      </c>
      <c r="O1039">
        <v>2</v>
      </c>
      <c r="P1039" s="84">
        <v>0.89775000000000005</v>
      </c>
      <c r="Q1039" s="86">
        <v>8.4</v>
      </c>
      <c r="R1039" s="85">
        <v>8.4</v>
      </c>
      <c r="S1039" s="87">
        <v>628870</v>
      </c>
      <c r="T1039" s="1">
        <v>4</v>
      </c>
      <c r="U1039" s="88">
        <v>74865.476190476184</v>
      </c>
      <c r="V1039" s="59">
        <v>13.357291650102566</v>
      </c>
      <c r="X1039" s="98">
        <v>239.39999999999998</v>
      </c>
      <c r="Y1039" s="97">
        <v>17.198830409356727</v>
      </c>
    </row>
    <row r="1040" spans="1:25">
      <c r="A1040" s="58">
        <v>1041</v>
      </c>
      <c r="B1040" s="58">
        <v>1041</v>
      </c>
      <c r="C1040" s="58" t="s">
        <v>1610</v>
      </c>
      <c r="D1040" s="58" t="s">
        <v>182</v>
      </c>
      <c r="E1040" s="58" t="s">
        <v>182</v>
      </c>
      <c r="F1040" s="58" t="s">
        <v>1611</v>
      </c>
      <c r="G1040" s="58" t="s">
        <v>1612</v>
      </c>
      <c r="H1040" s="58" t="s">
        <v>179</v>
      </c>
      <c r="I1040">
        <v>38000</v>
      </c>
      <c r="J1040">
        <v>38000</v>
      </c>
      <c r="K1040" s="58" t="s">
        <v>185</v>
      </c>
      <c r="L1040" s="74">
        <v>2.8460000000000001</v>
      </c>
      <c r="M1040" s="85">
        <v>3</v>
      </c>
      <c r="N1040" s="74">
        <v>1.075</v>
      </c>
      <c r="O1040">
        <v>2</v>
      </c>
      <c r="P1040" s="84">
        <v>0.80624999999999991</v>
      </c>
      <c r="Q1040" s="86">
        <v>8.4</v>
      </c>
      <c r="R1040" s="85">
        <v>8.4</v>
      </c>
      <c r="S1040" s="87">
        <v>558600</v>
      </c>
      <c r="T1040" s="1">
        <v>4</v>
      </c>
      <c r="U1040" s="88">
        <v>66500</v>
      </c>
      <c r="V1040" s="59">
        <v>15.037593984962406</v>
      </c>
      <c r="X1040" s="98">
        <v>8.4</v>
      </c>
      <c r="Y1040" s="97">
        <v>74.865476190476173</v>
      </c>
    </row>
    <row r="1041" spans="1:25">
      <c r="A1041" s="58">
        <v>1042</v>
      </c>
      <c r="B1041" s="58">
        <v>1042</v>
      </c>
      <c r="C1041" s="58" t="s">
        <v>1613</v>
      </c>
      <c r="D1041" s="58" t="s">
        <v>182</v>
      </c>
      <c r="E1041" s="58" t="s">
        <v>182</v>
      </c>
      <c r="F1041" s="58" t="s">
        <v>1611</v>
      </c>
      <c r="G1041" s="58" t="s">
        <v>1612</v>
      </c>
      <c r="H1041" s="58" t="s">
        <v>179</v>
      </c>
      <c r="I1041">
        <v>38000</v>
      </c>
      <c r="J1041">
        <v>38000</v>
      </c>
      <c r="K1041" s="58" t="s">
        <v>185</v>
      </c>
      <c r="L1041" s="74">
        <v>6.2759999999999998</v>
      </c>
      <c r="M1041" s="85">
        <v>7</v>
      </c>
      <c r="N1041" s="74">
        <v>1.671</v>
      </c>
      <c r="O1041">
        <v>2</v>
      </c>
      <c r="P1041" s="84">
        <v>1.25325</v>
      </c>
      <c r="Q1041" s="86">
        <v>12.600000000000001</v>
      </c>
      <c r="R1041" s="85">
        <v>12.600000000000001</v>
      </c>
      <c r="S1041" s="87">
        <v>839680</v>
      </c>
      <c r="T1041" s="1">
        <v>4</v>
      </c>
      <c r="U1041" s="88">
        <v>66641.269841269837</v>
      </c>
      <c r="V1041" s="59">
        <v>15.005716463414636</v>
      </c>
      <c r="X1041" s="98">
        <v>8.4</v>
      </c>
      <c r="Y1041" s="97">
        <v>66.5</v>
      </c>
    </row>
    <row r="1042" spans="1:25">
      <c r="A1042" s="58">
        <v>1043</v>
      </c>
      <c r="B1042" s="58">
        <v>1043</v>
      </c>
      <c r="C1042" s="58" t="s">
        <v>1614</v>
      </c>
      <c r="D1042" s="58" t="s">
        <v>182</v>
      </c>
      <c r="E1042" s="58" t="s">
        <v>182</v>
      </c>
      <c r="F1042" s="58" t="s">
        <v>446</v>
      </c>
      <c r="G1042" s="58" t="s">
        <v>447</v>
      </c>
      <c r="H1042" s="58" t="s">
        <v>199</v>
      </c>
      <c r="I1042">
        <v>110000</v>
      </c>
      <c r="J1042">
        <v>33000</v>
      </c>
      <c r="K1042">
        <v>110000</v>
      </c>
      <c r="L1042" s="74">
        <v>3.9609999999999999</v>
      </c>
      <c r="M1042" s="85">
        <v>4</v>
      </c>
      <c r="N1042" s="74">
        <v>1.133</v>
      </c>
      <c r="O1042">
        <v>2</v>
      </c>
      <c r="P1042" s="84">
        <v>0.84975000000000001</v>
      </c>
      <c r="Q1042" s="86">
        <v>8.4</v>
      </c>
      <c r="R1042" s="85">
        <v>8.4</v>
      </c>
      <c r="S1042" s="87">
        <v>1627270</v>
      </c>
      <c r="T1042" s="1">
        <v>7</v>
      </c>
      <c r="U1042" s="88">
        <v>193722.61904761905</v>
      </c>
      <c r="V1042" s="59">
        <v>5.162019824614231</v>
      </c>
      <c r="X1042" s="98">
        <v>12.600000000000001</v>
      </c>
      <c r="Y1042" s="97">
        <v>66.641269841269832</v>
      </c>
    </row>
    <row r="1043" spans="1:25">
      <c r="A1043" s="58">
        <v>1044</v>
      </c>
      <c r="B1043" s="58">
        <v>1044</v>
      </c>
      <c r="C1043" s="58" t="s">
        <v>1615</v>
      </c>
      <c r="D1043" s="58" t="s">
        <v>182</v>
      </c>
      <c r="E1043" s="58" t="s">
        <v>182</v>
      </c>
      <c r="F1043" s="58" t="s">
        <v>312</v>
      </c>
      <c r="G1043" s="58" t="s">
        <v>313</v>
      </c>
      <c r="H1043" s="58" t="s">
        <v>179</v>
      </c>
      <c r="I1043">
        <v>38000</v>
      </c>
      <c r="J1043">
        <v>38000</v>
      </c>
      <c r="K1043">
        <v>10000</v>
      </c>
      <c r="L1043" s="74">
        <v>4.181</v>
      </c>
      <c r="M1043" s="85">
        <v>5</v>
      </c>
      <c r="N1043" s="74">
        <v>1.274</v>
      </c>
      <c r="O1043">
        <v>2</v>
      </c>
      <c r="P1043" s="84">
        <v>0.95550000000000002</v>
      </c>
      <c r="Q1043" s="86">
        <v>8.4</v>
      </c>
      <c r="R1043" s="85">
        <v>8.4</v>
      </c>
      <c r="S1043" s="87">
        <v>699140</v>
      </c>
      <c r="T1043" s="1">
        <v>4</v>
      </c>
      <c r="U1043" s="88">
        <v>83230.952380952382</v>
      </c>
      <c r="V1043" s="59">
        <v>12.014760992075979</v>
      </c>
      <c r="X1043" s="98">
        <v>8.4</v>
      </c>
      <c r="Y1043" s="97">
        <v>193.72261904761905</v>
      </c>
    </row>
    <row r="1044" spans="1:25">
      <c r="A1044" s="58">
        <v>1045</v>
      </c>
      <c r="B1044" s="58">
        <v>1045</v>
      </c>
      <c r="C1044" s="58" t="s">
        <v>1616</v>
      </c>
      <c r="D1044" s="58" t="s">
        <v>182</v>
      </c>
      <c r="E1044" s="58" t="s">
        <v>182</v>
      </c>
      <c r="F1044" s="58" t="s">
        <v>312</v>
      </c>
      <c r="G1044" s="58" t="s">
        <v>313</v>
      </c>
      <c r="H1044" s="58" t="s">
        <v>179</v>
      </c>
      <c r="I1044">
        <v>38000</v>
      </c>
      <c r="J1044">
        <v>38000</v>
      </c>
      <c r="K1044">
        <v>10000</v>
      </c>
      <c r="L1044" s="74">
        <v>5.7380000000000004</v>
      </c>
      <c r="M1044" s="85">
        <v>6</v>
      </c>
      <c r="N1044" s="74">
        <v>1.018</v>
      </c>
      <c r="O1044">
        <v>2</v>
      </c>
      <c r="P1044" s="84">
        <v>0.76350000000000007</v>
      </c>
      <c r="Q1044" s="86">
        <v>8.4</v>
      </c>
      <c r="R1044" s="85">
        <v>8.4</v>
      </c>
      <c r="S1044" s="87">
        <v>769410</v>
      </c>
      <c r="T1044" s="1">
        <v>4</v>
      </c>
      <c r="U1044" s="88">
        <v>91596.428571428565</v>
      </c>
      <c r="V1044" s="59">
        <v>10.917456232697781</v>
      </c>
      <c r="X1044" s="98">
        <v>8.4</v>
      </c>
      <c r="Y1044" s="97">
        <v>83.230952380952374</v>
      </c>
    </row>
    <row r="1045" spans="1:25">
      <c r="A1045" s="58">
        <v>1046</v>
      </c>
      <c r="B1045" s="58">
        <v>1046</v>
      </c>
      <c r="C1045" s="58" t="s">
        <v>1617</v>
      </c>
      <c r="D1045" s="58" t="s">
        <v>182</v>
      </c>
      <c r="E1045" s="58" t="s">
        <v>182</v>
      </c>
      <c r="F1045" s="58" t="s">
        <v>1618</v>
      </c>
      <c r="G1045" s="58" t="s">
        <v>1619</v>
      </c>
      <c r="H1045" s="58" t="s">
        <v>199</v>
      </c>
      <c r="I1045">
        <v>110000</v>
      </c>
      <c r="J1045" s="58" t="s">
        <v>185</v>
      </c>
      <c r="K1045">
        <v>110000</v>
      </c>
      <c r="L1045" s="74">
        <v>5.1109999999999998</v>
      </c>
      <c r="M1045" s="85">
        <v>6</v>
      </c>
      <c r="N1045" s="74">
        <v>0.55500000000000005</v>
      </c>
      <c r="O1045">
        <v>2</v>
      </c>
      <c r="P1045" s="84">
        <v>0.55500000000000005</v>
      </c>
      <c r="Q1045" s="86">
        <v>4.2</v>
      </c>
      <c r="R1045" s="85">
        <v>4.2</v>
      </c>
      <c r="S1045" s="87">
        <v>1732670</v>
      </c>
      <c r="T1045" s="1">
        <v>7</v>
      </c>
      <c r="U1045" s="88">
        <v>412540.47619047615</v>
      </c>
      <c r="V1045" s="59">
        <v>2.4240045709800482</v>
      </c>
      <c r="X1045" s="98">
        <v>8.4</v>
      </c>
      <c r="Y1045" s="97">
        <v>91.596428571428561</v>
      </c>
    </row>
    <row r="1046" spans="1:25">
      <c r="A1046" s="58">
        <v>1047</v>
      </c>
      <c r="B1046" s="58">
        <v>1047</v>
      </c>
      <c r="C1046" s="58" t="s">
        <v>1620</v>
      </c>
      <c r="D1046" s="58" t="s">
        <v>182</v>
      </c>
      <c r="E1046" s="58" t="s">
        <v>182</v>
      </c>
      <c r="F1046" s="58" t="s">
        <v>891</v>
      </c>
      <c r="G1046" s="58" t="s">
        <v>892</v>
      </c>
      <c r="H1046" s="58" t="s">
        <v>199</v>
      </c>
      <c r="I1046">
        <v>110000</v>
      </c>
      <c r="J1046">
        <v>110000</v>
      </c>
      <c r="K1046">
        <v>38000</v>
      </c>
      <c r="L1046" s="74">
        <v>7.7969999999999997</v>
      </c>
      <c r="M1046" s="85">
        <v>8</v>
      </c>
      <c r="N1046" s="74">
        <v>3.9420000000000002</v>
      </c>
      <c r="O1046">
        <v>2</v>
      </c>
      <c r="P1046" s="84">
        <v>2.9565000000000001</v>
      </c>
      <c r="Q1046" s="86">
        <v>33.6</v>
      </c>
      <c r="R1046" s="85">
        <v>33.6</v>
      </c>
      <c r="S1046" s="87">
        <v>2843930</v>
      </c>
      <c r="T1046" s="1">
        <v>10</v>
      </c>
      <c r="U1046" s="88">
        <v>84640.773809523802</v>
      </c>
      <c r="V1046" s="59">
        <v>11.814636787825298</v>
      </c>
      <c r="X1046" s="98">
        <v>4.2</v>
      </c>
      <c r="Y1046" s="97">
        <v>412.54047619047617</v>
      </c>
    </row>
    <row r="1047" spans="1:25">
      <c r="A1047" s="58">
        <v>1048</v>
      </c>
      <c r="B1047" s="58">
        <v>1048</v>
      </c>
      <c r="C1047" s="58" t="s">
        <v>1621</v>
      </c>
      <c r="D1047" s="58" t="s">
        <v>182</v>
      </c>
      <c r="E1047" s="58" t="s">
        <v>182</v>
      </c>
      <c r="F1047" s="58" t="s">
        <v>1611</v>
      </c>
      <c r="G1047" s="58" t="s">
        <v>1612</v>
      </c>
      <c r="H1047" s="58" t="s">
        <v>179</v>
      </c>
      <c r="I1047">
        <v>38000</v>
      </c>
      <c r="J1047">
        <v>38000</v>
      </c>
      <c r="K1047" s="58" t="s">
        <v>185</v>
      </c>
      <c r="L1047" s="74">
        <v>4.2149999999999999</v>
      </c>
      <c r="M1047" s="85">
        <v>5</v>
      </c>
      <c r="N1047" s="74">
        <v>1.224</v>
      </c>
      <c r="O1047">
        <v>2</v>
      </c>
      <c r="P1047" s="84">
        <v>0.91799999999999993</v>
      </c>
      <c r="Q1047" s="86">
        <v>8.4</v>
      </c>
      <c r="R1047" s="85">
        <v>8.4</v>
      </c>
      <c r="S1047" s="87">
        <v>699140</v>
      </c>
      <c r="T1047" s="1">
        <v>4</v>
      </c>
      <c r="U1047" s="88">
        <v>83230.952380952382</v>
      </c>
      <c r="V1047" s="59">
        <v>12.014760992075979</v>
      </c>
      <c r="X1047" s="98">
        <v>33.6</v>
      </c>
      <c r="Y1047" s="97">
        <v>84.640773809523793</v>
      </c>
    </row>
    <row r="1048" spans="1:25">
      <c r="A1048" s="89">
        <v>1049</v>
      </c>
      <c r="B1048" s="89">
        <v>1049</v>
      </c>
      <c r="C1048" s="89" t="s">
        <v>1622</v>
      </c>
      <c r="D1048" s="58" t="s">
        <v>182</v>
      </c>
      <c r="E1048" s="58" t="s">
        <v>182</v>
      </c>
      <c r="F1048" s="89" t="s">
        <v>302</v>
      </c>
      <c r="G1048" s="89" t="s">
        <v>303</v>
      </c>
      <c r="H1048" s="89" t="s">
        <v>179</v>
      </c>
      <c r="I1048" s="90">
        <v>38000</v>
      </c>
      <c r="J1048" s="90">
        <v>38000</v>
      </c>
      <c r="K1048" s="89" t="s">
        <v>185</v>
      </c>
      <c r="L1048" s="91">
        <v>6.7569999999999997</v>
      </c>
      <c r="M1048" s="92">
        <v>7</v>
      </c>
      <c r="N1048" s="91">
        <v>7.7279999999999998</v>
      </c>
      <c r="O1048" s="90">
        <v>2</v>
      </c>
      <c r="P1048" s="92">
        <v>5.7959999999999994</v>
      </c>
      <c r="Q1048" s="93">
        <v>71.400000000000006</v>
      </c>
      <c r="R1048" s="92">
        <v>71.400000000000006</v>
      </c>
      <c r="S1048" s="87">
        <v>2394130</v>
      </c>
      <c r="T1048" s="94">
        <v>11</v>
      </c>
      <c r="U1048" s="95">
        <v>33531.232492997195</v>
      </c>
      <c r="V1048" s="96">
        <v>29.82294194550839</v>
      </c>
      <c r="X1048" s="98">
        <v>8.4</v>
      </c>
      <c r="Y1048" s="97">
        <v>83.230952380952374</v>
      </c>
    </row>
    <row r="1049" spans="1:25">
      <c r="A1049" s="58">
        <v>1050</v>
      </c>
      <c r="B1049" s="58">
        <v>1050</v>
      </c>
      <c r="C1049" s="58" t="s">
        <v>1623</v>
      </c>
      <c r="D1049" s="58" t="s">
        <v>182</v>
      </c>
      <c r="E1049" s="58" t="s">
        <v>182</v>
      </c>
      <c r="F1049" s="58" t="s">
        <v>440</v>
      </c>
      <c r="G1049" s="58" t="s">
        <v>441</v>
      </c>
      <c r="H1049" s="58" t="s">
        <v>199</v>
      </c>
      <c r="I1049">
        <v>110000</v>
      </c>
      <c r="L1049" s="74">
        <v>4.0949999999999998</v>
      </c>
      <c r="M1049" s="85">
        <v>5</v>
      </c>
      <c r="N1049" s="74">
        <v>13.209</v>
      </c>
      <c r="O1049">
        <v>2</v>
      </c>
      <c r="P1049" s="84">
        <v>9.9067499999999988</v>
      </c>
      <c r="Q1049" s="86">
        <v>121.80000000000001</v>
      </c>
      <c r="R1049" s="85">
        <v>121.80000000000001</v>
      </c>
      <c r="S1049" s="87">
        <v>1972510</v>
      </c>
      <c r="T1049" s="1">
        <v>11</v>
      </c>
      <c r="U1049" s="88">
        <v>16194.663382594415</v>
      </c>
      <c r="V1049" s="59">
        <v>61.748736381564612</v>
      </c>
      <c r="X1049" s="98">
        <v>71.400000000000006</v>
      </c>
      <c r="Y1049" s="97">
        <v>33.531232492997191</v>
      </c>
    </row>
    <row r="1050" spans="1:25">
      <c r="A1050" s="58">
        <v>1051</v>
      </c>
      <c r="B1050" s="58">
        <v>1051</v>
      </c>
      <c r="C1050" s="58" t="s">
        <v>1624</v>
      </c>
      <c r="D1050" s="58" t="s">
        <v>182</v>
      </c>
      <c r="E1050" s="58" t="s">
        <v>182</v>
      </c>
      <c r="F1050" s="58" t="s">
        <v>440</v>
      </c>
      <c r="G1050" s="58" t="s">
        <v>441</v>
      </c>
      <c r="H1050" s="58" t="s">
        <v>199</v>
      </c>
      <c r="I1050">
        <v>110000</v>
      </c>
      <c r="L1050" s="74">
        <v>7.2690000000000001</v>
      </c>
      <c r="M1050" s="85">
        <v>8</v>
      </c>
      <c r="N1050" s="74">
        <v>0.41899999999999998</v>
      </c>
      <c r="O1050">
        <v>2</v>
      </c>
      <c r="P1050" s="84">
        <v>0.41899999999999998</v>
      </c>
      <c r="Q1050" s="86">
        <v>4.2</v>
      </c>
      <c r="R1050" s="85">
        <v>4.2</v>
      </c>
      <c r="S1050" s="87">
        <v>1838070</v>
      </c>
      <c r="T1050" s="1">
        <v>7</v>
      </c>
      <c r="U1050" s="88">
        <v>437635.71428571426</v>
      </c>
      <c r="V1050" s="59">
        <v>2.2850054676916547</v>
      </c>
      <c r="X1050" s="98">
        <v>121.80000000000001</v>
      </c>
      <c r="Y1050" s="97">
        <v>16.194663382594417</v>
      </c>
    </row>
    <row r="1051" spans="1:25">
      <c r="A1051" s="58">
        <v>1052</v>
      </c>
      <c r="B1051" s="58">
        <v>1052</v>
      </c>
      <c r="C1051" s="58" t="s">
        <v>1625</v>
      </c>
      <c r="D1051" s="58" t="s">
        <v>182</v>
      </c>
      <c r="E1051" s="58" t="s">
        <v>182</v>
      </c>
      <c r="F1051" s="58" t="s">
        <v>440</v>
      </c>
      <c r="G1051" s="58" t="s">
        <v>441</v>
      </c>
      <c r="H1051" s="58" t="s">
        <v>199</v>
      </c>
      <c r="I1051">
        <v>110000</v>
      </c>
      <c r="L1051" s="74">
        <v>10.045999999999999</v>
      </c>
      <c r="M1051" s="85">
        <v>11</v>
      </c>
      <c r="N1051" s="74">
        <v>0.154</v>
      </c>
      <c r="O1051">
        <v>2</v>
      </c>
      <c r="P1051" s="84">
        <v>0.154</v>
      </c>
      <c r="Q1051" s="86">
        <v>4.2</v>
      </c>
      <c r="R1051" s="85">
        <v>4.2</v>
      </c>
      <c r="S1051" s="87">
        <v>1996170</v>
      </c>
      <c r="T1051" s="1">
        <v>7</v>
      </c>
      <c r="U1051" s="88">
        <v>475278.57142857142</v>
      </c>
      <c r="V1051" s="59">
        <v>2.1040292159485414</v>
      </c>
      <c r="X1051" s="98">
        <v>4.2</v>
      </c>
      <c r="Y1051" s="97">
        <v>437.63571428571424</v>
      </c>
    </row>
    <row r="1052" spans="1:25">
      <c r="A1052" s="58">
        <v>1053</v>
      </c>
      <c r="B1052" s="58">
        <v>1053</v>
      </c>
      <c r="C1052" s="58" t="s">
        <v>1626</v>
      </c>
      <c r="D1052" s="58" t="s">
        <v>234</v>
      </c>
      <c r="E1052" s="58" t="s">
        <v>234</v>
      </c>
      <c r="F1052" s="58" t="s">
        <v>524</v>
      </c>
      <c r="G1052" s="58" t="s">
        <v>525</v>
      </c>
      <c r="H1052" s="58" t="s">
        <v>179</v>
      </c>
      <c r="I1052">
        <v>38000</v>
      </c>
      <c r="L1052" s="74">
        <v>4.7809999999999997</v>
      </c>
      <c r="M1052" s="85">
        <v>5</v>
      </c>
      <c r="N1052" s="74">
        <v>0.47299999999999998</v>
      </c>
      <c r="O1052">
        <v>2</v>
      </c>
      <c r="P1052" s="84">
        <v>0.47299999999999998</v>
      </c>
      <c r="Q1052" s="86">
        <v>4.2</v>
      </c>
      <c r="R1052" s="85">
        <v>4.2</v>
      </c>
      <c r="S1052" s="87">
        <v>699140</v>
      </c>
      <c r="T1052" s="1">
        <v>4</v>
      </c>
      <c r="U1052" s="88">
        <v>166461.90476190476</v>
      </c>
      <c r="V1052" s="59">
        <v>6.0073804960379897</v>
      </c>
      <c r="X1052" s="98">
        <v>4.2</v>
      </c>
      <c r="Y1052" s="97">
        <v>475.27857142857147</v>
      </c>
    </row>
    <row r="1053" spans="1:25">
      <c r="A1053" s="58">
        <v>1054</v>
      </c>
      <c r="B1053" s="58">
        <v>1054</v>
      </c>
      <c r="C1053" s="58" t="s">
        <v>1627</v>
      </c>
      <c r="D1053" s="58" t="s">
        <v>176</v>
      </c>
      <c r="E1053" s="58" t="s">
        <v>176</v>
      </c>
      <c r="F1053" s="58" t="s">
        <v>177</v>
      </c>
      <c r="G1053" s="58" t="s">
        <v>178</v>
      </c>
      <c r="H1053" s="58" t="s">
        <v>179</v>
      </c>
      <c r="I1053">
        <v>38000</v>
      </c>
      <c r="J1053">
        <v>38000</v>
      </c>
      <c r="K1053">
        <v>20000</v>
      </c>
      <c r="L1053" s="74">
        <v>4.9640000000000004</v>
      </c>
      <c r="M1053" s="85">
        <v>5</v>
      </c>
      <c r="N1053" s="74">
        <v>1.081</v>
      </c>
      <c r="O1053">
        <v>2</v>
      </c>
      <c r="P1053" s="84">
        <v>0.81074999999999997</v>
      </c>
      <c r="Q1053" s="86">
        <v>8.4</v>
      </c>
      <c r="R1053" s="85">
        <v>8.4</v>
      </c>
      <c r="S1053" s="87">
        <v>699140</v>
      </c>
      <c r="T1053" s="1">
        <v>4</v>
      </c>
      <c r="U1053" s="88">
        <v>83230.952380952382</v>
      </c>
      <c r="V1053" s="59">
        <v>12.014760992075979</v>
      </c>
      <c r="X1053" s="98">
        <v>4.2</v>
      </c>
      <c r="Y1053" s="97">
        <v>166.46190476190475</v>
      </c>
    </row>
    <row r="1054" spans="1:25">
      <c r="A1054" s="58">
        <v>1055</v>
      </c>
      <c r="B1054" s="58">
        <v>1055</v>
      </c>
      <c r="C1054" s="58" t="s">
        <v>1628</v>
      </c>
      <c r="D1054" s="58" t="s">
        <v>215</v>
      </c>
      <c r="E1054" s="58" t="s">
        <v>215</v>
      </c>
      <c r="F1054" s="58" t="s">
        <v>763</v>
      </c>
      <c r="G1054" s="58" t="s">
        <v>764</v>
      </c>
      <c r="H1054" s="58" t="s">
        <v>199</v>
      </c>
      <c r="I1054">
        <v>110000</v>
      </c>
      <c r="J1054">
        <v>110000</v>
      </c>
      <c r="K1054">
        <v>38000</v>
      </c>
      <c r="L1054" s="74">
        <v>7.1550000000000002</v>
      </c>
      <c r="M1054" s="85">
        <v>8</v>
      </c>
      <c r="N1054" s="74">
        <v>0.42299999999999999</v>
      </c>
      <c r="O1054">
        <v>2</v>
      </c>
      <c r="P1054" s="84">
        <v>0.42299999999999999</v>
      </c>
      <c r="Q1054" s="86">
        <v>4.2</v>
      </c>
      <c r="R1054" s="85">
        <v>4.2</v>
      </c>
      <c r="S1054" s="87">
        <v>1838070</v>
      </c>
      <c r="T1054" s="1">
        <v>7</v>
      </c>
      <c r="U1054" s="88">
        <v>437635.71428571426</v>
      </c>
      <c r="V1054" s="59">
        <v>2.2850054676916547</v>
      </c>
      <c r="X1054" s="98">
        <v>8.4</v>
      </c>
      <c r="Y1054" s="97">
        <v>83.230952380952374</v>
      </c>
    </row>
    <row r="1055" spans="1:25">
      <c r="A1055" s="58">
        <v>1056</v>
      </c>
      <c r="B1055" s="58">
        <v>1056</v>
      </c>
      <c r="C1055" s="58" t="s">
        <v>1629</v>
      </c>
      <c r="D1055" s="58" t="s">
        <v>450</v>
      </c>
      <c r="E1055" s="58" t="s">
        <v>450</v>
      </c>
      <c r="F1055" s="58" t="s">
        <v>1630</v>
      </c>
      <c r="G1055" s="58" t="s">
        <v>1631</v>
      </c>
      <c r="H1055" s="58" t="s">
        <v>179</v>
      </c>
      <c r="I1055">
        <v>38000</v>
      </c>
      <c r="J1055">
        <v>38000</v>
      </c>
      <c r="K1055" s="58" t="s">
        <v>185</v>
      </c>
      <c r="L1055" s="74">
        <v>9.327</v>
      </c>
      <c r="M1055" s="85">
        <v>10</v>
      </c>
      <c r="N1055" s="74">
        <v>1.7450000000000001</v>
      </c>
      <c r="O1055">
        <v>2</v>
      </c>
      <c r="P1055" s="84">
        <v>1.3087500000000001</v>
      </c>
      <c r="Q1055" s="86">
        <v>12.600000000000001</v>
      </c>
      <c r="R1055" s="85">
        <v>12.600000000000001</v>
      </c>
      <c r="S1055" s="87">
        <v>1469550</v>
      </c>
      <c r="T1055" s="1">
        <v>3</v>
      </c>
      <c r="U1055" s="88">
        <v>116630.95238095237</v>
      </c>
      <c r="V1055" s="59">
        <v>8.5740532816168233</v>
      </c>
      <c r="X1055" s="98">
        <v>4.2</v>
      </c>
      <c r="Y1055" s="97">
        <v>437.63571428571424</v>
      </c>
    </row>
    <row r="1056" spans="1:25">
      <c r="A1056" s="89">
        <v>1057</v>
      </c>
      <c r="B1056" s="89">
        <v>1057</v>
      </c>
      <c r="C1056" s="89" t="s">
        <v>1632</v>
      </c>
      <c r="D1056" s="58" t="s">
        <v>410</v>
      </c>
      <c r="E1056" s="58" t="s">
        <v>450</v>
      </c>
      <c r="F1056" s="89" t="s">
        <v>451</v>
      </c>
      <c r="G1056" s="89" t="s">
        <v>452</v>
      </c>
      <c r="H1056" s="89" t="s">
        <v>179</v>
      </c>
      <c r="I1056" s="90">
        <v>38000</v>
      </c>
      <c r="J1056" s="90">
        <v>38000</v>
      </c>
      <c r="K1056" s="89" t="s">
        <v>185</v>
      </c>
      <c r="L1056" s="91">
        <v>8.6560000000000006</v>
      </c>
      <c r="M1056" s="92">
        <v>9</v>
      </c>
      <c r="N1056" s="91">
        <v>15.997</v>
      </c>
      <c r="O1056" s="90">
        <v>2</v>
      </c>
      <c r="P1056" s="92">
        <v>11.99775</v>
      </c>
      <c r="Q1056" s="93">
        <v>147</v>
      </c>
      <c r="R1056" s="92">
        <v>147</v>
      </c>
      <c r="S1056" s="87">
        <v>4339180</v>
      </c>
      <c r="T1056" s="94">
        <v>12</v>
      </c>
      <c r="U1056" s="95">
        <v>29518.231292517008</v>
      </c>
      <c r="V1056" s="96">
        <v>33.87736853506884</v>
      </c>
      <c r="X1056" s="98">
        <v>12.600000000000001</v>
      </c>
      <c r="Y1056" s="97">
        <v>116.63095238095237</v>
      </c>
    </row>
    <row r="1057" spans="1:25">
      <c r="A1057" s="89">
        <v>1058</v>
      </c>
      <c r="B1057" s="89">
        <v>1058</v>
      </c>
      <c r="C1057" s="89" t="s">
        <v>1633</v>
      </c>
      <c r="D1057" s="58" t="s">
        <v>410</v>
      </c>
      <c r="E1057" s="58" t="s">
        <v>450</v>
      </c>
      <c r="F1057" s="89" t="s">
        <v>769</v>
      </c>
      <c r="G1057" s="89" t="s">
        <v>770</v>
      </c>
      <c r="H1057" s="89" t="s">
        <v>179</v>
      </c>
      <c r="I1057" s="90">
        <v>38000</v>
      </c>
      <c r="J1057" s="89" t="s">
        <v>185</v>
      </c>
      <c r="K1057" s="90">
        <v>38000</v>
      </c>
      <c r="L1057" s="91">
        <v>9.0540000000000003</v>
      </c>
      <c r="M1057" s="92">
        <v>10</v>
      </c>
      <c r="N1057" s="91">
        <v>14.646000000000001</v>
      </c>
      <c r="O1057" s="90">
        <v>2</v>
      </c>
      <c r="P1057" s="92">
        <v>10.984500000000001</v>
      </c>
      <c r="Q1057" s="93">
        <v>134.4</v>
      </c>
      <c r="R1057" s="92">
        <v>134.4</v>
      </c>
      <c r="S1057" s="87">
        <v>4719260</v>
      </c>
      <c r="T1057" s="94">
        <v>12</v>
      </c>
      <c r="U1057" s="95">
        <v>35113.541666666664</v>
      </c>
      <c r="V1057" s="96">
        <v>28.479041205612745</v>
      </c>
      <c r="X1057" s="98">
        <v>147</v>
      </c>
      <c r="Y1057" s="97">
        <v>29.518231292517008</v>
      </c>
    </row>
    <row r="1058" spans="1:25">
      <c r="A1058" s="89">
        <v>1059</v>
      </c>
      <c r="B1058" s="89">
        <v>1059</v>
      </c>
      <c r="C1058" s="89" t="s">
        <v>1634</v>
      </c>
      <c r="D1058" s="58" t="s">
        <v>450</v>
      </c>
      <c r="E1058" s="58" t="s">
        <v>450</v>
      </c>
      <c r="F1058" s="89" t="s">
        <v>454</v>
      </c>
      <c r="G1058" s="89" t="s">
        <v>455</v>
      </c>
      <c r="H1058" s="89" t="s">
        <v>179</v>
      </c>
      <c r="I1058" s="90">
        <v>38000</v>
      </c>
      <c r="J1058" s="90">
        <v>38000</v>
      </c>
      <c r="K1058" s="90">
        <v>10000</v>
      </c>
      <c r="L1058" s="91">
        <v>9.2270000000000003</v>
      </c>
      <c r="M1058" s="92">
        <v>10</v>
      </c>
      <c r="N1058" s="91">
        <v>27.254000000000001</v>
      </c>
      <c r="O1058" s="90">
        <v>2</v>
      </c>
      <c r="P1058" s="92">
        <v>20.4405</v>
      </c>
      <c r="Q1058" s="93">
        <v>252</v>
      </c>
      <c r="R1058" s="92">
        <v>252</v>
      </c>
      <c r="S1058" s="87">
        <v>9438520</v>
      </c>
      <c r="T1058" s="94">
        <v>12</v>
      </c>
      <c r="U1058" s="95">
        <v>37454.444444444445</v>
      </c>
      <c r="V1058" s="96">
        <v>26.699101130261948</v>
      </c>
      <c r="X1058" s="98">
        <v>134.4</v>
      </c>
      <c r="Y1058" s="97">
        <v>35.113541666666663</v>
      </c>
    </row>
    <row r="1059" spans="1:25">
      <c r="A1059" s="89">
        <v>1060</v>
      </c>
      <c r="B1059" s="89">
        <v>1060</v>
      </c>
      <c r="C1059" s="89" t="s">
        <v>1635</v>
      </c>
      <c r="D1059" s="58" t="s">
        <v>450</v>
      </c>
      <c r="E1059" s="58" t="s">
        <v>450</v>
      </c>
      <c r="F1059" s="89" t="s">
        <v>772</v>
      </c>
      <c r="G1059" s="89" t="s">
        <v>773</v>
      </c>
      <c r="H1059" s="89" t="s">
        <v>179</v>
      </c>
      <c r="I1059" s="90">
        <v>38000</v>
      </c>
      <c r="J1059" s="90">
        <v>38000</v>
      </c>
      <c r="K1059" s="89" t="s">
        <v>185</v>
      </c>
      <c r="L1059" s="91">
        <v>10.714</v>
      </c>
      <c r="M1059" s="92">
        <v>11</v>
      </c>
      <c r="N1059" s="91">
        <v>9.2379999999999995</v>
      </c>
      <c r="O1059" s="90">
        <v>2</v>
      </c>
      <c r="P1059" s="92">
        <v>6.9284999999999997</v>
      </c>
      <c r="Q1059" s="93">
        <v>84</v>
      </c>
      <c r="R1059" s="92">
        <v>84</v>
      </c>
      <c r="S1059" s="87">
        <v>3237370</v>
      </c>
      <c r="T1059" s="94">
        <v>11</v>
      </c>
      <c r="U1059" s="95">
        <v>38540.119047619046</v>
      </c>
      <c r="V1059" s="96">
        <v>25.946987832716061</v>
      </c>
      <c r="X1059" s="98">
        <v>252</v>
      </c>
      <c r="Y1059" s="97">
        <v>37.454444444444441</v>
      </c>
    </row>
    <row r="1060" spans="1:25">
      <c r="A1060" s="58">
        <v>1061</v>
      </c>
      <c r="B1060" s="58">
        <v>1061</v>
      </c>
      <c r="C1060" s="58" t="s">
        <v>1636</v>
      </c>
      <c r="D1060" s="58" t="s">
        <v>450</v>
      </c>
      <c r="E1060" s="58" t="s">
        <v>450</v>
      </c>
      <c r="F1060" s="58" t="s">
        <v>457</v>
      </c>
      <c r="G1060" s="58" t="s">
        <v>458</v>
      </c>
      <c r="H1060" s="58" t="s">
        <v>199</v>
      </c>
      <c r="I1060">
        <v>110000</v>
      </c>
      <c r="J1060">
        <v>110000</v>
      </c>
      <c r="K1060">
        <v>38000</v>
      </c>
      <c r="L1060" s="74">
        <v>8.1890000000000001</v>
      </c>
      <c r="M1060" s="85">
        <v>9</v>
      </c>
      <c r="N1060" s="74">
        <v>2.0430000000000001</v>
      </c>
      <c r="O1060">
        <v>2</v>
      </c>
      <c r="P1060" s="84">
        <v>1.5322500000000001</v>
      </c>
      <c r="Q1060" s="86">
        <v>16.8</v>
      </c>
      <c r="R1060" s="85">
        <v>16.8</v>
      </c>
      <c r="S1060" s="87">
        <v>2227140</v>
      </c>
      <c r="T1060" s="1">
        <v>8</v>
      </c>
      <c r="U1060" s="88">
        <v>132567.85714285713</v>
      </c>
      <c r="V1060" s="59">
        <v>7.5433066623562057</v>
      </c>
      <c r="X1060" s="98">
        <v>84</v>
      </c>
      <c r="Y1060" s="97">
        <v>38.540119047619044</v>
      </c>
    </row>
    <row r="1061" spans="1:25">
      <c r="A1061" s="58">
        <v>1062</v>
      </c>
      <c r="B1061" s="58">
        <v>1062</v>
      </c>
      <c r="C1061" s="58" t="s">
        <v>1637</v>
      </c>
      <c r="D1061" s="58" t="s">
        <v>450</v>
      </c>
      <c r="E1061" s="58" t="s">
        <v>450</v>
      </c>
      <c r="F1061" s="58" t="s">
        <v>1130</v>
      </c>
      <c r="G1061" s="58" t="s">
        <v>1131</v>
      </c>
      <c r="H1061" s="58" t="s">
        <v>179</v>
      </c>
      <c r="I1061">
        <v>38000</v>
      </c>
      <c r="J1061">
        <v>38000</v>
      </c>
      <c r="K1061" s="58" t="s">
        <v>185</v>
      </c>
      <c r="L1061" s="74">
        <v>4.0449999999999999</v>
      </c>
      <c r="M1061" s="85">
        <v>5</v>
      </c>
      <c r="N1061" s="74">
        <v>0.93799999999999994</v>
      </c>
      <c r="O1061">
        <v>2</v>
      </c>
      <c r="P1061" s="84">
        <v>0.70350000000000001</v>
      </c>
      <c r="Q1061" s="86">
        <v>8.4</v>
      </c>
      <c r="R1061" s="85">
        <v>8.4</v>
      </c>
      <c r="S1061" s="87">
        <v>699140</v>
      </c>
      <c r="T1061" s="1">
        <v>4</v>
      </c>
      <c r="U1061" s="88">
        <v>83230.952380952382</v>
      </c>
      <c r="V1061" s="59">
        <v>12.014760992075979</v>
      </c>
      <c r="X1061" s="98">
        <v>16.8</v>
      </c>
      <c r="Y1061" s="97">
        <v>132.56785714285712</v>
      </c>
    </row>
    <row r="1062" spans="1:25">
      <c r="A1062" s="58">
        <v>1063</v>
      </c>
      <c r="B1062" s="58">
        <v>1063</v>
      </c>
      <c r="C1062" s="58" t="s">
        <v>1638</v>
      </c>
      <c r="D1062" s="58" t="s">
        <v>450</v>
      </c>
      <c r="E1062" s="58" t="s">
        <v>450</v>
      </c>
      <c r="F1062" s="58" t="s">
        <v>457</v>
      </c>
      <c r="G1062" s="58" t="s">
        <v>458</v>
      </c>
      <c r="H1062" s="58" t="s">
        <v>199</v>
      </c>
      <c r="I1062">
        <v>110000</v>
      </c>
      <c r="J1062">
        <v>110000</v>
      </c>
      <c r="K1062">
        <v>38000</v>
      </c>
      <c r="L1062" s="74">
        <v>5.5439999999999996</v>
      </c>
      <c r="M1062" s="85">
        <v>6</v>
      </c>
      <c r="N1062" s="74">
        <v>1.893</v>
      </c>
      <c r="O1062">
        <v>2</v>
      </c>
      <c r="P1062" s="84">
        <v>1.4197500000000001</v>
      </c>
      <c r="Q1062" s="86">
        <v>16.8</v>
      </c>
      <c r="R1062" s="85">
        <v>16.8</v>
      </c>
      <c r="S1062" s="87">
        <v>2016330</v>
      </c>
      <c r="T1062" s="1">
        <v>8</v>
      </c>
      <c r="U1062" s="88">
        <v>120019.64285714286</v>
      </c>
      <c r="V1062" s="59">
        <v>8.3319694692833011</v>
      </c>
      <c r="X1062" s="98">
        <v>8.4</v>
      </c>
      <c r="Y1062" s="97">
        <v>83.230952380952374</v>
      </c>
    </row>
    <row r="1063" spans="1:25">
      <c r="A1063" s="58">
        <v>1064</v>
      </c>
      <c r="B1063" s="58">
        <v>1064</v>
      </c>
      <c r="C1063" s="58" t="s">
        <v>1639</v>
      </c>
      <c r="D1063" s="58" t="s">
        <v>215</v>
      </c>
      <c r="E1063" s="58" t="s">
        <v>775</v>
      </c>
      <c r="F1063" s="58" t="s">
        <v>776</v>
      </c>
      <c r="G1063" s="58" t="s">
        <v>777</v>
      </c>
      <c r="H1063" s="58" t="s">
        <v>179</v>
      </c>
      <c r="I1063">
        <v>38000</v>
      </c>
      <c r="J1063">
        <v>20000</v>
      </c>
      <c r="K1063">
        <v>38000</v>
      </c>
      <c r="L1063" s="74">
        <v>2.7690000000000001</v>
      </c>
      <c r="M1063" s="85">
        <v>3</v>
      </c>
      <c r="N1063" s="74">
        <v>3.6379999999999999</v>
      </c>
      <c r="O1063">
        <v>2</v>
      </c>
      <c r="P1063" s="84">
        <v>2.7284999999999999</v>
      </c>
      <c r="Q1063" s="86">
        <v>33.6</v>
      </c>
      <c r="R1063" s="85">
        <v>33.6</v>
      </c>
      <c r="S1063" s="87">
        <v>681570</v>
      </c>
      <c r="T1063" s="1">
        <v>6</v>
      </c>
      <c r="U1063" s="88">
        <v>20284.821428571428</v>
      </c>
      <c r="V1063" s="59">
        <v>49.297944451780445</v>
      </c>
      <c r="X1063" s="98">
        <v>16.8</v>
      </c>
      <c r="Y1063" s="97">
        <v>120.01964285714286</v>
      </c>
    </row>
    <row r="1064" spans="1:25">
      <c r="A1064" s="89">
        <v>1065</v>
      </c>
      <c r="B1064" s="89">
        <v>1065</v>
      </c>
      <c r="C1064" s="89" t="s">
        <v>1640</v>
      </c>
      <c r="D1064" s="58" t="s">
        <v>775</v>
      </c>
      <c r="E1064" s="58" t="s">
        <v>775</v>
      </c>
      <c r="F1064" s="89" t="s">
        <v>776</v>
      </c>
      <c r="G1064" s="89" t="s">
        <v>777</v>
      </c>
      <c r="H1064" s="89" t="s">
        <v>179</v>
      </c>
      <c r="I1064" s="90">
        <v>38000</v>
      </c>
      <c r="J1064" s="90">
        <v>20000</v>
      </c>
      <c r="K1064" s="90">
        <v>38000</v>
      </c>
      <c r="L1064" s="91">
        <v>3.4129999999999998</v>
      </c>
      <c r="M1064" s="92">
        <v>4</v>
      </c>
      <c r="N1064" s="91">
        <v>5.6230000000000002</v>
      </c>
      <c r="O1064" s="90">
        <v>2</v>
      </c>
      <c r="P1064" s="92">
        <v>4.2172499999999999</v>
      </c>
      <c r="Q1064" s="93">
        <v>50.400000000000006</v>
      </c>
      <c r="R1064" s="92">
        <v>50.400000000000006</v>
      </c>
      <c r="S1064" s="87">
        <v>1761700</v>
      </c>
      <c r="T1064" s="94">
        <v>11</v>
      </c>
      <c r="U1064" s="95">
        <v>34954.365079365074</v>
      </c>
      <c r="V1064" s="96">
        <v>28.608730203780443</v>
      </c>
      <c r="X1064" s="98">
        <v>33.6</v>
      </c>
      <c r="Y1064" s="97">
        <v>20.284821428571426</v>
      </c>
    </row>
    <row r="1065" spans="1:25">
      <c r="A1065" s="58">
        <v>1066</v>
      </c>
      <c r="B1065" s="58">
        <v>1066</v>
      </c>
      <c r="C1065" s="58" t="s">
        <v>1641</v>
      </c>
      <c r="D1065" s="58" t="s">
        <v>775</v>
      </c>
      <c r="E1065" s="58" t="s">
        <v>775</v>
      </c>
      <c r="F1065" s="58" t="s">
        <v>460</v>
      </c>
      <c r="G1065" s="58" t="s">
        <v>461</v>
      </c>
      <c r="H1065" s="58" t="s">
        <v>179</v>
      </c>
      <c r="I1065">
        <v>38000</v>
      </c>
      <c r="J1065">
        <v>38000</v>
      </c>
      <c r="K1065" s="58" t="s">
        <v>185</v>
      </c>
      <c r="L1065" s="74">
        <v>8.9969999999999999</v>
      </c>
      <c r="M1065" s="85">
        <v>9</v>
      </c>
      <c r="N1065" s="74">
        <v>0.98799999999999999</v>
      </c>
      <c r="O1065">
        <v>2</v>
      </c>
      <c r="P1065" s="84">
        <v>0.74099999999999999</v>
      </c>
      <c r="Q1065" s="86">
        <v>8.4</v>
      </c>
      <c r="R1065" s="85">
        <v>8.4</v>
      </c>
      <c r="S1065" s="87">
        <v>1379800</v>
      </c>
      <c r="T1065" s="1">
        <v>2</v>
      </c>
      <c r="U1065" s="88">
        <v>164261.90476190476</v>
      </c>
      <c r="V1065" s="59">
        <v>6.087838817219887</v>
      </c>
      <c r="X1065" s="98">
        <v>50.400000000000006</v>
      </c>
      <c r="Y1065" s="97">
        <v>34.954365079365068</v>
      </c>
    </row>
    <row r="1066" spans="1:25">
      <c r="A1066" s="89">
        <v>1067</v>
      </c>
      <c r="B1066" s="89">
        <v>1067</v>
      </c>
      <c r="C1066" s="89" t="s">
        <v>1642</v>
      </c>
      <c r="D1066" s="58" t="s">
        <v>410</v>
      </c>
      <c r="E1066" s="58" t="s">
        <v>775</v>
      </c>
      <c r="F1066" s="89" t="s">
        <v>466</v>
      </c>
      <c r="G1066" s="89" t="s">
        <v>467</v>
      </c>
      <c r="H1066" s="89" t="s">
        <v>179</v>
      </c>
      <c r="I1066" s="90">
        <v>38000</v>
      </c>
      <c r="J1066" s="90">
        <v>38000</v>
      </c>
      <c r="K1066" s="89" t="s">
        <v>185</v>
      </c>
      <c r="L1066" s="91">
        <v>11.773999999999999</v>
      </c>
      <c r="M1066" s="92">
        <v>12</v>
      </c>
      <c r="N1066" s="91">
        <v>34.698</v>
      </c>
      <c r="O1066" s="90">
        <v>2</v>
      </c>
      <c r="P1066" s="92">
        <v>26.023499999999999</v>
      </c>
      <c r="Q1066" s="93">
        <v>323.40000000000003</v>
      </c>
      <c r="R1066" s="92">
        <v>323.40000000000003</v>
      </c>
      <c r="S1066" s="87">
        <v>9726200</v>
      </c>
      <c r="T1066" s="94">
        <v>13</v>
      </c>
      <c r="U1066" s="95">
        <v>30074.829931972785</v>
      </c>
      <c r="V1066" s="96">
        <v>33.250395838045698</v>
      </c>
      <c r="X1066" s="98">
        <v>8.4</v>
      </c>
      <c r="Y1066" s="97">
        <v>164.26190476190479</v>
      </c>
    </row>
    <row r="1067" spans="1:25">
      <c r="A1067" s="89">
        <v>1068</v>
      </c>
      <c r="B1067" s="89">
        <v>1068</v>
      </c>
      <c r="C1067" s="89" t="s">
        <v>1643</v>
      </c>
      <c r="D1067" s="58" t="s">
        <v>215</v>
      </c>
      <c r="E1067" s="58" t="s">
        <v>215</v>
      </c>
      <c r="F1067" s="89" t="s">
        <v>1644</v>
      </c>
      <c r="G1067" s="89" t="s">
        <v>1645</v>
      </c>
      <c r="H1067" s="89" t="s">
        <v>179</v>
      </c>
      <c r="I1067" s="90">
        <v>38000</v>
      </c>
      <c r="J1067" s="90">
        <v>38000</v>
      </c>
      <c r="K1067" s="89" t="s">
        <v>185</v>
      </c>
      <c r="L1067" s="91">
        <v>5.6580000000000004</v>
      </c>
      <c r="M1067" s="92">
        <v>6</v>
      </c>
      <c r="N1067" s="91">
        <v>8.3439999999999905</v>
      </c>
      <c r="O1067" s="90">
        <v>2</v>
      </c>
      <c r="P1067" s="92">
        <v>6.2579999999999929</v>
      </c>
      <c r="Q1067" s="93">
        <v>75.600000000000009</v>
      </c>
      <c r="R1067" s="92">
        <v>75.600000000000009</v>
      </c>
      <c r="S1067" s="87">
        <v>2183320</v>
      </c>
      <c r="T1067" s="94">
        <v>11</v>
      </c>
      <c r="U1067" s="95">
        <v>28879.894179894178</v>
      </c>
      <c r="V1067" s="96">
        <v>34.62616565597348</v>
      </c>
      <c r="X1067" s="98">
        <v>323.40000000000003</v>
      </c>
      <c r="Y1067" s="97">
        <v>30.074829931972783</v>
      </c>
    </row>
    <row r="1068" spans="1:25">
      <c r="A1068" s="89">
        <v>1069</v>
      </c>
      <c r="B1068" s="89">
        <v>1069</v>
      </c>
      <c r="C1068" s="89" t="s">
        <v>1646</v>
      </c>
      <c r="D1068" s="58" t="s">
        <v>380</v>
      </c>
      <c r="E1068" s="58" t="s">
        <v>384</v>
      </c>
      <c r="F1068" s="89" t="s">
        <v>469</v>
      </c>
      <c r="G1068" s="89" t="s">
        <v>470</v>
      </c>
      <c r="H1068" s="89" t="s">
        <v>179</v>
      </c>
      <c r="I1068" s="90">
        <v>38000</v>
      </c>
      <c r="J1068" s="90">
        <v>38000</v>
      </c>
      <c r="K1068" s="89" t="s">
        <v>185</v>
      </c>
      <c r="L1068" s="91">
        <v>10.1</v>
      </c>
      <c r="M1068" s="92">
        <v>11</v>
      </c>
      <c r="N1068" s="91">
        <v>8.8369999999999997</v>
      </c>
      <c r="O1068" s="90">
        <v>2</v>
      </c>
      <c r="P1068" s="92">
        <v>6.6277499999999998</v>
      </c>
      <c r="Q1068" s="93">
        <v>79.8</v>
      </c>
      <c r="R1068" s="92">
        <v>79.8</v>
      </c>
      <c r="S1068" s="87">
        <v>3237370</v>
      </c>
      <c r="T1068" s="94">
        <v>11</v>
      </c>
      <c r="U1068" s="95">
        <v>40568.546365914786</v>
      </c>
      <c r="V1068" s="96">
        <v>24.64963844108026</v>
      </c>
      <c r="X1068" s="98">
        <v>75.600000000000009</v>
      </c>
      <c r="Y1068" s="97">
        <v>28.87989417989418</v>
      </c>
    </row>
    <row r="1069" spans="1:25">
      <c r="A1069" s="58">
        <v>1070</v>
      </c>
      <c r="B1069" s="58">
        <v>1070</v>
      </c>
      <c r="C1069" s="58" t="s">
        <v>1647</v>
      </c>
      <c r="D1069" s="58" t="s">
        <v>410</v>
      </c>
      <c r="E1069" s="58" t="s">
        <v>410</v>
      </c>
      <c r="F1069" s="58" t="s">
        <v>411</v>
      </c>
      <c r="G1069" s="58" t="s">
        <v>412</v>
      </c>
      <c r="H1069" s="58" t="s">
        <v>179</v>
      </c>
      <c r="I1069">
        <v>38000</v>
      </c>
      <c r="J1069">
        <v>38000</v>
      </c>
      <c r="K1069" s="58" t="s">
        <v>185</v>
      </c>
      <c r="L1069" s="74">
        <v>8.4190000000000005</v>
      </c>
      <c r="M1069" s="85">
        <v>9</v>
      </c>
      <c r="N1069" s="74">
        <v>1.49</v>
      </c>
      <c r="O1069">
        <v>2</v>
      </c>
      <c r="P1069" s="84">
        <v>1.1174999999999999</v>
      </c>
      <c r="Q1069" s="86">
        <v>12.600000000000001</v>
      </c>
      <c r="R1069" s="85">
        <v>12.600000000000001</v>
      </c>
      <c r="S1069" s="87">
        <v>1416850</v>
      </c>
      <c r="T1069" s="1">
        <v>3</v>
      </c>
      <c r="U1069" s="88">
        <v>112448.41269841269</v>
      </c>
      <c r="V1069" s="59">
        <v>8.8929667925327323</v>
      </c>
      <c r="X1069" s="98">
        <v>79.8</v>
      </c>
      <c r="Y1069" s="97">
        <v>40.568546365914791</v>
      </c>
    </row>
    <row r="1070" spans="1:25">
      <c r="A1070" s="58">
        <v>1071</v>
      </c>
      <c r="B1070" s="58">
        <v>1071</v>
      </c>
      <c r="C1070" s="58" t="s">
        <v>1648</v>
      </c>
      <c r="D1070" s="58" t="s">
        <v>215</v>
      </c>
      <c r="E1070" s="58" t="s">
        <v>215</v>
      </c>
      <c r="F1070" s="58" t="s">
        <v>925</v>
      </c>
      <c r="G1070" s="58" t="s">
        <v>926</v>
      </c>
      <c r="H1070" s="58" t="s">
        <v>179</v>
      </c>
      <c r="I1070">
        <v>38000</v>
      </c>
      <c r="J1070">
        <v>38000</v>
      </c>
      <c r="K1070" s="58" t="s">
        <v>185</v>
      </c>
      <c r="L1070" s="74">
        <v>9.7439999999999998</v>
      </c>
      <c r="M1070" s="85">
        <v>10</v>
      </c>
      <c r="N1070" s="74">
        <v>0.92100000000000004</v>
      </c>
      <c r="O1070">
        <v>2</v>
      </c>
      <c r="P1070" s="84">
        <v>0.69074999999999998</v>
      </c>
      <c r="Q1070" s="86">
        <v>8.4</v>
      </c>
      <c r="R1070" s="85">
        <v>8.4</v>
      </c>
      <c r="S1070" s="87">
        <v>1432500</v>
      </c>
      <c r="T1070" s="1">
        <v>2</v>
      </c>
      <c r="U1070" s="88">
        <v>170535.71428571429</v>
      </c>
      <c r="V1070" s="59">
        <v>5.8638743455497382</v>
      </c>
      <c r="X1070" s="98">
        <v>12.600000000000001</v>
      </c>
      <c r="Y1070" s="97">
        <v>112.44841269841268</v>
      </c>
    </row>
    <row r="1071" spans="1:25">
      <c r="A1071" s="58">
        <v>1072</v>
      </c>
      <c r="B1071" s="58">
        <v>1072</v>
      </c>
      <c r="C1071" s="58" t="s">
        <v>1649</v>
      </c>
      <c r="D1071" s="58" t="s">
        <v>489</v>
      </c>
      <c r="E1071" s="58" t="s">
        <v>489</v>
      </c>
      <c r="F1071" s="58" t="s">
        <v>1140</v>
      </c>
      <c r="G1071" s="58" t="s">
        <v>1141</v>
      </c>
      <c r="H1071" s="58" t="s">
        <v>179</v>
      </c>
      <c r="I1071">
        <v>38000</v>
      </c>
      <c r="J1071">
        <v>38000</v>
      </c>
      <c r="K1071" s="58" t="s">
        <v>185</v>
      </c>
      <c r="L1071" s="74">
        <v>9.1349999999999998</v>
      </c>
      <c r="M1071" s="85">
        <v>10</v>
      </c>
      <c r="N1071" s="74">
        <v>1.1930000000000001</v>
      </c>
      <c r="O1071">
        <v>2</v>
      </c>
      <c r="P1071" s="84">
        <v>0.89475000000000005</v>
      </c>
      <c r="Q1071" s="86">
        <v>8.4</v>
      </c>
      <c r="R1071" s="85">
        <v>8.4</v>
      </c>
      <c r="S1071" s="87">
        <v>1432500</v>
      </c>
      <c r="T1071" s="1">
        <v>2</v>
      </c>
      <c r="U1071" s="88">
        <v>170535.71428571429</v>
      </c>
      <c r="V1071" s="59">
        <v>5.8638743455497382</v>
      </c>
      <c r="X1071" s="98">
        <v>8.4</v>
      </c>
      <c r="Y1071" s="97">
        <v>170.53571428571428</v>
      </c>
    </row>
    <row r="1072" spans="1:25">
      <c r="A1072" s="89">
        <v>1073</v>
      </c>
      <c r="B1072" s="89">
        <v>1073</v>
      </c>
      <c r="C1072" s="89" t="s">
        <v>1650</v>
      </c>
      <c r="D1072" s="58" t="s">
        <v>215</v>
      </c>
      <c r="E1072" s="58" t="s">
        <v>215</v>
      </c>
      <c r="F1072" s="89" t="s">
        <v>498</v>
      </c>
      <c r="G1072" s="89" t="s">
        <v>499</v>
      </c>
      <c r="H1072" s="89" t="s">
        <v>179</v>
      </c>
      <c r="I1072" s="90">
        <v>38000</v>
      </c>
      <c r="J1072" s="89" t="s">
        <v>185</v>
      </c>
      <c r="K1072" s="90">
        <v>38000</v>
      </c>
      <c r="L1072" s="91">
        <v>7.44</v>
      </c>
      <c r="M1072" s="92">
        <v>8</v>
      </c>
      <c r="N1072" s="91">
        <v>6.798</v>
      </c>
      <c r="O1072" s="90">
        <v>2</v>
      </c>
      <c r="P1072" s="92">
        <v>5.0984999999999996</v>
      </c>
      <c r="Q1072" s="93">
        <v>63</v>
      </c>
      <c r="R1072" s="92">
        <v>63</v>
      </c>
      <c r="S1072" s="87">
        <v>2604940</v>
      </c>
      <c r="T1072" s="94">
        <v>11</v>
      </c>
      <c r="U1072" s="95">
        <v>41348.253968253972</v>
      </c>
      <c r="V1072" s="96">
        <v>24.184818076424026</v>
      </c>
      <c r="X1072" s="98">
        <v>8.4</v>
      </c>
      <c r="Y1072" s="97">
        <v>170.53571428571428</v>
      </c>
    </row>
    <row r="1073" spans="1:25">
      <c r="A1073" s="58">
        <v>1074</v>
      </c>
      <c r="B1073" s="58">
        <v>1074</v>
      </c>
      <c r="C1073" s="58" t="s">
        <v>1651</v>
      </c>
      <c r="D1073" s="58" t="s">
        <v>176</v>
      </c>
      <c r="E1073" s="58" t="s">
        <v>176</v>
      </c>
      <c r="F1073" s="58" t="s">
        <v>1013</v>
      </c>
      <c r="G1073" s="58" t="s">
        <v>1014</v>
      </c>
      <c r="H1073" s="58" t="s">
        <v>179</v>
      </c>
      <c r="I1073">
        <v>38000</v>
      </c>
      <c r="J1073">
        <v>38000</v>
      </c>
      <c r="K1073">
        <v>20000</v>
      </c>
      <c r="L1073" s="74">
        <v>7.1580000000000004</v>
      </c>
      <c r="M1073" s="85">
        <v>8</v>
      </c>
      <c r="N1073" s="74">
        <v>0.47</v>
      </c>
      <c r="O1073">
        <v>2</v>
      </c>
      <c r="P1073" s="84">
        <v>0.47</v>
      </c>
      <c r="Q1073" s="86">
        <v>4.2</v>
      </c>
      <c r="R1073" s="85">
        <v>4.2</v>
      </c>
      <c r="S1073" s="87">
        <v>909950</v>
      </c>
      <c r="T1073" s="1">
        <v>4</v>
      </c>
      <c r="U1073" s="88">
        <v>216654.76190476189</v>
      </c>
      <c r="V1073" s="59">
        <v>4.6156382218803227</v>
      </c>
      <c r="X1073" s="98">
        <v>63</v>
      </c>
      <c r="Y1073" s="97">
        <v>41.348253968253971</v>
      </c>
    </row>
    <row r="1074" spans="1:25">
      <c r="A1074" s="58">
        <v>1075</v>
      </c>
      <c r="B1074" s="58">
        <v>1075</v>
      </c>
      <c r="C1074" s="58" t="s">
        <v>1652</v>
      </c>
      <c r="D1074" s="58" t="s">
        <v>176</v>
      </c>
      <c r="E1074" s="58" t="s">
        <v>176</v>
      </c>
      <c r="F1074" s="58" t="s">
        <v>1013</v>
      </c>
      <c r="G1074" s="58" t="s">
        <v>1014</v>
      </c>
      <c r="H1074" s="58" t="s">
        <v>179</v>
      </c>
      <c r="I1074">
        <v>38000</v>
      </c>
      <c r="J1074">
        <v>38000</v>
      </c>
      <c r="K1074">
        <v>20000</v>
      </c>
      <c r="L1074" s="74">
        <v>6.4359999999999999</v>
      </c>
      <c r="M1074" s="85">
        <v>7</v>
      </c>
      <c r="N1074" s="74">
        <v>0.55000000000000004</v>
      </c>
      <c r="O1074">
        <v>2</v>
      </c>
      <c r="P1074" s="84">
        <v>0.55000000000000004</v>
      </c>
      <c r="Q1074" s="86">
        <v>4.2</v>
      </c>
      <c r="R1074" s="85">
        <v>4.2</v>
      </c>
      <c r="S1074" s="87">
        <v>839680</v>
      </c>
      <c r="T1074" s="1">
        <v>4</v>
      </c>
      <c r="U1074" s="88">
        <v>199923.80952380953</v>
      </c>
      <c r="V1074" s="59">
        <v>5.0019054878048781</v>
      </c>
      <c r="X1074" s="98">
        <v>4.2</v>
      </c>
      <c r="Y1074" s="97">
        <v>216.6547619047619</v>
      </c>
    </row>
    <row r="1075" spans="1:25">
      <c r="A1075" s="58">
        <v>1076</v>
      </c>
      <c r="B1075" s="58">
        <v>1076</v>
      </c>
      <c r="C1075" s="58" t="s">
        <v>1653</v>
      </c>
      <c r="D1075" s="58" t="s">
        <v>410</v>
      </c>
      <c r="E1075" s="58" t="s">
        <v>410</v>
      </c>
      <c r="F1075" s="58" t="s">
        <v>1654</v>
      </c>
      <c r="G1075" s="58" t="s">
        <v>1655</v>
      </c>
      <c r="H1075" s="58" t="s">
        <v>199</v>
      </c>
      <c r="I1075">
        <v>110000</v>
      </c>
      <c r="J1075">
        <v>110000</v>
      </c>
      <c r="K1075">
        <v>38000</v>
      </c>
      <c r="L1075" s="74">
        <v>8.2040000000000006</v>
      </c>
      <c r="M1075" s="85">
        <v>9</v>
      </c>
      <c r="N1075" s="74">
        <v>8.9309999999999903</v>
      </c>
      <c r="O1075">
        <v>2</v>
      </c>
      <c r="P1075" s="84">
        <v>6.6982499999999927</v>
      </c>
      <c r="Q1075" s="86">
        <v>79.8</v>
      </c>
      <c r="R1075" s="85">
        <v>79.8</v>
      </c>
      <c r="S1075" s="87">
        <v>2815750</v>
      </c>
      <c r="T1075" s="1">
        <v>11</v>
      </c>
      <c r="U1075" s="88">
        <v>35285.087719298244</v>
      </c>
      <c r="V1075" s="59">
        <v>28.340584213797388</v>
      </c>
      <c r="X1075" s="98">
        <v>4.2</v>
      </c>
      <c r="Y1075" s="97">
        <v>199.92380952380952</v>
      </c>
    </row>
    <row r="1076" spans="1:25">
      <c r="A1076" s="58">
        <v>1077</v>
      </c>
      <c r="B1076" s="58">
        <v>1077</v>
      </c>
      <c r="C1076" s="58" t="s">
        <v>1656</v>
      </c>
      <c r="D1076" s="58" t="s">
        <v>207</v>
      </c>
      <c r="E1076" s="58" t="s">
        <v>207</v>
      </c>
      <c r="F1076" s="58" t="s">
        <v>219</v>
      </c>
      <c r="G1076" s="58" t="s">
        <v>220</v>
      </c>
      <c r="H1076" s="58" t="s">
        <v>199</v>
      </c>
      <c r="I1076">
        <v>110000</v>
      </c>
      <c r="J1076">
        <v>110000</v>
      </c>
      <c r="K1076">
        <v>38000</v>
      </c>
      <c r="L1076" s="74">
        <v>5.7610000000000001</v>
      </c>
      <c r="M1076" s="85">
        <v>6</v>
      </c>
      <c r="N1076" s="74">
        <v>0.36199999999999999</v>
      </c>
      <c r="O1076">
        <v>2</v>
      </c>
      <c r="P1076" s="84">
        <v>0.36199999999999999</v>
      </c>
      <c r="Q1076" s="86">
        <v>4.2</v>
      </c>
      <c r="R1076" s="85">
        <v>4.2</v>
      </c>
      <c r="S1076" s="87">
        <v>1732670</v>
      </c>
      <c r="T1076" s="1">
        <v>7</v>
      </c>
      <c r="U1076" s="88">
        <v>412540.47619047615</v>
      </c>
      <c r="V1076" s="59">
        <v>2.4240045709800482</v>
      </c>
      <c r="X1076" s="98">
        <v>79.8</v>
      </c>
      <c r="Y1076" s="97">
        <v>35.285087719298247</v>
      </c>
    </row>
    <row r="1077" spans="1:25">
      <c r="A1077" s="89">
        <v>1078</v>
      </c>
      <c r="B1077" s="89">
        <v>1078</v>
      </c>
      <c r="C1077" s="89" t="s">
        <v>1657</v>
      </c>
      <c r="D1077" s="58" t="s">
        <v>197</v>
      </c>
      <c r="E1077" s="58" t="s">
        <v>197</v>
      </c>
      <c r="F1077" s="89" t="s">
        <v>299</v>
      </c>
      <c r="G1077" s="89" t="s">
        <v>300</v>
      </c>
      <c r="H1077" s="89" t="s">
        <v>179</v>
      </c>
      <c r="I1077" s="90">
        <v>38000</v>
      </c>
      <c r="J1077" s="90">
        <v>38000</v>
      </c>
      <c r="K1077" s="89" t="s">
        <v>185</v>
      </c>
      <c r="L1077" s="91">
        <v>17.052</v>
      </c>
      <c r="M1077" s="92">
        <v>18</v>
      </c>
      <c r="N1077" s="91">
        <v>6.7329999999999997</v>
      </c>
      <c r="O1077" s="90">
        <v>2</v>
      </c>
      <c r="P1077" s="92">
        <v>5.0497499999999995</v>
      </c>
      <c r="Q1077" s="93">
        <v>58.800000000000011</v>
      </c>
      <c r="R1077" s="92">
        <v>58.800000000000011</v>
      </c>
      <c r="S1077" s="87">
        <v>4713040</v>
      </c>
      <c r="T1077" s="94">
        <v>11</v>
      </c>
      <c r="U1077" s="95">
        <v>80153.741496598625</v>
      </c>
      <c r="V1077" s="96">
        <v>12.476023967545366</v>
      </c>
      <c r="X1077" s="98">
        <v>4.2</v>
      </c>
      <c r="Y1077" s="97">
        <v>412.54047619047617</v>
      </c>
    </row>
    <row r="1078" spans="1:25">
      <c r="A1078" s="58">
        <v>1079</v>
      </c>
      <c r="B1078" s="58">
        <v>1079</v>
      </c>
      <c r="C1078" s="58" t="s">
        <v>1658</v>
      </c>
      <c r="D1078" s="58" t="s">
        <v>197</v>
      </c>
      <c r="E1078" s="58" t="s">
        <v>197</v>
      </c>
      <c r="F1078" s="58" t="s">
        <v>299</v>
      </c>
      <c r="G1078" s="58" t="s">
        <v>300</v>
      </c>
      <c r="H1078" s="58" t="s">
        <v>179</v>
      </c>
      <c r="I1078">
        <v>38000</v>
      </c>
      <c r="J1078">
        <v>38000</v>
      </c>
      <c r="K1078" s="58" t="s">
        <v>185</v>
      </c>
      <c r="L1078" s="74">
        <v>15.555999999999999</v>
      </c>
      <c r="M1078" s="85">
        <v>16</v>
      </c>
      <c r="N1078" s="74">
        <v>2.7490000000000001</v>
      </c>
      <c r="O1078">
        <v>2</v>
      </c>
      <c r="P1078" s="84">
        <v>2.06175</v>
      </c>
      <c r="Q1078" s="86">
        <v>25.200000000000003</v>
      </c>
      <c r="R1078" s="85">
        <v>25.200000000000003</v>
      </c>
      <c r="S1078" s="87">
        <v>1769070</v>
      </c>
      <c r="T1078" s="1">
        <v>5</v>
      </c>
      <c r="U1078" s="88">
        <v>70201.190476190473</v>
      </c>
      <c r="V1078" s="59">
        <v>14.244772677169362</v>
      </c>
      <c r="X1078" s="98">
        <v>58.800000000000011</v>
      </c>
      <c r="Y1078" s="97">
        <v>80.153741496598627</v>
      </c>
    </row>
    <row r="1079" spans="1:25">
      <c r="A1079" s="58">
        <v>1080</v>
      </c>
      <c r="B1079" s="58">
        <v>1080</v>
      </c>
      <c r="C1079" s="58" t="s">
        <v>1659</v>
      </c>
      <c r="D1079" s="58" t="s">
        <v>215</v>
      </c>
      <c r="E1079" s="58" t="s">
        <v>215</v>
      </c>
      <c r="F1079" s="58" t="s">
        <v>713</v>
      </c>
      <c r="G1079" s="58" t="s">
        <v>714</v>
      </c>
      <c r="H1079" s="58" t="s">
        <v>199</v>
      </c>
      <c r="I1079">
        <v>110000</v>
      </c>
      <c r="J1079" s="58" t="s">
        <v>185</v>
      </c>
      <c r="K1079">
        <v>110000</v>
      </c>
      <c r="L1079" s="74">
        <v>10.289</v>
      </c>
      <c r="M1079" s="85">
        <v>11</v>
      </c>
      <c r="N1079" s="74">
        <v>1.232</v>
      </c>
      <c r="O1079">
        <v>2</v>
      </c>
      <c r="P1079" s="84">
        <v>0.92399999999999993</v>
      </c>
      <c r="Q1079" s="86">
        <v>8.4</v>
      </c>
      <c r="R1079" s="85">
        <v>8.4</v>
      </c>
      <c r="S1079" s="87">
        <v>1996170</v>
      </c>
      <c r="T1079" s="1">
        <v>7</v>
      </c>
      <c r="U1079" s="88">
        <v>237639.28571428571</v>
      </c>
      <c r="V1079" s="59">
        <v>4.2080584318970828</v>
      </c>
      <c r="X1079" s="98">
        <v>25.200000000000003</v>
      </c>
      <c r="Y1079" s="97">
        <v>70.201190476190476</v>
      </c>
    </row>
    <row r="1080" spans="1:25">
      <c r="A1080" s="58">
        <v>1081</v>
      </c>
      <c r="B1080" s="58">
        <v>1081</v>
      </c>
      <c r="C1080" s="58" t="s">
        <v>1660</v>
      </c>
      <c r="D1080" s="58" t="s">
        <v>215</v>
      </c>
      <c r="E1080" s="58" t="s">
        <v>215</v>
      </c>
      <c r="F1080" s="58" t="s">
        <v>1661</v>
      </c>
      <c r="G1080" s="58" t="s">
        <v>1662</v>
      </c>
      <c r="H1080" s="58" t="s">
        <v>179</v>
      </c>
      <c r="I1080">
        <v>38000</v>
      </c>
      <c r="J1080">
        <v>38000</v>
      </c>
      <c r="K1080" s="58" t="s">
        <v>185</v>
      </c>
      <c r="L1080" s="74">
        <v>12.377000000000001</v>
      </c>
      <c r="M1080" s="85">
        <v>13</v>
      </c>
      <c r="N1080" s="74">
        <v>0.49</v>
      </c>
      <c r="O1080">
        <v>2</v>
      </c>
      <c r="P1080" s="84">
        <v>0.49</v>
      </c>
      <c r="Q1080" s="86">
        <v>4.2</v>
      </c>
      <c r="R1080" s="85">
        <v>4.2</v>
      </c>
      <c r="S1080" s="87">
        <v>1545240</v>
      </c>
      <c r="T1080" s="1">
        <v>1</v>
      </c>
      <c r="U1080" s="88">
        <v>367914.28571428568</v>
      </c>
      <c r="V1080" s="59">
        <v>2.7180243845616214</v>
      </c>
      <c r="X1080" s="98">
        <v>8.4</v>
      </c>
      <c r="Y1080" s="97">
        <v>237.63928571428573</v>
      </c>
    </row>
    <row r="1081" spans="1:25">
      <c r="A1081" s="58">
        <v>1082</v>
      </c>
      <c r="B1081" s="58">
        <v>1082</v>
      </c>
      <c r="C1081" s="58" t="s">
        <v>1663</v>
      </c>
      <c r="D1081" s="58" t="s">
        <v>489</v>
      </c>
      <c r="E1081" s="58" t="s">
        <v>489</v>
      </c>
      <c r="F1081" s="58" t="s">
        <v>1664</v>
      </c>
      <c r="G1081" s="58" t="s">
        <v>1665</v>
      </c>
      <c r="H1081" s="58" t="s">
        <v>179</v>
      </c>
      <c r="I1081">
        <v>38000</v>
      </c>
      <c r="J1081">
        <v>38000</v>
      </c>
      <c r="K1081" s="58" t="s">
        <v>185</v>
      </c>
      <c r="L1081" s="74">
        <v>9.6890000000000001</v>
      </c>
      <c r="M1081" s="85">
        <v>10</v>
      </c>
      <c r="N1081" s="74">
        <v>2.129</v>
      </c>
      <c r="O1081">
        <v>2</v>
      </c>
      <c r="P1081" s="84">
        <v>1.5967500000000001</v>
      </c>
      <c r="Q1081" s="86">
        <v>16.8</v>
      </c>
      <c r="R1081" s="85">
        <v>16.8</v>
      </c>
      <c r="S1081" s="87">
        <v>1050490</v>
      </c>
      <c r="T1081" s="1">
        <v>4</v>
      </c>
      <c r="U1081" s="88">
        <v>62529.166666666664</v>
      </c>
      <c r="V1081" s="59">
        <v>15.992536816152462</v>
      </c>
      <c r="X1081" s="98">
        <v>4.2</v>
      </c>
      <c r="Y1081" s="97">
        <v>367.91428571428571</v>
      </c>
    </row>
    <row r="1082" spans="1:25">
      <c r="A1082" s="58">
        <v>1083</v>
      </c>
      <c r="B1082" s="58">
        <v>1083</v>
      </c>
      <c r="C1082" s="58" t="s">
        <v>1666</v>
      </c>
      <c r="D1082" s="58" t="s">
        <v>207</v>
      </c>
      <c r="E1082" s="58" t="s">
        <v>207</v>
      </c>
      <c r="F1082" s="58" t="s">
        <v>705</v>
      </c>
      <c r="G1082" s="58" t="s">
        <v>706</v>
      </c>
      <c r="H1082" s="58" t="s">
        <v>179</v>
      </c>
      <c r="I1082">
        <v>38000</v>
      </c>
      <c r="J1082" s="58" t="s">
        <v>185</v>
      </c>
      <c r="K1082">
        <v>38000</v>
      </c>
      <c r="L1082" s="74">
        <v>5.5190000000000001</v>
      </c>
      <c r="M1082" s="85">
        <v>6</v>
      </c>
      <c r="N1082" s="74">
        <v>1.6279999999999999</v>
      </c>
      <c r="O1082">
        <v>2</v>
      </c>
      <c r="P1082" s="84">
        <v>1.2209999999999999</v>
      </c>
      <c r="Q1082" s="86">
        <v>12.600000000000001</v>
      </c>
      <c r="R1082" s="85">
        <v>12.600000000000001</v>
      </c>
      <c r="S1082" s="87">
        <v>769410</v>
      </c>
      <c r="T1082" s="1">
        <v>4</v>
      </c>
      <c r="U1082" s="88">
        <v>61064.28571428571</v>
      </c>
      <c r="V1082" s="59">
        <v>16.376184349046675</v>
      </c>
      <c r="X1082" s="98">
        <v>16.8</v>
      </c>
      <c r="Y1082" s="97">
        <v>62.529166666666661</v>
      </c>
    </row>
    <row r="1083" spans="1:25">
      <c r="A1083" s="58">
        <v>1084</v>
      </c>
      <c r="B1083" s="58">
        <v>1084</v>
      </c>
      <c r="C1083" s="58" t="s">
        <v>1667</v>
      </c>
      <c r="D1083" s="58" t="s">
        <v>215</v>
      </c>
      <c r="E1083" s="58" t="s">
        <v>215</v>
      </c>
      <c r="F1083" s="58" t="s">
        <v>225</v>
      </c>
      <c r="G1083" s="58" t="s">
        <v>226</v>
      </c>
      <c r="H1083" s="58" t="s">
        <v>179</v>
      </c>
      <c r="I1083">
        <v>38000</v>
      </c>
      <c r="J1083">
        <v>38000</v>
      </c>
      <c r="K1083">
        <v>20000</v>
      </c>
      <c r="L1083" s="74">
        <v>3.63</v>
      </c>
      <c r="M1083" s="85">
        <v>4</v>
      </c>
      <c r="N1083" s="74">
        <v>1.1000000000000001</v>
      </c>
      <c r="O1083">
        <v>2</v>
      </c>
      <c r="P1083" s="84">
        <v>0.82500000000000007</v>
      </c>
      <c r="Q1083" s="86">
        <v>8.4</v>
      </c>
      <c r="R1083" s="85">
        <v>8.4</v>
      </c>
      <c r="S1083" s="87">
        <v>628870</v>
      </c>
      <c r="T1083" s="1">
        <v>4</v>
      </c>
      <c r="U1083" s="88">
        <v>74865.476190476184</v>
      </c>
      <c r="V1083" s="59">
        <v>13.357291650102566</v>
      </c>
      <c r="X1083" s="98">
        <v>12.600000000000001</v>
      </c>
      <c r="Y1083" s="97">
        <v>61.06428571428571</v>
      </c>
    </row>
    <row r="1084" spans="1:25">
      <c r="A1084" s="58">
        <v>1085</v>
      </c>
      <c r="B1084" s="58">
        <v>1085</v>
      </c>
      <c r="C1084" s="58" t="s">
        <v>1668</v>
      </c>
      <c r="D1084" s="58" t="s">
        <v>215</v>
      </c>
      <c r="E1084" s="58" t="s">
        <v>215</v>
      </c>
      <c r="F1084" s="58" t="s">
        <v>225</v>
      </c>
      <c r="G1084" s="58" t="s">
        <v>226</v>
      </c>
      <c r="H1084" s="58" t="s">
        <v>179</v>
      </c>
      <c r="I1084">
        <v>38000</v>
      </c>
      <c r="J1084">
        <v>38000</v>
      </c>
      <c r="K1084">
        <v>20000</v>
      </c>
      <c r="L1084" s="74">
        <v>5.7169999999999996</v>
      </c>
      <c r="M1084" s="85">
        <v>6</v>
      </c>
      <c r="N1084" s="74">
        <v>0.57299999999999995</v>
      </c>
      <c r="O1084">
        <v>2</v>
      </c>
      <c r="P1084" s="84">
        <v>0.57299999999999995</v>
      </c>
      <c r="Q1084" s="86">
        <v>4.2</v>
      </c>
      <c r="R1084" s="85">
        <v>4.2</v>
      </c>
      <c r="S1084" s="87">
        <v>769410</v>
      </c>
      <c r="T1084" s="1">
        <v>4</v>
      </c>
      <c r="U1084" s="88">
        <v>183192.85714285713</v>
      </c>
      <c r="V1084" s="59">
        <v>5.4587281163488903</v>
      </c>
      <c r="X1084" s="98">
        <v>8.4</v>
      </c>
      <c r="Y1084" s="97">
        <v>74.865476190476173</v>
      </c>
    </row>
    <row r="1085" spans="1:25">
      <c r="A1085" s="58">
        <v>1086</v>
      </c>
      <c r="B1085" s="58">
        <v>1086</v>
      </c>
      <c r="C1085" s="58" t="s">
        <v>1669</v>
      </c>
      <c r="D1085" s="58" t="s">
        <v>197</v>
      </c>
      <c r="E1085" s="58" t="s">
        <v>197</v>
      </c>
      <c r="F1085" s="58" t="s">
        <v>486</v>
      </c>
      <c r="G1085" s="58" t="s">
        <v>487</v>
      </c>
      <c r="H1085" s="58" t="s">
        <v>179</v>
      </c>
      <c r="I1085">
        <v>38000</v>
      </c>
      <c r="J1085">
        <v>38000</v>
      </c>
      <c r="K1085" s="58" t="s">
        <v>185</v>
      </c>
      <c r="L1085" s="74">
        <v>14.867000000000001</v>
      </c>
      <c r="M1085" s="85">
        <v>15</v>
      </c>
      <c r="N1085" s="74">
        <v>0.84</v>
      </c>
      <c r="O1085">
        <v>2</v>
      </c>
      <c r="P1085" s="84">
        <v>0.63</v>
      </c>
      <c r="Q1085" s="86">
        <v>8.4</v>
      </c>
      <c r="R1085" s="85">
        <v>8.4</v>
      </c>
      <c r="S1085" s="87">
        <v>1696000</v>
      </c>
      <c r="T1085" s="1">
        <v>2</v>
      </c>
      <c r="U1085" s="88">
        <v>201904.76190476189</v>
      </c>
      <c r="V1085" s="59">
        <v>4.9528301886792452</v>
      </c>
      <c r="X1085" s="98">
        <v>4.2</v>
      </c>
      <c r="Y1085" s="97">
        <v>183.19285714285712</v>
      </c>
    </row>
    <row r="1086" spans="1:25">
      <c r="A1086" s="58">
        <v>1087</v>
      </c>
      <c r="B1086" s="58">
        <v>1087</v>
      </c>
      <c r="C1086" s="58" t="s">
        <v>1670</v>
      </c>
      <c r="D1086" s="58" t="s">
        <v>182</v>
      </c>
      <c r="E1086" s="58" t="s">
        <v>182</v>
      </c>
      <c r="F1086" s="58" t="s">
        <v>1671</v>
      </c>
      <c r="G1086" s="58" t="s">
        <v>1672</v>
      </c>
      <c r="H1086" s="58" t="s">
        <v>179</v>
      </c>
      <c r="I1086">
        <v>38000</v>
      </c>
      <c r="J1086">
        <v>38000</v>
      </c>
      <c r="K1086" s="58" t="s">
        <v>185</v>
      </c>
      <c r="L1086" s="74">
        <v>6.0090000000000003</v>
      </c>
      <c r="M1086" s="85">
        <v>7</v>
      </c>
      <c r="N1086" s="74">
        <v>0.54100000000000004</v>
      </c>
      <c r="O1086">
        <v>2</v>
      </c>
      <c r="P1086" s="84">
        <v>0.54100000000000004</v>
      </c>
      <c r="Q1086" s="86">
        <v>4.2</v>
      </c>
      <c r="R1086" s="85">
        <v>4.2</v>
      </c>
      <c r="S1086" s="87">
        <v>839680</v>
      </c>
      <c r="T1086" s="1">
        <v>4</v>
      </c>
      <c r="U1086" s="88">
        <v>199923.80952380953</v>
      </c>
      <c r="V1086" s="59">
        <v>5.0019054878048781</v>
      </c>
      <c r="X1086" s="98">
        <v>8.4</v>
      </c>
      <c r="Y1086" s="97">
        <v>201.9047619047619</v>
      </c>
    </row>
    <row r="1087" spans="1:25">
      <c r="A1087" s="58">
        <v>1088</v>
      </c>
      <c r="B1087" s="58">
        <v>1088</v>
      </c>
      <c r="C1087" s="58" t="s">
        <v>1673</v>
      </c>
      <c r="D1087" s="58" t="s">
        <v>176</v>
      </c>
      <c r="E1087" s="58" t="s">
        <v>176</v>
      </c>
      <c r="F1087" s="58" t="s">
        <v>928</v>
      </c>
      <c r="G1087" s="58" t="s">
        <v>929</v>
      </c>
      <c r="H1087" s="58" t="s">
        <v>199</v>
      </c>
      <c r="I1087">
        <v>110000</v>
      </c>
      <c r="J1087">
        <v>110000</v>
      </c>
      <c r="K1087">
        <v>38000</v>
      </c>
      <c r="L1087" s="74">
        <v>5.9980000000000002</v>
      </c>
      <c r="M1087" s="85">
        <v>6</v>
      </c>
      <c r="N1087" s="74">
        <v>0.82599999999999996</v>
      </c>
      <c r="O1087">
        <v>2</v>
      </c>
      <c r="P1087" s="84">
        <v>0.61949999999999994</v>
      </c>
      <c r="Q1087" s="86">
        <v>8.4</v>
      </c>
      <c r="R1087" s="85">
        <v>8.4</v>
      </c>
      <c r="S1087" s="87">
        <v>1732670</v>
      </c>
      <c r="T1087" s="1">
        <v>7</v>
      </c>
      <c r="U1087" s="88">
        <v>206270.23809523808</v>
      </c>
      <c r="V1087" s="59">
        <v>4.8480091419600964</v>
      </c>
      <c r="X1087" s="98">
        <v>4.2</v>
      </c>
      <c r="Y1087" s="97">
        <v>199.92380952380952</v>
      </c>
    </row>
    <row r="1088" spans="1:25">
      <c r="A1088" s="58">
        <v>1089</v>
      </c>
      <c r="B1088" s="58">
        <v>1089</v>
      </c>
      <c r="C1088" s="58" t="s">
        <v>1674</v>
      </c>
      <c r="D1088" s="58" t="s">
        <v>384</v>
      </c>
      <c r="E1088" s="58" t="s">
        <v>384</v>
      </c>
      <c r="F1088" s="58" t="s">
        <v>476</v>
      </c>
      <c r="G1088" s="58" t="s">
        <v>477</v>
      </c>
      <c r="H1088" s="58" t="s">
        <v>179</v>
      </c>
      <c r="I1088">
        <v>38000</v>
      </c>
      <c r="J1088">
        <v>20000</v>
      </c>
      <c r="K1088">
        <v>38000</v>
      </c>
      <c r="L1088" s="74">
        <v>7.37</v>
      </c>
      <c r="M1088" s="85">
        <v>8</v>
      </c>
      <c r="N1088" s="74">
        <v>0.57399999999999995</v>
      </c>
      <c r="O1088">
        <v>2</v>
      </c>
      <c r="P1088" s="84">
        <v>0.57399999999999995</v>
      </c>
      <c r="Q1088" s="86">
        <v>4.2</v>
      </c>
      <c r="R1088" s="85">
        <v>4.2</v>
      </c>
      <c r="S1088" s="87">
        <v>909950</v>
      </c>
      <c r="T1088" s="1">
        <v>4</v>
      </c>
      <c r="U1088" s="88">
        <v>216654.76190476189</v>
      </c>
      <c r="V1088" s="59">
        <v>4.6156382218803227</v>
      </c>
      <c r="X1088" s="98">
        <v>8.4</v>
      </c>
      <c r="Y1088" s="97">
        <v>206.27023809523808</v>
      </c>
    </row>
    <row r="1089" spans="1:25">
      <c r="A1089" s="58">
        <v>1090</v>
      </c>
      <c r="B1089" s="58">
        <v>1090</v>
      </c>
      <c r="C1089" s="58" t="s">
        <v>1675</v>
      </c>
      <c r="D1089" s="58" t="s">
        <v>215</v>
      </c>
      <c r="E1089" s="58" t="s">
        <v>215</v>
      </c>
      <c r="F1089" s="58" t="s">
        <v>483</v>
      </c>
      <c r="G1089" s="58" t="s">
        <v>484</v>
      </c>
      <c r="H1089" s="58" t="s">
        <v>179</v>
      </c>
      <c r="I1089">
        <v>38000</v>
      </c>
      <c r="L1089" s="74">
        <v>6.4059999999999997</v>
      </c>
      <c r="M1089" s="85">
        <v>7</v>
      </c>
      <c r="N1089" s="74">
        <v>3.1640000000000001</v>
      </c>
      <c r="O1089">
        <v>2</v>
      </c>
      <c r="P1089" s="84">
        <v>2.3730000000000002</v>
      </c>
      <c r="Q1089" s="86">
        <v>29.400000000000006</v>
      </c>
      <c r="R1089" s="85">
        <v>29.400000000000006</v>
      </c>
      <c r="S1089" s="87">
        <v>969600</v>
      </c>
      <c r="T1089" s="1">
        <v>5</v>
      </c>
      <c r="U1089" s="88">
        <v>32979.591836734689</v>
      </c>
      <c r="V1089" s="59">
        <v>30.321782178217831</v>
      </c>
      <c r="X1089" s="98">
        <v>4.2</v>
      </c>
      <c r="Y1089" s="97">
        <v>216.6547619047619</v>
      </c>
    </row>
    <row r="1090" spans="1:25">
      <c r="A1090" s="58">
        <v>1091</v>
      </c>
      <c r="B1090" s="58">
        <v>1091</v>
      </c>
      <c r="C1090" s="58" t="s">
        <v>1676</v>
      </c>
      <c r="D1090" s="58" t="s">
        <v>215</v>
      </c>
      <c r="E1090" s="58" t="s">
        <v>215</v>
      </c>
      <c r="F1090" s="58" t="s">
        <v>483</v>
      </c>
      <c r="G1090" s="58" t="s">
        <v>484</v>
      </c>
      <c r="H1090" s="58" t="s">
        <v>179</v>
      </c>
      <c r="I1090">
        <v>38000</v>
      </c>
      <c r="L1090" s="74">
        <v>5.3940000000000001</v>
      </c>
      <c r="M1090" s="85">
        <v>6</v>
      </c>
      <c r="N1090" s="74">
        <v>1.1539999999999999</v>
      </c>
      <c r="O1090">
        <v>2</v>
      </c>
      <c r="P1090" s="84">
        <v>0.86549999999999994</v>
      </c>
      <c r="Q1090" s="86">
        <v>8.4</v>
      </c>
      <c r="R1090" s="85">
        <v>8.4</v>
      </c>
      <c r="S1090" s="87">
        <v>769410</v>
      </c>
      <c r="T1090" s="1">
        <v>4</v>
      </c>
      <c r="U1090" s="88">
        <v>91596.428571428565</v>
      </c>
      <c r="V1090" s="59">
        <v>10.917456232697781</v>
      </c>
      <c r="X1090" s="98">
        <v>29.400000000000006</v>
      </c>
      <c r="Y1090" s="97">
        <v>32.979591836734691</v>
      </c>
    </row>
    <row r="1091" spans="1:25">
      <c r="A1091" s="58">
        <v>1092</v>
      </c>
      <c r="B1091" s="58">
        <v>1092</v>
      </c>
      <c r="C1091" s="58" t="s">
        <v>1677</v>
      </c>
      <c r="D1091" s="58" t="s">
        <v>197</v>
      </c>
      <c r="E1091" s="58" t="s">
        <v>197</v>
      </c>
      <c r="F1091" s="58" t="s">
        <v>1548</v>
      </c>
      <c r="G1091" s="58" t="s">
        <v>1549</v>
      </c>
      <c r="H1091" s="58" t="s">
        <v>199</v>
      </c>
      <c r="I1091">
        <v>110000</v>
      </c>
      <c r="J1091" s="58" t="s">
        <v>185</v>
      </c>
      <c r="K1091">
        <v>110000</v>
      </c>
      <c r="L1091" s="74">
        <v>7.9409999999999998</v>
      </c>
      <c r="M1091" s="85">
        <v>8</v>
      </c>
      <c r="N1091" s="74">
        <v>0.66</v>
      </c>
      <c r="O1091">
        <v>2</v>
      </c>
      <c r="P1091" s="84">
        <v>0.495</v>
      </c>
      <c r="Q1091" s="86">
        <v>4.2</v>
      </c>
      <c r="R1091" s="85">
        <v>4.2</v>
      </c>
      <c r="S1091" s="87">
        <v>1838070</v>
      </c>
      <c r="T1091" s="1">
        <v>7</v>
      </c>
      <c r="U1091" s="88">
        <v>437635.71428571426</v>
      </c>
      <c r="V1091" s="59">
        <v>2.2850054676916547</v>
      </c>
      <c r="X1091" s="98">
        <v>8.4</v>
      </c>
      <c r="Y1091" s="97">
        <v>91.596428571428561</v>
      </c>
    </row>
    <row r="1092" spans="1:25">
      <c r="A1092" s="58">
        <v>1093</v>
      </c>
      <c r="B1092" s="58">
        <v>1093</v>
      </c>
      <c r="C1092" s="58" t="s">
        <v>1678</v>
      </c>
      <c r="D1092" s="58" t="s">
        <v>197</v>
      </c>
      <c r="E1092" s="58" t="s">
        <v>197</v>
      </c>
      <c r="F1092" s="58" t="s">
        <v>486</v>
      </c>
      <c r="G1092" s="58" t="s">
        <v>487</v>
      </c>
      <c r="H1092" s="58" t="s">
        <v>179</v>
      </c>
      <c r="I1092">
        <v>38000</v>
      </c>
      <c r="J1092">
        <v>38000</v>
      </c>
      <c r="K1092" s="58" t="s">
        <v>185</v>
      </c>
      <c r="L1092" s="74">
        <v>10.93</v>
      </c>
      <c r="M1092" s="85">
        <v>11</v>
      </c>
      <c r="N1092" s="74">
        <v>2.7130000000000001</v>
      </c>
      <c r="O1092">
        <v>2</v>
      </c>
      <c r="P1092" s="84">
        <v>2.0347499999999998</v>
      </c>
      <c r="Q1092" s="86">
        <v>25.200000000000003</v>
      </c>
      <c r="R1092" s="85">
        <v>25.200000000000003</v>
      </c>
      <c r="S1092" s="87">
        <v>1324920</v>
      </c>
      <c r="T1092" s="1">
        <v>5</v>
      </c>
      <c r="U1092" s="88">
        <v>52576.190476190473</v>
      </c>
      <c r="V1092" s="59">
        <v>19.02001630287112</v>
      </c>
      <c r="X1092" s="98">
        <v>4.2</v>
      </c>
      <c r="Y1092" s="97">
        <v>437.63571428571424</v>
      </c>
    </row>
    <row r="1093" spans="1:25">
      <c r="A1093" s="89">
        <v>1094</v>
      </c>
      <c r="B1093" s="89">
        <v>1094</v>
      </c>
      <c r="C1093" s="89" t="s">
        <v>1679</v>
      </c>
      <c r="D1093" s="58" t="s">
        <v>182</v>
      </c>
      <c r="E1093" s="58" t="s">
        <v>197</v>
      </c>
      <c r="F1093" s="89" t="s">
        <v>486</v>
      </c>
      <c r="G1093" s="89" t="s">
        <v>487</v>
      </c>
      <c r="H1093" s="89" t="s">
        <v>179</v>
      </c>
      <c r="I1093" s="90">
        <v>38000</v>
      </c>
      <c r="J1093" s="90">
        <v>38000</v>
      </c>
      <c r="K1093" s="89" t="s">
        <v>185</v>
      </c>
      <c r="L1093" s="91">
        <v>13.833</v>
      </c>
      <c r="M1093" s="92">
        <v>14</v>
      </c>
      <c r="N1093" s="91">
        <v>10.364000000000001</v>
      </c>
      <c r="O1093" s="90">
        <v>2</v>
      </c>
      <c r="P1093" s="92">
        <v>7.7730000000000006</v>
      </c>
      <c r="Q1093" s="93">
        <v>96.600000000000009</v>
      </c>
      <c r="R1093" s="92">
        <v>96.600000000000009</v>
      </c>
      <c r="S1093" s="87">
        <v>3869800</v>
      </c>
      <c r="T1093" s="94">
        <v>11</v>
      </c>
      <c r="U1093" s="95">
        <v>40060.041407867495</v>
      </c>
      <c r="V1093" s="96">
        <v>24.962530363326273</v>
      </c>
      <c r="X1093" s="98">
        <v>25.200000000000003</v>
      </c>
      <c r="Y1093" s="97">
        <v>52.576190476190469</v>
      </c>
    </row>
    <row r="1094" spans="1:25">
      <c r="A1094" s="58">
        <v>1095</v>
      </c>
      <c r="B1094" s="58">
        <v>1095</v>
      </c>
      <c r="C1094" s="58" t="s">
        <v>1680</v>
      </c>
      <c r="D1094" s="58" t="s">
        <v>197</v>
      </c>
      <c r="E1094" s="58" t="s">
        <v>197</v>
      </c>
      <c r="F1094" s="58" t="s">
        <v>486</v>
      </c>
      <c r="G1094" s="58" t="s">
        <v>487</v>
      </c>
      <c r="H1094" s="58" t="s">
        <v>179</v>
      </c>
      <c r="I1094">
        <v>38000</v>
      </c>
      <c r="J1094">
        <v>38000</v>
      </c>
      <c r="K1094" s="58" t="s">
        <v>185</v>
      </c>
      <c r="L1094" s="74">
        <v>14.536</v>
      </c>
      <c r="M1094" s="85">
        <v>15</v>
      </c>
      <c r="N1094" s="74">
        <v>1.2569999999999999</v>
      </c>
      <c r="O1094">
        <v>2</v>
      </c>
      <c r="P1094" s="84">
        <v>0.94274999999999998</v>
      </c>
      <c r="Q1094" s="86">
        <v>8.4</v>
      </c>
      <c r="R1094" s="85">
        <v>8.4</v>
      </c>
      <c r="S1094" s="87">
        <v>1696000</v>
      </c>
      <c r="T1094" s="1">
        <v>2</v>
      </c>
      <c r="U1094" s="88">
        <v>201904.76190476189</v>
      </c>
      <c r="V1094" s="59">
        <v>4.9528301886792452</v>
      </c>
      <c r="X1094" s="98">
        <v>96.600000000000009</v>
      </c>
      <c r="Y1094" s="97">
        <v>40.060041407867494</v>
      </c>
    </row>
    <row r="1095" spans="1:25">
      <c r="A1095" s="58">
        <v>1096</v>
      </c>
      <c r="B1095" s="58">
        <v>1096</v>
      </c>
      <c r="C1095" s="58" t="s">
        <v>1681</v>
      </c>
      <c r="D1095" s="58" t="s">
        <v>197</v>
      </c>
      <c r="E1095" s="58" t="s">
        <v>197</v>
      </c>
      <c r="F1095" s="58" t="s">
        <v>486</v>
      </c>
      <c r="G1095" s="58" t="s">
        <v>487</v>
      </c>
      <c r="H1095" s="58" t="s">
        <v>179</v>
      </c>
      <c r="I1095">
        <v>38000</v>
      </c>
      <c r="J1095">
        <v>38000</v>
      </c>
      <c r="K1095" s="58" t="s">
        <v>185</v>
      </c>
      <c r="L1095" s="74">
        <v>14.802</v>
      </c>
      <c r="M1095" s="85">
        <v>15</v>
      </c>
      <c r="N1095" s="74">
        <v>0.58799999999999997</v>
      </c>
      <c r="O1095">
        <v>2</v>
      </c>
      <c r="P1095" s="84">
        <v>0.58799999999999997</v>
      </c>
      <c r="Q1095" s="86">
        <v>4.2</v>
      </c>
      <c r="R1095" s="85">
        <v>4.2</v>
      </c>
      <c r="S1095" s="87">
        <v>1650640</v>
      </c>
      <c r="T1095" s="1">
        <v>1</v>
      </c>
      <c r="U1095" s="88">
        <v>393009.52380952379</v>
      </c>
      <c r="V1095" s="59">
        <v>2.5444676004458877</v>
      </c>
      <c r="X1095" s="98">
        <v>8.4</v>
      </c>
      <c r="Y1095" s="97">
        <v>201.9047619047619</v>
      </c>
    </row>
    <row r="1096" spans="1:25">
      <c r="A1096" s="58">
        <v>1097</v>
      </c>
      <c r="B1096" s="58">
        <v>1097</v>
      </c>
      <c r="C1096" s="58" t="s">
        <v>1682</v>
      </c>
      <c r="D1096" s="58" t="s">
        <v>197</v>
      </c>
      <c r="E1096" s="58" t="s">
        <v>197</v>
      </c>
      <c r="F1096" s="58" t="s">
        <v>296</v>
      </c>
      <c r="G1096" s="58" t="s">
        <v>297</v>
      </c>
      <c r="H1096" s="58" t="s">
        <v>179</v>
      </c>
      <c r="I1096">
        <v>38000</v>
      </c>
      <c r="J1096">
        <v>38000</v>
      </c>
      <c r="K1096" s="58" t="s">
        <v>185</v>
      </c>
      <c r="L1096" s="74">
        <v>6.4379999999999997</v>
      </c>
      <c r="M1096" s="85">
        <v>7</v>
      </c>
      <c r="N1096" s="74">
        <v>0.95599999999999996</v>
      </c>
      <c r="O1096">
        <v>2</v>
      </c>
      <c r="P1096" s="84">
        <v>0.71699999999999997</v>
      </c>
      <c r="Q1096" s="86">
        <v>8.4</v>
      </c>
      <c r="R1096" s="85">
        <v>8.4</v>
      </c>
      <c r="S1096" s="87">
        <v>839680</v>
      </c>
      <c r="T1096" s="1">
        <v>4</v>
      </c>
      <c r="U1096" s="88">
        <v>99961.904761904763</v>
      </c>
      <c r="V1096" s="59">
        <v>10.003810975609756</v>
      </c>
      <c r="X1096" s="98">
        <v>4.2</v>
      </c>
      <c r="Y1096" s="97">
        <v>393.00952380952378</v>
      </c>
    </row>
    <row r="1097" spans="1:25">
      <c r="A1097" s="58">
        <v>1098</v>
      </c>
      <c r="B1097" s="58">
        <v>1098</v>
      </c>
      <c r="C1097" s="58" t="s">
        <v>1683</v>
      </c>
      <c r="D1097" s="58" t="s">
        <v>215</v>
      </c>
      <c r="E1097" s="58" t="s">
        <v>215</v>
      </c>
      <c r="F1097" s="58" t="s">
        <v>406</v>
      </c>
      <c r="G1097" s="58" t="s">
        <v>407</v>
      </c>
      <c r="H1097" s="58" t="s">
        <v>179</v>
      </c>
      <c r="I1097">
        <v>38000</v>
      </c>
      <c r="J1097" s="58" t="s">
        <v>185</v>
      </c>
      <c r="K1097">
        <v>38000</v>
      </c>
      <c r="L1097" s="74">
        <v>4.4710000000000001</v>
      </c>
      <c r="M1097" s="85">
        <v>5</v>
      </c>
      <c r="N1097" s="74">
        <v>0.35</v>
      </c>
      <c r="O1097">
        <v>2</v>
      </c>
      <c r="P1097" s="84">
        <v>0.35</v>
      </c>
      <c r="Q1097" s="86">
        <v>4.2</v>
      </c>
      <c r="R1097" s="85">
        <v>4.2</v>
      </c>
      <c r="S1097" s="87">
        <v>699140</v>
      </c>
      <c r="T1097" s="1">
        <v>4</v>
      </c>
      <c r="U1097" s="88">
        <v>166461.90476190476</v>
      </c>
      <c r="V1097" s="59">
        <v>6.0073804960379897</v>
      </c>
      <c r="X1097" s="98">
        <v>8.4</v>
      </c>
      <c r="Y1097" s="97">
        <v>99.961904761904762</v>
      </c>
    </row>
    <row r="1098" spans="1:25">
      <c r="A1098" s="58">
        <v>1099</v>
      </c>
      <c r="B1098" s="58">
        <v>1099</v>
      </c>
      <c r="C1098" s="58" t="s">
        <v>1684</v>
      </c>
      <c r="D1098" s="58" t="s">
        <v>176</v>
      </c>
      <c r="E1098" s="58" t="s">
        <v>176</v>
      </c>
      <c r="F1098" s="58" t="s">
        <v>257</v>
      </c>
      <c r="G1098" s="58" t="s">
        <v>258</v>
      </c>
      <c r="H1098" s="58" t="s">
        <v>179</v>
      </c>
      <c r="I1098">
        <v>38000</v>
      </c>
      <c r="J1098">
        <v>38000</v>
      </c>
      <c r="K1098">
        <v>20000</v>
      </c>
      <c r="L1098" s="74">
        <v>16.504999999999999</v>
      </c>
      <c r="M1098" s="85">
        <v>17</v>
      </c>
      <c r="N1098" s="74">
        <v>0.64800000000000002</v>
      </c>
      <c r="O1098">
        <v>2</v>
      </c>
      <c r="P1098" s="84">
        <v>0.48599999999999999</v>
      </c>
      <c r="Q1098" s="86">
        <v>4.2</v>
      </c>
      <c r="R1098" s="85">
        <v>4.2</v>
      </c>
      <c r="S1098" s="87">
        <v>1756040</v>
      </c>
      <c r="T1098" s="1">
        <v>1</v>
      </c>
      <c r="U1098" s="88">
        <v>418104.76190476189</v>
      </c>
      <c r="V1098" s="59">
        <v>2.3917450627548349</v>
      </c>
      <c r="X1098" s="98">
        <v>4.2</v>
      </c>
      <c r="Y1098" s="97">
        <v>166.46190476190475</v>
      </c>
    </row>
    <row r="1099" spans="1:25">
      <c r="A1099" s="58">
        <v>1100</v>
      </c>
      <c r="B1099" s="58">
        <v>1100</v>
      </c>
      <c r="C1099" s="58" t="s">
        <v>1685</v>
      </c>
      <c r="D1099" s="58" t="s">
        <v>489</v>
      </c>
      <c r="E1099" s="58" t="s">
        <v>489</v>
      </c>
      <c r="F1099" s="58" t="s">
        <v>1161</v>
      </c>
      <c r="G1099" s="58" t="s">
        <v>1162</v>
      </c>
      <c r="H1099" s="58" t="s">
        <v>179</v>
      </c>
      <c r="I1099">
        <v>38000</v>
      </c>
      <c r="J1099">
        <v>38000</v>
      </c>
      <c r="K1099" s="58" t="s">
        <v>185</v>
      </c>
      <c r="L1099" s="74">
        <v>6.31</v>
      </c>
      <c r="M1099" s="85">
        <v>7</v>
      </c>
      <c r="N1099" s="74">
        <v>2.0139999999999998</v>
      </c>
      <c r="O1099">
        <v>2</v>
      </c>
      <c r="P1099" s="84">
        <v>1.5105</v>
      </c>
      <c r="Q1099" s="86">
        <v>16.8</v>
      </c>
      <c r="R1099" s="85">
        <v>16.8</v>
      </c>
      <c r="S1099" s="87">
        <v>839680</v>
      </c>
      <c r="T1099" s="1">
        <v>4</v>
      </c>
      <c r="U1099" s="88">
        <v>49980.952380952382</v>
      </c>
      <c r="V1099" s="59">
        <v>20.007621951219512</v>
      </c>
      <c r="X1099" s="98">
        <v>4.2</v>
      </c>
      <c r="Y1099" s="97">
        <v>418.10476190476186</v>
      </c>
    </row>
    <row r="1100" spans="1:25">
      <c r="A1100" s="89">
        <v>1101</v>
      </c>
      <c r="B1100" s="89">
        <v>1101</v>
      </c>
      <c r="C1100" s="89" t="s">
        <v>1686</v>
      </c>
      <c r="D1100" s="58" t="s">
        <v>489</v>
      </c>
      <c r="E1100" s="58" t="s">
        <v>489</v>
      </c>
      <c r="F1100" s="89" t="s">
        <v>469</v>
      </c>
      <c r="G1100" s="89" t="s">
        <v>470</v>
      </c>
      <c r="H1100" s="89" t="s">
        <v>179</v>
      </c>
      <c r="I1100" s="90">
        <v>38000</v>
      </c>
      <c r="J1100" s="90">
        <v>38000</v>
      </c>
      <c r="K1100" s="89" t="s">
        <v>185</v>
      </c>
      <c r="L1100" s="91">
        <v>4.4630000000000001</v>
      </c>
      <c r="M1100" s="92">
        <v>5</v>
      </c>
      <c r="N1100" s="91">
        <v>6.2309999999999999</v>
      </c>
      <c r="O1100" s="90">
        <v>2</v>
      </c>
      <c r="P1100" s="92">
        <v>4.6732499999999995</v>
      </c>
      <c r="Q1100" s="93">
        <v>54.599999999999994</v>
      </c>
      <c r="R1100" s="92">
        <v>54.599999999999994</v>
      </c>
      <c r="S1100" s="87">
        <v>1972510</v>
      </c>
      <c r="T1100" s="94">
        <v>11</v>
      </c>
      <c r="U1100" s="95">
        <v>36126.556776556783</v>
      </c>
      <c r="V1100" s="96">
        <v>27.680468033115165</v>
      </c>
      <c r="X1100" s="98">
        <v>16.8</v>
      </c>
      <c r="Y1100" s="97">
        <v>49.980952380952381</v>
      </c>
    </row>
    <row r="1101" spans="1:25">
      <c r="A1101" s="58">
        <v>1102</v>
      </c>
      <c r="B1101" s="58">
        <v>1102</v>
      </c>
      <c r="C1101" s="58" t="s">
        <v>1687</v>
      </c>
      <c r="D1101" s="58" t="s">
        <v>410</v>
      </c>
      <c r="E1101" s="58" t="s">
        <v>410</v>
      </c>
      <c r="F1101" s="58" t="s">
        <v>1143</v>
      </c>
      <c r="G1101" s="58" t="s">
        <v>1144</v>
      </c>
      <c r="H1101" s="58" t="s">
        <v>179</v>
      </c>
      <c r="I1101">
        <v>38000</v>
      </c>
      <c r="J1101" s="58" t="s">
        <v>185</v>
      </c>
      <c r="K1101">
        <v>38000</v>
      </c>
      <c r="L1101" s="74">
        <v>3.4529999999999998</v>
      </c>
      <c r="M1101" s="85">
        <v>4</v>
      </c>
      <c r="N1101" s="74">
        <v>1.8069999999999999</v>
      </c>
      <c r="O1101">
        <v>2</v>
      </c>
      <c r="P1101" s="84">
        <v>1.3552499999999998</v>
      </c>
      <c r="Q1101" s="86">
        <v>16.8</v>
      </c>
      <c r="R1101" s="85">
        <v>16.8</v>
      </c>
      <c r="S1101" s="87">
        <v>628870</v>
      </c>
      <c r="T1101" s="1">
        <v>4</v>
      </c>
      <c r="U1101" s="88">
        <v>37432.738095238092</v>
      </c>
      <c r="V1101" s="59">
        <v>26.714583300205131</v>
      </c>
      <c r="X1101" s="98">
        <v>54.599999999999994</v>
      </c>
      <c r="Y1101" s="97">
        <v>36.126556776556782</v>
      </c>
    </row>
    <row r="1102" spans="1:25">
      <c r="A1102" s="58">
        <v>1103</v>
      </c>
      <c r="B1102" s="58">
        <v>1103</v>
      </c>
      <c r="C1102" s="58" t="s">
        <v>1688</v>
      </c>
      <c r="D1102" s="58" t="s">
        <v>207</v>
      </c>
      <c r="E1102" s="58" t="s">
        <v>207</v>
      </c>
      <c r="F1102" s="58" t="s">
        <v>491</v>
      </c>
      <c r="G1102" s="58" t="s">
        <v>492</v>
      </c>
      <c r="H1102" s="58" t="s">
        <v>179</v>
      </c>
      <c r="I1102">
        <v>38000</v>
      </c>
      <c r="J1102">
        <v>38000</v>
      </c>
      <c r="K1102" s="58" t="s">
        <v>185</v>
      </c>
      <c r="L1102" s="74">
        <v>3.6259999999999999</v>
      </c>
      <c r="M1102" s="85">
        <v>4</v>
      </c>
      <c r="N1102" s="74">
        <v>0.83</v>
      </c>
      <c r="O1102">
        <v>2</v>
      </c>
      <c r="P1102" s="84">
        <v>0.62249999999999994</v>
      </c>
      <c r="Q1102" s="86">
        <v>8.4</v>
      </c>
      <c r="R1102" s="85">
        <v>8.4</v>
      </c>
      <c r="S1102" s="87">
        <v>628870</v>
      </c>
      <c r="T1102" s="1">
        <v>4</v>
      </c>
      <c r="U1102" s="88">
        <v>74865.476190476184</v>
      </c>
      <c r="V1102" s="59">
        <v>13.357291650102566</v>
      </c>
      <c r="X1102" s="98">
        <v>16.8</v>
      </c>
      <c r="Y1102" s="97">
        <v>37.432738095238086</v>
      </c>
    </row>
    <row r="1103" spans="1:25">
      <c r="A1103" s="89">
        <v>1104</v>
      </c>
      <c r="B1103" s="89">
        <v>1104</v>
      </c>
      <c r="C1103" s="89" t="s">
        <v>1689</v>
      </c>
      <c r="D1103" s="58" t="s">
        <v>197</v>
      </c>
      <c r="E1103" s="58" t="s">
        <v>197</v>
      </c>
      <c r="F1103" s="89" t="s">
        <v>494</v>
      </c>
      <c r="G1103" s="89" t="s">
        <v>495</v>
      </c>
      <c r="H1103" s="89" t="s">
        <v>179</v>
      </c>
      <c r="I1103" s="90">
        <v>38000</v>
      </c>
      <c r="J1103" s="90">
        <v>38000</v>
      </c>
      <c r="K1103" s="90">
        <v>10000</v>
      </c>
      <c r="L1103" s="91">
        <v>8.1340000000000003</v>
      </c>
      <c r="M1103" s="92">
        <v>9</v>
      </c>
      <c r="N1103" s="91">
        <v>11.769</v>
      </c>
      <c r="O1103" s="90">
        <v>2</v>
      </c>
      <c r="P1103" s="92">
        <v>8.8267500000000005</v>
      </c>
      <c r="Q1103" s="93">
        <v>109.19999999999999</v>
      </c>
      <c r="R1103" s="92">
        <v>109.19999999999999</v>
      </c>
      <c r="S1103" s="87">
        <v>2815750</v>
      </c>
      <c r="T1103" s="94">
        <v>11</v>
      </c>
      <c r="U1103" s="95">
        <v>25785.256410256414</v>
      </c>
      <c r="V1103" s="96">
        <v>38.781852082038526</v>
      </c>
      <c r="X1103" s="98">
        <v>8.4</v>
      </c>
      <c r="Y1103" s="97">
        <v>74.865476190476173</v>
      </c>
    </row>
    <row r="1104" spans="1:25">
      <c r="A1104" s="58">
        <v>1105</v>
      </c>
      <c r="B1104" s="58">
        <v>1105</v>
      </c>
      <c r="C1104" s="58" t="s">
        <v>1690</v>
      </c>
      <c r="D1104" s="58" t="s">
        <v>176</v>
      </c>
      <c r="E1104" s="58" t="s">
        <v>176</v>
      </c>
      <c r="F1104" s="58" t="s">
        <v>262</v>
      </c>
      <c r="G1104" s="58" t="s">
        <v>263</v>
      </c>
      <c r="H1104" s="58" t="s">
        <v>179</v>
      </c>
      <c r="I1104">
        <v>38000</v>
      </c>
      <c r="J1104" s="58" t="s">
        <v>185</v>
      </c>
      <c r="K1104">
        <v>38000</v>
      </c>
      <c r="L1104" s="74">
        <v>19.151</v>
      </c>
      <c r="M1104" s="85">
        <v>20</v>
      </c>
      <c r="N1104" s="74">
        <v>0.57199999999999995</v>
      </c>
      <c r="O1104">
        <v>2</v>
      </c>
      <c r="P1104" s="84">
        <v>0.57199999999999995</v>
      </c>
      <c r="Q1104" s="86">
        <v>4.2</v>
      </c>
      <c r="R1104" s="85">
        <v>4.2</v>
      </c>
      <c r="S1104" s="87">
        <v>1914140</v>
      </c>
      <c r="T1104" s="1">
        <v>1</v>
      </c>
      <c r="U1104" s="88">
        <v>455747.61904761905</v>
      </c>
      <c r="V1104" s="59">
        <v>2.1941968717021743</v>
      </c>
      <c r="X1104" s="98">
        <v>109.19999999999999</v>
      </c>
      <c r="Y1104" s="97">
        <v>25.785256410256416</v>
      </c>
    </row>
    <row r="1105" spans="1:25">
      <c r="A1105" s="58">
        <v>1106</v>
      </c>
      <c r="B1105" s="58">
        <v>1106</v>
      </c>
      <c r="C1105" s="58" t="s">
        <v>1691</v>
      </c>
      <c r="D1105" s="58" t="s">
        <v>207</v>
      </c>
      <c r="E1105" s="58" t="s">
        <v>207</v>
      </c>
      <c r="F1105" s="58" t="s">
        <v>705</v>
      </c>
      <c r="G1105" s="58" t="s">
        <v>706</v>
      </c>
      <c r="H1105" s="58" t="s">
        <v>179</v>
      </c>
      <c r="I1105">
        <v>38000</v>
      </c>
      <c r="J1105" s="58" t="s">
        <v>185</v>
      </c>
      <c r="K1105">
        <v>38000</v>
      </c>
      <c r="L1105" s="74">
        <v>5.2560000000000002</v>
      </c>
      <c r="M1105" s="85">
        <v>6</v>
      </c>
      <c r="N1105" s="74">
        <v>1.1499999999999999</v>
      </c>
      <c r="O1105">
        <v>2</v>
      </c>
      <c r="P1105" s="84">
        <v>0.86249999999999993</v>
      </c>
      <c r="Q1105" s="86">
        <v>8.4</v>
      </c>
      <c r="R1105" s="85">
        <v>8.4</v>
      </c>
      <c r="S1105" s="87">
        <v>769410</v>
      </c>
      <c r="T1105" s="1">
        <v>4</v>
      </c>
      <c r="U1105" s="88">
        <v>91596.428571428565</v>
      </c>
      <c r="V1105" s="59">
        <v>10.917456232697781</v>
      </c>
      <c r="X1105" s="98">
        <v>4.2</v>
      </c>
      <c r="Y1105" s="97">
        <v>455.74761904761908</v>
      </c>
    </row>
    <row r="1106" spans="1:25">
      <c r="A1106" s="58">
        <v>1107</v>
      </c>
      <c r="B1106" s="58">
        <v>1107</v>
      </c>
      <c r="C1106" s="58" t="s">
        <v>1692</v>
      </c>
      <c r="D1106" s="58" t="s">
        <v>207</v>
      </c>
      <c r="E1106" s="58" t="s">
        <v>207</v>
      </c>
      <c r="F1106" s="58" t="s">
        <v>705</v>
      </c>
      <c r="G1106" s="58" t="s">
        <v>706</v>
      </c>
      <c r="H1106" s="58" t="s">
        <v>179</v>
      </c>
      <c r="I1106">
        <v>38000</v>
      </c>
      <c r="J1106" s="58" t="s">
        <v>185</v>
      </c>
      <c r="K1106">
        <v>38000</v>
      </c>
      <c r="L1106" s="74">
        <v>7.51</v>
      </c>
      <c r="M1106" s="85">
        <v>8</v>
      </c>
      <c r="N1106" s="74">
        <v>1.3440000000000001</v>
      </c>
      <c r="O1106">
        <v>2</v>
      </c>
      <c r="P1106" s="84">
        <v>1.008</v>
      </c>
      <c r="Q1106" s="86">
        <v>8.4</v>
      </c>
      <c r="R1106" s="85">
        <v>8.4</v>
      </c>
      <c r="S1106" s="87">
        <v>909950</v>
      </c>
      <c r="T1106" s="1">
        <v>4</v>
      </c>
      <c r="U1106" s="88">
        <v>108327.38095238095</v>
      </c>
      <c r="V1106" s="59">
        <v>9.2312764437606454</v>
      </c>
      <c r="X1106" s="98">
        <v>8.4</v>
      </c>
      <c r="Y1106" s="97">
        <v>91.596428571428561</v>
      </c>
    </row>
    <row r="1107" spans="1:25">
      <c r="A1107" s="58">
        <v>1108</v>
      </c>
      <c r="B1107" s="58">
        <v>1108</v>
      </c>
      <c r="C1107" s="58" t="s">
        <v>1693</v>
      </c>
      <c r="D1107" s="58" t="s">
        <v>176</v>
      </c>
      <c r="E1107" s="58" t="s">
        <v>176</v>
      </c>
      <c r="F1107" s="58" t="s">
        <v>265</v>
      </c>
      <c r="G1107" s="58" t="s">
        <v>266</v>
      </c>
      <c r="H1107" s="58" t="s">
        <v>179</v>
      </c>
      <c r="I1107">
        <v>38000</v>
      </c>
      <c r="J1107">
        <v>38000</v>
      </c>
      <c r="K1107" s="58" t="s">
        <v>185</v>
      </c>
      <c r="L1107" s="74">
        <v>8.7579999999999991</v>
      </c>
      <c r="M1107" s="85">
        <v>9</v>
      </c>
      <c r="N1107" s="74">
        <v>0.80300000000000005</v>
      </c>
      <c r="O1107">
        <v>2</v>
      </c>
      <c r="P1107" s="84">
        <v>0.60225000000000006</v>
      </c>
      <c r="Q1107" s="86">
        <v>4.2</v>
      </c>
      <c r="R1107" s="85">
        <v>4.2</v>
      </c>
      <c r="S1107" s="87">
        <v>1334440</v>
      </c>
      <c r="T1107" s="1">
        <v>1</v>
      </c>
      <c r="U1107" s="88">
        <v>317723.80952380953</v>
      </c>
      <c r="V1107" s="59">
        <v>3.1473876682353645</v>
      </c>
      <c r="X1107" s="98">
        <v>8.4</v>
      </c>
      <c r="Y1107" s="97">
        <v>108.32738095238095</v>
      </c>
    </row>
    <row r="1108" spans="1:25">
      <c r="A1108" s="58">
        <v>1109</v>
      </c>
      <c r="B1108" s="58">
        <v>1109</v>
      </c>
      <c r="C1108" s="58" t="s">
        <v>1694</v>
      </c>
      <c r="D1108" s="58" t="s">
        <v>215</v>
      </c>
      <c r="E1108" s="58" t="s">
        <v>215</v>
      </c>
      <c r="F1108" s="58" t="s">
        <v>1695</v>
      </c>
      <c r="G1108" s="58" t="s">
        <v>1696</v>
      </c>
      <c r="H1108" s="58" t="s">
        <v>199</v>
      </c>
      <c r="I1108">
        <v>110000</v>
      </c>
      <c r="L1108" s="74">
        <v>5.9290000000000003</v>
      </c>
      <c r="M1108" s="85">
        <v>6</v>
      </c>
      <c r="N1108" s="74">
        <v>0.97899999999999998</v>
      </c>
      <c r="O1108">
        <v>2</v>
      </c>
      <c r="P1108" s="84">
        <v>0.73424999999999996</v>
      </c>
      <c r="Q1108" s="86">
        <v>8.4</v>
      </c>
      <c r="R1108" s="85">
        <v>8.4</v>
      </c>
      <c r="S1108" s="87">
        <v>1732670</v>
      </c>
      <c r="T1108" s="1">
        <v>7</v>
      </c>
      <c r="U1108" s="88">
        <v>206270.23809523808</v>
      </c>
      <c r="V1108" s="59">
        <v>4.8480091419600964</v>
      </c>
      <c r="X1108" s="98">
        <v>4.2</v>
      </c>
      <c r="Y1108" s="97">
        <v>317.72380952380951</v>
      </c>
    </row>
    <row r="1109" spans="1:25">
      <c r="A1109" s="58">
        <v>1110</v>
      </c>
      <c r="B1109" s="58">
        <v>1110</v>
      </c>
      <c r="C1109" s="58" t="s">
        <v>1697</v>
      </c>
      <c r="D1109" s="58" t="s">
        <v>1169</v>
      </c>
      <c r="E1109" s="58" t="s">
        <v>1169</v>
      </c>
      <c r="F1109" s="58" t="s">
        <v>1698</v>
      </c>
      <c r="G1109" s="58" t="s">
        <v>1699</v>
      </c>
      <c r="H1109" s="58" t="s">
        <v>199</v>
      </c>
      <c r="I1109">
        <v>110000</v>
      </c>
      <c r="J1109">
        <v>110000</v>
      </c>
      <c r="K1109">
        <v>38000</v>
      </c>
      <c r="L1109" s="74">
        <v>9.25</v>
      </c>
      <c r="M1109" s="85">
        <v>10</v>
      </c>
      <c r="N1109" s="74">
        <v>0.67</v>
      </c>
      <c r="O1109">
        <v>2</v>
      </c>
      <c r="P1109" s="84">
        <v>0.50250000000000006</v>
      </c>
      <c r="Q1109" s="86">
        <v>4.2</v>
      </c>
      <c r="R1109" s="85">
        <v>4.2</v>
      </c>
      <c r="S1109" s="87">
        <v>1943470</v>
      </c>
      <c r="T1109" s="1">
        <v>7</v>
      </c>
      <c r="U1109" s="88">
        <v>462730.95238095237</v>
      </c>
      <c r="V1109" s="59">
        <v>2.1610830113148132</v>
      </c>
      <c r="X1109" s="98">
        <v>8.4</v>
      </c>
      <c r="Y1109" s="97">
        <v>206.27023809523808</v>
      </c>
    </row>
    <row r="1110" spans="1:25">
      <c r="A1110" s="58">
        <v>1111</v>
      </c>
      <c r="B1110" s="58">
        <v>1111</v>
      </c>
      <c r="C1110" s="58" t="s">
        <v>1700</v>
      </c>
      <c r="D1110" s="58" t="s">
        <v>410</v>
      </c>
      <c r="E1110" s="58" t="s">
        <v>410</v>
      </c>
      <c r="F1110" s="58" t="s">
        <v>1701</v>
      </c>
      <c r="G1110" s="58" t="s">
        <v>1702</v>
      </c>
      <c r="H1110" s="58" t="s">
        <v>179</v>
      </c>
      <c r="I1110">
        <v>38000</v>
      </c>
      <c r="J1110">
        <v>38000</v>
      </c>
      <c r="K1110" s="58" t="s">
        <v>185</v>
      </c>
      <c r="L1110" s="74">
        <v>8.1180000000000003</v>
      </c>
      <c r="M1110" s="85">
        <v>9</v>
      </c>
      <c r="N1110" s="74">
        <v>2.5350000000000001</v>
      </c>
      <c r="O1110">
        <v>2</v>
      </c>
      <c r="P1110" s="84">
        <v>1.9012500000000001</v>
      </c>
      <c r="Q1110" s="86">
        <v>21</v>
      </c>
      <c r="R1110" s="85">
        <v>21</v>
      </c>
      <c r="S1110" s="87">
        <v>980220</v>
      </c>
      <c r="T1110" s="1">
        <v>4</v>
      </c>
      <c r="U1110" s="88">
        <v>46677.142857142855</v>
      </c>
      <c r="V1110" s="59">
        <v>21.423762012609416</v>
      </c>
      <c r="X1110" s="98">
        <v>4.2</v>
      </c>
      <c r="Y1110" s="97">
        <v>462.73095238095237</v>
      </c>
    </row>
    <row r="1111" spans="1:25">
      <c r="A1111" s="58">
        <v>1112</v>
      </c>
      <c r="B1111" s="58">
        <v>1112</v>
      </c>
      <c r="C1111" s="58" t="s">
        <v>1703</v>
      </c>
      <c r="D1111" s="58" t="s">
        <v>207</v>
      </c>
      <c r="E1111" s="58" t="s">
        <v>207</v>
      </c>
      <c r="F1111" s="58" t="s">
        <v>1704</v>
      </c>
      <c r="G1111" s="58" t="s">
        <v>1705</v>
      </c>
      <c r="H1111" s="58" t="s">
        <v>179</v>
      </c>
      <c r="I1111">
        <v>38000</v>
      </c>
      <c r="J1111">
        <v>38000</v>
      </c>
      <c r="K1111">
        <v>10000</v>
      </c>
      <c r="L1111" s="74">
        <v>7.08</v>
      </c>
      <c r="M1111" s="85">
        <v>8</v>
      </c>
      <c r="N1111" s="74">
        <v>1.0209999999999999</v>
      </c>
      <c r="O1111">
        <v>2</v>
      </c>
      <c r="P1111" s="84">
        <v>0.76574999999999993</v>
      </c>
      <c r="Q1111" s="86">
        <v>8.4</v>
      </c>
      <c r="R1111" s="85">
        <v>8.4</v>
      </c>
      <c r="S1111" s="87">
        <v>909950</v>
      </c>
      <c r="T1111" s="1">
        <v>4</v>
      </c>
      <c r="U1111" s="88">
        <v>108327.38095238095</v>
      </c>
      <c r="V1111" s="59">
        <v>9.2312764437606454</v>
      </c>
      <c r="X1111" s="98">
        <v>21</v>
      </c>
      <c r="Y1111" s="97">
        <v>46.677142857142854</v>
      </c>
    </row>
    <row r="1112" spans="1:25">
      <c r="A1112" s="58">
        <v>1113</v>
      </c>
      <c r="B1112" s="58">
        <v>1113</v>
      </c>
      <c r="C1112" s="58" t="s">
        <v>1706</v>
      </c>
      <c r="D1112" s="58" t="s">
        <v>234</v>
      </c>
      <c r="E1112" s="58" t="s">
        <v>234</v>
      </c>
      <c r="F1112" s="58" t="s">
        <v>309</v>
      </c>
      <c r="G1112" s="58" t="s">
        <v>310</v>
      </c>
      <c r="H1112" s="58" t="s">
        <v>179</v>
      </c>
      <c r="I1112">
        <v>38000</v>
      </c>
      <c r="J1112">
        <v>38000</v>
      </c>
      <c r="K1112">
        <v>20000</v>
      </c>
      <c r="L1112" s="74">
        <v>11.398</v>
      </c>
      <c r="M1112" s="85">
        <v>12</v>
      </c>
      <c r="N1112" s="74">
        <v>1.42</v>
      </c>
      <c r="O1112">
        <v>2</v>
      </c>
      <c r="P1112" s="84">
        <v>1.0649999999999999</v>
      </c>
      <c r="Q1112" s="86">
        <v>12.600000000000001</v>
      </c>
      <c r="R1112" s="85">
        <v>12.600000000000001</v>
      </c>
      <c r="S1112" s="87">
        <v>1574950</v>
      </c>
      <c r="T1112" s="1">
        <v>3</v>
      </c>
      <c r="U1112" s="88">
        <v>124996.03174603173</v>
      </c>
      <c r="V1112" s="59">
        <v>8.00025397631671</v>
      </c>
      <c r="X1112" s="98">
        <v>8.4</v>
      </c>
      <c r="Y1112" s="97">
        <v>108.32738095238095</v>
      </c>
    </row>
    <row r="1113" spans="1:25">
      <c r="A1113" s="58">
        <v>1114</v>
      </c>
      <c r="B1113" s="58">
        <v>1114</v>
      </c>
      <c r="C1113" s="58" t="s">
        <v>1707</v>
      </c>
      <c r="D1113" s="58" t="s">
        <v>215</v>
      </c>
      <c r="E1113" s="58" t="s">
        <v>215</v>
      </c>
      <c r="F1113" s="58" t="s">
        <v>763</v>
      </c>
      <c r="G1113" s="58" t="s">
        <v>764</v>
      </c>
      <c r="H1113" s="58" t="s">
        <v>199</v>
      </c>
      <c r="I1113">
        <v>110000</v>
      </c>
      <c r="J1113">
        <v>110000</v>
      </c>
      <c r="K1113">
        <v>38000</v>
      </c>
      <c r="L1113" s="74">
        <v>6.6239999999999997</v>
      </c>
      <c r="M1113" s="85">
        <v>7</v>
      </c>
      <c r="N1113" s="74">
        <v>1.0489999999999999</v>
      </c>
      <c r="O1113">
        <v>2</v>
      </c>
      <c r="P1113" s="84">
        <v>0.78674999999999995</v>
      </c>
      <c r="Q1113" s="86">
        <v>8.4</v>
      </c>
      <c r="R1113" s="85">
        <v>8.4</v>
      </c>
      <c r="S1113" s="87">
        <v>1785370</v>
      </c>
      <c r="T1113" s="1">
        <v>7</v>
      </c>
      <c r="U1113" s="88">
        <v>212544.0476190476</v>
      </c>
      <c r="V1113" s="59">
        <v>4.7049071060900545</v>
      </c>
      <c r="X1113" s="98">
        <v>12.600000000000001</v>
      </c>
      <c r="Y1113" s="97">
        <v>124.99603174603173</v>
      </c>
    </row>
    <row r="1114" spans="1:25">
      <c r="A1114" s="58">
        <v>1115</v>
      </c>
      <c r="B1114" s="58">
        <v>1115</v>
      </c>
      <c r="C1114" s="58" t="s">
        <v>1708</v>
      </c>
      <c r="D1114" s="58" t="s">
        <v>187</v>
      </c>
      <c r="E1114" s="58" t="s">
        <v>187</v>
      </c>
      <c r="F1114" s="58" t="s">
        <v>1213</v>
      </c>
      <c r="G1114" s="58" t="s">
        <v>1214</v>
      </c>
      <c r="H1114" s="58" t="s">
        <v>199</v>
      </c>
      <c r="I1114">
        <v>110000</v>
      </c>
      <c r="J1114" s="58" t="s">
        <v>185</v>
      </c>
      <c r="K1114">
        <v>110000</v>
      </c>
      <c r="L1114" s="74">
        <v>8.2240000000000002</v>
      </c>
      <c r="M1114" s="85">
        <v>9</v>
      </c>
      <c r="N1114" s="74">
        <v>0.9</v>
      </c>
      <c r="O1114">
        <v>2</v>
      </c>
      <c r="P1114" s="84">
        <v>0.67500000000000004</v>
      </c>
      <c r="Q1114" s="86">
        <v>8.4</v>
      </c>
      <c r="R1114" s="85">
        <v>8.4</v>
      </c>
      <c r="S1114" s="87">
        <v>1890770</v>
      </c>
      <c r="T1114" s="1">
        <v>7</v>
      </c>
      <c r="U1114" s="88">
        <v>225091.66666666666</v>
      </c>
      <c r="V1114" s="59">
        <v>4.4426344822479731</v>
      </c>
      <c r="X1114" s="98">
        <v>8.4</v>
      </c>
      <c r="Y1114" s="97">
        <v>212.5440476190476</v>
      </c>
    </row>
    <row r="1115" spans="1:25">
      <c r="A1115" s="58">
        <v>1116</v>
      </c>
      <c r="B1115" s="58">
        <v>1116</v>
      </c>
      <c r="C1115" s="58" t="s">
        <v>1709</v>
      </c>
      <c r="D1115" s="58" t="s">
        <v>197</v>
      </c>
      <c r="E1115" s="58" t="s">
        <v>197</v>
      </c>
      <c r="F1115" s="58" t="s">
        <v>1710</v>
      </c>
      <c r="G1115" s="58" t="s">
        <v>1711</v>
      </c>
      <c r="H1115" s="58" t="s">
        <v>179</v>
      </c>
      <c r="I1115">
        <v>38000</v>
      </c>
      <c r="J1115" s="58" t="s">
        <v>185</v>
      </c>
      <c r="K1115">
        <v>38000</v>
      </c>
      <c r="L1115" s="74">
        <v>3.823</v>
      </c>
      <c r="M1115" s="85">
        <v>4</v>
      </c>
      <c r="N1115" s="74">
        <v>0.77100000000000002</v>
      </c>
      <c r="O1115">
        <v>2</v>
      </c>
      <c r="P1115" s="84">
        <v>0.57825000000000004</v>
      </c>
      <c r="Q1115" s="86">
        <v>4.2</v>
      </c>
      <c r="R1115" s="85">
        <v>4.2</v>
      </c>
      <c r="S1115" s="87">
        <v>628870</v>
      </c>
      <c r="T1115" s="1">
        <v>4</v>
      </c>
      <c r="U1115" s="88">
        <v>149730.95238095237</v>
      </c>
      <c r="V1115" s="59">
        <v>6.6786458250512828</v>
      </c>
      <c r="X1115" s="98">
        <v>8.4</v>
      </c>
      <c r="Y1115" s="97">
        <v>225.09166666666667</v>
      </c>
    </row>
    <row r="1116" spans="1:25">
      <c r="A1116" s="89">
        <v>1117</v>
      </c>
      <c r="B1116" s="89">
        <v>1117</v>
      </c>
      <c r="C1116" s="89" t="s">
        <v>1712</v>
      </c>
      <c r="D1116" s="58" t="s">
        <v>187</v>
      </c>
      <c r="E1116" s="58" t="s">
        <v>187</v>
      </c>
      <c r="F1116" s="89" t="s">
        <v>191</v>
      </c>
      <c r="G1116" s="89" t="s">
        <v>192</v>
      </c>
      <c r="H1116" s="89" t="s">
        <v>179</v>
      </c>
      <c r="I1116" s="90">
        <v>38000</v>
      </c>
      <c r="J1116" s="90">
        <v>38000</v>
      </c>
      <c r="K1116" s="89" t="s">
        <v>185</v>
      </c>
      <c r="L1116" s="91">
        <v>7.05</v>
      </c>
      <c r="M1116" s="92">
        <v>8</v>
      </c>
      <c r="N1116" s="91">
        <v>5.6580000000000004</v>
      </c>
      <c r="O1116" s="90">
        <v>2</v>
      </c>
      <c r="P1116" s="92">
        <v>4.2435</v>
      </c>
      <c r="Q1116" s="93">
        <v>50.400000000000006</v>
      </c>
      <c r="R1116" s="92">
        <v>50.400000000000006</v>
      </c>
      <c r="S1116" s="87">
        <v>2604940</v>
      </c>
      <c r="T1116" s="94">
        <v>11</v>
      </c>
      <c r="U1116" s="95">
        <v>51685.317460317456</v>
      </c>
      <c r="V1116" s="96">
        <v>19.347854461139224</v>
      </c>
      <c r="X1116" s="98">
        <v>4.2</v>
      </c>
      <c r="Y1116" s="97">
        <v>149.73095238095235</v>
      </c>
    </row>
    <row r="1117" spans="1:25">
      <c r="A1117" s="58">
        <v>1118</v>
      </c>
      <c r="B1117" s="58">
        <v>1118</v>
      </c>
      <c r="C1117" s="58" t="s">
        <v>1713</v>
      </c>
      <c r="D1117" s="58" t="s">
        <v>187</v>
      </c>
      <c r="E1117" s="58" t="s">
        <v>187</v>
      </c>
      <c r="F1117" s="58" t="s">
        <v>228</v>
      </c>
      <c r="G1117" s="58" t="s">
        <v>229</v>
      </c>
      <c r="H1117" s="58" t="s">
        <v>179</v>
      </c>
      <c r="I1117">
        <v>38000</v>
      </c>
      <c r="J1117">
        <v>38000</v>
      </c>
      <c r="K1117" s="58" t="s">
        <v>185</v>
      </c>
      <c r="L1117" s="74">
        <v>6.3179999999999996</v>
      </c>
      <c r="M1117" s="85">
        <v>7</v>
      </c>
      <c r="N1117" s="74">
        <v>4.8090000000000002</v>
      </c>
      <c r="O1117">
        <v>2</v>
      </c>
      <c r="P1117" s="84">
        <v>3.6067499999999999</v>
      </c>
      <c r="Q1117" s="86">
        <v>42</v>
      </c>
      <c r="R1117" s="85">
        <v>42</v>
      </c>
      <c r="S1117" s="87">
        <v>1126610</v>
      </c>
      <c r="T1117" s="1">
        <v>6</v>
      </c>
      <c r="U1117" s="88">
        <v>26824.047619047618</v>
      </c>
      <c r="V1117" s="59">
        <v>37.279981537532954</v>
      </c>
      <c r="X1117" s="98">
        <v>50.400000000000006</v>
      </c>
      <c r="Y1117" s="97">
        <v>51.685317460317449</v>
      </c>
    </row>
    <row r="1118" spans="1:25">
      <c r="A1118" s="58">
        <v>1119</v>
      </c>
      <c r="B1118" s="58">
        <v>1119</v>
      </c>
      <c r="C1118" s="58" t="s">
        <v>1714</v>
      </c>
      <c r="D1118" s="58" t="s">
        <v>187</v>
      </c>
      <c r="E1118" s="58" t="s">
        <v>187</v>
      </c>
      <c r="F1118" s="58" t="s">
        <v>228</v>
      </c>
      <c r="G1118" s="58" t="s">
        <v>229</v>
      </c>
      <c r="H1118" s="58" t="s">
        <v>179</v>
      </c>
      <c r="I1118">
        <v>38000</v>
      </c>
      <c r="J1118">
        <v>38000</v>
      </c>
      <c r="K1118" s="58" t="s">
        <v>185</v>
      </c>
      <c r="L1118" s="74">
        <v>8.6159999999999997</v>
      </c>
      <c r="M1118" s="85">
        <v>9</v>
      </c>
      <c r="N1118" s="74">
        <v>0.66700000000000004</v>
      </c>
      <c r="O1118">
        <v>2</v>
      </c>
      <c r="P1118" s="84">
        <v>0.50025000000000008</v>
      </c>
      <c r="Q1118" s="86">
        <v>4.2</v>
      </c>
      <c r="R1118" s="85">
        <v>4.2</v>
      </c>
      <c r="S1118" s="87">
        <v>1334440</v>
      </c>
      <c r="T1118" s="1">
        <v>1</v>
      </c>
      <c r="U1118" s="88">
        <v>317723.80952380953</v>
      </c>
      <c r="V1118" s="59">
        <v>3.1473876682353645</v>
      </c>
      <c r="X1118" s="98">
        <v>42</v>
      </c>
      <c r="Y1118" s="97">
        <v>26.824047619047619</v>
      </c>
    </row>
    <row r="1119" spans="1:25">
      <c r="A1119" s="89">
        <v>1120</v>
      </c>
      <c r="B1119" s="89">
        <v>1120</v>
      </c>
      <c r="C1119" s="89" t="s">
        <v>1715</v>
      </c>
      <c r="D1119" s="58" t="s">
        <v>234</v>
      </c>
      <c r="E1119" s="58" t="s">
        <v>234</v>
      </c>
      <c r="F1119" s="89" t="s">
        <v>309</v>
      </c>
      <c r="G1119" s="89" t="s">
        <v>310</v>
      </c>
      <c r="H1119" s="89" t="s">
        <v>179</v>
      </c>
      <c r="I1119" s="90">
        <v>38000</v>
      </c>
      <c r="J1119" s="90">
        <v>38000</v>
      </c>
      <c r="K1119" s="90">
        <v>20000</v>
      </c>
      <c r="L1119" s="91">
        <v>8.84</v>
      </c>
      <c r="M1119" s="92">
        <v>9</v>
      </c>
      <c r="N1119" s="91">
        <v>7.3620000000000001</v>
      </c>
      <c r="O1119" s="90">
        <v>2</v>
      </c>
      <c r="P1119" s="92">
        <v>5.5214999999999996</v>
      </c>
      <c r="Q1119" s="93">
        <v>67.2</v>
      </c>
      <c r="R1119" s="92">
        <v>67.2</v>
      </c>
      <c r="S1119" s="87">
        <v>2815750</v>
      </c>
      <c r="T1119" s="94">
        <v>11</v>
      </c>
      <c r="U1119" s="95">
        <v>41901.041666666664</v>
      </c>
      <c r="V1119" s="96">
        <v>23.865755127408327</v>
      </c>
      <c r="X1119" s="98">
        <v>4.2</v>
      </c>
      <c r="Y1119" s="97">
        <v>317.72380952380951</v>
      </c>
    </row>
    <row r="1120" spans="1:25">
      <c r="A1120" s="58">
        <v>1121</v>
      </c>
      <c r="B1120" s="58">
        <v>1121</v>
      </c>
      <c r="C1120" s="58" t="s">
        <v>1716</v>
      </c>
      <c r="D1120" s="58" t="s">
        <v>182</v>
      </c>
      <c r="E1120" s="58" t="s">
        <v>182</v>
      </c>
      <c r="F1120" s="58" t="s">
        <v>595</v>
      </c>
      <c r="G1120" s="58" t="s">
        <v>596</v>
      </c>
      <c r="H1120" s="58" t="s">
        <v>179</v>
      </c>
      <c r="I1120">
        <v>38000</v>
      </c>
      <c r="J1120">
        <v>38000</v>
      </c>
      <c r="K1120" s="58" t="s">
        <v>185</v>
      </c>
      <c r="L1120" s="74">
        <v>9.9760000000000009</v>
      </c>
      <c r="M1120" s="85">
        <v>10</v>
      </c>
      <c r="N1120" s="74">
        <v>0.55600000000000005</v>
      </c>
      <c r="O1120">
        <v>2</v>
      </c>
      <c r="P1120" s="84">
        <v>0.55600000000000005</v>
      </c>
      <c r="Q1120" s="86">
        <v>4.2</v>
      </c>
      <c r="R1120" s="85">
        <v>4.2</v>
      </c>
      <c r="S1120" s="87">
        <v>1387140</v>
      </c>
      <c r="T1120" s="1">
        <v>1</v>
      </c>
      <c r="U1120" s="88">
        <v>330271.42857142858</v>
      </c>
      <c r="V1120" s="59">
        <v>3.0278126216531858</v>
      </c>
      <c r="X1120" s="98">
        <v>67.2</v>
      </c>
      <c r="Y1120" s="97">
        <v>41.901041666666664</v>
      </c>
    </row>
    <row r="1121" spans="1:25">
      <c r="A1121" s="58">
        <v>1122</v>
      </c>
      <c r="B1121" s="58">
        <v>1122</v>
      </c>
      <c r="C1121" s="58" t="s">
        <v>1717</v>
      </c>
      <c r="D1121" s="58" t="s">
        <v>234</v>
      </c>
      <c r="E1121" s="58" t="s">
        <v>234</v>
      </c>
      <c r="F1121" s="58" t="s">
        <v>337</v>
      </c>
      <c r="G1121" s="58" t="s">
        <v>338</v>
      </c>
      <c r="H1121" s="58" t="s">
        <v>179</v>
      </c>
      <c r="I1121">
        <v>38000</v>
      </c>
      <c r="J1121">
        <v>38000</v>
      </c>
      <c r="K1121" s="58" t="s">
        <v>185</v>
      </c>
      <c r="L1121" s="74">
        <v>10.066000000000001</v>
      </c>
      <c r="M1121" s="85">
        <v>11</v>
      </c>
      <c r="N1121" s="74">
        <v>2.484</v>
      </c>
      <c r="O1121">
        <v>2</v>
      </c>
      <c r="P1121" s="84">
        <v>1.863</v>
      </c>
      <c r="Q1121" s="86">
        <v>21</v>
      </c>
      <c r="R1121" s="85">
        <v>21</v>
      </c>
      <c r="S1121" s="87">
        <v>1120760</v>
      </c>
      <c r="T1121" s="1">
        <v>4</v>
      </c>
      <c r="U1121" s="88">
        <v>53369.523809523809</v>
      </c>
      <c r="V1121" s="59">
        <v>18.737285413469433</v>
      </c>
      <c r="X1121" s="98">
        <v>4.2</v>
      </c>
      <c r="Y1121" s="97">
        <v>330.2714285714286</v>
      </c>
    </row>
    <row r="1122" spans="1:25">
      <c r="A1122" s="58">
        <v>1123</v>
      </c>
      <c r="B1122" s="58">
        <v>1123</v>
      </c>
      <c r="C1122" s="58" t="s">
        <v>1718</v>
      </c>
      <c r="D1122" s="58" t="s">
        <v>187</v>
      </c>
      <c r="E1122" s="58" t="s">
        <v>187</v>
      </c>
      <c r="F1122" s="58" t="s">
        <v>531</v>
      </c>
      <c r="G1122" s="58" t="s">
        <v>532</v>
      </c>
      <c r="H1122" s="58" t="s">
        <v>179</v>
      </c>
      <c r="I1122">
        <v>38000</v>
      </c>
      <c r="J1122">
        <v>38000</v>
      </c>
      <c r="K1122" s="58" t="s">
        <v>185</v>
      </c>
      <c r="L1122" s="74">
        <v>9.6829999999999998</v>
      </c>
      <c r="M1122" s="85">
        <v>10</v>
      </c>
      <c r="N1122" s="74">
        <v>0.41599999999999998</v>
      </c>
      <c r="O1122">
        <v>2</v>
      </c>
      <c r="P1122" s="84">
        <v>0.41599999999999998</v>
      </c>
      <c r="Q1122" s="86">
        <v>4.2</v>
      </c>
      <c r="R1122" s="85">
        <v>4.2</v>
      </c>
      <c r="S1122" s="87">
        <v>1387140</v>
      </c>
      <c r="T1122" s="1">
        <v>1</v>
      </c>
      <c r="U1122" s="88">
        <v>330271.42857142858</v>
      </c>
      <c r="V1122" s="59">
        <v>3.0278126216531858</v>
      </c>
      <c r="X1122" s="98">
        <v>21</v>
      </c>
      <c r="Y1122" s="97">
        <v>53.369523809523812</v>
      </c>
    </row>
    <row r="1123" spans="1:25">
      <c r="A1123" s="58">
        <v>1124</v>
      </c>
      <c r="B1123" s="58">
        <v>1124</v>
      </c>
      <c r="C1123" s="58" t="s">
        <v>1719</v>
      </c>
      <c r="D1123" s="58" t="s">
        <v>234</v>
      </c>
      <c r="E1123" s="58" t="s">
        <v>234</v>
      </c>
      <c r="F1123" s="58" t="s">
        <v>341</v>
      </c>
      <c r="G1123" s="58" t="s">
        <v>342</v>
      </c>
      <c r="H1123" s="58" t="s">
        <v>199</v>
      </c>
      <c r="I1123">
        <v>110000</v>
      </c>
      <c r="J1123" s="58" t="s">
        <v>185</v>
      </c>
      <c r="K1123">
        <v>110000</v>
      </c>
      <c r="L1123" s="74">
        <v>9.218</v>
      </c>
      <c r="M1123" s="85">
        <v>10</v>
      </c>
      <c r="N1123" s="74">
        <v>1.607</v>
      </c>
      <c r="O1123">
        <v>2</v>
      </c>
      <c r="P1123" s="84">
        <v>1.2052499999999999</v>
      </c>
      <c r="Q1123" s="86">
        <v>12.600000000000001</v>
      </c>
      <c r="R1123" s="85">
        <v>12.600000000000001</v>
      </c>
      <c r="S1123" s="87">
        <v>1943470</v>
      </c>
      <c r="T1123" s="1">
        <v>7</v>
      </c>
      <c r="U1123" s="88">
        <v>154243.65079365077</v>
      </c>
      <c r="V1123" s="59">
        <v>6.4832490339444409</v>
      </c>
      <c r="X1123" s="98">
        <v>4.2</v>
      </c>
      <c r="Y1123" s="97">
        <v>330.2714285714286</v>
      </c>
    </row>
    <row r="1124" spans="1:25">
      <c r="A1124" s="58">
        <v>1125</v>
      </c>
      <c r="B1124" s="58">
        <v>1125</v>
      </c>
      <c r="C1124" s="58" t="s">
        <v>1720</v>
      </c>
      <c r="D1124" s="58" t="s">
        <v>234</v>
      </c>
      <c r="E1124" s="58" t="s">
        <v>234</v>
      </c>
      <c r="F1124" s="58" t="s">
        <v>323</v>
      </c>
      <c r="G1124" s="58" t="s">
        <v>324</v>
      </c>
      <c r="H1124" s="58" t="s">
        <v>179</v>
      </c>
      <c r="I1124">
        <v>38000</v>
      </c>
      <c r="J1124">
        <v>38000</v>
      </c>
      <c r="K1124">
        <v>20000</v>
      </c>
      <c r="L1124" s="74">
        <v>5.3819999999999997</v>
      </c>
      <c r="M1124" s="85">
        <v>6</v>
      </c>
      <c r="N1124" s="74">
        <v>1.657</v>
      </c>
      <c r="O1124">
        <v>2</v>
      </c>
      <c r="P1124" s="84">
        <v>1.24275</v>
      </c>
      <c r="Q1124" s="86">
        <v>12.600000000000001</v>
      </c>
      <c r="R1124" s="85">
        <v>12.600000000000001</v>
      </c>
      <c r="S1124" s="87">
        <v>769410</v>
      </c>
      <c r="T1124" s="1">
        <v>4</v>
      </c>
      <c r="U1124" s="88">
        <v>61064.28571428571</v>
      </c>
      <c r="V1124" s="59">
        <v>16.376184349046675</v>
      </c>
      <c r="X1124" s="98">
        <v>12.600000000000001</v>
      </c>
      <c r="Y1124" s="97">
        <v>154.24365079365077</v>
      </c>
    </row>
    <row r="1125" spans="1:25">
      <c r="A1125" s="58">
        <v>1126</v>
      </c>
      <c r="B1125" s="58">
        <v>1126</v>
      </c>
      <c r="C1125" s="58" t="s">
        <v>1721</v>
      </c>
      <c r="D1125" s="58" t="s">
        <v>234</v>
      </c>
      <c r="E1125" s="58" t="s">
        <v>234</v>
      </c>
      <c r="F1125" s="58" t="s">
        <v>341</v>
      </c>
      <c r="G1125" s="58" t="s">
        <v>342</v>
      </c>
      <c r="H1125" s="58" t="s">
        <v>199</v>
      </c>
      <c r="I1125">
        <v>110000</v>
      </c>
      <c r="J1125" s="58" t="s">
        <v>185</v>
      </c>
      <c r="K1125">
        <v>110000</v>
      </c>
      <c r="L1125" s="74">
        <v>9.8070000000000004</v>
      </c>
      <c r="M1125" s="85">
        <v>10</v>
      </c>
      <c r="N1125" s="74">
        <v>0.62</v>
      </c>
      <c r="O1125">
        <v>2</v>
      </c>
      <c r="P1125" s="84">
        <v>0.46499999999999997</v>
      </c>
      <c r="Q1125" s="86">
        <v>4.2</v>
      </c>
      <c r="R1125" s="85">
        <v>4.2</v>
      </c>
      <c r="S1125" s="87">
        <v>1943470</v>
      </c>
      <c r="T1125" s="1">
        <v>7</v>
      </c>
      <c r="U1125" s="88">
        <v>462730.95238095237</v>
      </c>
      <c r="V1125" s="59">
        <v>2.1610830113148132</v>
      </c>
      <c r="X1125" s="98">
        <v>12.600000000000001</v>
      </c>
      <c r="Y1125" s="97">
        <v>61.06428571428571</v>
      </c>
    </row>
    <row r="1126" spans="1:25">
      <c r="A1126" s="58">
        <v>1127</v>
      </c>
      <c r="B1126" s="58">
        <v>1127</v>
      </c>
      <c r="C1126" s="58" t="s">
        <v>1722</v>
      </c>
      <c r="D1126" s="58" t="s">
        <v>351</v>
      </c>
      <c r="E1126" s="58" t="s">
        <v>351</v>
      </c>
      <c r="F1126" s="58" t="s">
        <v>514</v>
      </c>
      <c r="G1126" s="58" t="s">
        <v>515</v>
      </c>
      <c r="H1126" s="58" t="s">
        <v>179</v>
      </c>
      <c r="I1126">
        <v>38000</v>
      </c>
      <c r="J1126">
        <v>38000</v>
      </c>
      <c r="K1126">
        <v>20000</v>
      </c>
      <c r="L1126" s="74">
        <v>9.17</v>
      </c>
      <c r="M1126" s="85">
        <v>10</v>
      </c>
      <c r="N1126" s="74">
        <v>3.5640000000000001</v>
      </c>
      <c r="O1126">
        <v>2</v>
      </c>
      <c r="P1126" s="84">
        <v>2.673</v>
      </c>
      <c r="Q1126" s="86">
        <v>29.400000000000006</v>
      </c>
      <c r="R1126" s="85">
        <v>29.400000000000006</v>
      </c>
      <c r="S1126" s="87">
        <v>1236090</v>
      </c>
      <c r="T1126" s="1">
        <v>5</v>
      </c>
      <c r="U1126" s="88">
        <v>42043.8775510204</v>
      </c>
      <c r="V1126" s="59">
        <v>23.78467587311604</v>
      </c>
      <c r="X1126" s="98">
        <v>4.2</v>
      </c>
      <c r="Y1126" s="97">
        <v>462.73095238095237</v>
      </c>
    </row>
    <row r="1127" spans="1:25">
      <c r="A1127" s="58">
        <v>1128</v>
      </c>
      <c r="B1127" s="58">
        <v>1128</v>
      </c>
      <c r="C1127" s="58" t="s">
        <v>1723</v>
      </c>
      <c r="D1127" s="58" t="s">
        <v>351</v>
      </c>
      <c r="E1127" s="58" t="s">
        <v>351</v>
      </c>
      <c r="F1127" s="58" t="s">
        <v>514</v>
      </c>
      <c r="G1127" s="58" t="s">
        <v>515</v>
      </c>
      <c r="H1127" s="58" t="s">
        <v>179</v>
      </c>
      <c r="I1127">
        <v>38000</v>
      </c>
      <c r="J1127">
        <v>38000</v>
      </c>
      <c r="K1127">
        <v>20000</v>
      </c>
      <c r="L1127" s="74">
        <v>2.84</v>
      </c>
      <c r="M1127" s="85">
        <v>3</v>
      </c>
      <c r="N1127" s="74">
        <v>2.34</v>
      </c>
      <c r="O1127">
        <v>2</v>
      </c>
      <c r="P1127" s="84">
        <v>1.7549999999999999</v>
      </c>
      <c r="Q1127" s="86">
        <v>21</v>
      </c>
      <c r="R1127" s="85">
        <v>21</v>
      </c>
      <c r="S1127" s="87">
        <v>558600</v>
      </c>
      <c r="T1127" s="1">
        <v>4</v>
      </c>
      <c r="U1127" s="88">
        <v>26600</v>
      </c>
      <c r="V1127" s="59">
        <v>37.593984962406012</v>
      </c>
      <c r="X1127" s="98">
        <v>29.400000000000006</v>
      </c>
      <c r="Y1127" s="97">
        <v>42.043877551020394</v>
      </c>
    </row>
    <row r="1128" spans="1:25">
      <c r="A1128" s="58">
        <v>1129</v>
      </c>
      <c r="B1128" s="58">
        <v>1129</v>
      </c>
      <c r="C1128" s="58" t="s">
        <v>1724</v>
      </c>
      <c r="D1128" s="58" t="s">
        <v>234</v>
      </c>
      <c r="E1128" s="58" t="s">
        <v>234</v>
      </c>
      <c r="F1128" s="58" t="s">
        <v>595</v>
      </c>
      <c r="G1128" s="58" t="s">
        <v>596</v>
      </c>
      <c r="H1128" s="58" t="s">
        <v>179</v>
      </c>
      <c r="I1128">
        <v>38000</v>
      </c>
      <c r="J1128">
        <v>38000</v>
      </c>
      <c r="K1128" s="58" t="s">
        <v>185</v>
      </c>
      <c r="L1128" s="74">
        <v>11.439</v>
      </c>
      <c r="M1128" s="85">
        <v>12</v>
      </c>
      <c r="N1128" s="74">
        <v>0.47099999999999997</v>
      </c>
      <c r="O1128">
        <v>2</v>
      </c>
      <c r="P1128" s="84">
        <v>0.47099999999999997</v>
      </c>
      <c r="Q1128" s="86">
        <v>4.2</v>
      </c>
      <c r="R1128" s="85">
        <v>4.2</v>
      </c>
      <c r="S1128" s="87">
        <v>1492540</v>
      </c>
      <c r="T1128" s="1">
        <v>1</v>
      </c>
      <c r="U1128" s="88">
        <v>355366.66666666663</v>
      </c>
      <c r="V1128" s="59">
        <v>2.8139949348091173</v>
      </c>
      <c r="X1128" s="98">
        <v>21</v>
      </c>
      <c r="Y1128" s="97">
        <v>26.599999999999998</v>
      </c>
    </row>
    <row r="1129" spans="1:25">
      <c r="A1129" s="58">
        <v>1130</v>
      </c>
      <c r="B1129" s="58">
        <v>1130</v>
      </c>
      <c r="C1129" s="58" t="s">
        <v>1725</v>
      </c>
      <c r="D1129" s="58" t="s">
        <v>234</v>
      </c>
      <c r="E1129" s="58" t="s">
        <v>234</v>
      </c>
      <c r="F1129" s="58" t="s">
        <v>938</v>
      </c>
      <c r="G1129" s="58" t="s">
        <v>939</v>
      </c>
      <c r="H1129" s="58" t="s">
        <v>179</v>
      </c>
      <c r="I1129">
        <v>38000</v>
      </c>
      <c r="J1129">
        <v>38000</v>
      </c>
      <c r="K1129" s="58" t="s">
        <v>185</v>
      </c>
      <c r="L1129" s="74">
        <v>10.177</v>
      </c>
      <c r="M1129" s="85">
        <v>11</v>
      </c>
      <c r="N1129" s="74">
        <v>0.77200000000000002</v>
      </c>
      <c r="O1129">
        <v>2</v>
      </c>
      <c r="P1129" s="84">
        <v>0.57899999999999996</v>
      </c>
      <c r="Q1129" s="86">
        <v>4.2</v>
      </c>
      <c r="R1129" s="85">
        <v>4.2</v>
      </c>
      <c r="S1129" s="87">
        <v>1439840</v>
      </c>
      <c r="T1129" s="1">
        <v>1</v>
      </c>
      <c r="U1129" s="88">
        <v>342819.04761904763</v>
      </c>
      <c r="V1129" s="59">
        <v>2.9169907767529724</v>
      </c>
      <c r="X1129" s="98">
        <v>4.2</v>
      </c>
      <c r="Y1129" s="97">
        <v>355.36666666666662</v>
      </c>
    </row>
    <row r="1130" spans="1:25">
      <c r="A1130" s="58">
        <v>1131</v>
      </c>
      <c r="B1130" s="58">
        <v>1131</v>
      </c>
      <c r="C1130" s="58" t="s">
        <v>1726</v>
      </c>
      <c r="D1130" s="58" t="s">
        <v>346</v>
      </c>
      <c r="E1130" s="58" t="s">
        <v>346</v>
      </c>
      <c r="F1130" s="58" t="s">
        <v>517</v>
      </c>
      <c r="G1130" s="58" t="s">
        <v>518</v>
      </c>
      <c r="H1130" s="58" t="s">
        <v>179</v>
      </c>
      <c r="I1130">
        <v>38000</v>
      </c>
      <c r="J1130">
        <v>38000</v>
      </c>
      <c r="K1130">
        <v>10000</v>
      </c>
      <c r="L1130" s="74">
        <v>9.9749999999999996</v>
      </c>
      <c r="M1130" s="85">
        <v>10</v>
      </c>
      <c r="N1130" s="74">
        <v>1.502</v>
      </c>
      <c r="O1130">
        <v>2</v>
      </c>
      <c r="P1130" s="84">
        <v>1.1265000000000001</v>
      </c>
      <c r="Q1130" s="86">
        <v>12.600000000000001</v>
      </c>
      <c r="R1130" s="85">
        <v>12.600000000000001</v>
      </c>
      <c r="S1130" s="87">
        <v>1469550</v>
      </c>
      <c r="T1130" s="1">
        <v>3</v>
      </c>
      <c r="U1130" s="88">
        <v>116630.95238095237</v>
      </c>
      <c r="V1130" s="59">
        <v>8.5740532816168233</v>
      </c>
      <c r="X1130" s="98">
        <v>4.2</v>
      </c>
      <c r="Y1130" s="97">
        <v>342.81904761904764</v>
      </c>
    </row>
    <row r="1131" spans="1:25">
      <c r="A1131" s="58">
        <v>1132</v>
      </c>
      <c r="B1131" s="58">
        <v>1132</v>
      </c>
      <c r="C1131" s="58" t="s">
        <v>1727</v>
      </c>
      <c r="D1131" s="58" t="s">
        <v>346</v>
      </c>
      <c r="E1131" s="58" t="s">
        <v>346</v>
      </c>
      <c r="F1131" s="58" t="s">
        <v>520</v>
      </c>
      <c r="G1131" s="58" t="s">
        <v>521</v>
      </c>
      <c r="H1131" s="58" t="s">
        <v>179</v>
      </c>
      <c r="I1131">
        <v>38000</v>
      </c>
      <c r="J1131">
        <v>38000</v>
      </c>
      <c r="K1131">
        <v>10000</v>
      </c>
      <c r="L1131" s="74">
        <v>8.0679999999999996</v>
      </c>
      <c r="M1131" s="85">
        <v>9</v>
      </c>
      <c r="N1131" s="74">
        <v>1.0609999999999999</v>
      </c>
      <c r="O1131">
        <v>2</v>
      </c>
      <c r="P1131" s="84">
        <v>0.79574999999999996</v>
      </c>
      <c r="Q1131" s="86">
        <v>8.4</v>
      </c>
      <c r="R1131" s="85">
        <v>8.4</v>
      </c>
      <c r="S1131" s="87">
        <v>1379800</v>
      </c>
      <c r="T1131" s="1">
        <v>2</v>
      </c>
      <c r="U1131" s="88">
        <v>164261.90476190476</v>
      </c>
      <c r="V1131" s="59">
        <v>6.087838817219887</v>
      </c>
      <c r="X1131" s="98">
        <v>12.600000000000001</v>
      </c>
      <c r="Y1131" s="97">
        <v>116.63095238095237</v>
      </c>
    </row>
    <row r="1132" spans="1:25">
      <c r="A1132" s="58">
        <v>1133</v>
      </c>
      <c r="B1132" s="58">
        <v>1133</v>
      </c>
      <c r="C1132" s="58" t="s">
        <v>1728</v>
      </c>
      <c r="D1132" s="58" t="s">
        <v>234</v>
      </c>
      <c r="E1132" s="58" t="s">
        <v>234</v>
      </c>
      <c r="F1132" s="58" t="s">
        <v>524</v>
      </c>
      <c r="G1132" s="58" t="s">
        <v>525</v>
      </c>
      <c r="H1132" s="58" t="s">
        <v>179</v>
      </c>
      <c r="I1132">
        <v>38000</v>
      </c>
      <c r="L1132" s="74">
        <v>6.8049999999999997</v>
      </c>
      <c r="M1132" s="85">
        <v>7</v>
      </c>
      <c r="N1132" s="74">
        <v>1.252</v>
      </c>
      <c r="O1132">
        <v>2</v>
      </c>
      <c r="P1132" s="84">
        <v>0.93900000000000006</v>
      </c>
      <c r="Q1132" s="86">
        <v>8.4</v>
      </c>
      <c r="R1132" s="85">
        <v>8.4</v>
      </c>
      <c r="S1132" s="87">
        <v>839680</v>
      </c>
      <c r="T1132" s="1">
        <v>4</v>
      </c>
      <c r="U1132" s="88">
        <v>99961.904761904763</v>
      </c>
      <c r="V1132" s="59">
        <v>10.003810975609756</v>
      </c>
      <c r="X1132" s="98">
        <v>8.4</v>
      </c>
      <c r="Y1132" s="97">
        <v>164.26190476190479</v>
      </c>
    </row>
    <row r="1133" spans="1:25">
      <c r="A1133" s="58">
        <v>1134</v>
      </c>
      <c r="B1133" s="58">
        <v>1134</v>
      </c>
      <c r="C1133" s="58" t="s">
        <v>1729</v>
      </c>
      <c r="D1133" s="58" t="s">
        <v>852</v>
      </c>
      <c r="E1133" s="58" t="s">
        <v>346</v>
      </c>
      <c r="F1133" s="58" t="s">
        <v>517</v>
      </c>
      <c r="G1133" s="58" t="s">
        <v>518</v>
      </c>
      <c r="H1133" s="58" t="s">
        <v>179</v>
      </c>
      <c r="I1133">
        <v>38000</v>
      </c>
      <c r="J1133">
        <v>38000</v>
      </c>
      <c r="K1133">
        <v>10000</v>
      </c>
      <c r="L1133" s="74">
        <v>4.7969999999999997</v>
      </c>
      <c r="M1133" s="85">
        <v>5</v>
      </c>
      <c r="N1133" s="74">
        <v>0.311</v>
      </c>
      <c r="O1133">
        <v>2</v>
      </c>
      <c r="P1133" s="84">
        <v>0.311</v>
      </c>
      <c r="Q1133" s="86">
        <v>4.2</v>
      </c>
      <c r="R1133" s="85">
        <v>4.2</v>
      </c>
      <c r="S1133" s="87">
        <v>699140</v>
      </c>
      <c r="T1133" s="1">
        <v>4</v>
      </c>
      <c r="U1133" s="88">
        <v>166461.90476190476</v>
      </c>
      <c r="V1133" s="59">
        <v>6.0073804960379897</v>
      </c>
      <c r="X1133" s="98">
        <v>8.4</v>
      </c>
      <c r="Y1133" s="97">
        <v>99.961904761904762</v>
      </c>
    </row>
    <row r="1134" spans="1:25">
      <c r="A1134" s="89">
        <v>1135</v>
      </c>
      <c r="B1134" s="89">
        <v>1135</v>
      </c>
      <c r="C1134" s="89" t="s">
        <v>1730</v>
      </c>
      <c r="D1134" s="58" t="s">
        <v>346</v>
      </c>
      <c r="E1134" s="58" t="s">
        <v>351</v>
      </c>
      <c r="F1134" s="89" t="s">
        <v>352</v>
      </c>
      <c r="G1134" s="89" t="s">
        <v>353</v>
      </c>
      <c r="H1134" s="89" t="s">
        <v>179</v>
      </c>
      <c r="I1134" s="90">
        <v>38000</v>
      </c>
      <c r="J1134" s="90">
        <v>38000</v>
      </c>
      <c r="K1134" s="90">
        <v>10000</v>
      </c>
      <c r="L1134" s="91">
        <v>8.9369999999999994</v>
      </c>
      <c r="M1134" s="92">
        <v>9</v>
      </c>
      <c r="N1134" s="91">
        <v>8.0120000000000005</v>
      </c>
      <c r="O1134" s="90">
        <v>2</v>
      </c>
      <c r="P1134" s="92">
        <v>6.0090000000000003</v>
      </c>
      <c r="Q1134" s="93">
        <v>71.400000000000006</v>
      </c>
      <c r="R1134" s="92">
        <v>71.400000000000006</v>
      </c>
      <c r="S1134" s="87">
        <v>2815750</v>
      </c>
      <c r="T1134" s="94">
        <v>11</v>
      </c>
      <c r="U1134" s="95">
        <v>39436.274509803916</v>
      </c>
      <c r="V1134" s="96">
        <v>25.35736482287135</v>
      </c>
      <c r="X1134" s="98">
        <v>4.2</v>
      </c>
      <c r="Y1134" s="97">
        <v>166.46190476190475</v>
      </c>
    </row>
    <row r="1135" spans="1:25">
      <c r="A1135" s="58">
        <v>1136</v>
      </c>
      <c r="B1135" s="58">
        <v>1136</v>
      </c>
      <c r="C1135" s="58" t="s">
        <v>1731</v>
      </c>
      <c r="D1135" s="58" t="s">
        <v>351</v>
      </c>
      <c r="E1135" s="58" t="s">
        <v>351</v>
      </c>
      <c r="F1135" s="58" t="s">
        <v>514</v>
      </c>
      <c r="G1135" s="58" t="s">
        <v>515</v>
      </c>
      <c r="H1135" s="58" t="s">
        <v>179</v>
      </c>
      <c r="I1135">
        <v>38000</v>
      </c>
      <c r="J1135">
        <v>38000</v>
      </c>
      <c r="K1135">
        <v>20000</v>
      </c>
      <c r="L1135" s="74">
        <v>4.1449999999999996</v>
      </c>
      <c r="M1135" s="85">
        <v>5</v>
      </c>
      <c r="N1135" s="74">
        <v>1.036</v>
      </c>
      <c r="O1135">
        <v>2</v>
      </c>
      <c r="P1135" s="84">
        <v>0.77700000000000002</v>
      </c>
      <c r="Q1135" s="86">
        <v>8.4</v>
      </c>
      <c r="R1135" s="85">
        <v>8.4</v>
      </c>
      <c r="S1135" s="87">
        <v>699140</v>
      </c>
      <c r="T1135" s="1">
        <v>4</v>
      </c>
      <c r="U1135" s="88">
        <v>83230.952380952382</v>
      </c>
      <c r="V1135" s="59">
        <v>12.014760992075979</v>
      </c>
      <c r="X1135" s="98">
        <v>71.400000000000006</v>
      </c>
      <c r="Y1135" s="97">
        <v>39.436274509803916</v>
      </c>
    </row>
    <row r="1136" spans="1:25">
      <c r="A1136" s="58">
        <v>1137</v>
      </c>
      <c r="B1136" s="58">
        <v>1137</v>
      </c>
      <c r="C1136" s="58" t="s">
        <v>1732</v>
      </c>
      <c r="D1136" s="58" t="s">
        <v>346</v>
      </c>
      <c r="E1136" s="58" t="s">
        <v>346</v>
      </c>
      <c r="F1136" s="58" t="s">
        <v>1427</v>
      </c>
      <c r="G1136" s="58" t="s">
        <v>1428</v>
      </c>
      <c r="H1136" s="58" t="s">
        <v>199</v>
      </c>
      <c r="I1136">
        <v>110000</v>
      </c>
      <c r="J1136">
        <v>110000</v>
      </c>
      <c r="K1136">
        <v>38000</v>
      </c>
      <c r="L1136" s="74">
        <v>5.7859999999999996</v>
      </c>
      <c r="M1136" s="85">
        <v>6</v>
      </c>
      <c r="N1136" s="74">
        <v>2.0569999999999999</v>
      </c>
      <c r="O1136">
        <v>2</v>
      </c>
      <c r="P1136" s="84">
        <v>1.5427499999999998</v>
      </c>
      <c r="Q1136" s="86">
        <v>16.8</v>
      </c>
      <c r="R1136" s="85">
        <v>16.8</v>
      </c>
      <c r="S1136" s="87">
        <v>2016330</v>
      </c>
      <c r="T1136" s="1">
        <v>8</v>
      </c>
      <c r="U1136" s="88">
        <v>120019.64285714286</v>
      </c>
      <c r="V1136" s="59">
        <v>8.3319694692833011</v>
      </c>
      <c r="X1136" s="98">
        <v>8.4</v>
      </c>
      <c r="Y1136" s="97">
        <v>83.230952380952374</v>
      </c>
    </row>
    <row r="1137" spans="1:25">
      <c r="A1137" s="58">
        <v>1138</v>
      </c>
      <c r="B1137" s="58">
        <v>1138</v>
      </c>
      <c r="C1137" s="58" t="s">
        <v>1733</v>
      </c>
      <c r="D1137" s="58" t="s">
        <v>234</v>
      </c>
      <c r="E1137" s="58" t="s">
        <v>234</v>
      </c>
      <c r="F1137" s="58" t="s">
        <v>1734</v>
      </c>
      <c r="G1137" s="58" t="s">
        <v>1735</v>
      </c>
      <c r="H1137" s="58" t="s">
        <v>179</v>
      </c>
      <c r="I1137">
        <v>38000</v>
      </c>
      <c r="J1137">
        <v>38000</v>
      </c>
      <c r="K1137" s="58" t="s">
        <v>185</v>
      </c>
      <c r="L1137" s="74">
        <v>3.5819999999999999</v>
      </c>
      <c r="M1137" s="85">
        <v>4</v>
      </c>
      <c r="N1137" s="74">
        <v>0.33900000000000002</v>
      </c>
      <c r="O1137">
        <v>2</v>
      </c>
      <c r="P1137" s="84">
        <v>0.33900000000000002</v>
      </c>
      <c r="Q1137" s="86">
        <v>4.2</v>
      </c>
      <c r="R1137" s="85">
        <v>4.2</v>
      </c>
      <c r="S1137" s="87">
        <v>628870</v>
      </c>
      <c r="T1137" s="1">
        <v>4</v>
      </c>
      <c r="U1137" s="88">
        <v>149730.95238095237</v>
      </c>
      <c r="V1137" s="59">
        <v>6.6786458250512828</v>
      </c>
      <c r="X1137" s="98">
        <v>16.8</v>
      </c>
      <c r="Y1137" s="97">
        <v>120.01964285714286</v>
      </c>
    </row>
    <row r="1138" spans="1:25">
      <c r="A1138" s="58">
        <v>1139</v>
      </c>
      <c r="B1138" s="58">
        <v>1139</v>
      </c>
      <c r="C1138" s="58" t="s">
        <v>1736</v>
      </c>
      <c r="D1138" s="58" t="s">
        <v>182</v>
      </c>
      <c r="E1138" s="58" t="s">
        <v>182</v>
      </c>
      <c r="F1138" s="58" t="s">
        <v>971</v>
      </c>
      <c r="G1138" s="58" t="s">
        <v>972</v>
      </c>
      <c r="H1138" s="58" t="s">
        <v>199</v>
      </c>
      <c r="I1138">
        <v>110000</v>
      </c>
      <c r="J1138">
        <v>110000</v>
      </c>
      <c r="K1138">
        <v>38000</v>
      </c>
      <c r="L1138" s="74">
        <v>12.167</v>
      </c>
      <c r="M1138" s="85">
        <v>13</v>
      </c>
      <c r="N1138" s="74">
        <v>0.42599999999999999</v>
      </c>
      <c r="O1138">
        <v>2</v>
      </c>
      <c r="P1138" s="84">
        <v>0.42599999999999999</v>
      </c>
      <c r="Q1138" s="86">
        <v>4.2</v>
      </c>
      <c r="R1138" s="85">
        <v>4.2</v>
      </c>
      <c r="S1138" s="87">
        <v>2101570</v>
      </c>
      <c r="T1138" s="1">
        <v>7</v>
      </c>
      <c r="U1138" s="88">
        <v>500373.80952380953</v>
      </c>
      <c r="V1138" s="59">
        <v>1.9985058789381271</v>
      </c>
      <c r="X1138" s="98">
        <v>4.2</v>
      </c>
      <c r="Y1138" s="97">
        <v>149.73095238095235</v>
      </c>
    </row>
    <row r="1139" spans="1:25">
      <c r="A1139" s="58">
        <v>1140</v>
      </c>
      <c r="B1139" s="58">
        <v>1140</v>
      </c>
      <c r="C1139" s="58" t="s">
        <v>1737</v>
      </c>
      <c r="D1139" s="58" t="s">
        <v>1190</v>
      </c>
      <c r="E1139" s="58" t="s">
        <v>1190</v>
      </c>
      <c r="F1139" s="58" t="s">
        <v>1191</v>
      </c>
      <c r="G1139" s="58" t="s">
        <v>1192</v>
      </c>
      <c r="H1139" s="58" t="s">
        <v>179</v>
      </c>
      <c r="I1139">
        <v>38000</v>
      </c>
      <c r="J1139">
        <v>38000</v>
      </c>
      <c r="K1139">
        <v>10000</v>
      </c>
      <c r="L1139" s="74">
        <v>8.0190000000000001</v>
      </c>
      <c r="M1139" s="85">
        <v>9</v>
      </c>
      <c r="N1139" s="74">
        <v>0.8</v>
      </c>
      <c r="O1139">
        <v>2</v>
      </c>
      <c r="P1139" s="84">
        <v>0.60000000000000009</v>
      </c>
      <c r="Q1139" s="86">
        <v>4.2</v>
      </c>
      <c r="R1139" s="85">
        <v>4.2</v>
      </c>
      <c r="S1139" s="87">
        <v>1334440</v>
      </c>
      <c r="T1139" s="1">
        <v>1</v>
      </c>
      <c r="U1139" s="88">
        <v>317723.80952380953</v>
      </c>
      <c r="V1139" s="59">
        <v>3.1473876682353645</v>
      </c>
      <c r="X1139" s="98">
        <v>4.2</v>
      </c>
      <c r="Y1139" s="97">
        <v>500.37380952380948</v>
      </c>
    </row>
    <row r="1140" spans="1:25">
      <c r="A1140" s="58">
        <v>1141</v>
      </c>
      <c r="B1140" s="58">
        <v>1141</v>
      </c>
      <c r="C1140" s="58" t="s">
        <v>1738</v>
      </c>
      <c r="D1140" s="58" t="s">
        <v>182</v>
      </c>
      <c r="E1140" s="58" t="s">
        <v>182</v>
      </c>
      <c r="F1140" s="58" t="s">
        <v>949</v>
      </c>
      <c r="G1140" s="58" t="s">
        <v>950</v>
      </c>
      <c r="H1140" s="58" t="s">
        <v>179</v>
      </c>
      <c r="I1140">
        <v>38000</v>
      </c>
      <c r="J1140">
        <v>38000</v>
      </c>
      <c r="K1140">
        <v>20000</v>
      </c>
      <c r="L1140" s="74">
        <v>5.3769999999999998</v>
      </c>
      <c r="M1140" s="85">
        <v>6</v>
      </c>
      <c r="N1140" s="74">
        <v>1.208</v>
      </c>
      <c r="O1140">
        <v>2</v>
      </c>
      <c r="P1140" s="84">
        <v>0.90599999999999992</v>
      </c>
      <c r="Q1140" s="86">
        <v>8.4</v>
      </c>
      <c r="R1140" s="85">
        <v>8.4</v>
      </c>
      <c r="S1140" s="87">
        <v>769410</v>
      </c>
      <c r="T1140" s="1">
        <v>4</v>
      </c>
      <c r="U1140" s="88">
        <v>91596.428571428565</v>
      </c>
      <c r="V1140" s="59">
        <v>10.917456232697781</v>
      </c>
      <c r="X1140" s="98">
        <v>4.2</v>
      </c>
      <c r="Y1140" s="97">
        <v>317.72380952380951</v>
      </c>
    </row>
    <row r="1141" spans="1:25">
      <c r="A1141" s="58">
        <v>1142</v>
      </c>
      <c r="B1141" s="58">
        <v>1142</v>
      </c>
      <c r="C1141" s="58" t="s">
        <v>1739</v>
      </c>
      <c r="D1141" s="58" t="s">
        <v>182</v>
      </c>
      <c r="E1141" s="58" t="s">
        <v>182</v>
      </c>
      <c r="F1141" s="58" t="s">
        <v>949</v>
      </c>
      <c r="G1141" s="58" t="s">
        <v>950</v>
      </c>
      <c r="H1141" s="58" t="s">
        <v>179</v>
      </c>
      <c r="I1141">
        <v>38000</v>
      </c>
      <c r="J1141">
        <v>38000</v>
      </c>
      <c r="K1141">
        <v>20000</v>
      </c>
      <c r="L1141" s="74">
        <v>8.7040000000000006</v>
      </c>
      <c r="M1141" s="85">
        <v>9</v>
      </c>
      <c r="N1141" s="74">
        <v>1.645</v>
      </c>
      <c r="O1141">
        <v>2</v>
      </c>
      <c r="P1141" s="84">
        <v>1.2337500000000001</v>
      </c>
      <c r="Q1141" s="86">
        <v>12.600000000000001</v>
      </c>
      <c r="R1141" s="85">
        <v>12.600000000000001</v>
      </c>
      <c r="S1141" s="87">
        <v>1416850</v>
      </c>
      <c r="T1141" s="1">
        <v>3</v>
      </c>
      <c r="U1141" s="88">
        <v>112448.41269841269</v>
      </c>
      <c r="V1141" s="59">
        <v>8.8929667925327323</v>
      </c>
      <c r="X1141" s="98">
        <v>8.4</v>
      </c>
      <c r="Y1141" s="97">
        <v>91.596428571428561</v>
      </c>
    </row>
    <row r="1142" spans="1:25">
      <c r="A1142" s="58">
        <v>1143</v>
      </c>
      <c r="B1142" s="58">
        <v>1143</v>
      </c>
      <c r="C1142" s="58" t="s">
        <v>1740</v>
      </c>
      <c r="D1142" s="58" t="s">
        <v>182</v>
      </c>
      <c r="E1142" s="58" t="s">
        <v>182</v>
      </c>
      <c r="F1142" s="58" t="s">
        <v>956</v>
      </c>
      <c r="G1142" s="58" t="s">
        <v>957</v>
      </c>
      <c r="H1142" s="58" t="s">
        <v>179</v>
      </c>
      <c r="I1142">
        <v>38000</v>
      </c>
      <c r="J1142">
        <v>38000</v>
      </c>
      <c r="K1142" s="58" t="s">
        <v>185</v>
      </c>
      <c r="L1142" s="74">
        <v>8.0779999999999994</v>
      </c>
      <c r="M1142" s="85">
        <v>9</v>
      </c>
      <c r="N1142" s="74">
        <v>0.56200000000000006</v>
      </c>
      <c r="O1142">
        <v>2</v>
      </c>
      <c r="P1142" s="84">
        <v>0.56200000000000006</v>
      </c>
      <c r="Q1142" s="86">
        <v>4.2</v>
      </c>
      <c r="R1142" s="85">
        <v>4.2</v>
      </c>
      <c r="S1142" s="87">
        <v>1334440</v>
      </c>
      <c r="T1142" s="1">
        <v>1</v>
      </c>
      <c r="U1142" s="88">
        <v>317723.80952380953</v>
      </c>
      <c r="V1142" s="59">
        <v>3.1473876682353645</v>
      </c>
      <c r="X1142" s="98">
        <v>12.600000000000001</v>
      </c>
      <c r="Y1142" s="97">
        <v>112.44841269841268</v>
      </c>
    </row>
    <row r="1143" spans="1:25">
      <c r="A1143" s="58">
        <v>1144</v>
      </c>
      <c r="B1143" s="58">
        <v>1144</v>
      </c>
      <c r="C1143" s="58" t="s">
        <v>1741</v>
      </c>
      <c r="D1143" s="58" t="s">
        <v>234</v>
      </c>
      <c r="E1143" s="58" t="s">
        <v>234</v>
      </c>
      <c r="F1143" s="58" t="s">
        <v>938</v>
      </c>
      <c r="G1143" s="58" t="s">
        <v>939</v>
      </c>
      <c r="H1143" s="58" t="s">
        <v>179</v>
      </c>
      <c r="I1143">
        <v>38000</v>
      </c>
      <c r="J1143">
        <v>38000</v>
      </c>
      <c r="K1143" s="58" t="s">
        <v>185</v>
      </c>
      <c r="L1143" s="74">
        <v>12.1</v>
      </c>
      <c r="M1143" s="85">
        <v>13</v>
      </c>
      <c r="N1143" s="74">
        <v>0.47499999999999998</v>
      </c>
      <c r="O1143">
        <v>2</v>
      </c>
      <c r="P1143" s="84">
        <v>0.47499999999999998</v>
      </c>
      <c r="Q1143" s="86">
        <v>4.2</v>
      </c>
      <c r="R1143" s="85">
        <v>4.2</v>
      </c>
      <c r="S1143" s="87">
        <v>1545240</v>
      </c>
      <c r="T1143" s="1">
        <v>1</v>
      </c>
      <c r="U1143" s="88">
        <v>367914.28571428568</v>
      </c>
      <c r="V1143" s="59">
        <v>2.7180243845616214</v>
      </c>
      <c r="X1143" s="98">
        <v>4.2</v>
      </c>
      <c r="Y1143" s="97">
        <v>317.72380952380951</v>
      </c>
    </row>
    <row r="1144" spans="1:25">
      <c r="A1144" s="58">
        <v>1145</v>
      </c>
      <c r="B1144" s="58">
        <v>1145</v>
      </c>
      <c r="C1144" s="58" t="s">
        <v>1742</v>
      </c>
      <c r="D1144" s="58" t="s">
        <v>234</v>
      </c>
      <c r="E1144" s="58" t="s">
        <v>234</v>
      </c>
      <c r="F1144" s="58" t="s">
        <v>935</v>
      </c>
      <c r="G1144" s="58" t="s">
        <v>936</v>
      </c>
      <c r="H1144" s="58" t="s">
        <v>179</v>
      </c>
      <c r="I1144">
        <v>38000</v>
      </c>
      <c r="J1144">
        <v>38000</v>
      </c>
      <c r="K1144" s="58" t="s">
        <v>185</v>
      </c>
      <c r="L1144" s="74">
        <v>11.263999999999999</v>
      </c>
      <c r="M1144" s="85">
        <v>12</v>
      </c>
      <c r="N1144" s="74">
        <v>0.182</v>
      </c>
      <c r="O1144">
        <v>2</v>
      </c>
      <c r="P1144" s="84">
        <v>0.182</v>
      </c>
      <c r="Q1144" s="86">
        <v>4.2</v>
      </c>
      <c r="R1144" s="85">
        <v>4.2</v>
      </c>
      <c r="S1144" s="87">
        <v>1492540</v>
      </c>
      <c r="T1144" s="1">
        <v>1</v>
      </c>
      <c r="U1144" s="88">
        <v>355366.66666666663</v>
      </c>
      <c r="V1144" s="59">
        <v>2.8139949348091173</v>
      </c>
      <c r="X1144" s="98">
        <v>4.2</v>
      </c>
      <c r="Y1144" s="97">
        <v>367.91428571428571</v>
      </c>
    </row>
    <row r="1145" spans="1:25">
      <c r="A1145" s="58">
        <v>1146</v>
      </c>
      <c r="B1145" s="58">
        <v>1146</v>
      </c>
      <c r="C1145" s="58" t="s">
        <v>1743</v>
      </c>
      <c r="D1145" s="58" t="s">
        <v>187</v>
      </c>
      <c r="E1145" s="58" t="s">
        <v>187</v>
      </c>
      <c r="F1145" s="58" t="s">
        <v>1744</v>
      </c>
      <c r="G1145" s="58" t="s">
        <v>1745</v>
      </c>
      <c r="H1145" s="58" t="s">
        <v>179</v>
      </c>
      <c r="I1145">
        <v>38000</v>
      </c>
      <c r="J1145">
        <v>38000</v>
      </c>
      <c r="K1145" s="58" t="s">
        <v>185</v>
      </c>
      <c r="L1145" s="74">
        <v>5.32</v>
      </c>
      <c r="M1145" s="85">
        <v>6</v>
      </c>
      <c r="N1145" s="74">
        <v>0.995</v>
      </c>
      <c r="O1145">
        <v>2</v>
      </c>
      <c r="P1145" s="84">
        <v>0.74624999999999997</v>
      </c>
      <c r="Q1145" s="86">
        <v>8.4</v>
      </c>
      <c r="R1145" s="85">
        <v>8.4</v>
      </c>
      <c r="S1145" s="87">
        <v>769410</v>
      </c>
      <c r="T1145" s="1">
        <v>4</v>
      </c>
      <c r="U1145" s="88">
        <v>91596.428571428565</v>
      </c>
      <c r="V1145" s="59">
        <v>10.917456232697781</v>
      </c>
      <c r="X1145" s="98">
        <v>4.2</v>
      </c>
      <c r="Y1145" s="97">
        <v>355.36666666666662</v>
      </c>
    </row>
    <row r="1146" spans="1:25">
      <c r="A1146" s="58">
        <v>1147</v>
      </c>
      <c r="B1146" s="58">
        <v>1147</v>
      </c>
      <c r="C1146" s="58" t="s">
        <v>1746</v>
      </c>
      <c r="D1146" s="58" t="s">
        <v>187</v>
      </c>
      <c r="E1146" s="58" t="s">
        <v>187</v>
      </c>
      <c r="F1146" s="58" t="s">
        <v>415</v>
      </c>
      <c r="G1146" s="58" t="s">
        <v>416</v>
      </c>
      <c r="H1146" s="58" t="s">
        <v>179</v>
      </c>
      <c r="I1146">
        <v>38000</v>
      </c>
      <c r="J1146">
        <v>38000</v>
      </c>
      <c r="K1146" s="58" t="s">
        <v>185</v>
      </c>
      <c r="L1146" s="74">
        <v>3.4670000000000001</v>
      </c>
      <c r="M1146" s="85">
        <v>4</v>
      </c>
      <c r="N1146" s="74">
        <v>0.77500000000000002</v>
      </c>
      <c r="O1146">
        <v>2</v>
      </c>
      <c r="P1146" s="84">
        <v>0.58125000000000004</v>
      </c>
      <c r="Q1146" s="86">
        <v>4.2</v>
      </c>
      <c r="R1146" s="85">
        <v>4.2</v>
      </c>
      <c r="S1146" s="87">
        <v>628870</v>
      </c>
      <c r="T1146" s="1">
        <v>4</v>
      </c>
      <c r="U1146" s="88">
        <v>149730.95238095237</v>
      </c>
      <c r="V1146" s="59">
        <v>6.6786458250512828</v>
      </c>
      <c r="X1146" s="98">
        <v>8.4</v>
      </c>
      <c r="Y1146" s="97">
        <v>91.596428571428561</v>
      </c>
    </row>
    <row r="1147" spans="1:25">
      <c r="A1147" s="58">
        <v>1148</v>
      </c>
      <c r="B1147" s="58">
        <v>1148</v>
      </c>
      <c r="C1147" s="58" t="s">
        <v>1747</v>
      </c>
      <c r="D1147" s="58" t="s">
        <v>187</v>
      </c>
      <c r="E1147" s="58" t="s">
        <v>187</v>
      </c>
      <c r="F1147" s="58" t="s">
        <v>1748</v>
      </c>
      <c r="G1147" s="58" t="s">
        <v>1749</v>
      </c>
      <c r="H1147" s="58" t="s">
        <v>179</v>
      </c>
      <c r="I1147">
        <v>38000</v>
      </c>
      <c r="J1147">
        <v>38000</v>
      </c>
      <c r="K1147" s="58" t="s">
        <v>185</v>
      </c>
      <c r="L1147" s="74">
        <v>6.0339999999999998</v>
      </c>
      <c r="M1147" s="85">
        <v>7</v>
      </c>
      <c r="N1147" s="74">
        <v>0.65</v>
      </c>
      <c r="O1147">
        <v>2</v>
      </c>
      <c r="P1147" s="84">
        <v>0.48750000000000004</v>
      </c>
      <c r="Q1147" s="86">
        <v>4.2</v>
      </c>
      <c r="R1147" s="85">
        <v>4.2</v>
      </c>
      <c r="S1147" s="87">
        <v>839680</v>
      </c>
      <c r="T1147" s="1">
        <v>4</v>
      </c>
      <c r="U1147" s="88">
        <v>199923.80952380953</v>
      </c>
      <c r="V1147" s="59">
        <v>5.0019054878048781</v>
      </c>
      <c r="X1147" s="98">
        <v>4.2</v>
      </c>
      <c r="Y1147" s="97">
        <v>149.73095238095235</v>
      </c>
    </row>
    <row r="1148" spans="1:25">
      <c r="A1148" s="89">
        <v>1149</v>
      </c>
      <c r="B1148" s="89">
        <v>1149</v>
      </c>
      <c r="C1148" s="89" t="s">
        <v>1750</v>
      </c>
      <c r="D1148" s="58" t="s">
        <v>187</v>
      </c>
      <c r="E1148" s="58" t="s">
        <v>187</v>
      </c>
      <c r="F1148" s="89" t="s">
        <v>531</v>
      </c>
      <c r="G1148" s="89" t="s">
        <v>532</v>
      </c>
      <c r="H1148" s="89" t="s">
        <v>179</v>
      </c>
      <c r="I1148" s="90">
        <v>38000</v>
      </c>
      <c r="J1148" s="90">
        <v>38000</v>
      </c>
      <c r="K1148" s="89" t="s">
        <v>185</v>
      </c>
      <c r="L1148" s="91">
        <v>7.54</v>
      </c>
      <c r="M1148" s="92">
        <v>8</v>
      </c>
      <c r="N1148" s="91">
        <v>18.3799999999999</v>
      </c>
      <c r="O1148" s="90">
        <v>2</v>
      </c>
      <c r="P1148" s="92">
        <v>13.784999999999926</v>
      </c>
      <c r="Q1148" s="93">
        <v>168</v>
      </c>
      <c r="R1148" s="92">
        <v>168</v>
      </c>
      <c r="S1148" s="87">
        <v>3959100</v>
      </c>
      <c r="T1148" s="94">
        <v>12</v>
      </c>
      <c r="U1148" s="95">
        <v>23566.071428571428</v>
      </c>
      <c r="V1148" s="96">
        <v>42.43388648935364</v>
      </c>
      <c r="X1148" s="98">
        <v>4.2</v>
      </c>
      <c r="Y1148" s="97">
        <v>199.92380952380952</v>
      </c>
    </row>
    <row r="1149" spans="1:25">
      <c r="A1149" s="58">
        <v>1150</v>
      </c>
      <c r="B1149" s="58">
        <v>1150</v>
      </c>
      <c r="C1149" s="58" t="s">
        <v>1751</v>
      </c>
      <c r="D1149" s="58" t="s">
        <v>187</v>
      </c>
      <c r="E1149" s="58" t="s">
        <v>187</v>
      </c>
      <c r="F1149" s="58" t="s">
        <v>374</v>
      </c>
      <c r="G1149" s="58" t="s">
        <v>375</v>
      </c>
      <c r="H1149" s="58" t="s">
        <v>179</v>
      </c>
      <c r="I1149">
        <v>38000</v>
      </c>
      <c r="J1149">
        <v>38000</v>
      </c>
      <c r="K1149">
        <v>20000</v>
      </c>
      <c r="L1149" s="74">
        <v>8.2799999999999994</v>
      </c>
      <c r="M1149" s="85">
        <v>9</v>
      </c>
      <c r="N1149" s="74">
        <v>0.22900000000000001</v>
      </c>
      <c r="O1149">
        <v>2</v>
      </c>
      <c r="P1149" s="84">
        <v>0.22900000000000001</v>
      </c>
      <c r="Q1149" s="86">
        <v>4.2</v>
      </c>
      <c r="R1149" s="85">
        <v>4.2</v>
      </c>
      <c r="S1149" s="87">
        <v>1334440</v>
      </c>
      <c r="T1149" s="1">
        <v>1</v>
      </c>
      <c r="U1149" s="88">
        <v>317723.80952380953</v>
      </c>
      <c r="V1149" s="59">
        <v>3.1473876682353645</v>
      </c>
      <c r="X1149" s="98">
        <v>168</v>
      </c>
      <c r="Y1149" s="97">
        <v>23.566071428571426</v>
      </c>
    </row>
    <row r="1150" spans="1:25">
      <c r="A1150" s="58">
        <v>1151</v>
      </c>
      <c r="B1150" s="58">
        <v>1151</v>
      </c>
      <c r="C1150" s="58" t="s">
        <v>1752</v>
      </c>
      <c r="D1150" s="58" t="s">
        <v>187</v>
      </c>
      <c r="E1150" s="58" t="s">
        <v>187</v>
      </c>
      <c r="F1150" s="58" t="s">
        <v>191</v>
      </c>
      <c r="G1150" s="58" t="s">
        <v>192</v>
      </c>
      <c r="H1150" s="58" t="s">
        <v>179</v>
      </c>
      <c r="I1150">
        <v>38000</v>
      </c>
      <c r="J1150">
        <v>38000</v>
      </c>
      <c r="K1150" s="58" t="s">
        <v>185</v>
      </c>
      <c r="L1150" s="74">
        <v>3.879</v>
      </c>
      <c r="M1150" s="85">
        <v>4</v>
      </c>
      <c r="N1150" s="74">
        <v>0.76500000000000001</v>
      </c>
      <c r="O1150">
        <v>2</v>
      </c>
      <c r="P1150" s="84">
        <v>0.57374999999999998</v>
      </c>
      <c r="Q1150" s="86">
        <v>4.2</v>
      </c>
      <c r="R1150" s="85">
        <v>4.2</v>
      </c>
      <c r="S1150" s="87">
        <v>628870</v>
      </c>
      <c r="T1150" s="1">
        <v>4</v>
      </c>
      <c r="U1150" s="88">
        <v>149730.95238095237</v>
      </c>
      <c r="V1150" s="59">
        <v>6.6786458250512828</v>
      </c>
      <c r="X1150" s="98">
        <v>4.2</v>
      </c>
      <c r="Y1150" s="97">
        <v>317.72380952380951</v>
      </c>
    </row>
    <row r="1151" spans="1:25">
      <c r="A1151" s="58">
        <v>1152</v>
      </c>
      <c r="B1151" s="58">
        <v>1152</v>
      </c>
      <c r="C1151" s="58" t="s">
        <v>1753</v>
      </c>
      <c r="D1151" s="58" t="s">
        <v>234</v>
      </c>
      <c r="E1151" s="58" t="s">
        <v>234</v>
      </c>
      <c r="F1151" s="58" t="s">
        <v>329</v>
      </c>
      <c r="G1151" s="58" t="s">
        <v>330</v>
      </c>
      <c r="H1151" s="58" t="s">
        <v>179</v>
      </c>
      <c r="I1151">
        <v>38000</v>
      </c>
      <c r="J1151">
        <v>38000</v>
      </c>
      <c r="K1151" s="58" t="s">
        <v>185</v>
      </c>
      <c r="L1151" s="74">
        <v>2.391</v>
      </c>
      <c r="M1151" s="85">
        <v>3</v>
      </c>
      <c r="N1151" s="74">
        <v>0.39900000000000002</v>
      </c>
      <c r="O1151">
        <v>2</v>
      </c>
      <c r="P1151" s="84">
        <v>0.39900000000000002</v>
      </c>
      <c r="Q1151" s="86">
        <v>4.2</v>
      </c>
      <c r="R1151" s="85">
        <v>4.2</v>
      </c>
      <c r="S1151" s="87">
        <v>558600</v>
      </c>
      <c r="T1151" s="1">
        <v>4</v>
      </c>
      <c r="U1151" s="88">
        <v>133000</v>
      </c>
      <c r="V1151" s="59">
        <v>7.518796992481203</v>
      </c>
      <c r="X1151" s="98">
        <v>4.2</v>
      </c>
      <c r="Y1151" s="97">
        <v>149.73095238095235</v>
      </c>
    </row>
    <row r="1152" spans="1:25">
      <c r="A1152" s="58">
        <v>1153</v>
      </c>
      <c r="B1152" s="58">
        <v>1153</v>
      </c>
      <c r="C1152" s="58" t="s">
        <v>1754</v>
      </c>
      <c r="D1152" s="58" t="s">
        <v>234</v>
      </c>
      <c r="E1152" s="58" t="s">
        <v>234</v>
      </c>
      <c r="F1152" s="58" t="s">
        <v>323</v>
      </c>
      <c r="G1152" s="58" t="s">
        <v>324</v>
      </c>
      <c r="H1152" s="58" t="s">
        <v>179</v>
      </c>
      <c r="I1152">
        <v>38000</v>
      </c>
      <c r="J1152">
        <v>38000</v>
      </c>
      <c r="K1152">
        <v>20000</v>
      </c>
      <c r="L1152" s="74">
        <v>11.382</v>
      </c>
      <c r="M1152" s="85">
        <v>12</v>
      </c>
      <c r="N1152" s="74">
        <v>0.14799999999999999</v>
      </c>
      <c r="O1152">
        <v>2</v>
      </c>
      <c r="P1152" s="84">
        <v>0.14799999999999999</v>
      </c>
      <c r="Q1152" s="86">
        <v>4.2</v>
      </c>
      <c r="R1152" s="85">
        <v>4.2</v>
      </c>
      <c r="S1152" s="87">
        <v>1492540</v>
      </c>
      <c r="T1152" s="1">
        <v>1</v>
      </c>
      <c r="U1152" s="88">
        <v>355366.66666666663</v>
      </c>
      <c r="V1152" s="59">
        <v>2.8139949348091173</v>
      </c>
      <c r="X1152" s="98">
        <v>4.2</v>
      </c>
      <c r="Y1152" s="97">
        <v>133</v>
      </c>
    </row>
    <row r="1153" spans="1:25">
      <c r="A1153" s="58">
        <v>1154</v>
      </c>
      <c r="B1153" s="58">
        <v>1154</v>
      </c>
      <c r="C1153" s="58" t="s">
        <v>1755</v>
      </c>
      <c r="D1153" s="58" t="s">
        <v>351</v>
      </c>
      <c r="E1153" s="58" t="s">
        <v>351</v>
      </c>
      <c r="F1153" s="58" t="s">
        <v>514</v>
      </c>
      <c r="G1153" s="58" t="s">
        <v>515</v>
      </c>
      <c r="H1153" s="58" t="s">
        <v>179</v>
      </c>
      <c r="I1153">
        <v>38000</v>
      </c>
      <c r="J1153">
        <v>38000</v>
      </c>
      <c r="K1153">
        <v>20000</v>
      </c>
      <c r="L1153" s="74">
        <v>13.336</v>
      </c>
      <c r="M1153" s="85">
        <v>14</v>
      </c>
      <c r="N1153" s="74">
        <v>0.14699999999999999</v>
      </c>
      <c r="O1153">
        <v>3</v>
      </c>
      <c r="P1153" s="84">
        <v>0.14699999999999999</v>
      </c>
      <c r="Q1153" s="86">
        <v>4.2</v>
      </c>
      <c r="R1153" s="85">
        <v>4.2</v>
      </c>
      <c r="S1153" s="87">
        <v>1597940</v>
      </c>
      <c r="T1153" s="1">
        <v>1</v>
      </c>
      <c r="U1153" s="88">
        <v>380461.90476190473</v>
      </c>
      <c r="V1153" s="59">
        <v>2.6283840444572388</v>
      </c>
      <c r="X1153" s="98">
        <v>4.2</v>
      </c>
      <c r="Y1153" s="97">
        <v>355.36666666666662</v>
      </c>
    </row>
    <row r="1154" spans="1:25">
      <c r="A1154" s="58">
        <v>1155</v>
      </c>
      <c r="B1154" s="58">
        <v>1155</v>
      </c>
      <c r="C1154" s="58" t="s">
        <v>1756</v>
      </c>
      <c r="D1154" s="58" t="s">
        <v>207</v>
      </c>
      <c r="E1154" s="58" t="s">
        <v>207</v>
      </c>
      <c r="F1154" s="58" t="s">
        <v>212</v>
      </c>
      <c r="G1154" s="58" t="s">
        <v>213</v>
      </c>
      <c r="H1154" s="58" t="s">
        <v>179</v>
      </c>
      <c r="I1154">
        <v>38000</v>
      </c>
      <c r="J1154">
        <v>38000</v>
      </c>
      <c r="K1154" s="58" t="s">
        <v>185</v>
      </c>
      <c r="L1154" s="74">
        <v>1.5229999999999999</v>
      </c>
      <c r="M1154" s="85">
        <v>2</v>
      </c>
      <c r="N1154" s="74">
        <v>0.29899999999999999</v>
      </c>
      <c r="O1154">
        <v>3</v>
      </c>
      <c r="P1154" s="84">
        <v>0.29899999999999999</v>
      </c>
      <c r="Q1154" s="86">
        <v>4.2</v>
      </c>
      <c r="R1154" s="85">
        <v>4.2</v>
      </c>
      <c r="S1154" s="87">
        <v>488330</v>
      </c>
      <c r="T1154" s="1">
        <v>4</v>
      </c>
      <c r="U1154" s="88">
        <v>116269.04761904762</v>
      </c>
      <c r="V1154" s="59">
        <v>8.6007413019884087</v>
      </c>
      <c r="X1154" s="98">
        <v>4.2</v>
      </c>
      <c r="Y1154" s="97">
        <v>380.46190476190475</v>
      </c>
    </row>
    <row r="1155" spans="1:25">
      <c r="A1155" s="58">
        <v>1156</v>
      </c>
      <c r="B1155" s="58">
        <v>1156</v>
      </c>
      <c r="C1155" s="58" t="s">
        <v>1757</v>
      </c>
      <c r="D1155" s="58" t="s">
        <v>384</v>
      </c>
      <c r="E1155" s="58" t="s">
        <v>384</v>
      </c>
      <c r="F1155" s="58" t="s">
        <v>1758</v>
      </c>
      <c r="G1155" s="58" t="s">
        <v>1759</v>
      </c>
      <c r="H1155" s="58" t="s">
        <v>179</v>
      </c>
      <c r="I1155">
        <v>38000</v>
      </c>
      <c r="J1155">
        <v>38000</v>
      </c>
      <c r="K1155" s="58" t="s">
        <v>185</v>
      </c>
      <c r="L1155" s="74">
        <v>6.3879999999999999</v>
      </c>
      <c r="M1155" s="85">
        <v>7</v>
      </c>
      <c r="N1155" s="74">
        <v>0.16500000000000001</v>
      </c>
      <c r="O1155">
        <v>3</v>
      </c>
      <c r="P1155" s="84">
        <v>0.16500000000000001</v>
      </c>
      <c r="Q1155" s="86">
        <v>4.2</v>
      </c>
      <c r="R1155" s="85">
        <v>4.2</v>
      </c>
      <c r="S1155" s="87">
        <v>839680</v>
      </c>
      <c r="T1155" s="1">
        <v>4</v>
      </c>
      <c r="U1155" s="88">
        <v>199923.80952380953</v>
      </c>
      <c r="V1155" s="59">
        <v>5.0019054878048781</v>
      </c>
      <c r="X1155" s="98">
        <v>4.2</v>
      </c>
      <c r="Y1155" s="97">
        <v>116.26904761904763</v>
      </c>
    </row>
    <row r="1156" spans="1:25">
      <c r="A1156" s="58">
        <v>1158</v>
      </c>
      <c r="B1156" s="58">
        <v>1158</v>
      </c>
      <c r="C1156" s="58" t="s">
        <v>1760</v>
      </c>
      <c r="D1156" s="58" t="s">
        <v>176</v>
      </c>
      <c r="E1156" s="58" t="s">
        <v>176</v>
      </c>
      <c r="F1156" s="58" t="s">
        <v>262</v>
      </c>
      <c r="G1156" s="58" t="s">
        <v>263</v>
      </c>
      <c r="H1156" s="58" t="s">
        <v>179</v>
      </c>
      <c r="I1156">
        <v>38000</v>
      </c>
      <c r="J1156" s="58" t="s">
        <v>185</v>
      </c>
      <c r="K1156">
        <v>38000</v>
      </c>
      <c r="L1156" s="74">
        <v>8.0939999999999994</v>
      </c>
      <c r="M1156" s="85">
        <v>9</v>
      </c>
      <c r="N1156" s="74">
        <v>0.14599999999999999</v>
      </c>
      <c r="O1156">
        <v>3</v>
      </c>
      <c r="P1156" s="84">
        <v>0.14599999999999999</v>
      </c>
      <c r="Q1156" s="86">
        <v>4.2</v>
      </c>
      <c r="R1156" s="85">
        <v>4.2</v>
      </c>
      <c r="S1156" s="87">
        <v>1334440</v>
      </c>
      <c r="T1156" s="1">
        <v>1</v>
      </c>
      <c r="U1156" s="88">
        <v>317723.80952380953</v>
      </c>
      <c r="V1156" s="59">
        <v>3.1473876682353645</v>
      </c>
      <c r="X1156" s="98">
        <v>4.2</v>
      </c>
      <c r="Y1156" s="97">
        <v>199.92380952380952</v>
      </c>
    </row>
    <row r="1157" spans="1:25">
      <c r="A1157" s="58">
        <v>1159</v>
      </c>
      <c r="B1157" s="58">
        <v>1159</v>
      </c>
      <c r="C1157" s="58" t="s">
        <v>1761</v>
      </c>
      <c r="D1157" s="58" t="s">
        <v>176</v>
      </c>
      <c r="E1157" s="58" t="s">
        <v>176</v>
      </c>
      <c r="F1157" s="58" t="s">
        <v>269</v>
      </c>
      <c r="G1157" s="58" t="s">
        <v>270</v>
      </c>
      <c r="H1157" s="58" t="s">
        <v>179</v>
      </c>
      <c r="I1157">
        <v>38000</v>
      </c>
      <c r="J1157">
        <v>38000</v>
      </c>
      <c r="K1157">
        <v>20000</v>
      </c>
      <c r="L1157" s="74">
        <v>7.1109999999999998</v>
      </c>
      <c r="M1157" s="85">
        <v>8</v>
      </c>
      <c r="N1157" s="74">
        <v>0.20200000000000001</v>
      </c>
      <c r="O1157">
        <v>3</v>
      </c>
      <c r="P1157" s="84">
        <v>0.20200000000000001</v>
      </c>
      <c r="Q1157" s="86">
        <v>4.2</v>
      </c>
      <c r="R1157" s="85">
        <v>4.2</v>
      </c>
      <c r="S1157" s="87">
        <v>909950</v>
      </c>
      <c r="T1157" s="1">
        <v>4</v>
      </c>
      <c r="U1157" s="88">
        <v>216654.76190476189</v>
      </c>
      <c r="V1157" s="59">
        <v>4.6156382218803227</v>
      </c>
      <c r="X1157" s="98">
        <v>4.2</v>
      </c>
      <c r="Y1157" s="97">
        <v>317.72380952380951</v>
      </c>
    </row>
    <row r="1158" spans="1:25">
      <c r="A1158" s="58">
        <v>1160</v>
      </c>
      <c r="B1158" s="58">
        <v>1160</v>
      </c>
      <c r="C1158" s="58" t="s">
        <v>1762</v>
      </c>
      <c r="D1158" s="58" t="s">
        <v>176</v>
      </c>
      <c r="E1158" s="58" t="s">
        <v>176</v>
      </c>
      <c r="F1158" s="58" t="s">
        <v>290</v>
      </c>
      <c r="G1158" s="58" t="s">
        <v>291</v>
      </c>
      <c r="H1158" s="58" t="s">
        <v>179</v>
      </c>
      <c r="I1158">
        <v>38000</v>
      </c>
      <c r="J1158">
        <v>38000</v>
      </c>
      <c r="K1158">
        <v>20000</v>
      </c>
      <c r="L1158" s="74">
        <v>6.1829999999999998</v>
      </c>
      <c r="M1158" s="85">
        <v>7</v>
      </c>
      <c r="N1158" s="74">
        <v>0.10100000000000001</v>
      </c>
      <c r="O1158">
        <v>3</v>
      </c>
      <c r="P1158" s="84">
        <v>0.10100000000000001</v>
      </c>
      <c r="Q1158" s="86">
        <v>4.2</v>
      </c>
      <c r="R1158" s="85">
        <v>4.2</v>
      </c>
      <c r="S1158" s="87">
        <v>839680</v>
      </c>
      <c r="T1158" s="1">
        <v>4</v>
      </c>
      <c r="U1158" s="88">
        <v>199923.80952380953</v>
      </c>
      <c r="V1158" s="59">
        <v>5.0019054878048781</v>
      </c>
      <c r="X1158" s="98">
        <v>4.2</v>
      </c>
      <c r="Y1158" s="97">
        <v>216.6547619047619</v>
      </c>
    </row>
    <row r="1159" spans="1:25">
      <c r="A1159" s="58">
        <v>1161</v>
      </c>
      <c r="B1159" s="58">
        <v>1161</v>
      </c>
      <c r="C1159" s="58" t="s">
        <v>1763</v>
      </c>
      <c r="D1159" s="58" t="s">
        <v>775</v>
      </c>
      <c r="E1159" s="58" t="s">
        <v>775</v>
      </c>
      <c r="F1159" s="58" t="s">
        <v>1764</v>
      </c>
      <c r="G1159" s="58" t="s">
        <v>1765</v>
      </c>
      <c r="H1159" s="58" t="s">
        <v>199</v>
      </c>
      <c r="I1159">
        <v>110000</v>
      </c>
      <c r="L1159" s="74">
        <v>7.1539999999999999</v>
      </c>
      <c r="M1159" s="85">
        <v>8</v>
      </c>
      <c r="N1159" s="74">
        <v>0.26700000000000002</v>
      </c>
      <c r="O1159">
        <v>3</v>
      </c>
      <c r="P1159" s="84">
        <v>0.26700000000000002</v>
      </c>
      <c r="Q1159" s="86">
        <v>4.2</v>
      </c>
      <c r="R1159" s="85">
        <v>4.2</v>
      </c>
      <c r="S1159" s="87">
        <v>1838070</v>
      </c>
      <c r="T1159" s="1">
        <v>7</v>
      </c>
      <c r="U1159" s="88">
        <v>437635.71428571426</v>
      </c>
      <c r="V1159" s="59">
        <v>2.2850054676916547</v>
      </c>
      <c r="X1159" s="98">
        <v>4.2</v>
      </c>
      <c r="Y1159" s="97">
        <v>199.92380952380952</v>
      </c>
    </row>
    <row r="1160" spans="1:25">
      <c r="A1160" s="58">
        <v>1162</v>
      </c>
      <c r="B1160" s="58">
        <v>1162</v>
      </c>
      <c r="C1160" s="58" t="s">
        <v>1766</v>
      </c>
      <c r="D1160" s="58" t="s">
        <v>197</v>
      </c>
      <c r="E1160" s="58" t="s">
        <v>197</v>
      </c>
      <c r="F1160" s="58" t="s">
        <v>1767</v>
      </c>
      <c r="G1160" s="58" t="s">
        <v>1768</v>
      </c>
      <c r="H1160" s="58" t="s">
        <v>179</v>
      </c>
      <c r="I1160">
        <v>38000</v>
      </c>
      <c r="J1160">
        <v>38000</v>
      </c>
      <c r="K1160">
        <v>10000</v>
      </c>
      <c r="L1160" s="74">
        <v>7.1120000000000001</v>
      </c>
      <c r="M1160" s="85">
        <v>8</v>
      </c>
      <c r="N1160" s="74">
        <v>0.1</v>
      </c>
      <c r="O1160">
        <v>3</v>
      </c>
      <c r="P1160" s="84">
        <v>0.1</v>
      </c>
      <c r="Q1160" s="86">
        <v>4.2</v>
      </c>
      <c r="R1160" s="85">
        <v>4.2</v>
      </c>
      <c r="S1160" s="87">
        <v>909950</v>
      </c>
      <c r="T1160" s="1">
        <v>4</v>
      </c>
      <c r="U1160" s="88">
        <v>216654.76190476189</v>
      </c>
      <c r="V1160" s="59">
        <v>4.6156382218803227</v>
      </c>
      <c r="X1160" s="98">
        <v>4.2</v>
      </c>
      <c r="Y1160" s="97">
        <v>437.63571428571424</v>
      </c>
    </row>
    <row r="1161" spans="1:25">
      <c r="A1161" s="58">
        <v>1163</v>
      </c>
      <c r="B1161" s="58">
        <v>1163</v>
      </c>
      <c r="C1161" s="58" t="s">
        <v>1769</v>
      </c>
      <c r="D1161" s="58" t="s">
        <v>197</v>
      </c>
      <c r="E1161" s="58" t="s">
        <v>197</v>
      </c>
      <c r="F1161" s="58" t="s">
        <v>1770</v>
      </c>
      <c r="G1161" s="58" t="s">
        <v>1771</v>
      </c>
      <c r="H1161" s="58" t="s">
        <v>179</v>
      </c>
      <c r="I1161">
        <v>38000</v>
      </c>
      <c r="J1161">
        <v>38000</v>
      </c>
      <c r="K1161">
        <v>10000</v>
      </c>
      <c r="L1161" s="74">
        <v>1.4670000000000001</v>
      </c>
      <c r="M1161" s="85">
        <v>2</v>
      </c>
      <c r="N1161" s="74">
        <v>0.11600000000000001</v>
      </c>
      <c r="O1161">
        <v>3</v>
      </c>
      <c r="P1161" s="84">
        <v>0.11600000000000001</v>
      </c>
      <c r="Q1161" s="86">
        <v>4.2</v>
      </c>
      <c r="R1161" s="85">
        <v>4.2</v>
      </c>
      <c r="S1161" s="87">
        <v>488330</v>
      </c>
      <c r="T1161" s="1">
        <v>4</v>
      </c>
      <c r="U1161" s="88">
        <v>116269.04761904762</v>
      </c>
      <c r="V1161" s="59">
        <v>8.6007413019884087</v>
      </c>
      <c r="X1161" s="98">
        <v>4.2</v>
      </c>
      <c r="Y1161" s="97">
        <v>216.6547619047619</v>
      </c>
    </row>
    <row r="1162" spans="1:25">
      <c r="A1162" s="58">
        <v>1164</v>
      </c>
      <c r="B1162" s="58">
        <v>1164</v>
      </c>
      <c r="C1162" s="58" t="s">
        <v>1772</v>
      </c>
      <c r="D1162" s="58" t="s">
        <v>852</v>
      </c>
      <c r="E1162" s="58" t="s">
        <v>852</v>
      </c>
      <c r="F1162" s="58" t="s">
        <v>517</v>
      </c>
      <c r="G1162" s="58" t="s">
        <v>518</v>
      </c>
      <c r="H1162" s="58" t="s">
        <v>179</v>
      </c>
      <c r="I1162">
        <v>38000</v>
      </c>
      <c r="J1162">
        <v>38000</v>
      </c>
      <c r="K1162">
        <v>10000</v>
      </c>
      <c r="L1162" s="74">
        <v>8.3610000000000007</v>
      </c>
      <c r="M1162" s="85">
        <v>9</v>
      </c>
      <c r="N1162" s="74">
        <v>9.9000000000000005E-2</v>
      </c>
      <c r="O1162">
        <v>3</v>
      </c>
      <c r="P1162" s="84">
        <v>9.9000000000000005E-2</v>
      </c>
      <c r="Q1162" s="86">
        <v>4.2</v>
      </c>
      <c r="R1162" s="85">
        <v>4.2</v>
      </c>
      <c r="S1162" s="87">
        <v>1334440</v>
      </c>
      <c r="T1162" s="1">
        <v>1</v>
      </c>
      <c r="U1162" s="88">
        <v>317723.80952380953</v>
      </c>
      <c r="V1162" s="59">
        <v>3.1473876682353645</v>
      </c>
      <c r="X1162" s="98">
        <v>4.2</v>
      </c>
      <c r="Y1162" s="97">
        <v>116.26904761904763</v>
      </c>
    </row>
    <row r="1163" spans="1:25">
      <c r="A1163" s="58">
        <v>1165</v>
      </c>
      <c r="B1163" s="58">
        <v>1165</v>
      </c>
      <c r="C1163" s="58" t="s">
        <v>1773</v>
      </c>
      <c r="D1163" s="58" t="s">
        <v>410</v>
      </c>
      <c r="E1163" s="58" t="s">
        <v>410</v>
      </c>
      <c r="F1163" s="58" t="s">
        <v>1774</v>
      </c>
      <c r="G1163" s="58" t="s">
        <v>1775</v>
      </c>
      <c r="H1163" s="58" t="s">
        <v>199</v>
      </c>
      <c r="I1163">
        <v>110000</v>
      </c>
      <c r="J1163">
        <v>110000</v>
      </c>
      <c r="K1163" s="58" t="s">
        <v>185</v>
      </c>
      <c r="L1163" s="74">
        <v>4.1050000000000004</v>
      </c>
      <c r="M1163" s="85">
        <v>5</v>
      </c>
      <c r="N1163" s="74">
        <v>0.20399999999999999</v>
      </c>
      <c r="O1163">
        <v>3</v>
      </c>
      <c r="P1163" s="84">
        <v>0.20399999999999999</v>
      </c>
      <c r="Q1163" s="86">
        <v>4.2</v>
      </c>
      <c r="R1163" s="85">
        <v>4.2</v>
      </c>
      <c r="S1163" s="87">
        <v>1679970</v>
      </c>
      <c r="T1163" s="1">
        <v>7</v>
      </c>
      <c r="U1163" s="88">
        <v>399992.8571428571</v>
      </c>
      <c r="V1163" s="59">
        <v>2.5000446436543511</v>
      </c>
      <c r="X1163" s="98">
        <v>4.2</v>
      </c>
      <c r="Y1163" s="97">
        <v>317.72380952380951</v>
      </c>
    </row>
    <row r="1164" spans="1:25">
      <c r="A1164" s="58">
        <v>1166</v>
      </c>
      <c r="B1164" s="58">
        <v>1166</v>
      </c>
      <c r="C1164" s="58" t="s">
        <v>1776</v>
      </c>
      <c r="D1164" s="58" t="s">
        <v>489</v>
      </c>
      <c r="E1164" s="58" t="s">
        <v>489</v>
      </c>
      <c r="F1164" s="58" t="s">
        <v>1774</v>
      </c>
      <c r="G1164" s="58" t="s">
        <v>1775</v>
      </c>
      <c r="H1164" s="58" t="s">
        <v>199</v>
      </c>
      <c r="I1164">
        <v>110000</v>
      </c>
      <c r="J1164">
        <v>110000</v>
      </c>
      <c r="K1164" s="58" t="s">
        <v>185</v>
      </c>
      <c r="L1164" s="74">
        <v>4.5960000000000001</v>
      </c>
      <c r="M1164" s="85">
        <v>5</v>
      </c>
      <c r="N1164" s="74">
        <v>0.18099999999999999</v>
      </c>
      <c r="O1164">
        <v>3</v>
      </c>
      <c r="P1164" s="84">
        <v>0.18099999999999999</v>
      </c>
      <c r="Q1164" s="86">
        <v>4.2</v>
      </c>
      <c r="R1164" s="85">
        <v>4.2</v>
      </c>
      <c r="S1164" s="87">
        <v>1679970</v>
      </c>
      <c r="T1164" s="1">
        <v>7</v>
      </c>
      <c r="U1164" s="88">
        <v>399992.8571428571</v>
      </c>
      <c r="V1164" s="59">
        <v>2.5000446436543511</v>
      </c>
      <c r="X1164" s="98">
        <v>4.2</v>
      </c>
      <c r="Y1164" s="97">
        <v>399.99285714285708</v>
      </c>
    </row>
    <row r="1165" spans="1:25">
      <c r="A1165" s="58">
        <v>1167</v>
      </c>
      <c r="B1165" s="58">
        <v>1167</v>
      </c>
      <c r="C1165" s="58" t="s">
        <v>1777</v>
      </c>
      <c r="D1165" s="58" t="s">
        <v>450</v>
      </c>
      <c r="E1165" s="58" t="s">
        <v>450</v>
      </c>
      <c r="F1165" s="58" t="s">
        <v>1140</v>
      </c>
      <c r="G1165" s="58" t="s">
        <v>1141</v>
      </c>
      <c r="H1165" s="58" t="s">
        <v>179</v>
      </c>
      <c r="I1165">
        <v>38000</v>
      </c>
      <c r="J1165">
        <v>38000</v>
      </c>
      <c r="K1165" s="58" t="s">
        <v>185</v>
      </c>
      <c r="L1165" s="74">
        <v>2.1859999999999999</v>
      </c>
      <c r="M1165" s="85">
        <v>3</v>
      </c>
      <c r="N1165" s="74">
        <v>0.22</v>
      </c>
      <c r="O1165">
        <v>3</v>
      </c>
      <c r="P1165" s="84">
        <v>0.22</v>
      </c>
      <c r="Q1165" s="86">
        <v>4.2</v>
      </c>
      <c r="R1165" s="85">
        <v>4.2</v>
      </c>
      <c r="S1165" s="87">
        <v>558600</v>
      </c>
      <c r="T1165" s="1">
        <v>4</v>
      </c>
      <c r="U1165" s="88">
        <v>133000</v>
      </c>
      <c r="V1165" s="59">
        <v>7.518796992481203</v>
      </c>
      <c r="X1165" s="98">
        <v>4.2</v>
      </c>
      <c r="Y1165" s="97">
        <v>399.99285714285708</v>
      </c>
    </row>
    <row r="1166" spans="1:25">
      <c r="A1166" s="58">
        <v>1168</v>
      </c>
      <c r="B1166" s="58">
        <v>1168</v>
      </c>
      <c r="C1166" s="58" t="s">
        <v>1778</v>
      </c>
      <c r="D1166" s="58" t="s">
        <v>775</v>
      </c>
      <c r="E1166" s="58" t="s">
        <v>775</v>
      </c>
      <c r="F1166" s="58" t="s">
        <v>1779</v>
      </c>
      <c r="G1166" s="58" t="s">
        <v>1780</v>
      </c>
      <c r="H1166" s="58" t="s">
        <v>179</v>
      </c>
      <c r="I1166">
        <v>38000</v>
      </c>
      <c r="J1166">
        <v>38000</v>
      </c>
      <c r="K1166" s="58" t="s">
        <v>185</v>
      </c>
      <c r="L1166" s="74">
        <v>5.3310000000000004</v>
      </c>
      <c r="M1166" s="85">
        <v>6</v>
      </c>
      <c r="N1166" s="74">
        <v>0.35399999999999998</v>
      </c>
      <c r="O1166">
        <v>3</v>
      </c>
      <c r="P1166" s="84">
        <v>0.35399999999999998</v>
      </c>
      <c r="Q1166" s="86">
        <v>4.2</v>
      </c>
      <c r="R1166" s="85">
        <v>4.2</v>
      </c>
      <c r="S1166" s="87">
        <v>769410</v>
      </c>
      <c r="T1166" s="1">
        <v>4</v>
      </c>
      <c r="U1166" s="88">
        <v>183192.85714285713</v>
      </c>
      <c r="V1166" s="59">
        <v>5.4587281163488903</v>
      </c>
      <c r="X1166" s="98">
        <v>4.2</v>
      </c>
      <c r="Y1166" s="97">
        <v>133</v>
      </c>
    </row>
    <row r="1167" spans="1:25">
      <c r="A1167" s="58">
        <v>1169</v>
      </c>
      <c r="B1167" s="58">
        <v>1169</v>
      </c>
      <c r="C1167" s="58" t="s">
        <v>1781</v>
      </c>
      <c r="D1167" s="58" t="s">
        <v>197</v>
      </c>
      <c r="E1167" s="58" t="s">
        <v>197</v>
      </c>
      <c r="F1167" s="58" t="s">
        <v>1543</v>
      </c>
      <c r="G1167" s="58" t="s">
        <v>1544</v>
      </c>
      <c r="H1167" s="58" t="s">
        <v>199</v>
      </c>
      <c r="I1167">
        <v>110000</v>
      </c>
      <c r="J1167" s="58" t="s">
        <v>185</v>
      </c>
      <c r="K1167">
        <v>110000</v>
      </c>
      <c r="L1167" s="74">
        <v>6.5780000000000003</v>
      </c>
      <c r="M1167" s="85">
        <v>7</v>
      </c>
      <c r="N1167" s="74">
        <v>0.13400000000000001</v>
      </c>
      <c r="O1167">
        <v>3</v>
      </c>
      <c r="P1167" s="84">
        <v>0.13400000000000001</v>
      </c>
      <c r="Q1167" s="86">
        <v>4.2</v>
      </c>
      <c r="R1167" s="85">
        <v>4.2</v>
      </c>
      <c r="S1167" s="87">
        <v>1785370</v>
      </c>
      <c r="T1167" s="1">
        <v>7</v>
      </c>
      <c r="U1167" s="88">
        <v>425088.09523809521</v>
      </c>
      <c r="V1167" s="59">
        <v>2.3524535530450272</v>
      </c>
      <c r="X1167" s="98">
        <v>4.2</v>
      </c>
      <c r="Y1167" s="97">
        <v>183.19285714285712</v>
      </c>
    </row>
    <row r="1168" spans="1:25">
      <c r="A1168" s="58">
        <v>1170</v>
      </c>
      <c r="B1168" s="58">
        <v>1170</v>
      </c>
      <c r="C1168" s="58" t="s">
        <v>1782</v>
      </c>
      <c r="D1168" s="58" t="s">
        <v>197</v>
      </c>
      <c r="E1168" s="58" t="s">
        <v>197</v>
      </c>
      <c r="F1168" s="58" t="s">
        <v>1783</v>
      </c>
      <c r="G1168" s="58" t="s">
        <v>1784</v>
      </c>
      <c r="H1168" s="58" t="s">
        <v>179</v>
      </c>
      <c r="I1168">
        <v>38000</v>
      </c>
      <c r="J1168">
        <v>38000</v>
      </c>
      <c r="K1168">
        <v>10000</v>
      </c>
      <c r="L1168" s="74">
        <v>6.2960000000000003</v>
      </c>
      <c r="M1168" s="85">
        <v>7</v>
      </c>
      <c r="N1168" s="74">
        <v>9.6000000000000002E-2</v>
      </c>
      <c r="O1168">
        <v>3</v>
      </c>
      <c r="P1168" s="84">
        <v>9.6000000000000002E-2</v>
      </c>
      <c r="Q1168" s="86">
        <v>4.2</v>
      </c>
      <c r="R1168" s="85">
        <v>4.2</v>
      </c>
      <c r="S1168" s="87">
        <v>839680</v>
      </c>
      <c r="T1168" s="1">
        <v>4</v>
      </c>
      <c r="U1168" s="88">
        <v>199923.80952380953</v>
      </c>
      <c r="V1168" s="59">
        <v>5.0019054878048781</v>
      </c>
      <c r="X1168" s="98">
        <v>4.2</v>
      </c>
      <c r="Y1168" s="97">
        <v>425.08809523809521</v>
      </c>
    </row>
    <row r="1169" spans="1:25">
      <c r="A1169" s="58">
        <v>1171</v>
      </c>
      <c r="B1169" s="58">
        <v>1171</v>
      </c>
      <c r="C1169" s="58" t="s">
        <v>1785</v>
      </c>
      <c r="D1169" s="58" t="s">
        <v>197</v>
      </c>
      <c r="E1169" s="58" t="s">
        <v>197</v>
      </c>
      <c r="F1169" s="58" t="s">
        <v>1786</v>
      </c>
      <c r="G1169" s="58" t="s">
        <v>1787</v>
      </c>
      <c r="H1169" s="58" t="s">
        <v>199</v>
      </c>
      <c r="I1169">
        <v>110000</v>
      </c>
      <c r="J1169">
        <v>110000</v>
      </c>
      <c r="K1169">
        <v>38000</v>
      </c>
      <c r="L1169" s="74">
        <v>10.651999999999999</v>
      </c>
      <c r="M1169" s="85">
        <v>11</v>
      </c>
      <c r="N1169" s="74">
        <v>0.113</v>
      </c>
      <c r="O1169">
        <v>3</v>
      </c>
      <c r="P1169" s="84">
        <v>0.113</v>
      </c>
      <c r="Q1169" s="86">
        <v>4.2</v>
      </c>
      <c r="R1169" s="85">
        <v>4.2</v>
      </c>
      <c r="S1169" s="87">
        <v>1996170</v>
      </c>
      <c r="T1169" s="1">
        <v>7</v>
      </c>
      <c r="U1169" s="88">
        <v>475278.57142857142</v>
      </c>
      <c r="V1169" s="59">
        <v>2.1040292159485414</v>
      </c>
      <c r="X1169" s="98">
        <v>4.2</v>
      </c>
      <c r="Y1169" s="97">
        <v>199.92380952380952</v>
      </c>
    </row>
    <row r="1170" spans="1:25">
      <c r="A1170" s="58">
        <v>1172</v>
      </c>
      <c r="B1170" s="58">
        <v>1172</v>
      </c>
      <c r="C1170" s="58" t="s">
        <v>1788</v>
      </c>
      <c r="D1170" s="58" t="s">
        <v>197</v>
      </c>
      <c r="E1170" s="58" t="s">
        <v>197</v>
      </c>
      <c r="F1170" s="58" t="s">
        <v>1701</v>
      </c>
      <c r="G1170" s="58" t="s">
        <v>1702</v>
      </c>
      <c r="H1170" s="58" t="s">
        <v>179</v>
      </c>
      <c r="I1170">
        <v>38000</v>
      </c>
      <c r="J1170">
        <v>38000</v>
      </c>
      <c r="K1170" s="58" t="s">
        <v>185</v>
      </c>
      <c r="L1170" s="74">
        <v>7.4349999999999996</v>
      </c>
      <c r="M1170" s="85">
        <v>8</v>
      </c>
      <c r="N1170" s="74">
        <v>0.20699999999999999</v>
      </c>
      <c r="O1170">
        <v>3</v>
      </c>
      <c r="P1170" s="84">
        <v>0.20699999999999999</v>
      </c>
      <c r="Q1170" s="86">
        <v>4.2</v>
      </c>
      <c r="R1170" s="85">
        <v>4.2</v>
      </c>
      <c r="S1170" s="87">
        <v>909950</v>
      </c>
      <c r="T1170" s="1">
        <v>4</v>
      </c>
      <c r="U1170" s="88">
        <v>216654.76190476189</v>
      </c>
      <c r="V1170" s="59">
        <v>4.6156382218803227</v>
      </c>
      <c r="X1170" s="98">
        <v>4.2</v>
      </c>
      <c r="Y1170" s="97">
        <v>475.27857142857147</v>
      </c>
    </row>
    <row r="1171" spans="1:25">
      <c r="A1171" s="58">
        <v>1173</v>
      </c>
      <c r="B1171" s="58">
        <v>1173</v>
      </c>
      <c r="C1171" s="58" t="s">
        <v>1789</v>
      </c>
      <c r="D1171" s="58" t="s">
        <v>182</v>
      </c>
      <c r="E1171" s="58" t="s">
        <v>182</v>
      </c>
      <c r="F1171" s="58" t="s">
        <v>1790</v>
      </c>
      <c r="G1171" s="58" t="s">
        <v>1791</v>
      </c>
      <c r="H1171" s="58" t="s">
        <v>179</v>
      </c>
      <c r="I1171">
        <v>38000</v>
      </c>
      <c r="J1171">
        <v>38000</v>
      </c>
      <c r="K1171" s="58" t="s">
        <v>185</v>
      </c>
      <c r="L1171" s="74">
        <v>6.1879999999999997</v>
      </c>
      <c r="M1171" s="85">
        <v>7</v>
      </c>
      <c r="N1171" s="74">
        <v>0.30599999999999999</v>
      </c>
      <c r="O1171">
        <v>3</v>
      </c>
      <c r="P1171" s="84">
        <v>0.30599999999999999</v>
      </c>
      <c r="Q1171" s="86">
        <v>4.2</v>
      </c>
      <c r="R1171" s="85">
        <v>4.2</v>
      </c>
      <c r="S1171" s="87">
        <v>839680</v>
      </c>
      <c r="T1171" s="1">
        <v>4</v>
      </c>
      <c r="U1171" s="88">
        <v>199923.80952380953</v>
      </c>
      <c r="V1171" s="59">
        <v>5.0019054878048781</v>
      </c>
      <c r="X1171" s="98">
        <v>4.2</v>
      </c>
      <c r="Y1171" s="97">
        <v>216.6547619047619</v>
      </c>
    </row>
    <row r="1172" spans="1:25">
      <c r="A1172" s="58">
        <v>1174</v>
      </c>
      <c r="B1172" s="58">
        <v>1174</v>
      </c>
      <c r="C1172" s="58" t="s">
        <v>1792</v>
      </c>
      <c r="D1172" s="58" t="s">
        <v>852</v>
      </c>
      <c r="E1172" s="58" t="s">
        <v>852</v>
      </c>
      <c r="F1172" s="58" t="s">
        <v>1793</v>
      </c>
      <c r="G1172" s="58" t="s">
        <v>1794</v>
      </c>
      <c r="H1172" s="58" t="s">
        <v>179</v>
      </c>
      <c r="I1172">
        <v>38000</v>
      </c>
      <c r="J1172">
        <v>38000</v>
      </c>
      <c r="K1172">
        <v>10000</v>
      </c>
      <c r="L1172" s="74">
        <v>4.33</v>
      </c>
      <c r="M1172" s="85">
        <v>5</v>
      </c>
      <c r="N1172" s="74">
        <v>0.113</v>
      </c>
      <c r="O1172">
        <v>3</v>
      </c>
      <c r="P1172" s="84">
        <v>0.113</v>
      </c>
      <c r="Q1172" s="86">
        <v>4.2</v>
      </c>
      <c r="R1172" s="85">
        <v>4.2</v>
      </c>
      <c r="S1172" s="87">
        <v>699140</v>
      </c>
      <c r="T1172" s="1">
        <v>4</v>
      </c>
      <c r="U1172" s="88">
        <v>166461.90476190476</v>
      </c>
      <c r="V1172" s="59">
        <v>6.0073804960379897</v>
      </c>
      <c r="X1172" s="98">
        <v>4.2</v>
      </c>
      <c r="Y1172" s="97">
        <v>199.92380952380952</v>
      </c>
    </row>
    <row r="1173" spans="1:25">
      <c r="A1173" s="58">
        <v>1175</v>
      </c>
      <c r="B1173" s="58">
        <v>1175</v>
      </c>
      <c r="C1173" s="58" t="s">
        <v>1795</v>
      </c>
      <c r="D1173" s="58" t="s">
        <v>182</v>
      </c>
      <c r="E1173" s="58" t="s">
        <v>182</v>
      </c>
      <c r="F1173" s="58" t="s">
        <v>1796</v>
      </c>
      <c r="G1173" s="58" t="s">
        <v>1797</v>
      </c>
      <c r="H1173" s="58" t="s">
        <v>199</v>
      </c>
      <c r="I1173">
        <v>110000</v>
      </c>
      <c r="J1173" s="58" t="s">
        <v>185</v>
      </c>
      <c r="K1173">
        <v>110000</v>
      </c>
      <c r="L1173" s="74">
        <v>4.2030000000000003</v>
      </c>
      <c r="M1173" s="85">
        <v>5</v>
      </c>
      <c r="N1173" s="74">
        <v>0.10299999999999999</v>
      </c>
      <c r="O1173">
        <v>3</v>
      </c>
      <c r="P1173" s="84">
        <v>0.10299999999999999</v>
      </c>
      <c r="Q1173" s="86">
        <v>4.2</v>
      </c>
      <c r="R1173" s="85">
        <v>4.2</v>
      </c>
      <c r="S1173" s="87">
        <v>1679970</v>
      </c>
      <c r="T1173" s="1">
        <v>7</v>
      </c>
      <c r="U1173" s="88">
        <v>399992.8571428571</v>
      </c>
      <c r="V1173" s="59">
        <v>2.5000446436543511</v>
      </c>
      <c r="X1173" s="98">
        <v>4.2</v>
      </c>
      <c r="Y1173" s="97">
        <v>166.46190476190475</v>
      </c>
    </row>
    <row r="1174" spans="1:25">
      <c r="A1174" s="58">
        <v>1176</v>
      </c>
      <c r="B1174" s="58">
        <v>1176</v>
      </c>
      <c r="C1174" s="58" t="s">
        <v>1798</v>
      </c>
      <c r="D1174" s="58" t="s">
        <v>882</v>
      </c>
      <c r="E1174" s="58" t="s">
        <v>882</v>
      </c>
      <c r="F1174" s="58" t="s">
        <v>1796</v>
      </c>
      <c r="G1174" s="58" t="s">
        <v>1797</v>
      </c>
      <c r="H1174" s="58" t="s">
        <v>199</v>
      </c>
      <c r="I1174">
        <v>110000</v>
      </c>
      <c r="J1174" s="58" t="s">
        <v>185</v>
      </c>
      <c r="K1174">
        <v>110000</v>
      </c>
      <c r="L1174" s="74">
        <v>4.1680000000000001</v>
      </c>
      <c r="M1174" s="85">
        <v>5</v>
      </c>
      <c r="N1174" s="74">
        <v>0.14799999999999999</v>
      </c>
      <c r="O1174">
        <v>3</v>
      </c>
      <c r="P1174" s="84">
        <v>0.14799999999999999</v>
      </c>
      <c r="Q1174" s="86">
        <v>4.2</v>
      </c>
      <c r="R1174" s="85">
        <v>4.2</v>
      </c>
      <c r="S1174" s="87">
        <v>1679970</v>
      </c>
      <c r="T1174" s="1">
        <v>7</v>
      </c>
      <c r="U1174" s="88">
        <v>399992.8571428571</v>
      </c>
      <c r="V1174" s="59">
        <v>2.5000446436543511</v>
      </c>
      <c r="X1174" s="98">
        <v>4.2</v>
      </c>
      <c r="Y1174" s="97">
        <v>399.99285714285708</v>
      </c>
    </row>
    <row r="1175" spans="1:25">
      <c r="A1175" s="58">
        <v>1177</v>
      </c>
      <c r="B1175" s="58">
        <v>1177</v>
      </c>
      <c r="C1175" s="58" t="s">
        <v>1799</v>
      </c>
      <c r="D1175" s="58" t="s">
        <v>852</v>
      </c>
      <c r="E1175" s="58" t="s">
        <v>852</v>
      </c>
      <c r="F1175" s="58" t="s">
        <v>1796</v>
      </c>
      <c r="G1175" s="58" t="s">
        <v>1797</v>
      </c>
      <c r="H1175" s="58" t="s">
        <v>199</v>
      </c>
      <c r="I1175">
        <v>110000</v>
      </c>
      <c r="J1175" s="58" t="s">
        <v>185</v>
      </c>
      <c r="K1175">
        <v>110000</v>
      </c>
      <c r="L1175" s="74">
        <v>1.9790000000000001</v>
      </c>
      <c r="M1175" s="85">
        <v>2</v>
      </c>
      <c r="N1175" s="74">
        <v>0.121</v>
      </c>
      <c r="O1175">
        <v>3</v>
      </c>
      <c r="P1175" s="84">
        <v>0.121</v>
      </c>
      <c r="Q1175" s="86">
        <v>4.2</v>
      </c>
      <c r="R1175" s="85">
        <v>4.2</v>
      </c>
      <c r="S1175" s="87">
        <v>1340080</v>
      </c>
      <c r="T1175" s="1">
        <v>11</v>
      </c>
      <c r="U1175" s="88">
        <v>319066.66666666663</v>
      </c>
      <c r="V1175" s="59">
        <v>3.134141245298788</v>
      </c>
      <c r="X1175" s="98">
        <v>4.2</v>
      </c>
      <c r="Y1175" s="97">
        <v>399.99285714285708</v>
      </c>
    </row>
    <row r="1176" spans="1:25">
      <c r="A1176" s="58">
        <v>1178</v>
      </c>
      <c r="B1176" s="58">
        <v>1178</v>
      </c>
      <c r="C1176" s="58" t="s">
        <v>1800</v>
      </c>
      <c r="D1176" s="58" t="s">
        <v>882</v>
      </c>
      <c r="E1176" s="58" t="s">
        <v>882</v>
      </c>
      <c r="F1176" s="58" t="s">
        <v>1796</v>
      </c>
      <c r="G1176" s="58" t="s">
        <v>1797</v>
      </c>
      <c r="H1176" s="58" t="s">
        <v>199</v>
      </c>
      <c r="I1176">
        <v>110000</v>
      </c>
      <c r="J1176" s="58" t="s">
        <v>185</v>
      </c>
      <c r="K1176">
        <v>110000</v>
      </c>
      <c r="L1176" s="74">
        <v>3.8740000000000001</v>
      </c>
      <c r="M1176" s="85">
        <v>4</v>
      </c>
      <c r="N1176" s="74">
        <v>0.33300000000000002</v>
      </c>
      <c r="O1176">
        <v>3</v>
      </c>
      <c r="P1176" s="84">
        <v>0.33300000000000002</v>
      </c>
      <c r="Q1176" s="86">
        <v>4.2</v>
      </c>
      <c r="R1176" s="85">
        <v>4.2</v>
      </c>
      <c r="S1176" s="87">
        <v>1627270</v>
      </c>
      <c r="T1176" s="1">
        <v>7</v>
      </c>
      <c r="U1176" s="88">
        <v>387445.23809523811</v>
      </c>
      <c r="V1176" s="59">
        <v>2.5810099123071155</v>
      </c>
      <c r="X1176" s="98">
        <v>4.2</v>
      </c>
      <c r="Y1176" s="97">
        <v>319.06666666666661</v>
      </c>
    </row>
    <row r="1177" spans="1:25">
      <c r="A1177" s="58">
        <v>1179</v>
      </c>
      <c r="B1177" s="58">
        <v>1179</v>
      </c>
      <c r="C1177" s="58" t="s">
        <v>1801</v>
      </c>
      <c r="D1177" s="58" t="s">
        <v>882</v>
      </c>
      <c r="E1177" s="58" t="s">
        <v>882</v>
      </c>
      <c r="F1177" s="58" t="s">
        <v>1796</v>
      </c>
      <c r="G1177" s="58" t="s">
        <v>1797</v>
      </c>
      <c r="H1177" s="58" t="s">
        <v>199</v>
      </c>
      <c r="I1177">
        <v>110000</v>
      </c>
      <c r="J1177" s="58" t="s">
        <v>185</v>
      </c>
      <c r="K1177">
        <v>110000</v>
      </c>
      <c r="L1177" s="74">
        <v>10.09</v>
      </c>
      <c r="M1177" s="85">
        <v>11</v>
      </c>
      <c r="N1177" s="74">
        <v>0.14599999999999999</v>
      </c>
      <c r="O1177">
        <v>3</v>
      </c>
      <c r="P1177" s="84">
        <v>0.14599999999999999</v>
      </c>
      <c r="Q1177" s="86">
        <v>4.2</v>
      </c>
      <c r="R1177" s="85">
        <v>4.2</v>
      </c>
      <c r="S1177" s="87">
        <v>1996170</v>
      </c>
      <c r="T1177" s="1">
        <v>7</v>
      </c>
      <c r="U1177" s="88">
        <v>475278.57142857142</v>
      </c>
      <c r="V1177" s="59">
        <v>2.1040292159485414</v>
      </c>
      <c r="X1177" s="98">
        <v>4.2</v>
      </c>
      <c r="Y1177" s="97">
        <v>387.4452380952381</v>
      </c>
    </row>
    <row r="1178" spans="1:25">
      <c r="A1178" s="58">
        <v>1180</v>
      </c>
      <c r="B1178" s="58">
        <v>1180</v>
      </c>
      <c r="C1178" s="58" t="s">
        <v>1802</v>
      </c>
      <c r="D1178" s="58" t="s">
        <v>536</v>
      </c>
      <c r="E1178" s="58" t="s">
        <v>536</v>
      </c>
      <c r="F1178" s="58" t="s">
        <v>1803</v>
      </c>
      <c r="G1178" s="58" t="s">
        <v>1804</v>
      </c>
      <c r="H1178" s="58" t="s">
        <v>179</v>
      </c>
      <c r="I1178">
        <v>38000</v>
      </c>
      <c r="J1178">
        <v>38000</v>
      </c>
      <c r="K1178" s="58" t="s">
        <v>185</v>
      </c>
      <c r="L1178" s="74">
        <v>4.2279999999999998</v>
      </c>
      <c r="M1178" s="85">
        <v>5</v>
      </c>
      <c r="N1178" s="74">
        <v>0.11</v>
      </c>
      <c r="O1178">
        <v>3</v>
      </c>
      <c r="P1178" s="84">
        <v>0.11</v>
      </c>
      <c r="Q1178" s="86">
        <v>4.2</v>
      </c>
      <c r="R1178" s="85">
        <v>4.2</v>
      </c>
      <c r="S1178" s="87">
        <v>699140</v>
      </c>
      <c r="T1178" s="1">
        <v>4</v>
      </c>
      <c r="U1178" s="88">
        <v>166461.90476190476</v>
      </c>
      <c r="V1178" s="59">
        <v>6.0073804960379897</v>
      </c>
      <c r="X1178" s="98">
        <v>4.2</v>
      </c>
      <c r="Y1178" s="97">
        <v>475.27857142857147</v>
      </c>
    </row>
    <row r="1179" spans="1:25">
      <c r="A1179" s="58">
        <v>1181</v>
      </c>
      <c r="B1179" s="58">
        <v>1181</v>
      </c>
      <c r="C1179" s="58" t="s">
        <v>1805</v>
      </c>
      <c r="D1179" s="58" t="s">
        <v>1806</v>
      </c>
      <c r="E1179" s="58" t="s">
        <v>1806</v>
      </c>
      <c r="F1179" s="58" t="s">
        <v>1807</v>
      </c>
      <c r="G1179" s="58" t="s">
        <v>1808</v>
      </c>
      <c r="H1179" s="58" t="s">
        <v>179</v>
      </c>
      <c r="I1179">
        <v>38000</v>
      </c>
      <c r="J1179">
        <v>38000</v>
      </c>
      <c r="K1179" s="58" t="s">
        <v>185</v>
      </c>
      <c r="L1179" s="74">
        <v>4.431</v>
      </c>
      <c r="M1179" s="85">
        <v>5</v>
      </c>
      <c r="N1179" s="74">
        <v>0.11700000000000001</v>
      </c>
      <c r="O1179">
        <v>3</v>
      </c>
      <c r="P1179" s="84">
        <v>0.11700000000000001</v>
      </c>
      <c r="Q1179" s="86">
        <v>4.2</v>
      </c>
      <c r="R1179" s="85">
        <v>4.2</v>
      </c>
      <c r="S1179" s="87">
        <v>699140</v>
      </c>
      <c r="T1179" s="1">
        <v>4</v>
      </c>
      <c r="U1179" s="88">
        <v>166461.90476190476</v>
      </c>
      <c r="V1179" s="59">
        <v>6.0073804960379897</v>
      </c>
      <c r="X1179" s="98">
        <v>4.2</v>
      </c>
      <c r="Y1179" s="97">
        <v>166.46190476190475</v>
      </c>
    </row>
    <row r="1180" spans="1:25">
      <c r="A1180" s="58">
        <v>1182</v>
      </c>
      <c r="B1180" s="58">
        <v>1182</v>
      </c>
      <c r="C1180" s="58" t="s">
        <v>1809</v>
      </c>
      <c r="D1180" s="58" t="s">
        <v>882</v>
      </c>
      <c r="E1180" s="58" t="s">
        <v>882</v>
      </c>
      <c r="F1180" s="58" t="s">
        <v>1149</v>
      </c>
      <c r="G1180" s="58" t="s">
        <v>1150</v>
      </c>
      <c r="H1180" s="58" t="s">
        <v>179</v>
      </c>
      <c r="I1180">
        <v>38000</v>
      </c>
      <c r="J1180">
        <v>38000</v>
      </c>
      <c r="K1180" s="58" t="s">
        <v>185</v>
      </c>
      <c r="L1180" s="74">
        <v>3.3980000000000001</v>
      </c>
      <c r="M1180" s="85">
        <v>4</v>
      </c>
      <c r="N1180" s="74">
        <v>9.7000000000000003E-2</v>
      </c>
      <c r="O1180">
        <v>3</v>
      </c>
      <c r="P1180" s="84">
        <v>9.7000000000000003E-2</v>
      </c>
      <c r="Q1180" s="86">
        <v>4.2</v>
      </c>
      <c r="R1180" s="85">
        <v>4.2</v>
      </c>
      <c r="S1180" s="87">
        <v>628870</v>
      </c>
      <c r="T1180" s="1">
        <v>4</v>
      </c>
      <c r="U1180" s="88">
        <v>149730.95238095237</v>
      </c>
      <c r="V1180" s="59">
        <v>6.6786458250512828</v>
      </c>
      <c r="X1180" s="98">
        <v>4.2</v>
      </c>
      <c r="Y1180" s="97">
        <v>166.46190476190475</v>
      </c>
    </row>
    <row r="1181" spans="1:25">
      <c r="A1181" s="58">
        <v>1183</v>
      </c>
      <c r="B1181" s="58">
        <v>1183</v>
      </c>
      <c r="C1181" s="58" t="s">
        <v>1810</v>
      </c>
      <c r="D1181" s="58" t="s">
        <v>1811</v>
      </c>
      <c r="E1181" s="58" t="s">
        <v>882</v>
      </c>
      <c r="F1181" s="58" t="s">
        <v>1812</v>
      </c>
      <c r="G1181" s="58" t="s">
        <v>1813</v>
      </c>
      <c r="H1181" s="58" t="s">
        <v>179</v>
      </c>
      <c r="I1181">
        <v>38000</v>
      </c>
      <c r="J1181">
        <v>38000</v>
      </c>
      <c r="K1181" s="58" t="s">
        <v>185</v>
      </c>
      <c r="L1181" s="74">
        <v>2.3159999999999998</v>
      </c>
      <c r="M1181" s="85">
        <v>3</v>
      </c>
      <c r="N1181" s="74">
        <v>0.121</v>
      </c>
      <c r="O1181">
        <v>3</v>
      </c>
      <c r="P1181" s="84">
        <v>0.121</v>
      </c>
      <c r="Q1181" s="86">
        <v>4.2</v>
      </c>
      <c r="R1181" s="85">
        <v>4.2</v>
      </c>
      <c r="S1181" s="87">
        <v>558600</v>
      </c>
      <c r="T1181" s="1">
        <v>4</v>
      </c>
      <c r="U1181" s="88">
        <v>133000</v>
      </c>
      <c r="V1181" s="59">
        <v>7.518796992481203</v>
      </c>
      <c r="X1181" s="98">
        <v>4.2</v>
      </c>
      <c r="Y1181" s="97">
        <v>149.73095238095235</v>
      </c>
    </row>
    <row r="1182" spans="1:25">
      <c r="A1182" s="58">
        <v>1184</v>
      </c>
      <c r="B1182" s="58">
        <v>1184</v>
      </c>
      <c r="C1182" s="58" t="s">
        <v>1814</v>
      </c>
      <c r="D1182" s="58" t="s">
        <v>1811</v>
      </c>
      <c r="E1182" s="58" t="s">
        <v>1811</v>
      </c>
      <c r="F1182" s="58" t="s">
        <v>1815</v>
      </c>
      <c r="G1182" s="58" t="s">
        <v>1816</v>
      </c>
      <c r="H1182" s="58" t="s">
        <v>199</v>
      </c>
      <c r="I1182">
        <v>110000</v>
      </c>
      <c r="J1182">
        <v>110000</v>
      </c>
      <c r="K1182">
        <v>38000</v>
      </c>
      <c r="L1182" s="74">
        <v>6.1529999999999996</v>
      </c>
      <c r="M1182" s="85">
        <v>7</v>
      </c>
      <c r="N1182" s="74">
        <v>0.24399999999999999</v>
      </c>
      <c r="O1182">
        <v>3</v>
      </c>
      <c r="P1182" s="84">
        <v>0.24399999999999999</v>
      </c>
      <c r="Q1182" s="86">
        <v>4.2</v>
      </c>
      <c r="R1182" s="85">
        <v>4.2</v>
      </c>
      <c r="S1182" s="87">
        <v>1785370</v>
      </c>
      <c r="T1182" s="1">
        <v>7</v>
      </c>
      <c r="U1182" s="88">
        <v>425088.09523809521</v>
      </c>
      <c r="V1182" s="59">
        <v>2.3524535530450272</v>
      </c>
      <c r="X1182" s="98">
        <v>4.2</v>
      </c>
      <c r="Y1182" s="97">
        <v>133</v>
      </c>
    </row>
    <row r="1183" spans="1:25">
      <c r="A1183" s="58">
        <v>1185</v>
      </c>
      <c r="B1183" s="58">
        <v>1185</v>
      </c>
      <c r="C1183" s="58" t="s">
        <v>1817</v>
      </c>
      <c r="D1183" s="58" t="s">
        <v>882</v>
      </c>
      <c r="E1183" s="58" t="s">
        <v>882</v>
      </c>
      <c r="F1183" s="58" t="s">
        <v>1812</v>
      </c>
      <c r="G1183" s="58" t="s">
        <v>1813</v>
      </c>
      <c r="H1183" s="58" t="s">
        <v>179</v>
      </c>
      <c r="I1183">
        <v>38000</v>
      </c>
      <c r="J1183">
        <v>38000</v>
      </c>
      <c r="K1183" s="58" t="s">
        <v>185</v>
      </c>
      <c r="L1183" s="74">
        <v>4.141</v>
      </c>
      <c r="M1183" s="85">
        <v>5</v>
      </c>
      <c r="N1183" s="74">
        <v>0.27400000000000002</v>
      </c>
      <c r="O1183">
        <v>3</v>
      </c>
      <c r="P1183" s="84">
        <v>0.27400000000000002</v>
      </c>
      <c r="Q1183" s="86">
        <v>4.2</v>
      </c>
      <c r="R1183" s="85">
        <v>4.2</v>
      </c>
      <c r="S1183" s="87">
        <v>699140</v>
      </c>
      <c r="T1183" s="1">
        <v>4</v>
      </c>
      <c r="U1183" s="88">
        <v>166461.90476190476</v>
      </c>
      <c r="V1183" s="59">
        <v>6.0073804960379897</v>
      </c>
      <c r="X1183" s="98">
        <v>4.2</v>
      </c>
      <c r="Y1183" s="97">
        <v>425.08809523809521</v>
      </c>
    </row>
    <row r="1184" spans="1:25">
      <c r="A1184" s="58">
        <v>1186</v>
      </c>
      <c r="B1184" s="58">
        <v>1186</v>
      </c>
      <c r="C1184" s="58" t="s">
        <v>1818</v>
      </c>
      <c r="D1184" s="58" t="s">
        <v>882</v>
      </c>
      <c r="E1184" s="58" t="s">
        <v>882</v>
      </c>
      <c r="F1184" s="58" t="s">
        <v>1819</v>
      </c>
      <c r="G1184" s="58" t="s">
        <v>1820</v>
      </c>
      <c r="H1184" s="58" t="s">
        <v>199</v>
      </c>
      <c r="I1184">
        <v>110000</v>
      </c>
      <c r="J1184">
        <v>20000</v>
      </c>
      <c r="K1184">
        <v>110000</v>
      </c>
      <c r="L1184" s="74">
        <v>2.3290000000000002</v>
      </c>
      <c r="M1184" s="85">
        <v>3</v>
      </c>
      <c r="N1184" s="74">
        <v>0.246</v>
      </c>
      <c r="O1184">
        <v>3</v>
      </c>
      <c r="P1184" s="84">
        <v>0.246</v>
      </c>
      <c r="Q1184" s="86">
        <v>4.2</v>
      </c>
      <c r="R1184" s="85">
        <v>4.2</v>
      </c>
      <c r="S1184" s="87">
        <v>1574570</v>
      </c>
      <c r="T1184" s="1">
        <v>7</v>
      </c>
      <c r="U1184" s="88">
        <v>374897.61904761905</v>
      </c>
      <c r="V1184" s="59">
        <v>2.6673949078161021</v>
      </c>
      <c r="X1184" s="98">
        <v>4.2</v>
      </c>
      <c r="Y1184" s="97">
        <v>166.46190476190475</v>
      </c>
    </row>
    <row r="1185" spans="1:25">
      <c r="A1185" s="58">
        <v>1187</v>
      </c>
      <c r="B1185" s="58">
        <v>1187</v>
      </c>
      <c r="C1185" s="58" t="s">
        <v>1821</v>
      </c>
      <c r="D1185" s="58" t="s">
        <v>882</v>
      </c>
      <c r="E1185" s="58" t="s">
        <v>882</v>
      </c>
      <c r="F1185" s="58" t="s">
        <v>1822</v>
      </c>
      <c r="G1185" s="58" t="s">
        <v>1823</v>
      </c>
      <c r="H1185" s="58" t="s">
        <v>199</v>
      </c>
      <c r="I1185">
        <v>110000</v>
      </c>
      <c r="L1185" s="74">
        <v>4.3440000000000003</v>
      </c>
      <c r="M1185" s="85">
        <v>5</v>
      </c>
      <c r="N1185" s="74">
        <v>0.23</v>
      </c>
      <c r="O1185">
        <v>3</v>
      </c>
      <c r="P1185" s="84">
        <v>0.23</v>
      </c>
      <c r="Q1185" s="86">
        <v>4.2</v>
      </c>
      <c r="R1185" s="85">
        <v>4.2</v>
      </c>
      <c r="S1185" s="87">
        <v>1679970</v>
      </c>
      <c r="T1185" s="1">
        <v>7</v>
      </c>
      <c r="U1185" s="88">
        <v>399992.8571428571</v>
      </c>
      <c r="V1185" s="59">
        <v>2.5000446436543511</v>
      </c>
      <c r="X1185" s="98">
        <v>4.2</v>
      </c>
      <c r="Y1185" s="97">
        <v>374.89761904761906</v>
      </c>
    </row>
    <row r="1186" spans="1:25">
      <c r="A1186" s="58">
        <v>1188</v>
      </c>
      <c r="B1186" s="58">
        <v>1188</v>
      </c>
      <c r="C1186" s="58" t="s">
        <v>1824</v>
      </c>
      <c r="D1186" s="58" t="s">
        <v>882</v>
      </c>
      <c r="E1186" s="58" t="s">
        <v>882</v>
      </c>
      <c r="F1186" s="58" t="s">
        <v>1822</v>
      </c>
      <c r="G1186" s="58" t="s">
        <v>1823</v>
      </c>
      <c r="H1186" s="58" t="s">
        <v>199</v>
      </c>
      <c r="I1186">
        <v>110000</v>
      </c>
      <c r="L1186" s="74">
        <v>4.8920000000000003</v>
      </c>
      <c r="M1186" s="85">
        <v>5</v>
      </c>
      <c r="N1186" s="74">
        <v>0.249</v>
      </c>
      <c r="O1186">
        <v>3</v>
      </c>
      <c r="P1186" s="84">
        <v>0.249</v>
      </c>
      <c r="Q1186" s="86">
        <v>4.2</v>
      </c>
      <c r="R1186" s="85">
        <v>4.2</v>
      </c>
      <c r="S1186" s="87">
        <v>1679970</v>
      </c>
      <c r="T1186" s="1">
        <v>7</v>
      </c>
      <c r="U1186" s="88">
        <v>399992.8571428571</v>
      </c>
      <c r="V1186" s="59">
        <v>2.5000446436543511</v>
      </c>
      <c r="X1186" s="98">
        <v>4.2</v>
      </c>
      <c r="Y1186" s="97">
        <v>399.99285714285708</v>
      </c>
    </row>
    <row r="1187" spans="1:25">
      <c r="A1187" s="58">
        <v>1189</v>
      </c>
      <c r="B1187" s="58">
        <v>1189</v>
      </c>
      <c r="C1187" s="58" t="s">
        <v>1825</v>
      </c>
      <c r="D1187" s="58" t="s">
        <v>882</v>
      </c>
      <c r="E1187" s="58" t="s">
        <v>882</v>
      </c>
      <c r="F1187" s="58" t="s">
        <v>1819</v>
      </c>
      <c r="G1187" s="58" t="s">
        <v>1820</v>
      </c>
      <c r="H1187" s="58" t="s">
        <v>199</v>
      </c>
      <c r="I1187">
        <v>110000</v>
      </c>
      <c r="J1187">
        <v>20000</v>
      </c>
      <c r="K1187">
        <v>110000</v>
      </c>
      <c r="L1187" s="74">
        <v>5.5679999999999996</v>
      </c>
      <c r="M1187" s="85">
        <v>6</v>
      </c>
      <c r="N1187" s="74">
        <v>0.129</v>
      </c>
      <c r="O1187">
        <v>3</v>
      </c>
      <c r="P1187" s="84">
        <v>0.129</v>
      </c>
      <c r="Q1187" s="86">
        <v>4.2</v>
      </c>
      <c r="R1187" s="85">
        <v>4.2</v>
      </c>
      <c r="S1187" s="87">
        <v>1732670</v>
      </c>
      <c r="T1187" s="1">
        <v>7</v>
      </c>
      <c r="U1187" s="88">
        <v>412540.47619047615</v>
      </c>
      <c r="V1187" s="59">
        <v>2.4240045709800482</v>
      </c>
      <c r="X1187" s="98">
        <v>4.2</v>
      </c>
      <c r="Y1187" s="97">
        <v>399.99285714285708</v>
      </c>
    </row>
    <row r="1188" spans="1:25">
      <c r="A1188" s="58">
        <v>1190</v>
      </c>
      <c r="B1188" s="58">
        <v>1190</v>
      </c>
      <c r="C1188" s="58" t="s">
        <v>1826</v>
      </c>
      <c r="D1188" s="58" t="s">
        <v>410</v>
      </c>
      <c r="E1188" s="58" t="s">
        <v>410</v>
      </c>
      <c r="F1188" s="58" t="s">
        <v>1827</v>
      </c>
      <c r="G1188" s="58" t="s">
        <v>1828</v>
      </c>
      <c r="H1188" s="58" t="s">
        <v>199</v>
      </c>
      <c r="I1188">
        <v>110000</v>
      </c>
      <c r="J1188">
        <v>110000</v>
      </c>
      <c r="K1188">
        <v>38000</v>
      </c>
      <c r="L1188" s="74">
        <v>1.101</v>
      </c>
      <c r="M1188" s="85">
        <v>2</v>
      </c>
      <c r="N1188" s="74">
        <v>0.22500000000000001</v>
      </c>
      <c r="O1188">
        <v>3</v>
      </c>
      <c r="P1188" s="84">
        <v>0.22500000000000001</v>
      </c>
      <c r="Q1188" s="86">
        <v>4.2</v>
      </c>
      <c r="R1188" s="85">
        <v>4.2</v>
      </c>
      <c r="S1188" s="87">
        <v>1340080</v>
      </c>
      <c r="T1188" s="1">
        <v>11</v>
      </c>
      <c r="U1188" s="88">
        <v>319066.66666666663</v>
      </c>
      <c r="V1188" s="59">
        <v>3.134141245298788</v>
      </c>
      <c r="X1188" s="98">
        <v>4.2</v>
      </c>
      <c r="Y1188" s="97">
        <v>412.54047619047617</v>
      </c>
    </row>
    <row r="1189" spans="1:25">
      <c r="A1189" s="58">
        <v>1191</v>
      </c>
      <c r="B1189" s="58">
        <v>1191</v>
      </c>
      <c r="C1189" s="58" t="s">
        <v>1829</v>
      </c>
      <c r="D1189" s="58" t="s">
        <v>1811</v>
      </c>
      <c r="E1189" s="58" t="s">
        <v>536</v>
      </c>
      <c r="F1189" s="58" t="s">
        <v>1830</v>
      </c>
      <c r="G1189" s="58" t="s">
        <v>1831</v>
      </c>
      <c r="H1189" s="58" t="s">
        <v>199</v>
      </c>
      <c r="I1189">
        <v>110000</v>
      </c>
      <c r="J1189">
        <v>110000</v>
      </c>
      <c r="K1189">
        <v>20000</v>
      </c>
      <c r="L1189" s="74">
        <v>1.976</v>
      </c>
      <c r="M1189" s="85">
        <v>2</v>
      </c>
      <c r="N1189" s="74">
        <v>0.121</v>
      </c>
      <c r="O1189">
        <v>3</v>
      </c>
      <c r="P1189" s="84">
        <v>0.121</v>
      </c>
      <c r="Q1189" s="86">
        <v>4.2</v>
      </c>
      <c r="R1189" s="85">
        <v>4.2</v>
      </c>
      <c r="S1189" s="87">
        <v>1340080</v>
      </c>
      <c r="T1189" s="1">
        <v>11</v>
      </c>
      <c r="U1189" s="88">
        <v>319066.66666666663</v>
      </c>
      <c r="V1189" s="59">
        <v>3.134141245298788</v>
      </c>
      <c r="X1189" s="98">
        <v>4.2</v>
      </c>
      <c r="Y1189" s="97">
        <v>319.06666666666661</v>
      </c>
    </row>
    <row r="1190" spans="1:25">
      <c r="A1190" s="58">
        <v>1192</v>
      </c>
      <c r="B1190" s="58">
        <v>1192</v>
      </c>
      <c r="C1190" s="58" t="s">
        <v>1832</v>
      </c>
      <c r="D1190" s="58" t="s">
        <v>536</v>
      </c>
      <c r="E1190" s="58" t="s">
        <v>536</v>
      </c>
      <c r="F1190" s="58" t="s">
        <v>1803</v>
      </c>
      <c r="G1190" s="58" t="s">
        <v>1804</v>
      </c>
      <c r="H1190" s="58" t="s">
        <v>179</v>
      </c>
      <c r="I1190">
        <v>38000</v>
      </c>
      <c r="J1190">
        <v>38000</v>
      </c>
      <c r="K1190" s="58" t="s">
        <v>185</v>
      </c>
      <c r="L1190" s="74">
        <v>5.4880000000000004</v>
      </c>
      <c r="M1190" s="85">
        <v>6</v>
      </c>
      <c r="N1190" s="74">
        <v>0.20200000000000001</v>
      </c>
      <c r="O1190">
        <v>3</v>
      </c>
      <c r="P1190" s="84">
        <v>0.20200000000000001</v>
      </c>
      <c r="Q1190" s="86">
        <v>4.2</v>
      </c>
      <c r="R1190" s="85">
        <v>4.2</v>
      </c>
      <c r="S1190" s="87">
        <v>769410</v>
      </c>
      <c r="T1190" s="1">
        <v>4</v>
      </c>
      <c r="U1190" s="88">
        <v>183192.85714285713</v>
      </c>
      <c r="V1190" s="59">
        <v>5.4587281163488903</v>
      </c>
      <c r="X1190" s="98">
        <v>4.2</v>
      </c>
      <c r="Y1190" s="97">
        <v>319.06666666666661</v>
      </c>
    </row>
    <row r="1191" spans="1:25">
      <c r="A1191" s="58">
        <v>1193</v>
      </c>
      <c r="B1191" s="58">
        <v>1193</v>
      </c>
      <c r="C1191" s="58" t="s">
        <v>1833</v>
      </c>
      <c r="D1191" s="58" t="s">
        <v>253</v>
      </c>
      <c r="E1191" s="58" t="s">
        <v>253</v>
      </c>
      <c r="F1191" s="58" t="s">
        <v>1834</v>
      </c>
      <c r="G1191" s="58" t="s">
        <v>1835</v>
      </c>
      <c r="H1191" s="58" t="s">
        <v>179</v>
      </c>
      <c r="I1191">
        <v>38000</v>
      </c>
      <c r="J1191">
        <v>38000</v>
      </c>
      <c r="K1191" s="58" t="s">
        <v>185</v>
      </c>
      <c r="L1191" s="74">
        <v>3.0619999999999998</v>
      </c>
      <c r="M1191" s="85">
        <v>4</v>
      </c>
      <c r="N1191" s="74">
        <v>0.40400000000000003</v>
      </c>
      <c r="O1191">
        <v>3</v>
      </c>
      <c r="P1191" s="84">
        <v>0.40400000000000003</v>
      </c>
      <c r="Q1191" s="86">
        <v>4.2</v>
      </c>
      <c r="R1191" s="85">
        <v>4.2</v>
      </c>
      <c r="S1191" s="87">
        <v>628870</v>
      </c>
      <c r="T1191" s="1">
        <v>4</v>
      </c>
      <c r="U1191" s="88">
        <v>149730.95238095237</v>
      </c>
      <c r="V1191" s="59">
        <v>6.6786458250512828</v>
      </c>
      <c r="X1191" s="98">
        <v>4.2</v>
      </c>
      <c r="Y1191" s="97">
        <v>183.19285714285712</v>
      </c>
    </row>
    <row r="1192" spans="1:25">
      <c r="A1192" s="58">
        <v>1194</v>
      </c>
      <c r="B1192" s="58">
        <v>1194</v>
      </c>
      <c r="C1192" s="58" t="s">
        <v>1836</v>
      </c>
      <c r="D1192" s="58" t="s">
        <v>187</v>
      </c>
      <c r="E1192" s="58" t="s">
        <v>187</v>
      </c>
      <c r="F1192" s="58" t="s">
        <v>1469</v>
      </c>
      <c r="G1192" s="58" t="s">
        <v>1470</v>
      </c>
      <c r="H1192" s="58" t="s">
        <v>179</v>
      </c>
      <c r="I1192">
        <v>38000</v>
      </c>
      <c r="J1192">
        <v>38000</v>
      </c>
      <c r="K1192">
        <v>20000</v>
      </c>
      <c r="L1192" s="74">
        <v>5.141</v>
      </c>
      <c r="M1192" s="85">
        <v>6</v>
      </c>
      <c r="N1192" s="74">
        <v>0.18099999999999999</v>
      </c>
      <c r="O1192">
        <v>3</v>
      </c>
      <c r="P1192" s="84">
        <v>0.18099999999999999</v>
      </c>
      <c r="Q1192" s="86">
        <v>4.2</v>
      </c>
      <c r="R1192" s="85">
        <v>4.2</v>
      </c>
      <c r="S1192" s="87">
        <v>769410</v>
      </c>
      <c r="T1192" s="1">
        <v>4</v>
      </c>
      <c r="U1192" s="88">
        <v>183192.85714285713</v>
      </c>
      <c r="V1192" s="59">
        <v>5.4587281163488903</v>
      </c>
      <c r="X1192" s="98">
        <v>4.2</v>
      </c>
      <c r="Y1192" s="97">
        <v>149.73095238095235</v>
      </c>
    </row>
    <row r="1193" spans="1:25">
      <c r="A1193" s="58">
        <v>1195</v>
      </c>
      <c r="B1193" s="58">
        <v>1195</v>
      </c>
      <c r="C1193" s="58" t="s">
        <v>1837</v>
      </c>
      <c r="D1193" s="58" t="s">
        <v>187</v>
      </c>
      <c r="E1193" s="58" t="s">
        <v>187</v>
      </c>
      <c r="F1193" s="58" t="s">
        <v>377</v>
      </c>
      <c r="H1193" s="58" t="s">
        <v>179</v>
      </c>
      <c r="I1193">
        <v>38000</v>
      </c>
      <c r="L1193" s="74">
        <v>9.3140000000000001</v>
      </c>
      <c r="M1193" s="85">
        <v>10</v>
      </c>
      <c r="N1193" s="74">
        <v>0.125</v>
      </c>
      <c r="O1193">
        <v>3</v>
      </c>
      <c r="P1193" s="84">
        <v>0.125</v>
      </c>
      <c r="Q1193" s="86">
        <v>4.2</v>
      </c>
      <c r="R1193" s="85">
        <v>4.2</v>
      </c>
      <c r="S1193" s="87">
        <v>1387140</v>
      </c>
      <c r="T1193" s="1">
        <v>1</v>
      </c>
      <c r="U1193" s="88">
        <v>330271.42857142858</v>
      </c>
      <c r="V1193" s="59">
        <v>3.0278126216531858</v>
      </c>
      <c r="X1193" s="98">
        <v>4.2</v>
      </c>
      <c r="Y1193" s="97">
        <v>183.19285714285712</v>
      </c>
    </row>
    <row r="1194" spans="1:25">
      <c r="A1194" s="58">
        <v>1196</v>
      </c>
      <c r="B1194" s="58">
        <v>1196</v>
      </c>
      <c r="C1194" s="58" t="s">
        <v>1838</v>
      </c>
      <c r="D1194" s="58" t="s">
        <v>182</v>
      </c>
      <c r="E1194" s="58" t="s">
        <v>182</v>
      </c>
      <c r="F1194" s="58" t="s">
        <v>1839</v>
      </c>
      <c r="G1194" s="58" t="s">
        <v>1840</v>
      </c>
      <c r="H1194" s="58" t="s">
        <v>179</v>
      </c>
      <c r="I1194">
        <v>38000</v>
      </c>
      <c r="J1194">
        <v>38000</v>
      </c>
      <c r="K1194" s="58" t="s">
        <v>185</v>
      </c>
      <c r="L1194" s="74">
        <v>6.6639999999999997</v>
      </c>
      <c r="M1194" s="85">
        <v>7</v>
      </c>
      <c r="N1194" s="74">
        <v>0.222</v>
      </c>
      <c r="O1194">
        <v>3</v>
      </c>
      <c r="P1194" s="84">
        <v>0.222</v>
      </c>
      <c r="Q1194" s="86">
        <v>4.2</v>
      </c>
      <c r="R1194" s="85">
        <v>4.2</v>
      </c>
      <c r="S1194" s="87">
        <v>839680</v>
      </c>
      <c r="T1194" s="1">
        <v>4</v>
      </c>
      <c r="U1194" s="88">
        <v>199923.80952380953</v>
      </c>
      <c r="V1194" s="59">
        <v>5.0019054878048781</v>
      </c>
      <c r="X1194" s="98">
        <v>4.2</v>
      </c>
      <c r="Y1194" s="97">
        <v>330.2714285714286</v>
      </c>
    </row>
    <row r="1195" spans="1:25">
      <c r="A1195" s="58">
        <v>1197</v>
      </c>
      <c r="B1195" s="58">
        <v>1197</v>
      </c>
      <c r="C1195" s="58" t="s">
        <v>1841</v>
      </c>
      <c r="D1195" s="58" t="s">
        <v>1190</v>
      </c>
      <c r="E1195" s="58" t="s">
        <v>1190</v>
      </c>
      <c r="F1195" s="58" t="s">
        <v>1842</v>
      </c>
      <c r="G1195" s="58" t="s">
        <v>1843</v>
      </c>
      <c r="H1195" s="58" t="s">
        <v>199</v>
      </c>
      <c r="I1195">
        <v>110000</v>
      </c>
      <c r="J1195">
        <v>110000</v>
      </c>
      <c r="K1195">
        <v>38000</v>
      </c>
      <c r="L1195" s="74">
        <v>5.6150000000000002</v>
      </c>
      <c r="M1195" s="85">
        <v>6</v>
      </c>
      <c r="N1195" s="74">
        <v>0.19600000000000001</v>
      </c>
      <c r="O1195">
        <v>3</v>
      </c>
      <c r="P1195" s="84">
        <v>0.19600000000000001</v>
      </c>
      <c r="Q1195" s="86">
        <v>4.2</v>
      </c>
      <c r="R1195" s="85">
        <v>4.2</v>
      </c>
      <c r="S1195" s="87">
        <v>1732670</v>
      </c>
      <c r="T1195" s="1">
        <v>7</v>
      </c>
      <c r="U1195" s="88">
        <v>412540.47619047615</v>
      </c>
      <c r="V1195" s="59">
        <v>2.4240045709800482</v>
      </c>
      <c r="X1195" s="98">
        <v>4.2</v>
      </c>
      <c r="Y1195" s="97">
        <v>199.92380952380952</v>
      </c>
    </row>
    <row r="1196" spans="1:25">
      <c r="A1196" s="58">
        <v>1198</v>
      </c>
      <c r="B1196" s="58">
        <v>1198</v>
      </c>
      <c r="C1196" s="58" t="s">
        <v>1844</v>
      </c>
      <c r="D1196" s="58" t="s">
        <v>346</v>
      </c>
      <c r="E1196" s="58" t="s">
        <v>346</v>
      </c>
      <c r="F1196" s="58" t="s">
        <v>941</v>
      </c>
      <c r="G1196" s="58" t="s">
        <v>942</v>
      </c>
      <c r="H1196" s="58" t="s">
        <v>179</v>
      </c>
      <c r="I1196">
        <v>38000</v>
      </c>
      <c r="J1196">
        <v>38000</v>
      </c>
      <c r="K1196">
        <v>10000</v>
      </c>
      <c r="L1196" s="74">
        <v>2.3490000000000002</v>
      </c>
      <c r="M1196" s="85">
        <v>3</v>
      </c>
      <c r="N1196" s="74">
        <v>0.13400000000000001</v>
      </c>
      <c r="O1196">
        <v>3</v>
      </c>
      <c r="P1196" s="84">
        <v>0.13400000000000001</v>
      </c>
      <c r="Q1196" s="86">
        <v>4.2</v>
      </c>
      <c r="R1196" s="85">
        <v>4.2</v>
      </c>
      <c r="S1196" s="87">
        <v>558600</v>
      </c>
      <c r="T1196" s="1">
        <v>4</v>
      </c>
      <c r="U1196" s="88">
        <v>133000</v>
      </c>
      <c r="V1196" s="59">
        <v>7.518796992481203</v>
      </c>
      <c r="X1196" s="98">
        <v>4.2</v>
      </c>
      <c r="Y1196" s="97">
        <v>412.54047619047617</v>
      </c>
    </row>
    <row r="1197" spans="1:25">
      <c r="A1197" s="58">
        <v>1199</v>
      </c>
      <c r="B1197" s="58">
        <v>1199</v>
      </c>
      <c r="C1197" s="58" t="s">
        <v>1845</v>
      </c>
      <c r="D1197" s="58" t="s">
        <v>176</v>
      </c>
      <c r="E1197" s="58" t="s">
        <v>176</v>
      </c>
      <c r="F1197" s="58" t="s">
        <v>262</v>
      </c>
      <c r="G1197" s="58" t="s">
        <v>263</v>
      </c>
      <c r="H1197" s="58" t="s">
        <v>179</v>
      </c>
      <c r="I1197">
        <v>38000</v>
      </c>
      <c r="J1197" s="58" t="s">
        <v>185</v>
      </c>
      <c r="K1197">
        <v>38000</v>
      </c>
      <c r="L1197" s="74">
        <v>7.1840000000000002</v>
      </c>
      <c r="M1197" s="85">
        <v>8</v>
      </c>
      <c r="N1197" s="74">
        <v>0.14199999999999999</v>
      </c>
      <c r="O1197">
        <v>3</v>
      </c>
      <c r="P1197" s="84">
        <v>0.14199999999999999</v>
      </c>
      <c r="Q1197" s="86">
        <v>4.2</v>
      </c>
      <c r="R1197" s="85">
        <v>4.2</v>
      </c>
      <c r="S1197" s="87">
        <v>909950</v>
      </c>
      <c r="T1197" s="1">
        <v>4</v>
      </c>
      <c r="U1197" s="88">
        <v>216654.76190476189</v>
      </c>
      <c r="V1197" s="59">
        <v>4.6156382218803227</v>
      </c>
      <c r="X1197" s="98">
        <v>4.2</v>
      </c>
      <c r="Y1197" s="97">
        <v>133</v>
      </c>
    </row>
    <row r="1198" spans="1:25">
      <c r="A1198" s="58">
        <v>1200</v>
      </c>
      <c r="B1198" s="58">
        <v>1200</v>
      </c>
      <c r="C1198" s="58" t="s">
        <v>1846</v>
      </c>
      <c r="D1198" s="58" t="s">
        <v>176</v>
      </c>
      <c r="E1198" s="58" t="s">
        <v>176</v>
      </c>
      <c r="F1198" s="58" t="s">
        <v>262</v>
      </c>
      <c r="G1198" s="58" t="s">
        <v>263</v>
      </c>
      <c r="H1198" s="58" t="s">
        <v>179</v>
      </c>
      <c r="I1198">
        <v>38000</v>
      </c>
      <c r="J1198" s="58" t="s">
        <v>185</v>
      </c>
      <c r="K1198">
        <v>38000</v>
      </c>
      <c r="L1198" s="74">
        <v>7.0819999999999999</v>
      </c>
      <c r="M1198" s="85">
        <v>8</v>
      </c>
      <c r="N1198" s="74">
        <v>0.14499999999999999</v>
      </c>
      <c r="O1198">
        <v>3</v>
      </c>
      <c r="P1198" s="84">
        <v>0.14499999999999999</v>
      </c>
      <c r="Q1198" s="86">
        <v>4.2</v>
      </c>
      <c r="R1198" s="85">
        <v>4.2</v>
      </c>
      <c r="S1198" s="87">
        <v>909950</v>
      </c>
      <c r="T1198" s="1">
        <v>4</v>
      </c>
      <c r="U1198" s="88">
        <v>216654.76190476189</v>
      </c>
      <c r="V1198" s="59">
        <v>4.6156382218803227</v>
      </c>
      <c r="X1198" s="98">
        <v>4.2</v>
      </c>
      <c r="Y1198" s="97">
        <v>216.6547619047619</v>
      </c>
    </row>
    <row r="1199" spans="1:25">
      <c r="A1199" s="58">
        <v>1201</v>
      </c>
      <c r="B1199" s="58">
        <v>1201</v>
      </c>
      <c r="C1199" s="58" t="s">
        <v>1847</v>
      </c>
      <c r="D1199" s="58" t="s">
        <v>450</v>
      </c>
      <c r="E1199" s="58" t="s">
        <v>450</v>
      </c>
      <c r="F1199" s="58" t="s">
        <v>782</v>
      </c>
      <c r="G1199" s="58" t="s">
        <v>783</v>
      </c>
      <c r="H1199" s="58" t="s">
        <v>199</v>
      </c>
      <c r="I1199">
        <v>110000</v>
      </c>
      <c r="J1199">
        <v>110000</v>
      </c>
      <c r="K1199">
        <v>38000</v>
      </c>
      <c r="L1199" s="74">
        <v>3.2589999999999999</v>
      </c>
      <c r="M1199" s="85">
        <v>4</v>
      </c>
      <c r="N1199" s="74">
        <v>0.26200000000000001</v>
      </c>
      <c r="O1199">
        <v>3</v>
      </c>
      <c r="P1199" s="84">
        <v>0.26200000000000001</v>
      </c>
      <c r="Q1199" s="86">
        <v>4.2</v>
      </c>
      <c r="R1199" s="85">
        <v>4.2</v>
      </c>
      <c r="S1199" s="87">
        <v>1627270</v>
      </c>
      <c r="T1199" s="1">
        <v>7</v>
      </c>
      <c r="U1199" s="88">
        <v>387445.23809523811</v>
      </c>
      <c r="V1199" s="59">
        <v>2.5810099123071155</v>
      </c>
      <c r="X1199" s="98">
        <v>4.2</v>
      </c>
      <c r="Y1199" s="97">
        <v>216.6547619047619</v>
      </c>
    </row>
    <row r="1200" spans="1:25">
      <c r="A1200" s="58">
        <v>1202</v>
      </c>
      <c r="B1200" s="58">
        <v>1202</v>
      </c>
      <c r="C1200" s="58" t="s">
        <v>1848</v>
      </c>
      <c r="D1200" s="58" t="s">
        <v>410</v>
      </c>
      <c r="E1200" s="58" t="s">
        <v>410</v>
      </c>
      <c r="F1200" s="58" t="s">
        <v>863</v>
      </c>
      <c r="G1200" s="58" t="s">
        <v>864</v>
      </c>
      <c r="H1200" s="58" t="s">
        <v>179</v>
      </c>
      <c r="I1200">
        <v>38000</v>
      </c>
      <c r="J1200">
        <v>38000</v>
      </c>
      <c r="K1200" s="58" t="s">
        <v>185</v>
      </c>
      <c r="L1200" s="74">
        <v>5.0419999999999998</v>
      </c>
      <c r="M1200" s="85">
        <v>6</v>
      </c>
      <c r="N1200" s="74">
        <v>0.193</v>
      </c>
      <c r="O1200">
        <v>3</v>
      </c>
      <c r="P1200" s="84">
        <v>0.193</v>
      </c>
      <c r="Q1200" s="86">
        <v>4.2</v>
      </c>
      <c r="R1200" s="85">
        <v>4.2</v>
      </c>
      <c r="S1200" s="87">
        <v>769410</v>
      </c>
      <c r="T1200" s="1">
        <v>4</v>
      </c>
      <c r="U1200" s="88">
        <v>183192.85714285713</v>
      </c>
      <c r="V1200" s="59">
        <v>5.4587281163488903</v>
      </c>
      <c r="X1200" s="98">
        <v>4.2</v>
      </c>
      <c r="Y1200" s="97">
        <v>387.4452380952381</v>
      </c>
    </row>
    <row r="1201" spans="1:25">
      <c r="A1201" s="58">
        <v>1203</v>
      </c>
      <c r="B1201" s="58">
        <v>1203</v>
      </c>
      <c r="C1201" s="58" t="s">
        <v>1849</v>
      </c>
      <c r="D1201" s="58" t="s">
        <v>882</v>
      </c>
      <c r="E1201" s="58" t="s">
        <v>882</v>
      </c>
      <c r="F1201" s="58" t="s">
        <v>1850</v>
      </c>
      <c r="G1201" s="58" t="s">
        <v>1851</v>
      </c>
      <c r="H1201" s="58" t="s">
        <v>199</v>
      </c>
      <c r="I1201">
        <v>110000</v>
      </c>
      <c r="J1201">
        <v>110000</v>
      </c>
      <c r="K1201">
        <v>38000</v>
      </c>
      <c r="L1201" s="74">
        <v>2.9510000000000001</v>
      </c>
      <c r="M1201" s="85">
        <v>3</v>
      </c>
      <c r="N1201" s="74">
        <v>0.29199999999999998</v>
      </c>
      <c r="O1201">
        <v>3</v>
      </c>
      <c r="P1201" s="84">
        <v>0.29199999999999998</v>
      </c>
      <c r="Q1201" s="86">
        <v>4.2</v>
      </c>
      <c r="R1201" s="85">
        <v>4.2</v>
      </c>
      <c r="S1201" s="87">
        <v>1574570</v>
      </c>
      <c r="T1201" s="1">
        <v>7</v>
      </c>
      <c r="U1201" s="88">
        <v>374897.61904761905</v>
      </c>
      <c r="V1201" s="59">
        <v>2.6673949078161021</v>
      </c>
      <c r="X1201" s="98">
        <v>4.2</v>
      </c>
      <c r="Y1201" s="97">
        <v>183.19285714285712</v>
      </c>
    </row>
    <row r="1202" spans="1:25">
      <c r="A1202" s="58">
        <v>1204</v>
      </c>
      <c r="B1202" s="58">
        <v>1204</v>
      </c>
      <c r="C1202" s="58" t="s">
        <v>1852</v>
      </c>
      <c r="D1202" s="58" t="s">
        <v>882</v>
      </c>
      <c r="E1202" s="58" t="s">
        <v>882</v>
      </c>
      <c r="F1202" s="58" t="s">
        <v>1850</v>
      </c>
      <c r="G1202" s="58" t="s">
        <v>1851</v>
      </c>
      <c r="H1202" s="58" t="s">
        <v>199</v>
      </c>
      <c r="I1202">
        <v>110000</v>
      </c>
      <c r="J1202">
        <v>110000</v>
      </c>
      <c r="K1202">
        <v>38000</v>
      </c>
      <c r="L1202" s="74">
        <v>3.8010000000000002</v>
      </c>
      <c r="M1202" s="85">
        <v>4</v>
      </c>
      <c r="N1202" s="74">
        <v>0.20300000000000001</v>
      </c>
      <c r="O1202">
        <v>3</v>
      </c>
      <c r="P1202" s="84">
        <v>0.20300000000000001</v>
      </c>
      <c r="Q1202" s="86">
        <v>4.2</v>
      </c>
      <c r="R1202" s="85">
        <v>4.2</v>
      </c>
      <c r="S1202" s="87">
        <v>1627270</v>
      </c>
      <c r="T1202" s="1">
        <v>7</v>
      </c>
      <c r="U1202" s="88">
        <v>387445.23809523811</v>
      </c>
      <c r="V1202" s="59">
        <v>2.5810099123071155</v>
      </c>
      <c r="X1202" s="98">
        <v>4.2</v>
      </c>
      <c r="Y1202" s="97">
        <v>374.89761904761906</v>
      </c>
    </row>
    <row r="1203" spans="1:25">
      <c r="A1203" s="58">
        <v>1205</v>
      </c>
      <c r="B1203" s="58">
        <v>1205</v>
      </c>
      <c r="C1203" s="58" t="s">
        <v>1853</v>
      </c>
      <c r="D1203" s="58" t="s">
        <v>1190</v>
      </c>
      <c r="E1203" s="58" t="s">
        <v>1190</v>
      </c>
      <c r="F1203" s="58" t="s">
        <v>1854</v>
      </c>
      <c r="G1203" s="58" t="s">
        <v>1855</v>
      </c>
      <c r="H1203" s="58" t="s">
        <v>179</v>
      </c>
      <c r="I1203">
        <v>38000</v>
      </c>
      <c r="J1203">
        <v>38000</v>
      </c>
      <c r="K1203">
        <v>10000</v>
      </c>
      <c r="L1203" s="74">
        <v>5.3460000000000001</v>
      </c>
      <c r="M1203" s="85">
        <v>6</v>
      </c>
      <c r="N1203" s="74">
        <v>9.0999999999999998E-2</v>
      </c>
      <c r="O1203">
        <v>3</v>
      </c>
      <c r="P1203" s="84">
        <v>9.0999999999999998E-2</v>
      </c>
      <c r="Q1203" s="86">
        <v>4.2</v>
      </c>
      <c r="R1203" s="85">
        <v>4.2</v>
      </c>
      <c r="S1203" s="87">
        <v>769410</v>
      </c>
      <c r="T1203" s="1">
        <v>4</v>
      </c>
      <c r="U1203" s="88">
        <v>183192.85714285713</v>
      </c>
      <c r="V1203" s="59">
        <v>5.4587281163488903</v>
      </c>
      <c r="X1203" s="98">
        <v>4.2</v>
      </c>
      <c r="Y1203" s="97">
        <v>387.4452380952381</v>
      </c>
    </row>
    <row r="1204" spans="1:25">
      <c r="A1204" s="58">
        <v>1206</v>
      </c>
      <c r="B1204" s="58">
        <v>1206</v>
      </c>
      <c r="C1204" s="58" t="s">
        <v>1856</v>
      </c>
      <c r="D1204" s="58" t="s">
        <v>197</v>
      </c>
      <c r="E1204" s="58" t="s">
        <v>197</v>
      </c>
      <c r="F1204" s="58" t="s">
        <v>1783</v>
      </c>
      <c r="G1204" s="58" t="s">
        <v>1784</v>
      </c>
      <c r="H1204" s="58" t="s">
        <v>179</v>
      </c>
      <c r="I1204">
        <v>38000</v>
      </c>
      <c r="J1204">
        <v>38000</v>
      </c>
      <c r="K1204">
        <v>10000</v>
      </c>
      <c r="L1204" s="74">
        <v>12.035</v>
      </c>
      <c r="M1204" s="85">
        <v>13</v>
      </c>
      <c r="N1204" s="74">
        <v>0.113</v>
      </c>
      <c r="O1204">
        <v>3</v>
      </c>
      <c r="P1204" s="84">
        <v>0.113</v>
      </c>
      <c r="Q1204" s="86">
        <v>4.2</v>
      </c>
      <c r="R1204" s="85">
        <v>4.2</v>
      </c>
      <c r="S1204" s="87">
        <v>1545240</v>
      </c>
      <c r="T1204" s="1">
        <v>1</v>
      </c>
      <c r="U1204" s="88">
        <v>367914.28571428568</v>
      </c>
      <c r="V1204" s="59">
        <v>2.7180243845616214</v>
      </c>
      <c r="X1204" s="98">
        <v>4.2</v>
      </c>
      <c r="Y1204" s="97">
        <v>183.19285714285712</v>
      </c>
    </row>
    <row r="1205" spans="1:25">
      <c r="A1205" s="58">
        <v>1207</v>
      </c>
      <c r="B1205" s="58">
        <v>1207</v>
      </c>
      <c r="C1205" s="58" t="s">
        <v>1857</v>
      </c>
      <c r="D1205" s="58" t="s">
        <v>197</v>
      </c>
      <c r="E1205" s="58" t="s">
        <v>197</v>
      </c>
      <c r="F1205" s="58" t="s">
        <v>1783</v>
      </c>
      <c r="G1205" s="58" t="s">
        <v>1784</v>
      </c>
      <c r="H1205" s="58" t="s">
        <v>179</v>
      </c>
      <c r="I1205">
        <v>38000</v>
      </c>
      <c r="J1205">
        <v>38000</v>
      </c>
      <c r="K1205">
        <v>10000</v>
      </c>
      <c r="L1205" s="74">
        <v>5.2350000000000003</v>
      </c>
      <c r="M1205" s="85">
        <v>6</v>
      </c>
      <c r="N1205" s="74">
        <v>0.36599999999999999</v>
      </c>
      <c r="O1205">
        <v>3</v>
      </c>
      <c r="P1205" s="84">
        <v>0.36599999999999999</v>
      </c>
      <c r="Q1205" s="86">
        <v>4.2</v>
      </c>
      <c r="R1205" s="85">
        <v>4.2</v>
      </c>
      <c r="S1205" s="87">
        <v>769410</v>
      </c>
      <c r="T1205" s="1">
        <v>4</v>
      </c>
      <c r="U1205" s="88">
        <v>183192.85714285713</v>
      </c>
      <c r="V1205" s="59">
        <v>5.4587281163488903</v>
      </c>
      <c r="X1205" s="98">
        <v>4.2</v>
      </c>
      <c r="Y1205" s="97">
        <v>367.91428571428571</v>
      </c>
    </row>
    <row r="1206" spans="1:25">
      <c r="A1206" s="58">
        <v>1208</v>
      </c>
      <c r="B1206" s="58">
        <v>1208</v>
      </c>
      <c r="C1206" s="58" t="s">
        <v>1858</v>
      </c>
      <c r="D1206" s="58" t="s">
        <v>1811</v>
      </c>
      <c r="E1206" s="58" t="s">
        <v>1811</v>
      </c>
      <c r="F1206" s="58" t="s">
        <v>1698</v>
      </c>
      <c r="G1206" s="58" t="s">
        <v>1699</v>
      </c>
      <c r="H1206" s="58" t="s">
        <v>199</v>
      </c>
      <c r="I1206">
        <v>110000</v>
      </c>
      <c r="J1206">
        <v>110000</v>
      </c>
      <c r="K1206">
        <v>38000</v>
      </c>
      <c r="L1206" s="74">
        <v>5.5049999999999999</v>
      </c>
      <c r="M1206" s="85">
        <v>6</v>
      </c>
      <c r="N1206" s="74">
        <v>0.113</v>
      </c>
      <c r="O1206">
        <v>3</v>
      </c>
      <c r="P1206" s="84">
        <v>0.113</v>
      </c>
      <c r="Q1206" s="86">
        <v>4.2</v>
      </c>
      <c r="R1206" s="85">
        <v>4.2</v>
      </c>
      <c r="S1206" s="87">
        <v>1732670</v>
      </c>
      <c r="T1206" s="1">
        <v>7</v>
      </c>
      <c r="U1206" s="88">
        <v>412540.47619047615</v>
      </c>
      <c r="V1206" s="59">
        <v>2.4240045709800482</v>
      </c>
      <c r="X1206" s="98">
        <v>4.2</v>
      </c>
      <c r="Y1206" s="97">
        <v>183.19285714285712</v>
      </c>
    </row>
    <row r="1207" spans="1:25">
      <c r="A1207" s="58">
        <v>1209</v>
      </c>
      <c r="B1207" s="58">
        <v>1209</v>
      </c>
      <c r="C1207" s="58" t="s">
        <v>1859</v>
      </c>
      <c r="D1207" s="58" t="s">
        <v>1811</v>
      </c>
      <c r="E1207" s="58" t="s">
        <v>1811</v>
      </c>
      <c r="F1207" s="58" t="s">
        <v>1698</v>
      </c>
      <c r="G1207" s="58" t="s">
        <v>1699</v>
      </c>
      <c r="H1207" s="58" t="s">
        <v>199</v>
      </c>
      <c r="I1207">
        <v>110000</v>
      </c>
      <c r="J1207">
        <v>110000</v>
      </c>
      <c r="K1207">
        <v>38000</v>
      </c>
      <c r="L1207" s="74">
        <v>5.41</v>
      </c>
      <c r="M1207" s="85">
        <v>6</v>
      </c>
      <c r="N1207" s="74">
        <v>0.223</v>
      </c>
      <c r="O1207">
        <v>3</v>
      </c>
      <c r="P1207" s="84">
        <v>0.223</v>
      </c>
      <c r="Q1207" s="86">
        <v>4.2</v>
      </c>
      <c r="R1207" s="85">
        <v>4.2</v>
      </c>
      <c r="S1207" s="87">
        <v>1732670</v>
      </c>
      <c r="T1207" s="1">
        <v>7</v>
      </c>
      <c r="U1207" s="88">
        <v>412540.47619047615</v>
      </c>
      <c r="V1207" s="59">
        <v>2.4240045709800482</v>
      </c>
      <c r="X1207" s="98">
        <v>4.2</v>
      </c>
      <c r="Y1207" s="97">
        <v>412.54047619047617</v>
      </c>
    </row>
    <row r="1208" spans="1:25">
      <c r="A1208" s="58">
        <v>1210</v>
      </c>
      <c r="B1208" s="58">
        <v>1210</v>
      </c>
      <c r="C1208" s="58" t="s">
        <v>1860</v>
      </c>
      <c r="D1208" s="58" t="s">
        <v>450</v>
      </c>
      <c r="E1208" s="58" t="s">
        <v>450</v>
      </c>
      <c r="F1208" s="58" t="s">
        <v>931</v>
      </c>
      <c r="G1208" s="58" t="s">
        <v>932</v>
      </c>
      <c r="H1208" s="58" t="s">
        <v>199</v>
      </c>
      <c r="I1208">
        <v>110000</v>
      </c>
      <c r="J1208">
        <v>20000</v>
      </c>
      <c r="K1208">
        <v>110000</v>
      </c>
      <c r="L1208" s="74">
        <v>6.67</v>
      </c>
      <c r="M1208" s="85">
        <v>7</v>
      </c>
      <c r="N1208" s="74">
        <v>0.1</v>
      </c>
      <c r="O1208">
        <v>3</v>
      </c>
      <c r="P1208" s="84">
        <v>0.1</v>
      </c>
      <c r="Q1208" s="86">
        <v>4.2</v>
      </c>
      <c r="R1208" s="85">
        <v>4.2</v>
      </c>
      <c r="S1208" s="87">
        <v>1785370</v>
      </c>
      <c r="T1208" s="1">
        <v>7</v>
      </c>
      <c r="U1208" s="88">
        <v>425088.09523809521</v>
      </c>
      <c r="V1208" s="59">
        <v>2.3524535530450272</v>
      </c>
      <c r="X1208" s="98">
        <v>4.2</v>
      </c>
      <c r="Y1208" s="97">
        <v>412.54047619047617</v>
      </c>
    </row>
    <row r="1209" spans="1:25">
      <c r="A1209" s="58">
        <v>1211</v>
      </c>
      <c r="B1209" s="58">
        <v>1211</v>
      </c>
      <c r="C1209" s="58" t="s">
        <v>1861</v>
      </c>
      <c r="D1209" s="58" t="s">
        <v>489</v>
      </c>
      <c r="E1209" s="58" t="s">
        <v>489</v>
      </c>
      <c r="F1209" s="58" t="s">
        <v>1862</v>
      </c>
      <c r="G1209" s="58" t="s">
        <v>1863</v>
      </c>
      <c r="H1209" s="58" t="s">
        <v>179</v>
      </c>
      <c r="I1209">
        <v>38000</v>
      </c>
      <c r="J1209">
        <v>38000</v>
      </c>
      <c r="K1209" s="58" t="s">
        <v>185</v>
      </c>
      <c r="L1209" s="74">
        <v>3.3940000000000001</v>
      </c>
      <c r="M1209" s="85">
        <v>4</v>
      </c>
      <c r="N1209" s="74">
        <v>0.28799999999999998</v>
      </c>
      <c r="O1209">
        <v>3</v>
      </c>
      <c r="P1209" s="84">
        <v>0.28799999999999998</v>
      </c>
      <c r="Q1209" s="86">
        <v>4.2</v>
      </c>
      <c r="R1209" s="85">
        <v>4.2</v>
      </c>
      <c r="S1209" s="87">
        <v>628870</v>
      </c>
      <c r="T1209" s="1">
        <v>4</v>
      </c>
      <c r="U1209" s="88">
        <v>149730.95238095237</v>
      </c>
      <c r="V1209" s="59">
        <v>6.6786458250512828</v>
      </c>
      <c r="X1209" s="98">
        <v>4.2</v>
      </c>
      <c r="Y1209" s="97">
        <v>425.08809523809521</v>
      </c>
    </row>
    <row r="1210" spans="1:25">
      <c r="A1210" s="58">
        <v>1212</v>
      </c>
      <c r="B1210" s="58">
        <v>1212</v>
      </c>
      <c r="C1210" s="58" t="s">
        <v>1864</v>
      </c>
      <c r="D1210" s="58" t="s">
        <v>1169</v>
      </c>
      <c r="E1210" s="58" t="s">
        <v>1169</v>
      </c>
      <c r="F1210" s="58" t="s">
        <v>1170</v>
      </c>
      <c r="G1210" s="58" t="s">
        <v>1171</v>
      </c>
      <c r="H1210" s="58" t="s">
        <v>179</v>
      </c>
      <c r="I1210">
        <v>38000</v>
      </c>
      <c r="J1210">
        <v>38000</v>
      </c>
      <c r="K1210" s="58" t="s">
        <v>185</v>
      </c>
      <c r="L1210" s="74">
        <v>7.8639999999999999</v>
      </c>
      <c r="M1210" s="85">
        <v>8</v>
      </c>
      <c r="N1210" s="74">
        <v>0.32600000000000001</v>
      </c>
      <c r="O1210">
        <v>3</v>
      </c>
      <c r="P1210" s="84">
        <v>0.32600000000000001</v>
      </c>
      <c r="Q1210" s="86">
        <v>4.2</v>
      </c>
      <c r="R1210" s="85">
        <v>4.2</v>
      </c>
      <c r="S1210" s="87">
        <v>909950</v>
      </c>
      <c r="T1210" s="1">
        <v>4</v>
      </c>
      <c r="U1210" s="88">
        <v>216654.76190476189</v>
      </c>
      <c r="V1210" s="59">
        <v>4.6156382218803227</v>
      </c>
      <c r="X1210" s="98">
        <v>4.2</v>
      </c>
      <c r="Y1210" s="97">
        <v>149.73095238095235</v>
      </c>
    </row>
    <row r="1211" spans="1:25">
      <c r="A1211" s="58">
        <v>1213</v>
      </c>
      <c r="B1211" s="58">
        <v>1213</v>
      </c>
      <c r="C1211" s="58" t="s">
        <v>1865</v>
      </c>
      <c r="D1211" s="58" t="s">
        <v>410</v>
      </c>
      <c r="E1211" s="58" t="s">
        <v>410</v>
      </c>
      <c r="F1211" s="58" t="s">
        <v>1866</v>
      </c>
      <c r="G1211" s="58" t="s">
        <v>1867</v>
      </c>
      <c r="H1211" s="58" t="s">
        <v>179</v>
      </c>
      <c r="I1211">
        <v>38000</v>
      </c>
      <c r="J1211">
        <v>38000</v>
      </c>
      <c r="K1211" s="58" t="s">
        <v>185</v>
      </c>
      <c r="L1211" s="74">
        <v>13.053000000000001</v>
      </c>
      <c r="M1211" s="85">
        <v>14</v>
      </c>
      <c r="N1211" s="74">
        <v>0.31</v>
      </c>
      <c r="O1211">
        <v>3</v>
      </c>
      <c r="P1211" s="84">
        <v>0.31</v>
      </c>
      <c r="Q1211" s="86">
        <v>4.2</v>
      </c>
      <c r="R1211" s="85">
        <v>4.2</v>
      </c>
      <c r="S1211" s="87">
        <v>1597940</v>
      </c>
      <c r="T1211" s="1">
        <v>1</v>
      </c>
      <c r="U1211" s="88">
        <v>380461.90476190473</v>
      </c>
      <c r="V1211" s="59">
        <v>2.6283840444572388</v>
      </c>
      <c r="X1211" s="98">
        <v>4.2</v>
      </c>
      <c r="Y1211" s="97">
        <v>216.6547619047619</v>
      </c>
    </row>
    <row r="1212" spans="1:25">
      <c r="A1212" s="58">
        <v>1214</v>
      </c>
      <c r="B1212" s="58">
        <v>1214</v>
      </c>
      <c r="C1212" s="58" t="s">
        <v>1868</v>
      </c>
      <c r="D1212" s="58" t="s">
        <v>410</v>
      </c>
      <c r="E1212" s="58" t="s">
        <v>410</v>
      </c>
      <c r="F1212" s="58" t="s">
        <v>1869</v>
      </c>
      <c r="G1212" s="58" t="s">
        <v>1870</v>
      </c>
      <c r="H1212" s="58" t="s">
        <v>179</v>
      </c>
      <c r="I1212">
        <v>38000</v>
      </c>
      <c r="J1212">
        <v>38000</v>
      </c>
      <c r="K1212" s="58" t="s">
        <v>185</v>
      </c>
      <c r="L1212" s="74">
        <v>16.259</v>
      </c>
      <c r="M1212" s="85">
        <v>17</v>
      </c>
      <c r="N1212" s="74">
        <v>0.114</v>
      </c>
      <c r="O1212">
        <v>3</v>
      </c>
      <c r="P1212" s="84">
        <v>0.114</v>
      </c>
      <c r="Q1212" s="86">
        <v>4.2</v>
      </c>
      <c r="R1212" s="85">
        <v>4.2</v>
      </c>
      <c r="S1212" s="87">
        <v>1756040</v>
      </c>
      <c r="T1212" s="1">
        <v>1</v>
      </c>
      <c r="U1212" s="88">
        <v>418104.76190476189</v>
      </c>
      <c r="V1212" s="59">
        <v>2.3917450627548349</v>
      </c>
      <c r="X1212" s="98">
        <v>4.2</v>
      </c>
      <c r="Y1212" s="97">
        <v>380.46190476190475</v>
      </c>
    </row>
    <row r="1213" spans="1:25">
      <c r="A1213" s="58">
        <v>1215</v>
      </c>
      <c r="B1213" s="58">
        <v>1215</v>
      </c>
      <c r="C1213" s="58" t="s">
        <v>1871</v>
      </c>
      <c r="D1213" s="58" t="s">
        <v>197</v>
      </c>
      <c r="E1213" s="58" t="s">
        <v>197</v>
      </c>
      <c r="F1213" s="58" t="s">
        <v>486</v>
      </c>
      <c r="G1213" s="58" t="s">
        <v>487</v>
      </c>
      <c r="H1213" s="58" t="s">
        <v>179</v>
      </c>
      <c r="I1213">
        <v>38000</v>
      </c>
      <c r="J1213">
        <v>38000</v>
      </c>
      <c r="K1213" s="58" t="s">
        <v>185</v>
      </c>
      <c r="L1213" s="74">
        <v>11.444000000000001</v>
      </c>
      <c r="M1213" s="85">
        <v>12</v>
      </c>
      <c r="N1213" s="74">
        <v>0.372</v>
      </c>
      <c r="O1213">
        <v>3</v>
      </c>
      <c r="P1213" s="84">
        <v>0.372</v>
      </c>
      <c r="Q1213" s="86">
        <v>4.2</v>
      </c>
      <c r="R1213" s="85">
        <v>4.2</v>
      </c>
      <c r="S1213" s="87">
        <v>1492540</v>
      </c>
      <c r="T1213" s="1">
        <v>1</v>
      </c>
      <c r="U1213" s="88">
        <v>355366.66666666663</v>
      </c>
      <c r="V1213" s="59">
        <v>2.8139949348091173</v>
      </c>
      <c r="X1213" s="98">
        <v>4.2</v>
      </c>
      <c r="Y1213" s="97">
        <v>418.10476190476186</v>
      </c>
    </row>
    <row r="1214" spans="1:25">
      <c r="A1214" s="58">
        <v>1216</v>
      </c>
      <c r="B1214" s="58">
        <v>1216</v>
      </c>
      <c r="C1214" s="58" t="s">
        <v>1872</v>
      </c>
      <c r="D1214" s="58" t="s">
        <v>410</v>
      </c>
      <c r="E1214" s="58" t="s">
        <v>410</v>
      </c>
      <c r="F1214" s="58" t="s">
        <v>1869</v>
      </c>
      <c r="G1214" s="58" t="s">
        <v>1870</v>
      </c>
      <c r="H1214" s="58" t="s">
        <v>179</v>
      </c>
      <c r="I1214">
        <v>38000</v>
      </c>
      <c r="J1214">
        <v>38000</v>
      </c>
      <c r="K1214" s="58" t="s">
        <v>185</v>
      </c>
      <c r="L1214" s="74">
        <v>10.840999999999999</v>
      </c>
      <c r="M1214" s="85">
        <v>11</v>
      </c>
      <c r="N1214" s="74">
        <v>0.12</v>
      </c>
      <c r="O1214">
        <v>3</v>
      </c>
      <c r="P1214" s="84">
        <v>0.12</v>
      </c>
      <c r="Q1214" s="86">
        <v>4.2</v>
      </c>
      <c r="R1214" s="85">
        <v>4.2</v>
      </c>
      <c r="S1214" s="87">
        <v>1439840</v>
      </c>
      <c r="T1214" s="1">
        <v>1</v>
      </c>
      <c r="U1214" s="88">
        <v>342819.04761904763</v>
      </c>
      <c r="V1214" s="59">
        <v>2.9169907767529724</v>
      </c>
      <c r="X1214" s="98">
        <v>4.2</v>
      </c>
      <c r="Y1214" s="97">
        <v>355.36666666666662</v>
      </c>
    </row>
    <row r="1215" spans="1:25">
      <c r="A1215" s="58">
        <v>1217</v>
      </c>
      <c r="B1215" s="58">
        <v>1217</v>
      </c>
      <c r="C1215" s="58" t="s">
        <v>1873</v>
      </c>
      <c r="D1215" s="58" t="s">
        <v>1811</v>
      </c>
      <c r="E1215" s="58" t="s">
        <v>1811</v>
      </c>
      <c r="F1215" s="58" t="s">
        <v>1815</v>
      </c>
      <c r="G1215" s="58" t="s">
        <v>1816</v>
      </c>
      <c r="H1215" s="58" t="s">
        <v>199</v>
      </c>
      <c r="I1215">
        <v>110000</v>
      </c>
      <c r="J1215">
        <v>110000</v>
      </c>
      <c r="K1215">
        <v>38000</v>
      </c>
      <c r="L1215" s="74">
        <v>4.4370000000000003</v>
      </c>
      <c r="M1215" s="85">
        <v>5</v>
      </c>
      <c r="N1215" s="74">
        <v>0.11899999999999999</v>
      </c>
      <c r="O1215">
        <v>3</v>
      </c>
      <c r="P1215" s="84">
        <v>0.11899999999999999</v>
      </c>
      <c r="Q1215" s="86">
        <v>4.2</v>
      </c>
      <c r="R1215" s="85">
        <v>4.2</v>
      </c>
      <c r="S1215" s="87">
        <v>1679970</v>
      </c>
      <c r="T1215" s="1">
        <v>7</v>
      </c>
      <c r="U1215" s="88">
        <v>399992.8571428571</v>
      </c>
      <c r="V1215" s="59">
        <v>2.5000446436543511</v>
      </c>
      <c r="X1215" s="98">
        <v>4.2</v>
      </c>
      <c r="Y1215" s="97">
        <v>342.81904761904764</v>
      </c>
    </row>
    <row r="1216" spans="1:25">
      <c r="A1216" s="58">
        <v>1218</v>
      </c>
      <c r="B1216" s="58">
        <v>1218</v>
      </c>
      <c r="C1216" s="58" t="s">
        <v>1874</v>
      </c>
      <c r="D1216" s="58" t="s">
        <v>1811</v>
      </c>
      <c r="E1216" s="58" t="s">
        <v>1811</v>
      </c>
      <c r="F1216" s="58" t="s">
        <v>1815</v>
      </c>
      <c r="G1216" s="58" t="s">
        <v>1816</v>
      </c>
      <c r="H1216" s="58" t="s">
        <v>199</v>
      </c>
      <c r="I1216">
        <v>110000</v>
      </c>
      <c r="J1216">
        <v>110000</v>
      </c>
      <c r="K1216">
        <v>38000</v>
      </c>
      <c r="L1216" s="74">
        <v>2.9780000000000002</v>
      </c>
      <c r="M1216" s="85">
        <v>3</v>
      </c>
      <c r="N1216" s="74">
        <v>0.16400000000000001</v>
      </c>
      <c r="O1216">
        <v>3</v>
      </c>
      <c r="P1216" s="84">
        <v>0.16400000000000001</v>
      </c>
      <c r="Q1216" s="86">
        <v>4.2</v>
      </c>
      <c r="R1216" s="85">
        <v>4.2</v>
      </c>
      <c r="S1216" s="87">
        <v>1574570</v>
      </c>
      <c r="T1216" s="1">
        <v>7</v>
      </c>
      <c r="U1216" s="88">
        <v>374897.61904761905</v>
      </c>
      <c r="V1216" s="59">
        <v>2.6673949078161021</v>
      </c>
      <c r="X1216" s="98">
        <v>4.2</v>
      </c>
      <c r="Y1216" s="97">
        <v>399.99285714285708</v>
      </c>
    </row>
    <row r="1217" spans="1:25">
      <c r="A1217" s="58">
        <v>1219</v>
      </c>
      <c r="B1217" s="58">
        <v>1219</v>
      </c>
      <c r="C1217" s="58" t="s">
        <v>1875</v>
      </c>
      <c r="D1217" s="58" t="s">
        <v>182</v>
      </c>
      <c r="E1217" s="58" t="s">
        <v>182</v>
      </c>
      <c r="F1217" s="58" t="s">
        <v>1876</v>
      </c>
      <c r="G1217" s="58" t="s">
        <v>1877</v>
      </c>
      <c r="H1217" s="58" t="s">
        <v>179</v>
      </c>
      <c r="I1217">
        <v>38000</v>
      </c>
      <c r="J1217">
        <v>38000</v>
      </c>
      <c r="K1217">
        <v>20000</v>
      </c>
      <c r="L1217" s="74">
        <v>10.488</v>
      </c>
      <c r="M1217" s="85">
        <v>11</v>
      </c>
      <c r="N1217" s="74">
        <v>9.1999999999999998E-2</v>
      </c>
      <c r="O1217">
        <v>3</v>
      </c>
      <c r="P1217" s="84">
        <v>9.1999999999999998E-2</v>
      </c>
      <c r="Q1217" s="86">
        <v>4.2</v>
      </c>
      <c r="R1217" s="85">
        <v>4.2</v>
      </c>
      <c r="S1217" s="87">
        <v>1439840</v>
      </c>
      <c r="T1217" s="1">
        <v>1</v>
      </c>
      <c r="U1217" s="88">
        <v>342819.04761904763</v>
      </c>
      <c r="V1217" s="59">
        <v>2.9169907767529724</v>
      </c>
      <c r="X1217" s="98">
        <v>4.2</v>
      </c>
      <c r="Y1217" s="97">
        <v>374.89761904761906</v>
      </c>
    </row>
    <row r="1218" spans="1:25">
      <c r="A1218" s="58">
        <v>1220</v>
      </c>
      <c r="B1218" s="58">
        <v>1220</v>
      </c>
      <c r="C1218" s="58" t="s">
        <v>1878</v>
      </c>
      <c r="D1218" s="58" t="s">
        <v>410</v>
      </c>
      <c r="E1218" s="58" t="s">
        <v>410</v>
      </c>
      <c r="F1218" s="58" t="s">
        <v>1879</v>
      </c>
      <c r="G1218" s="58" t="s">
        <v>1880</v>
      </c>
      <c r="H1218" s="58" t="s">
        <v>199</v>
      </c>
      <c r="I1218">
        <v>110000</v>
      </c>
      <c r="J1218">
        <v>110000</v>
      </c>
      <c r="K1218">
        <v>38000</v>
      </c>
      <c r="L1218" s="74">
        <v>6.45</v>
      </c>
      <c r="M1218" s="85">
        <v>7</v>
      </c>
      <c r="N1218" s="74">
        <v>0.23799999999999999</v>
      </c>
      <c r="O1218">
        <v>3</v>
      </c>
      <c r="P1218" s="84">
        <v>0.23799999999999999</v>
      </c>
      <c r="Q1218" s="86">
        <v>4.2</v>
      </c>
      <c r="R1218" s="85">
        <v>4.2</v>
      </c>
      <c r="S1218" s="87">
        <v>1785370</v>
      </c>
      <c r="T1218" s="1">
        <v>7</v>
      </c>
      <c r="U1218" s="88">
        <v>425088.09523809521</v>
      </c>
      <c r="V1218" s="59">
        <v>2.3524535530450272</v>
      </c>
      <c r="X1218" s="98">
        <v>4.2</v>
      </c>
      <c r="Y1218" s="97">
        <v>342.81904761904764</v>
      </c>
    </row>
    <row r="1219" spans="1:25">
      <c r="A1219" s="58">
        <v>1221</v>
      </c>
      <c r="B1219" s="58">
        <v>1221</v>
      </c>
      <c r="C1219" s="58" t="s">
        <v>1881</v>
      </c>
      <c r="D1219" s="58" t="s">
        <v>1169</v>
      </c>
      <c r="E1219" s="58" t="s">
        <v>1169</v>
      </c>
      <c r="F1219" s="58" t="s">
        <v>869</v>
      </c>
      <c r="G1219" s="58" t="s">
        <v>870</v>
      </c>
      <c r="H1219" s="58" t="s">
        <v>179</v>
      </c>
      <c r="I1219">
        <v>38000</v>
      </c>
      <c r="J1219">
        <v>38000</v>
      </c>
      <c r="K1219" s="58" t="s">
        <v>185</v>
      </c>
      <c r="L1219" s="74">
        <v>8.5299999999999994</v>
      </c>
      <c r="M1219" s="85">
        <v>9</v>
      </c>
      <c r="N1219" s="74">
        <v>0.123</v>
      </c>
      <c r="O1219">
        <v>3</v>
      </c>
      <c r="P1219" s="84">
        <v>0.123</v>
      </c>
      <c r="Q1219" s="86">
        <v>4.2</v>
      </c>
      <c r="R1219" s="85">
        <v>4.2</v>
      </c>
      <c r="S1219" s="87">
        <v>1334440</v>
      </c>
      <c r="T1219" s="1">
        <v>1</v>
      </c>
      <c r="U1219" s="88">
        <v>317723.80952380953</v>
      </c>
      <c r="V1219" s="59">
        <v>3.1473876682353645</v>
      </c>
      <c r="X1219" s="98">
        <v>4.2</v>
      </c>
      <c r="Y1219" s="97">
        <v>425.08809523809521</v>
      </c>
    </row>
    <row r="1220" spans="1:25">
      <c r="A1220" s="58">
        <v>1222</v>
      </c>
      <c r="B1220" s="58">
        <v>1222</v>
      </c>
      <c r="C1220" s="58" t="s">
        <v>1882</v>
      </c>
      <c r="D1220" s="58" t="s">
        <v>1169</v>
      </c>
      <c r="E1220" s="58" t="s">
        <v>1169</v>
      </c>
      <c r="F1220" s="58" t="s">
        <v>869</v>
      </c>
      <c r="G1220" s="58" t="s">
        <v>870</v>
      </c>
      <c r="H1220" s="58" t="s">
        <v>179</v>
      </c>
      <c r="I1220">
        <v>38000</v>
      </c>
      <c r="J1220">
        <v>38000</v>
      </c>
      <c r="K1220" s="58" t="s">
        <v>185</v>
      </c>
      <c r="L1220" s="74">
        <v>8.2159999999999993</v>
      </c>
      <c r="M1220" s="85">
        <v>9</v>
      </c>
      <c r="N1220" s="74">
        <v>9.2999999999999999E-2</v>
      </c>
      <c r="O1220">
        <v>3</v>
      </c>
      <c r="P1220" s="84">
        <v>9.2999999999999999E-2</v>
      </c>
      <c r="Q1220" s="86">
        <v>4.2</v>
      </c>
      <c r="R1220" s="85">
        <v>4.2</v>
      </c>
      <c r="S1220" s="87">
        <v>1334440</v>
      </c>
      <c r="T1220" s="1">
        <v>1</v>
      </c>
      <c r="U1220" s="88">
        <v>317723.80952380953</v>
      </c>
      <c r="V1220" s="59">
        <v>3.1473876682353645</v>
      </c>
      <c r="X1220" s="98">
        <v>4.2</v>
      </c>
      <c r="Y1220" s="97">
        <v>317.72380952380951</v>
      </c>
    </row>
    <row r="1221" spans="1:25">
      <c r="A1221" s="58">
        <v>1223</v>
      </c>
      <c r="B1221" s="58">
        <v>1223</v>
      </c>
      <c r="C1221" s="58" t="s">
        <v>1883</v>
      </c>
      <c r="D1221" s="58" t="s">
        <v>1169</v>
      </c>
      <c r="E1221" s="58" t="s">
        <v>1169</v>
      </c>
      <c r="F1221" s="58" t="s">
        <v>1884</v>
      </c>
      <c r="G1221" s="58" t="s">
        <v>1885</v>
      </c>
      <c r="H1221" s="58" t="s">
        <v>179</v>
      </c>
      <c r="I1221">
        <v>38000</v>
      </c>
      <c r="J1221">
        <v>38000</v>
      </c>
      <c r="K1221" s="58" t="s">
        <v>185</v>
      </c>
      <c r="L1221" s="74">
        <v>8.5289999999999999</v>
      </c>
      <c r="M1221" s="85">
        <v>9</v>
      </c>
      <c r="N1221" s="74">
        <v>0.40500000000000003</v>
      </c>
      <c r="O1221">
        <v>3</v>
      </c>
      <c r="P1221" s="84">
        <v>0.40500000000000003</v>
      </c>
      <c r="Q1221" s="86">
        <v>4.2</v>
      </c>
      <c r="R1221" s="85">
        <v>4.2</v>
      </c>
      <c r="S1221" s="87">
        <v>1334440</v>
      </c>
      <c r="T1221" s="1">
        <v>1</v>
      </c>
      <c r="U1221" s="88">
        <v>317723.80952380953</v>
      </c>
      <c r="V1221" s="59">
        <v>3.1473876682353645</v>
      </c>
      <c r="X1221" s="98">
        <v>4.2</v>
      </c>
      <c r="Y1221" s="97">
        <v>317.72380952380951</v>
      </c>
    </row>
    <row r="1222" spans="1:25">
      <c r="A1222" s="58">
        <v>1224</v>
      </c>
      <c r="B1222" s="58">
        <v>1224</v>
      </c>
      <c r="C1222" s="58" t="s">
        <v>1886</v>
      </c>
      <c r="D1222" s="58" t="s">
        <v>197</v>
      </c>
      <c r="E1222" s="58" t="s">
        <v>197</v>
      </c>
      <c r="F1222" s="58" t="s">
        <v>1783</v>
      </c>
      <c r="G1222" s="58" t="s">
        <v>1784</v>
      </c>
      <c r="H1222" s="58" t="s">
        <v>179</v>
      </c>
      <c r="I1222">
        <v>38000</v>
      </c>
      <c r="J1222">
        <v>38000</v>
      </c>
      <c r="K1222">
        <v>10000</v>
      </c>
      <c r="L1222" s="74">
        <v>11.773</v>
      </c>
      <c r="M1222" s="85">
        <v>12</v>
      </c>
      <c r="N1222" s="74">
        <v>0.2</v>
      </c>
      <c r="O1222">
        <v>3</v>
      </c>
      <c r="P1222" s="84">
        <v>0.2</v>
      </c>
      <c r="Q1222" s="86">
        <v>4.2</v>
      </c>
      <c r="R1222" s="85">
        <v>4.2</v>
      </c>
      <c r="S1222" s="87">
        <v>1492540</v>
      </c>
      <c r="T1222" s="1">
        <v>1</v>
      </c>
      <c r="U1222" s="88">
        <v>355366.66666666663</v>
      </c>
      <c r="V1222" s="59">
        <v>2.8139949348091173</v>
      </c>
      <c r="X1222" s="98">
        <v>4.2</v>
      </c>
      <c r="Y1222" s="97">
        <v>317.72380952380951</v>
      </c>
    </row>
    <row r="1223" spans="1:25">
      <c r="A1223" s="58">
        <v>1225</v>
      </c>
      <c r="B1223" s="58">
        <v>1225</v>
      </c>
      <c r="C1223" s="58" t="s">
        <v>1887</v>
      </c>
      <c r="D1223" s="58" t="s">
        <v>182</v>
      </c>
      <c r="E1223" s="58" t="s">
        <v>182</v>
      </c>
      <c r="F1223" s="58" t="s">
        <v>486</v>
      </c>
      <c r="G1223" s="58" t="s">
        <v>487</v>
      </c>
      <c r="H1223" s="58" t="s">
        <v>179</v>
      </c>
      <c r="I1223">
        <v>38000</v>
      </c>
      <c r="J1223">
        <v>38000</v>
      </c>
      <c r="K1223" s="58" t="s">
        <v>185</v>
      </c>
      <c r="L1223" s="74">
        <v>4.1139999999999999</v>
      </c>
      <c r="M1223" s="85">
        <v>5</v>
      </c>
      <c r="N1223" s="74">
        <v>0.18</v>
      </c>
      <c r="O1223">
        <v>3</v>
      </c>
      <c r="P1223" s="84">
        <v>0.18</v>
      </c>
      <c r="Q1223" s="86">
        <v>4.2</v>
      </c>
      <c r="R1223" s="85">
        <v>4.2</v>
      </c>
      <c r="S1223" s="87">
        <v>699140</v>
      </c>
      <c r="T1223" s="1">
        <v>4</v>
      </c>
      <c r="U1223" s="88">
        <v>166461.90476190476</v>
      </c>
      <c r="V1223" s="59">
        <v>6.0073804960379897</v>
      </c>
      <c r="X1223" s="98">
        <v>4.2</v>
      </c>
      <c r="Y1223" s="97">
        <v>355.36666666666662</v>
      </c>
    </row>
    <row r="1224" spans="1:25">
      <c r="A1224" s="58">
        <v>1226</v>
      </c>
      <c r="B1224" s="58">
        <v>1226</v>
      </c>
      <c r="C1224" s="58" t="s">
        <v>1888</v>
      </c>
      <c r="D1224" s="58" t="s">
        <v>882</v>
      </c>
      <c r="E1224" s="58" t="s">
        <v>882</v>
      </c>
      <c r="F1224" s="58" t="s">
        <v>1889</v>
      </c>
      <c r="G1224" s="58" t="s">
        <v>1890</v>
      </c>
      <c r="H1224" s="58" t="s">
        <v>179</v>
      </c>
      <c r="I1224">
        <v>38000</v>
      </c>
      <c r="J1224">
        <v>38000</v>
      </c>
      <c r="K1224" s="58" t="s">
        <v>185</v>
      </c>
      <c r="L1224" s="74">
        <v>10.558999999999999</v>
      </c>
      <c r="M1224" s="85">
        <v>11</v>
      </c>
      <c r="N1224" s="74">
        <v>0.157</v>
      </c>
      <c r="O1224">
        <v>3</v>
      </c>
      <c r="P1224" s="84">
        <v>0.157</v>
      </c>
      <c r="Q1224" s="86">
        <v>4.2</v>
      </c>
      <c r="R1224" s="85">
        <v>4.2</v>
      </c>
      <c r="S1224" s="87">
        <v>1439840</v>
      </c>
      <c r="T1224" s="1">
        <v>1</v>
      </c>
      <c r="U1224" s="88">
        <v>342819.04761904763</v>
      </c>
      <c r="V1224" s="59">
        <v>2.9169907767529724</v>
      </c>
      <c r="X1224" s="98">
        <v>4.2</v>
      </c>
      <c r="Y1224" s="97">
        <v>166.46190476190475</v>
      </c>
    </row>
    <row r="1225" spans="1:25">
      <c r="A1225" s="58">
        <v>1227</v>
      </c>
      <c r="B1225" s="58">
        <v>1227</v>
      </c>
      <c r="C1225" s="58" t="s">
        <v>1891</v>
      </c>
      <c r="D1225" s="58" t="s">
        <v>882</v>
      </c>
      <c r="E1225" s="58" t="s">
        <v>882</v>
      </c>
      <c r="F1225" s="58" t="s">
        <v>1889</v>
      </c>
      <c r="G1225" s="58" t="s">
        <v>1890</v>
      </c>
      <c r="H1225" s="58" t="s">
        <v>179</v>
      </c>
      <c r="I1225">
        <v>38000</v>
      </c>
      <c r="J1225">
        <v>38000</v>
      </c>
      <c r="K1225" s="58" t="s">
        <v>185</v>
      </c>
      <c r="L1225" s="74">
        <v>10.69</v>
      </c>
      <c r="M1225" s="85">
        <v>11</v>
      </c>
      <c r="N1225" s="74">
        <v>0.13500000000000001</v>
      </c>
      <c r="O1225">
        <v>3</v>
      </c>
      <c r="P1225" s="84">
        <v>0.13500000000000001</v>
      </c>
      <c r="Q1225" s="86">
        <v>4.2</v>
      </c>
      <c r="R1225" s="85">
        <v>4.2</v>
      </c>
      <c r="S1225" s="87">
        <v>1439840</v>
      </c>
      <c r="T1225" s="1">
        <v>1</v>
      </c>
      <c r="U1225" s="88">
        <v>342819.04761904763</v>
      </c>
      <c r="V1225" s="59">
        <v>2.9169907767529724</v>
      </c>
      <c r="X1225" s="98">
        <v>4.2</v>
      </c>
      <c r="Y1225" s="97">
        <v>342.81904761904764</v>
      </c>
    </row>
    <row r="1226" spans="1:25">
      <c r="A1226" s="58">
        <v>1228</v>
      </c>
      <c r="B1226" s="58">
        <v>1228</v>
      </c>
      <c r="C1226" s="58" t="s">
        <v>1892</v>
      </c>
      <c r="D1226" s="58" t="s">
        <v>182</v>
      </c>
      <c r="E1226" s="58" t="s">
        <v>182</v>
      </c>
      <c r="F1226" s="58" t="s">
        <v>1893</v>
      </c>
      <c r="G1226" s="58" t="s">
        <v>1894</v>
      </c>
      <c r="H1226" s="58" t="s">
        <v>179</v>
      </c>
      <c r="I1226">
        <v>38000</v>
      </c>
      <c r="J1226">
        <v>38000</v>
      </c>
      <c r="K1226" s="58" t="s">
        <v>185</v>
      </c>
      <c r="L1226" s="74">
        <v>15.999000000000001</v>
      </c>
      <c r="M1226" s="85">
        <v>16</v>
      </c>
      <c r="N1226" s="74">
        <v>0.14199999999999999</v>
      </c>
      <c r="O1226">
        <v>3</v>
      </c>
      <c r="P1226" s="84">
        <v>0.14199999999999999</v>
      </c>
      <c r="Q1226" s="86">
        <v>4.2</v>
      </c>
      <c r="R1226" s="85">
        <v>4.2</v>
      </c>
      <c r="S1226" s="87">
        <v>1703340</v>
      </c>
      <c r="T1226" s="1">
        <v>1</v>
      </c>
      <c r="U1226" s="88">
        <v>405557.14285714284</v>
      </c>
      <c r="V1226" s="59">
        <v>2.4657437739969708</v>
      </c>
      <c r="X1226" s="98">
        <v>4.2</v>
      </c>
      <c r="Y1226" s="97">
        <v>342.81904761904764</v>
      </c>
    </row>
    <row r="1227" spans="1:25">
      <c r="A1227" s="58">
        <v>1229</v>
      </c>
      <c r="B1227" s="58">
        <v>1229</v>
      </c>
      <c r="C1227" s="58" t="s">
        <v>1895</v>
      </c>
      <c r="D1227" s="58" t="s">
        <v>182</v>
      </c>
      <c r="E1227" s="58" t="s">
        <v>182</v>
      </c>
      <c r="F1227" s="58" t="s">
        <v>1893</v>
      </c>
      <c r="G1227" s="58" t="s">
        <v>1894</v>
      </c>
      <c r="H1227" s="58" t="s">
        <v>179</v>
      </c>
      <c r="I1227">
        <v>38000</v>
      </c>
      <c r="J1227">
        <v>38000</v>
      </c>
      <c r="K1227" s="58" t="s">
        <v>185</v>
      </c>
      <c r="L1227" s="74">
        <v>15.183999999999999</v>
      </c>
      <c r="M1227" s="85">
        <v>16</v>
      </c>
      <c r="N1227" s="74">
        <v>0.161</v>
      </c>
      <c r="O1227">
        <v>3</v>
      </c>
      <c r="P1227" s="84">
        <v>0.161</v>
      </c>
      <c r="Q1227" s="86">
        <v>4.2</v>
      </c>
      <c r="R1227" s="85">
        <v>4.2</v>
      </c>
      <c r="S1227" s="87">
        <v>1703340</v>
      </c>
      <c r="T1227" s="1">
        <v>1</v>
      </c>
      <c r="U1227" s="88">
        <v>405557.14285714284</v>
      </c>
      <c r="V1227" s="59">
        <v>2.4657437739969708</v>
      </c>
      <c r="X1227" s="98">
        <v>4.2</v>
      </c>
      <c r="Y1227" s="97">
        <v>405.55714285714282</v>
      </c>
    </row>
    <row r="1228" spans="1:25">
      <c r="A1228" s="58">
        <v>1230</v>
      </c>
      <c r="B1228" s="58">
        <v>1230</v>
      </c>
      <c r="C1228" s="58" t="s">
        <v>1896</v>
      </c>
      <c r="D1228" s="58" t="s">
        <v>775</v>
      </c>
      <c r="E1228" s="58" t="s">
        <v>775</v>
      </c>
      <c r="F1228" s="58" t="s">
        <v>1897</v>
      </c>
      <c r="G1228" s="58" t="s">
        <v>1898</v>
      </c>
      <c r="H1228" s="58" t="s">
        <v>179</v>
      </c>
      <c r="I1228">
        <v>38000</v>
      </c>
      <c r="J1228">
        <v>38000</v>
      </c>
      <c r="K1228">
        <v>10000</v>
      </c>
      <c r="L1228" s="74">
        <v>6.4489999999999998</v>
      </c>
      <c r="M1228" s="85">
        <v>7</v>
      </c>
      <c r="N1228" s="74">
        <v>0.43</v>
      </c>
      <c r="O1228">
        <v>3</v>
      </c>
      <c r="P1228" s="84">
        <v>0.43</v>
      </c>
      <c r="Q1228" s="86">
        <v>4.2</v>
      </c>
      <c r="R1228" s="85">
        <v>4.2</v>
      </c>
      <c r="S1228" s="87">
        <v>839680</v>
      </c>
      <c r="T1228" s="1">
        <v>4</v>
      </c>
      <c r="U1228" s="88">
        <v>199923.80952380953</v>
      </c>
      <c r="V1228" s="59">
        <v>5.0019054878048781</v>
      </c>
      <c r="X1228" s="98">
        <v>4.2</v>
      </c>
      <c r="Y1228" s="97">
        <v>405.55714285714282</v>
      </c>
    </row>
    <row r="1229" spans="1:25">
      <c r="A1229" s="58">
        <v>1231</v>
      </c>
      <c r="B1229" s="58">
        <v>1231</v>
      </c>
      <c r="C1229" s="58" t="s">
        <v>1899</v>
      </c>
      <c r="D1229" s="58" t="s">
        <v>852</v>
      </c>
      <c r="E1229" s="58" t="s">
        <v>852</v>
      </c>
      <c r="F1229" s="58" t="s">
        <v>1796</v>
      </c>
      <c r="G1229" s="58" t="s">
        <v>1797</v>
      </c>
      <c r="H1229" s="58" t="s">
        <v>199</v>
      </c>
      <c r="I1229">
        <v>110000</v>
      </c>
      <c r="J1229" s="58" t="s">
        <v>185</v>
      </c>
      <c r="K1229">
        <v>110000</v>
      </c>
      <c r="L1229" s="74">
        <v>6.415</v>
      </c>
      <c r="M1229" s="85">
        <v>7</v>
      </c>
      <c r="N1229" s="74">
        <v>0.112</v>
      </c>
      <c r="O1229">
        <v>3</v>
      </c>
      <c r="P1229" s="84">
        <v>0.112</v>
      </c>
      <c r="Q1229" s="86">
        <v>4.2</v>
      </c>
      <c r="R1229" s="85">
        <v>4.2</v>
      </c>
      <c r="S1229" s="87">
        <v>1785370</v>
      </c>
      <c r="T1229" s="1">
        <v>7</v>
      </c>
      <c r="U1229" s="88">
        <v>425088.09523809521</v>
      </c>
      <c r="V1229" s="59">
        <v>2.3524535530450272</v>
      </c>
      <c r="X1229" s="98">
        <v>4.2</v>
      </c>
      <c r="Y1229" s="97">
        <v>199.92380952380952</v>
      </c>
    </row>
    <row r="1230" spans="1:25">
      <c r="A1230" s="58">
        <v>1232</v>
      </c>
      <c r="B1230" s="58">
        <v>1232</v>
      </c>
      <c r="C1230" s="58" t="s">
        <v>1900</v>
      </c>
      <c r="D1230" s="58" t="s">
        <v>410</v>
      </c>
      <c r="E1230" s="58" t="s">
        <v>410</v>
      </c>
      <c r="F1230" s="58" t="s">
        <v>411</v>
      </c>
      <c r="G1230" s="58" t="s">
        <v>412</v>
      </c>
      <c r="H1230" s="58" t="s">
        <v>179</v>
      </c>
      <c r="I1230">
        <v>38000</v>
      </c>
      <c r="J1230">
        <v>38000</v>
      </c>
      <c r="K1230" s="58" t="s">
        <v>185</v>
      </c>
      <c r="L1230" s="74">
        <v>6.234</v>
      </c>
      <c r="M1230" s="85">
        <v>7</v>
      </c>
      <c r="N1230" s="74">
        <v>0.248</v>
      </c>
      <c r="O1230">
        <v>3</v>
      </c>
      <c r="P1230" s="84">
        <v>0.248</v>
      </c>
      <c r="Q1230" s="86">
        <v>4.2</v>
      </c>
      <c r="R1230" s="85">
        <v>4.2</v>
      </c>
      <c r="S1230" s="87">
        <v>839680</v>
      </c>
      <c r="T1230" s="1">
        <v>4</v>
      </c>
      <c r="U1230" s="88">
        <v>199923.80952380953</v>
      </c>
      <c r="V1230" s="59">
        <v>5.0019054878048781</v>
      </c>
      <c r="X1230" s="98">
        <v>4.2</v>
      </c>
      <c r="Y1230" s="97">
        <v>425.08809523809521</v>
      </c>
    </row>
    <row r="1231" spans="1:25">
      <c r="A1231" s="58">
        <v>1233</v>
      </c>
      <c r="B1231" s="58">
        <v>1233</v>
      </c>
      <c r="C1231" s="58" t="s">
        <v>1901</v>
      </c>
      <c r="D1231" s="58" t="s">
        <v>882</v>
      </c>
      <c r="E1231" s="58" t="s">
        <v>882</v>
      </c>
      <c r="F1231" s="58" t="s">
        <v>1149</v>
      </c>
      <c r="G1231" s="58" t="s">
        <v>1150</v>
      </c>
      <c r="H1231" s="58" t="s">
        <v>179</v>
      </c>
      <c r="I1231">
        <v>38000</v>
      </c>
      <c r="J1231">
        <v>38000</v>
      </c>
      <c r="K1231" s="58" t="s">
        <v>185</v>
      </c>
      <c r="L1231" s="74">
        <v>6.0540000000000003</v>
      </c>
      <c r="M1231" s="85">
        <v>7</v>
      </c>
      <c r="N1231" s="74">
        <v>0.109</v>
      </c>
      <c r="O1231">
        <v>3</v>
      </c>
      <c r="P1231" s="84">
        <v>0.109</v>
      </c>
      <c r="Q1231" s="86">
        <v>4.2</v>
      </c>
      <c r="R1231" s="85">
        <v>4.2</v>
      </c>
      <c r="S1231" s="87">
        <v>839680</v>
      </c>
      <c r="T1231" s="1">
        <v>4</v>
      </c>
      <c r="U1231" s="88">
        <v>199923.80952380953</v>
      </c>
      <c r="V1231" s="59">
        <v>5.0019054878048781</v>
      </c>
      <c r="X1231" s="98">
        <v>4.2</v>
      </c>
      <c r="Y1231" s="97">
        <v>199.92380952380952</v>
      </c>
    </row>
    <row r="1232" spans="1:25">
      <c r="A1232" s="58">
        <v>1234</v>
      </c>
      <c r="B1232" s="58">
        <v>1234</v>
      </c>
      <c r="C1232" s="58" t="s">
        <v>1902</v>
      </c>
      <c r="D1232" s="58" t="s">
        <v>182</v>
      </c>
      <c r="E1232" s="58" t="s">
        <v>182</v>
      </c>
      <c r="F1232" s="58" t="s">
        <v>1903</v>
      </c>
      <c r="G1232" s="58" t="s">
        <v>1904</v>
      </c>
      <c r="H1232" s="58" t="s">
        <v>179</v>
      </c>
      <c r="I1232">
        <v>38000</v>
      </c>
      <c r="J1232">
        <v>38000</v>
      </c>
      <c r="K1232" s="58" t="s">
        <v>185</v>
      </c>
      <c r="L1232" s="74">
        <v>2.8</v>
      </c>
      <c r="M1232" s="85">
        <v>3</v>
      </c>
      <c r="N1232" s="74">
        <v>9.6000000000000002E-2</v>
      </c>
      <c r="O1232">
        <v>3</v>
      </c>
      <c r="P1232" s="84">
        <v>9.6000000000000002E-2</v>
      </c>
      <c r="Q1232" s="86">
        <v>4.2</v>
      </c>
      <c r="R1232" s="85">
        <v>4.2</v>
      </c>
      <c r="S1232" s="87">
        <v>558600</v>
      </c>
      <c r="T1232" s="1">
        <v>4</v>
      </c>
      <c r="U1232" s="88">
        <v>133000</v>
      </c>
      <c r="V1232" s="59">
        <v>7.518796992481203</v>
      </c>
      <c r="X1232" s="98">
        <v>4.2</v>
      </c>
      <c r="Y1232" s="97">
        <v>199.92380952380952</v>
      </c>
    </row>
    <row r="1233" spans="1:25">
      <c r="A1233" s="58">
        <v>1235</v>
      </c>
      <c r="B1233" s="58">
        <v>1235</v>
      </c>
      <c r="C1233" s="58" t="s">
        <v>1905</v>
      </c>
      <c r="D1233" s="58" t="s">
        <v>1190</v>
      </c>
      <c r="E1233" s="58" t="s">
        <v>1190</v>
      </c>
      <c r="F1233" s="58" t="s">
        <v>1906</v>
      </c>
      <c r="G1233" s="58" t="s">
        <v>1907</v>
      </c>
      <c r="H1233" s="58" t="s">
        <v>179</v>
      </c>
      <c r="I1233">
        <v>38000</v>
      </c>
      <c r="J1233">
        <v>38000</v>
      </c>
      <c r="K1233">
        <v>10000</v>
      </c>
      <c r="L1233" s="74">
        <v>4.8410000000000002</v>
      </c>
      <c r="M1233" s="85">
        <v>5</v>
      </c>
      <c r="N1233" s="74">
        <v>0.19800000000000001</v>
      </c>
      <c r="O1233">
        <v>3</v>
      </c>
      <c r="P1233" s="84">
        <v>0.19800000000000001</v>
      </c>
      <c r="Q1233" s="86">
        <v>4.2</v>
      </c>
      <c r="R1233" s="85">
        <v>4.2</v>
      </c>
      <c r="S1233" s="87">
        <v>699140</v>
      </c>
      <c r="T1233" s="1">
        <v>4</v>
      </c>
      <c r="U1233" s="88">
        <v>166461.90476190476</v>
      </c>
      <c r="V1233" s="59">
        <v>6.0073804960379897</v>
      </c>
      <c r="X1233" s="98">
        <v>4.2</v>
      </c>
      <c r="Y1233" s="97">
        <v>133</v>
      </c>
    </row>
    <row r="1234" spans="1:25">
      <c r="A1234" s="58">
        <v>1236</v>
      </c>
      <c r="B1234" s="58">
        <v>1236</v>
      </c>
      <c r="C1234" s="58" t="s">
        <v>1908</v>
      </c>
      <c r="D1234" s="58" t="s">
        <v>852</v>
      </c>
      <c r="E1234" s="58" t="s">
        <v>852</v>
      </c>
      <c r="F1234" s="58" t="s">
        <v>1876</v>
      </c>
      <c r="G1234" s="58" t="s">
        <v>1877</v>
      </c>
      <c r="H1234" s="58" t="s">
        <v>179</v>
      </c>
      <c r="I1234">
        <v>38000</v>
      </c>
      <c r="J1234">
        <v>38000</v>
      </c>
      <c r="K1234">
        <v>20000</v>
      </c>
      <c r="L1234" s="74">
        <v>6.0179999999999998</v>
      </c>
      <c r="M1234" s="85">
        <v>7</v>
      </c>
      <c r="N1234" s="74">
        <v>0.30499999999999999</v>
      </c>
      <c r="O1234">
        <v>3</v>
      </c>
      <c r="P1234" s="84">
        <v>0.30499999999999999</v>
      </c>
      <c r="Q1234" s="86">
        <v>4.2</v>
      </c>
      <c r="R1234" s="85">
        <v>4.2</v>
      </c>
      <c r="S1234" s="87">
        <v>839680</v>
      </c>
      <c r="T1234" s="1">
        <v>4</v>
      </c>
      <c r="U1234" s="88">
        <v>199923.80952380953</v>
      </c>
      <c r="V1234" s="59">
        <v>5.0019054878048781</v>
      </c>
      <c r="X1234" s="98">
        <v>4.2</v>
      </c>
      <c r="Y1234" s="97">
        <v>166.46190476190475</v>
      </c>
    </row>
    <row r="1235" spans="1:25">
      <c r="A1235" s="58">
        <v>1237</v>
      </c>
      <c r="B1235" s="58">
        <v>1237</v>
      </c>
      <c r="C1235" s="58" t="s">
        <v>1909</v>
      </c>
      <c r="D1235" s="58" t="s">
        <v>176</v>
      </c>
      <c r="E1235" s="58" t="s">
        <v>176</v>
      </c>
      <c r="F1235" s="58" t="s">
        <v>257</v>
      </c>
      <c r="G1235" s="58" t="s">
        <v>258</v>
      </c>
      <c r="H1235" s="58" t="s">
        <v>179</v>
      </c>
      <c r="I1235">
        <v>38000</v>
      </c>
      <c r="J1235">
        <v>38000</v>
      </c>
      <c r="K1235">
        <v>20000</v>
      </c>
      <c r="L1235" s="74">
        <v>11.618</v>
      </c>
      <c r="M1235" s="85">
        <v>12</v>
      </c>
      <c r="N1235" s="74">
        <v>9.7000000000000003E-2</v>
      </c>
      <c r="O1235">
        <v>3</v>
      </c>
      <c r="P1235" s="84">
        <v>9.7000000000000003E-2</v>
      </c>
      <c r="Q1235" s="86">
        <v>4.2</v>
      </c>
      <c r="R1235" s="85">
        <v>4.2</v>
      </c>
      <c r="S1235" s="87">
        <v>1492540</v>
      </c>
      <c r="T1235" s="1">
        <v>1</v>
      </c>
      <c r="U1235" s="88">
        <v>355366.66666666663</v>
      </c>
      <c r="V1235" s="59">
        <v>2.8139949348091173</v>
      </c>
      <c r="X1235" s="98">
        <v>4.2</v>
      </c>
      <c r="Y1235" s="97">
        <v>199.92380952380952</v>
      </c>
    </row>
    <row r="1236" spans="1:25">
      <c r="A1236" s="58">
        <v>1238</v>
      </c>
      <c r="B1236" s="58">
        <v>1238</v>
      </c>
      <c r="C1236" s="58" t="s">
        <v>1910</v>
      </c>
      <c r="D1236" s="58" t="s">
        <v>215</v>
      </c>
      <c r="E1236" s="58" t="s">
        <v>215</v>
      </c>
      <c r="F1236" s="58" t="s">
        <v>1695</v>
      </c>
      <c r="G1236" s="58" t="s">
        <v>1696</v>
      </c>
      <c r="H1236" s="58" t="s">
        <v>199</v>
      </c>
      <c r="I1236">
        <v>110000</v>
      </c>
      <c r="L1236" s="74">
        <v>2.048</v>
      </c>
      <c r="M1236" s="85">
        <v>3</v>
      </c>
      <c r="N1236" s="74">
        <v>0.13</v>
      </c>
      <c r="O1236">
        <v>3</v>
      </c>
      <c r="P1236" s="84">
        <v>0.13</v>
      </c>
      <c r="Q1236" s="86">
        <v>4.2</v>
      </c>
      <c r="R1236" s="85">
        <v>4.2</v>
      </c>
      <c r="S1236" s="87">
        <v>1574570</v>
      </c>
      <c r="T1236" s="1">
        <v>7</v>
      </c>
      <c r="U1236" s="88">
        <v>374897.61904761905</v>
      </c>
      <c r="V1236" s="59">
        <v>2.6673949078161021</v>
      </c>
      <c r="X1236" s="98">
        <v>4.2</v>
      </c>
      <c r="Y1236" s="97">
        <v>355.36666666666662</v>
      </c>
    </row>
    <row r="1237" spans="1:25">
      <c r="A1237" s="58">
        <v>1239</v>
      </c>
      <c r="B1237" s="58">
        <v>1239</v>
      </c>
      <c r="C1237" s="58" t="s">
        <v>1911</v>
      </c>
      <c r="D1237" s="58" t="s">
        <v>197</v>
      </c>
      <c r="E1237" s="58" t="s">
        <v>197</v>
      </c>
      <c r="F1237" s="58" t="s">
        <v>1912</v>
      </c>
      <c r="G1237" s="58" t="s">
        <v>1913</v>
      </c>
      <c r="H1237" s="58" t="s">
        <v>179</v>
      </c>
      <c r="I1237">
        <v>38000</v>
      </c>
      <c r="L1237" s="74">
        <v>6.5359999999999996</v>
      </c>
      <c r="M1237" s="85">
        <v>7</v>
      </c>
      <c r="N1237" s="74">
        <v>0.221</v>
      </c>
      <c r="O1237">
        <v>3</v>
      </c>
      <c r="P1237" s="84">
        <v>0.221</v>
      </c>
      <c r="Q1237" s="86">
        <v>4.2</v>
      </c>
      <c r="R1237" s="85">
        <v>4.2</v>
      </c>
      <c r="S1237" s="87">
        <v>839680</v>
      </c>
      <c r="T1237" s="1">
        <v>4</v>
      </c>
      <c r="U1237" s="88">
        <v>199923.80952380953</v>
      </c>
      <c r="V1237" s="59">
        <v>5.0019054878048781</v>
      </c>
      <c r="X1237" s="98">
        <v>4.2</v>
      </c>
      <c r="Y1237" s="97">
        <v>374.89761904761906</v>
      </c>
    </row>
    <row r="1238" spans="1:25">
      <c r="A1238" s="58">
        <v>1240</v>
      </c>
      <c r="B1238" s="58">
        <v>1240</v>
      </c>
      <c r="C1238" s="58" t="s">
        <v>1914</v>
      </c>
      <c r="D1238" s="58" t="s">
        <v>182</v>
      </c>
      <c r="E1238" s="58" t="s">
        <v>182</v>
      </c>
      <c r="F1238" s="58" t="s">
        <v>1790</v>
      </c>
      <c r="G1238" s="58" t="s">
        <v>1791</v>
      </c>
      <c r="H1238" s="58" t="s">
        <v>179</v>
      </c>
      <c r="I1238">
        <v>38000</v>
      </c>
      <c r="J1238">
        <v>38000</v>
      </c>
      <c r="K1238" s="58" t="s">
        <v>185</v>
      </c>
      <c r="L1238" s="74">
        <v>8.5609999999999999</v>
      </c>
      <c r="M1238" s="85">
        <v>9</v>
      </c>
      <c r="N1238" s="74">
        <v>0.156</v>
      </c>
      <c r="O1238">
        <v>3</v>
      </c>
      <c r="P1238" s="84">
        <v>0.156</v>
      </c>
      <c r="Q1238" s="86">
        <v>4.2</v>
      </c>
      <c r="R1238" s="85">
        <v>4.2</v>
      </c>
      <c r="S1238" s="87">
        <v>1334440</v>
      </c>
      <c r="T1238" s="1">
        <v>1</v>
      </c>
      <c r="U1238" s="88">
        <v>317723.80952380953</v>
      </c>
      <c r="V1238" s="59">
        <v>3.1473876682353645</v>
      </c>
      <c r="X1238" s="98">
        <v>4.2</v>
      </c>
      <c r="Y1238" s="97">
        <v>199.92380952380952</v>
      </c>
    </row>
    <row r="1239" spans="1:25">
      <c r="A1239" s="58">
        <v>1241</v>
      </c>
      <c r="B1239" s="58">
        <v>1241</v>
      </c>
      <c r="C1239" s="58" t="s">
        <v>1915</v>
      </c>
      <c r="D1239" s="58" t="s">
        <v>176</v>
      </c>
      <c r="E1239" s="58" t="s">
        <v>176</v>
      </c>
      <c r="F1239" s="58" t="s">
        <v>257</v>
      </c>
      <c r="G1239" s="58" t="s">
        <v>258</v>
      </c>
      <c r="H1239" s="58" t="s">
        <v>179</v>
      </c>
      <c r="I1239">
        <v>38000</v>
      </c>
      <c r="J1239">
        <v>38000</v>
      </c>
      <c r="K1239">
        <v>20000</v>
      </c>
      <c r="L1239" s="74">
        <v>9.8949999999999996</v>
      </c>
      <c r="M1239" s="85">
        <v>10</v>
      </c>
      <c r="N1239" s="74">
        <v>0.23499999999999999</v>
      </c>
      <c r="O1239">
        <v>3</v>
      </c>
      <c r="P1239" s="84">
        <v>0.23499999999999999</v>
      </c>
      <c r="Q1239" s="86">
        <v>4.2</v>
      </c>
      <c r="R1239" s="85">
        <v>4.2</v>
      </c>
      <c r="S1239" s="87">
        <v>1387140</v>
      </c>
      <c r="T1239" s="1">
        <v>1</v>
      </c>
      <c r="U1239" s="88">
        <v>330271.42857142858</v>
      </c>
      <c r="V1239" s="59">
        <v>3.0278126216531858</v>
      </c>
      <c r="X1239" s="98">
        <v>4.2</v>
      </c>
      <c r="Y1239" s="97">
        <v>317.72380952380951</v>
      </c>
    </row>
    <row r="1240" spans="1:25">
      <c r="A1240" s="58">
        <v>1242</v>
      </c>
      <c r="B1240" s="58">
        <v>1242</v>
      </c>
      <c r="C1240" s="58" t="s">
        <v>1916</v>
      </c>
      <c r="D1240" s="58" t="s">
        <v>215</v>
      </c>
      <c r="E1240" s="58" t="s">
        <v>215</v>
      </c>
      <c r="F1240" s="58" t="s">
        <v>1917</v>
      </c>
      <c r="G1240" s="58" t="s">
        <v>1918</v>
      </c>
      <c r="H1240" s="58" t="s">
        <v>179</v>
      </c>
      <c r="I1240">
        <v>38000</v>
      </c>
      <c r="J1240">
        <v>38000</v>
      </c>
      <c r="K1240" s="58" t="s">
        <v>185</v>
      </c>
      <c r="L1240" s="74">
        <v>4.74</v>
      </c>
      <c r="M1240" s="85">
        <v>5</v>
      </c>
      <c r="N1240" s="74">
        <v>0.11700000000000001</v>
      </c>
      <c r="O1240">
        <v>3</v>
      </c>
      <c r="P1240" s="84">
        <v>0.11700000000000001</v>
      </c>
      <c r="Q1240" s="86">
        <v>4.2</v>
      </c>
      <c r="R1240" s="85">
        <v>4.2</v>
      </c>
      <c r="S1240" s="87">
        <v>699140</v>
      </c>
      <c r="T1240" s="1">
        <v>4</v>
      </c>
      <c r="U1240" s="88">
        <v>166461.90476190476</v>
      </c>
      <c r="V1240" s="59">
        <v>6.0073804960379897</v>
      </c>
      <c r="X1240" s="98">
        <v>4.2</v>
      </c>
      <c r="Y1240" s="97">
        <v>330.2714285714286</v>
      </c>
    </row>
    <row r="1241" spans="1:25">
      <c r="A1241" s="58">
        <v>1243</v>
      </c>
      <c r="B1241" s="58">
        <v>1243</v>
      </c>
      <c r="C1241" s="58" t="s">
        <v>1919</v>
      </c>
      <c r="D1241" s="58" t="s">
        <v>489</v>
      </c>
      <c r="E1241" s="58" t="s">
        <v>489</v>
      </c>
      <c r="F1241" s="58" t="s">
        <v>1862</v>
      </c>
      <c r="G1241" s="58" t="s">
        <v>1863</v>
      </c>
      <c r="H1241" s="58" t="s">
        <v>179</v>
      </c>
      <c r="I1241">
        <v>38000</v>
      </c>
      <c r="J1241">
        <v>38000</v>
      </c>
      <c r="K1241" s="58" t="s">
        <v>185</v>
      </c>
      <c r="L1241" s="74">
        <v>7.899</v>
      </c>
      <c r="M1241" s="85">
        <v>8</v>
      </c>
      <c r="N1241" s="74">
        <v>0.35599999999999998</v>
      </c>
      <c r="O1241">
        <v>3</v>
      </c>
      <c r="P1241" s="84">
        <v>0.35599999999999998</v>
      </c>
      <c r="Q1241" s="86">
        <v>4.2</v>
      </c>
      <c r="R1241" s="85">
        <v>4.2</v>
      </c>
      <c r="S1241" s="87">
        <v>909950</v>
      </c>
      <c r="T1241" s="1">
        <v>4</v>
      </c>
      <c r="U1241" s="88">
        <v>216654.76190476189</v>
      </c>
      <c r="V1241" s="59">
        <v>4.6156382218803227</v>
      </c>
      <c r="X1241" s="98">
        <v>4.2</v>
      </c>
      <c r="Y1241" s="97">
        <v>166.46190476190475</v>
      </c>
    </row>
    <row r="1242" spans="1:25">
      <c r="A1242" s="58">
        <v>1244</v>
      </c>
      <c r="B1242" s="58">
        <v>1244</v>
      </c>
      <c r="C1242" s="58" t="s">
        <v>1920</v>
      </c>
      <c r="D1242" s="58" t="s">
        <v>882</v>
      </c>
      <c r="E1242" s="58" t="s">
        <v>882</v>
      </c>
      <c r="F1242" s="58" t="s">
        <v>1921</v>
      </c>
      <c r="G1242" s="58" t="s">
        <v>1922</v>
      </c>
      <c r="H1242" s="58" t="s">
        <v>179</v>
      </c>
      <c r="I1242">
        <v>38000</v>
      </c>
      <c r="J1242">
        <v>38000</v>
      </c>
      <c r="K1242" s="58" t="s">
        <v>185</v>
      </c>
      <c r="L1242" s="74">
        <v>6.0250000000000004</v>
      </c>
      <c r="M1242" s="85">
        <v>7</v>
      </c>
      <c r="N1242" s="74">
        <v>0.14399999999999999</v>
      </c>
      <c r="O1242">
        <v>3</v>
      </c>
      <c r="P1242" s="84">
        <v>0.14399999999999999</v>
      </c>
      <c r="Q1242" s="86">
        <v>4.2</v>
      </c>
      <c r="R1242" s="85">
        <v>4.2</v>
      </c>
      <c r="S1242" s="87">
        <v>839680</v>
      </c>
      <c r="T1242" s="1">
        <v>4</v>
      </c>
      <c r="U1242" s="88">
        <v>199923.80952380953</v>
      </c>
      <c r="V1242" s="59">
        <v>5.0019054878048781</v>
      </c>
      <c r="X1242" s="98">
        <v>4.2</v>
      </c>
      <c r="Y1242" s="97">
        <v>216.6547619047619</v>
      </c>
    </row>
    <row r="1243" spans="1:25">
      <c r="A1243" s="58">
        <v>1245</v>
      </c>
      <c r="B1243" s="58">
        <v>1245</v>
      </c>
      <c r="C1243" s="58" t="s">
        <v>1923</v>
      </c>
      <c r="D1243" s="58" t="s">
        <v>410</v>
      </c>
      <c r="E1243" s="58" t="s">
        <v>410</v>
      </c>
      <c r="F1243" s="58" t="s">
        <v>1862</v>
      </c>
      <c r="G1243" s="58" t="s">
        <v>1863</v>
      </c>
      <c r="H1243" s="58" t="s">
        <v>179</v>
      </c>
      <c r="I1243">
        <v>38000</v>
      </c>
      <c r="J1243">
        <v>38000</v>
      </c>
      <c r="K1243" s="58" t="s">
        <v>185</v>
      </c>
      <c r="L1243" s="74">
        <v>10.028</v>
      </c>
      <c r="M1243" s="85">
        <v>11</v>
      </c>
      <c r="N1243" s="74">
        <v>0.184</v>
      </c>
      <c r="O1243">
        <v>3</v>
      </c>
      <c r="P1243" s="84">
        <v>0.184</v>
      </c>
      <c r="Q1243" s="86">
        <v>4.2</v>
      </c>
      <c r="R1243" s="85">
        <v>4.2</v>
      </c>
      <c r="S1243" s="87">
        <v>1439840</v>
      </c>
      <c r="T1243" s="1">
        <v>1</v>
      </c>
      <c r="U1243" s="88">
        <v>342819.04761904763</v>
      </c>
      <c r="V1243" s="59">
        <v>2.9169907767529724</v>
      </c>
      <c r="X1243" s="98">
        <v>4.2</v>
      </c>
      <c r="Y1243" s="97">
        <v>199.92380952380952</v>
      </c>
    </row>
    <row r="1244" spans="1:25">
      <c r="A1244" s="58">
        <v>1246</v>
      </c>
      <c r="B1244" s="58">
        <v>1246</v>
      </c>
      <c r="C1244" s="58" t="s">
        <v>1924</v>
      </c>
      <c r="D1244" s="58" t="s">
        <v>882</v>
      </c>
      <c r="E1244" s="58" t="s">
        <v>882</v>
      </c>
      <c r="F1244" s="58" t="s">
        <v>1925</v>
      </c>
      <c r="G1244" s="58" t="s">
        <v>1926</v>
      </c>
      <c r="H1244" s="58" t="s">
        <v>179</v>
      </c>
      <c r="I1244">
        <v>38000</v>
      </c>
      <c r="J1244">
        <v>38000</v>
      </c>
      <c r="K1244" s="58" t="s">
        <v>185</v>
      </c>
      <c r="L1244" s="74">
        <v>4.6639999999999997</v>
      </c>
      <c r="M1244" s="85">
        <v>5</v>
      </c>
      <c r="N1244" s="74">
        <v>0.255</v>
      </c>
      <c r="O1244">
        <v>3</v>
      </c>
      <c r="P1244" s="84">
        <v>0.255</v>
      </c>
      <c r="Q1244" s="86">
        <v>4.2</v>
      </c>
      <c r="R1244" s="85">
        <v>4.2</v>
      </c>
      <c r="S1244" s="87">
        <v>699140</v>
      </c>
      <c r="T1244" s="1">
        <v>4</v>
      </c>
      <c r="U1244" s="88">
        <v>166461.90476190476</v>
      </c>
      <c r="V1244" s="59">
        <v>6.0073804960379897</v>
      </c>
      <c r="X1244" s="98">
        <v>4.2</v>
      </c>
      <c r="Y1244" s="97">
        <v>342.81904761904764</v>
      </c>
    </row>
    <row r="1245" spans="1:25">
      <c r="A1245" s="58">
        <v>1247</v>
      </c>
      <c r="B1245" s="58">
        <v>1247</v>
      </c>
      <c r="C1245" s="58" t="s">
        <v>1927</v>
      </c>
      <c r="D1245" s="58" t="s">
        <v>215</v>
      </c>
      <c r="E1245" s="58" t="s">
        <v>215</v>
      </c>
      <c r="F1245" s="58" t="s">
        <v>1928</v>
      </c>
      <c r="G1245" s="58" t="s">
        <v>1929</v>
      </c>
      <c r="H1245" s="58" t="s">
        <v>179</v>
      </c>
      <c r="I1245">
        <v>38000</v>
      </c>
      <c r="J1245">
        <v>38000</v>
      </c>
      <c r="K1245" s="58" t="s">
        <v>185</v>
      </c>
      <c r="L1245" s="74">
        <v>5.3529999999999998</v>
      </c>
      <c r="M1245" s="85">
        <v>6</v>
      </c>
      <c r="N1245" s="74">
        <v>0.113</v>
      </c>
      <c r="O1245">
        <v>3</v>
      </c>
      <c r="P1245" s="84">
        <v>0.113</v>
      </c>
      <c r="Q1245" s="86">
        <v>4.2</v>
      </c>
      <c r="R1245" s="85">
        <v>4.2</v>
      </c>
      <c r="S1245" s="87">
        <v>769410</v>
      </c>
      <c r="T1245" s="1">
        <v>4</v>
      </c>
      <c r="U1245" s="88">
        <v>183192.85714285713</v>
      </c>
      <c r="V1245" s="59">
        <v>5.4587281163488903</v>
      </c>
      <c r="X1245" s="98">
        <v>4.2</v>
      </c>
      <c r="Y1245" s="97">
        <v>166.46190476190475</v>
      </c>
    </row>
    <row r="1246" spans="1:25">
      <c r="A1246" s="58">
        <v>1248</v>
      </c>
      <c r="B1246" s="58">
        <v>1248</v>
      </c>
      <c r="C1246" s="58" t="s">
        <v>1930</v>
      </c>
      <c r="D1246" s="58" t="s">
        <v>215</v>
      </c>
      <c r="E1246" s="58" t="s">
        <v>215</v>
      </c>
      <c r="F1246" s="58" t="s">
        <v>1644</v>
      </c>
      <c r="G1246" s="58" t="s">
        <v>1645</v>
      </c>
      <c r="H1246" s="58" t="s">
        <v>179</v>
      </c>
      <c r="I1246">
        <v>38000</v>
      </c>
      <c r="J1246">
        <v>38000</v>
      </c>
      <c r="K1246" s="58" t="s">
        <v>185</v>
      </c>
      <c r="L1246" s="74">
        <v>9.3249999999999993</v>
      </c>
      <c r="M1246" s="85">
        <v>10</v>
      </c>
      <c r="N1246" s="74">
        <v>0.221</v>
      </c>
      <c r="O1246">
        <v>3</v>
      </c>
      <c r="P1246" s="84">
        <v>0.221</v>
      </c>
      <c r="Q1246" s="86">
        <v>4.2</v>
      </c>
      <c r="R1246" s="85">
        <v>4.2</v>
      </c>
      <c r="S1246" s="87">
        <v>1387140</v>
      </c>
      <c r="T1246" s="1">
        <v>1</v>
      </c>
      <c r="U1246" s="88">
        <v>330271.42857142858</v>
      </c>
      <c r="V1246" s="59">
        <v>3.0278126216531858</v>
      </c>
      <c r="X1246" s="98">
        <v>4.2</v>
      </c>
      <c r="Y1246" s="97">
        <v>183.19285714285712</v>
      </c>
    </row>
    <row r="1247" spans="1:25">
      <c r="A1247" s="58">
        <v>1249</v>
      </c>
      <c r="B1247" s="58">
        <v>1249</v>
      </c>
      <c r="C1247" s="58" t="s">
        <v>1931</v>
      </c>
      <c r="D1247" s="58" t="s">
        <v>410</v>
      </c>
      <c r="E1247" s="58" t="s">
        <v>1169</v>
      </c>
      <c r="F1247" s="58" t="s">
        <v>1932</v>
      </c>
      <c r="G1247" s="58" t="s">
        <v>1711</v>
      </c>
      <c r="H1247" s="58" t="s">
        <v>179</v>
      </c>
      <c r="I1247">
        <v>38000</v>
      </c>
      <c r="J1247" s="58" t="s">
        <v>185</v>
      </c>
      <c r="K1247">
        <v>38000</v>
      </c>
      <c r="L1247" s="74">
        <v>6.79</v>
      </c>
      <c r="M1247" s="85">
        <v>7</v>
      </c>
      <c r="N1247" s="74">
        <v>0.154</v>
      </c>
      <c r="O1247">
        <v>3</v>
      </c>
      <c r="P1247" s="84">
        <v>0.154</v>
      </c>
      <c r="Q1247" s="86">
        <v>4.2</v>
      </c>
      <c r="R1247" s="85">
        <v>4.2</v>
      </c>
      <c r="S1247" s="87">
        <v>839680</v>
      </c>
      <c r="T1247" s="1">
        <v>4</v>
      </c>
      <c r="U1247" s="88">
        <v>199923.80952380953</v>
      </c>
      <c r="V1247" s="59">
        <v>5.0019054878048781</v>
      </c>
      <c r="X1247" s="98">
        <v>4.2</v>
      </c>
      <c r="Y1247" s="97">
        <v>330.2714285714286</v>
      </c>
    </row>
    <row r="1248" spans="1:25">
      <c r="A1248" s="58">
        <v>1250</v>
      </c>
      <c r="B1248" s="58">
        <v>1250</v>
      </c>
      <c r="C1248" s="58" t="s">
        <v>1933</v>
      </c>
      <c r="D1248" s="58" t="s">
        <v>207</v>
      </c>
      <c r="E1248" s="58" t="s">
        <v>207</v>
      </c>
      <c r="F1248" s="58" t="s">
        <v>705</v>
      </c>
      <c r="G1248" s="58" t="s">
        <v>706</v>
      </c>
      <c r="H1248" s="58" t="s">
        <v>179</v>
      </c>
      <c r="I1248">
        <v>38000</v>
      </c>
      <c r="J1248" s="58" t="s">
        <v>185</v>
      </c>
      <c r="K1248">
        <v>38000</v>
      </c>
      <c r="L1248" s="74">
        <v>3.0569999999999999</v>
      </c>
      <c r="M1248" s="85">
        <v>4</v>
      </c>
      <c r="N1248" s="74">
        <v>0.20100000000000001</v>
      </c>
      <c r="O1248">
        <v>3</v>
      </c>
      <c r="P1248" s="84">
        <v>0.20100000000000001</v>
      </c>
      <c r="Q1248" s="86">
        <v>4.2</v>
      </c>
      <c r="R1248" s="85">
        <v>4.2</v>
      </c>
      <c r="S1248" s="87">
        <v>628870</v>
      </c>
      <c r="T1248" s="1">
        <v>4</v>
      </c>
      <c r="U1248" s="88">
        <v>149730.95238095237</v>
      </c>
      <c r="V1248" s="59">
        <v>6.6786458250512828</v>
      </c>
      <c r="X1248" s="98">
        <v>4.2</v>
      </c>
      <c r="Y1248" s="97">
        <v>199.92380952380952</v>
      </c>
    </row>
    <row r="1249" spans="1:25">
      <c r="A1249" s="58">
        <v>1251</v>
      </c>
      <c r="B1249" s="58">
        <v>1251</v>
      </c>
      <c r="C1249" s="58" t="s">
        <v>1934</v>
      </c>
      <c r="D1249" s="58" t="s">
        <v>882</v>
      </c>
      <c r="E1249" s="58" t="s">
        <v>882</v>
      </c>
      <c r="F1249" s="58" t="s">
        <v>1935</v>
      </c>
      <c r="G1249" s="58" t="s">
        <v>1936</v>
      </c>
      <c r="H1249" s="58" t="s">
        <v>179</v>
      </c>
      <c r="I1249">
        <v>38000</v>
      </c>
      <c r="J1249">
        <v>38000</v>
      </c>
      <c r="K1249" s="58" t="s">
        <v>185</v>
      </c>
      <c r="L1249" s="74">
        <v>2.0329999999999999</v>
      </c>
      <c r="M1249" s="85">
        <v>3</v>
      </c>
      <c r="N1249" s="74">
        <v>0.125</v>
      </c>
      <c r="O1249">
        <v>3</v>
      </c>
      <c r="P1249" s="84">
        <v>0.125</v>
      </c>
      <c r="Q1249" s="86">
        <v>4.2</v>
      </c>
      <c r="R1249" s="85">
        <v>4.2</v>
      </c>
      <c r="S1249" s="87">
        <v>558600</v>
      </c>
      <c r="T1249" s="1">
        <v>4</v>
      </c>
      <c r="U1249" s="88">
        <v>133000</v>
      </c>
      <c r="V1249" s="59">
        <v>7.518796992481203</v>
      </c>
      <c r="X1249" s="98">
        <v>4.2</v>
      </c>
      <c r="Y1249" s="97">
        <v>149.73095238095235</v>
      </c>
    </row>
    <row r="1250" spans="1:25">
      <c r="A1250" s="58">
        <v>1252</v>
      </c>
      <c r="B1250" s="58">
        <v>1252</v>
      </c>
      <c r="C1250" s="58" t="s">
        <v>1937</v>
      </c>
      <c r="D1250" s="58" t="s">
        <v>1811</v>
      </c>
      <c r="E1250" s="58" t="s">
        <v>1811</v>
      </c>
      <c r="F1250" s="58" t="s">
        <v>1830</v>
      </c>
      <c r="G1250" s="58" t="s">
        <v>1831</v>
      </c>
      <c r="H1250" s="58" t="s">
        <v>199</v>
      </c>
      <c r="I1250">
        <v>110000</v>
      </c>
      <c r="J1250">
        <v>110000</v>
      </c>
      <c r="K1250">
        <v>20000</v>
      </c>
      <c r="L1250" s="74">
        <v>2.7989999999999999</v>
      </c>
      <c r="M1250" s="85">
        <v>3</v>
      </c>
      <c r="N1250" s="74">
        <v>0.20899999999999999</v>
      </c>
      <c r="O1250">
        <v>3</v>
      </c>
      <c r="P1250" s="84">
        <v>0.20899999999999999</v>
      </c>
      <c r="Q1250" s="86">
        <v>4.2</v>
      </c>
      <c r="R1250" s="85">
        <v>4.2</v>
      </c>
      <c r="S1250" s="87">
        <v>1574570</v>
      </c>
      <c r="T1250" s="1">
        <v>7</v>
      </c>
      <c r="U1250" s="88">
        <v>374897.61904761905</v>
      </c>
      <c r="V1250" s="59">
        <v>2.6673949078161021</v>
      </c>
      <c r="X1250" s="98">
        <v>4.2</v>
      </c>
      <c r="Y1250" s="97">
        <v>133</v>
      </c>
    </row>
    <row r="1251" spans="1:25">
      <c r="A1251" s="58">
        <v>1253</v>
      </c>
      <c r="B1251" s="58">
        <v>1253</v>
      </c>
      <c r="C1251" s="58" t="s">
        <v>1938</v>
      </c>
      <c r="D1251" s="58" t="s">
        <v>1169</v>
      </c>
      <c r="E1251" s="58" t="s">
        <v>1169</v>
      </c>
      <c r="F1251" s="58" t="s">
        <v>1939</v>
      </c>
      <c r="G1251" s="58" t="s">
        <v>1940</v>
      </c>
      <c r="H1251" s="58" t="s">
        <v>179</v>
      </c>
      <c r="I1251">
        <v>38000</v>
      </c>
      <c r="J1251">
        <v>38000</v>
      </c>
      <c r="K1251" s="58" t="s">
        <v>185</v>
      </c>
      <c r="L1251" s="74">
        <v>8.6020000000000003</v>
      </c>
      <c r="M1251" s="85">
        <v>9</v>
      </c>
      <c r="N1251" s="74">
        <v>0.115</v>
      </c>
      <c r="O1251">
        <v>3</v>
      </c>
      <c r="P1251" s="84">
        <v>0.115</v>
      </c>
      <c r="Q1251" s="86">
        <v>4.2</v>
      </c>
      <c r="R1251" s="85">
        <v>4.2</v>
      </c>
      <c r="S1251" s="87">
        <v>1334440</v>
      </c>
      <c r="T1251" s="1">
        <v>1</v>
      </c>
      <c r="U1251" s="88">
        <v>317723.80952380953</v>
      </c>
      <c r="V1251" s="59">
        <v>3.1473876682353645</v>
      </c>
      <c r="X1251" s="98">
        <v>4.2</v>
      </c>
      <c r="Y1251" s="97">
        <v>374.89761904761906</v>
      </c>
    </row>
    <row r="1252" spans="1:25">
      <c r="A1252" s="58">
        <v>1254</v>
      </c>
      <c r="B1252" s="58">
        <v>1254</v>
      </c>
      <c r="C1252" s="58" t="s">
        <v>1941</v>
      </c>
      <c r="D1252" s="58" t="s">
        <v>1169</v>
      </c>
      <c r="E1252" s="58" t="s">
        <v>1169</v>
      </c>
      <c r="F1252" s="58" t="s">
        <v>1698</v>
      </c>
      <c r="G1252" s="58" t="s">
        <v>1699</v>
      </c>
      <c r="H1252" s="58" t="s">
        <v>199</v>
      </c>
      <c r="I1252">
        <v>110000</v>
      </c>
      <c r="J1252">
        <v>110000</v>
      </c>
      <c r="K1252">
        <v>38000</v>
      </c>
      <c r="L1252" s="74">
        <v>8.048</v>
      </c>
      <c r="M1252" s="85">
        <v>9</v>
      </c>
      <c r="N1252" s="74">
        <v>0.32500000000000001</v>
      </c>
      <c r="O1252">
        <v>3</v>
      </c>
      <c r="P1252" s="84">
        <v>0.32500000000000001</v>
      </c>
      <c r="Q1252" s="86">
        <v>4.2</v>
      </c>
      <c r="R1252" s="85">
        <v>4.2</v>
      </c>
      <c r="S1252" s="87">
        <v>1890770</v>
      </c>
      <c r="T1252" s="1">
        <v>7</v>
      </c>
      <c r="U1252" s="88">
        <v>450183.33333333331</v>
      </c>
      <c r="V1252" s="59">
        <v>2.2213172411239865</v>
      </c>
      <c r="X1252" s="98">
        <v>4.2</v>
      </c>
      <c r="Y1252" s="97">
        <v>317.72380952380951</v>
      </c>
    </row>
    <row r="1253" spans="1:25">
      <c r="A1253" s="58">
        <v>1255</v>
      </c>
      <c r="B1253" s="58">
        <v>1255</v>
      </c>
      <c r="C1253" s="58" t="s">
        <v>1942</v>
      </c>
      <c r="D1253" s="58" t="s">
        <v>882</v>
      </c>
      <c r="E1253" s="58" t="s">
        <v>882</v>
      </c>
      <c r="F1253" s="58" t="s">
        <v>1889</v>
      </c>
      <c r="G1253" s="58" t="s">
        <v>1890</v>
      </c>
      <c r="H1253" s="58" t="s">
        <v>179</v>
      </c>
      <c r="I1253">
        <v>38000</v>
      </c>
      <c r="J1253">
        <v>38000</v>
      </c>
      <c r="K1253" s="58" t="s">
        <v>185</v>
      </c>
      <c r="L1253" s="74">
        <v>13.115</v>
      </c>
      <c r="M1253" s="85">
        <v>14</v>
      </c>
      <c r="N1253" s="74">
        <v>0.19500000000000001</v>
      </c>
      <c r="O1253">
        <v>3</v>
      </c>
      <c r="P1253" s="84">
        <v>0.19500000000000001</v>
      </c>
      <c r="Q1253" s="86">
        <v>4.2</v>
      </c>
      <c r="R1253" s="85">
        <v>4.2</v>
      </c>
      <c r="S1253" s="87">
        <v>1597940</v>
      </c>
      <c r="T1253" s="1">
        <v>1</v>
      </c>
      <c r="U1253" s="88">
        <v>380461.90476190473</v>
      </c>
      <c r="V1253" s="59">
        <v>2.6283840444572388</v>
      </c>
      <c r="X1253" s="98">
        <v>4.2</v>
      </c>
      <c r="Y1253" s="97">
        <v>450.18333333333334</v>
      </c>
    </row>
    <row r="1254" spans="1:25">
      <c r="A1254" s="58">
        <v>1256</v>
      </c>
      <c r="B1254" s="58">
        <v>1256</v>
      </c>
      <c r="C1254" s="58" t="s">
        <v>1943</v>
      </c>
      <c r="D1254" s="58" t="s">
        <v>882</v>
      </c>
      <c r="E1254" s="58" t="s">
        <v>1169</v>
      </c>
      <c r="F1254" s="58" t="s">
        <v>1944</v>
      </c>
      <c r="G1254" s="58" t="s">
        <v>1945</v>
      </c>
      <c r="H1254" s="58" t="s">
        <v>179</v>
      </c>
      <c r="I1254">
        <v>38000</v>
      </c>
      <c r="J1254">
        <v>38000</v>
      </c>
      <c r="K1254">
        <v>20000</v>
      </c>
      <c r="L1254" s="74">
        <v>12.321999999999999</v>
      </c>
      <c r="M1254" s="85">
        <v>13</v>
      </c>
      <c r="N1254" s="74">
        <v>0.183</v>
      </c>
      <c r="O1254">
        <v>3</v>
      </c>
      <c r="P1254" s="84">
        <v>0.183</v>
      </c>
      <c r="Q1254" s="86">
        <v>4.2</v>
      </c>
      <c r="R1254" s="85">
        <v>4.2</v>
      </c>
      <c r="S1254" s="87">
        <v>1545240</v>
      </c>
      <c r="T1254" s="1">
        <v>1</v>
      </c>
      <c r="U1254" s="88">
        <v>367914.28571428568</v>
      </c>
      <c r="V1254" s="59">
        <v>2.7180243845616214</v>
      </c>
      <c r="X1254" s="98">
        <v>4.2</v>
      </c>
      <c r="Y1254" s="97">
        <v>380.46190476190475</v>
      </c>
    </row>
    <row r="1255" spans="1:25">
      <c r="A1255" s="58">
        <v>1257</v>
      </c>
      <c r="B1255" s="58">
        <v>1257</v>
      </c>
      <c r="C1255" s="58" t="s">
        <v>1946</v>
      </c>
      <c r="D1255" s="58" t="s">
        <v>182</v>
      </c>
      <c r="E1255" s="58" t="s">
        <v>182</v>
      </c>
      <c r="F1255" s="58" t="s">
        <v>1876</v>
      </c>
      <c r="G1255" s="58" t="s">
        <v>1877</v>
      </c>
      <c r="H1255" s="58" t="s">
        <v>179</v>
      </c>
      <c r="I1255">
        <v>38000</v>
      </c>
      <c r="J1255">
        <v>38000</v>
      </c>
      <c r="K1255">
        <v>20000</v>
      </c>
      <c r="L1255" s="74">
        <v>6.69</v>
      </c>
      <c r="M1255" s="85">
        <v>7</v>
      </c>
      <c r="N1255" s="74">
        <v>0.26200000000000001</v>
      </c>
      <c r="O1255">
        <v>3</v>
      </c>
      <c r="P1255" s="84">
        <v>0.26200000000000001</v>
      </c>
      <c r="Q1255" s="86">
        <v>4.2</v>
      </c>
      <c r="R1255" s="85">
        <v>4.2</v>
      </c>
      <c r="S1255" s="87">
        <v>839680</v>
      </c>
      <c r="T1255" s="1">
        <v>4</v>
      </c>
      <c r="U1255" s="88">
        <v>199923.80952380953</v>
      </c>
      <c r="V1255" s="59">
        <v>5.0019054878048781</v>
      </c>
      <c r="X1255" s="98">
        <v>4.2</v>
      </c>
      <c r="Y1255" s="97">
        <v>367.91428571428571</v>
      </c>
    </row>
    <row r="1256" spans="1:25">
      <c r="A1256" s="58">
        <v>1258</v>
      </c>
      <c r="B1256" s="58">
        <v>1258</v>
      </c>
      <c r="C1256" s="58" t="s">
        <v>1947</v>
      </c>
      <c r="D1256" s="58" t="s">
        <v>197</v>
      </c>
      <c r="E1256" s="58" t="s">
        <v>197</v>
      </c>
      <c r="F1256" s="58" t="s">
        <v>1912</v>
      </c>
      <c r="G1256" s="58" t="s">
        <v>1913</v>
      </c>
      <c r="H1256" s="58" t="s">
        <v>179</v>
      </c>
      <c r="I1256">
        <v>38000</v>
      </c>
      <c r="L1256" s="74">
        <v>4.4400000000000004</v>
      </c>
      <c r="M1256" s="85">
        <v>5</v>
      </c>
      <c r="N1256" s="74">
        <v>0.32600000000000001</v>
      </c>
      <c r="O1256">
        <v>3</v>
      </c>
      <c r="P1256" s="84">
        <v>0.32600000000000001</v>
      </c>
      <c r="Q1256" s="86">
        <v>4.2</v>
      </c>
      <c r="R1256" s="85">
        <v>4.2</v>
      </c>
      <c r="S1256" s="87">
        <v>699140</v>
      </c>
      <c r="T1256" s="1">
        <v>4</v>
      </c>
      <c r="U1256" s="88">
        <v>166461.90476190476</v>
      </c>
      <c r="V1256" s="59">
        <v>6.0073804960379897</v>
      </c>
      <c r="X1256" s="98">
        <v>4.2</v>
      </c>
      <c r="Y1256" s="97">
        <v>199.92380952380952</v>
      </c>
    </row>
    <row r="1257" spans="1:25">
      <c r="A1257" s="58">
        <v>1259</v>
      </c>
      <c r="B1257" s="58">
        <v>1259</v>
      </c>
      <c r="C1257" s="58" t="s">
        <v>1948</v>
      </c>
      <c r="D1257" s="58" t="s">
        <v>207</v>
      </c>
      <c r="E1257" s="58" t="s">
        <v>207</v>
      </c>
      <c r="F1257" s="58" t="s">
        <v>705</v>
      </c>
      <c r="G1257" s="58" t="s">
        <v>706</v>
      </c>
      <c r="H1257" s="58" t="s">
        <v>179</v>
      </c>
      <c r="I1257">
        <v>38000</v>
      </c>
      <c r="J1257" s="58" t="s">
        <v>185</v>
      </c>
      <c r="K1257">
        <v>38000</v>
      </c>
      <c r="L1257" s="74">
        <v>8.2560000000000002</v>
      </c>
      <c r="M1257" s="85">
        <v>9</v>
      </c>
      <c r="N1257" s="74">
        <v>0.108</v>
      </c>
      <c r="O1257">
        <v>3</v>
      </c>
      <c r="P1257" s="84">
        <v>0.108</v>
      </c>
      <c r="Q1257" s="86">
        <v>4.2</v>
      </c>
      <c r="R1257" s="85">
        <v>4.2</v>
      </c>
      <c r="S1257" s="87">
        <v>1334440</v>
      </c>
      <c r="T1257" s="1">
        <v>1</v>
      </c>
      <c r="U1257" s="88">
        <v>317723.80952380953</v>
      </c>
      <c r="V1257" s="59">
        <v>3.1473876682353645</v>
      </c>
      <c r="X1257" s="98">
        <v>4.2</v>
      </c>
      <c r="Y1257" s="97">
        <v>166.46190476190475</v>
      </c>
    </row>
    <row r="1258" spans="1:25">
      <c r="A1258" s="58">
        <v>1260</v>
      </c>
      <c r="B1258" s="58">
        <v>1260</v>
      </c>
      <c r="C1258" s="58" t="s">
        <v>1949</v>
      </c>
      <c r="D1258" s="58" t="s">
        <v>1811</v>
      </c>
      <c r="E1258" s="58" t="s">
        <v>1169</v>
      </c>
      <c r="F1258" s="58" t="s">
        <v>1935</v>
      </c>
      <c r="G1258" s="58" t="s">
        <v>1936</v>
      </c>
      <c r="H1258" s="58" t="s">
        <v>179</v>
      </c>
      <c r="I1258">
        <v>38000</v>
      </c>
      <c r="J1258">
        <v>38000</v>
      </c>
      <c r="K1258" s="58" t="s">
        <v>185</v>
      </c>
      <c r="L1258" s="74">
        <v>9.83</v>
      </c>
      <c r="M1258" s="85">
        <v>10</v>
      </c>
      <c r="N1258" s="74">
        <v>0.122</v>
      </c>
      <c r="O1258">
        <v>3</v>
      </c>
      <c r="P1258" s="84">
        <v>0.122</v>
      </c>
      <c r="Q1258" s="86">
        <v>4.2</v>
      </c>
      <c r="R1258" s="85">
        <v>4.2</v>
      </c>
      <c r="S1258" s="87">
        <v>1387140</v>
      </c>
      <c r="T1258" s="1">
        <v>1</v>
      </c>
      <c r="U1258" s="88">
        <v>330271.42857142858</v>
      </c>
      <c r="V1258" s="59">
        <v>3.0278126216531858</v>
      </c>
      <c r="X1258" s="98">
        <v>4.2</v>
      </c>
      <c r="Y1258" s="97">
        <v>317.72380952380951</v>
      </c>
    </row>
    <row r="1259" spans="1:25">
      <c r="A1259" s="58">
        <v>1261</v>
      </c>
      <c r="B1259" s="58">
        <v>1261</v>
      </c>
      <c r="C1259" s="58" t="s">
        <v>1950</v>
      </c>
      <c r="D1259" s="58" t="s">
        <v>882</v>
      </c>
      <c r="E1259" s="58" t="s">
        <v>882</v>
      </c>
      <c r="F1259" s="58" t="s">
        <v>1944</v>
      </c>
      <c r="G1259" s="58" t="s">
        <v>1945</v>
      </c>
      <c r="H1259" s="58" t="s">
        <v>179</v>
      </c>
      <c r="I1259">
        <v>38000</v>
      </c>
      <c r="J1259">
        <v>38000</v>
      </c>
      <c r="K1259">
        <v>20000</v>
      </c>
      <c r="L1259" s="74">
        <v>7.4630000000000001</v>
      </c>
      <c r="M1259" s="85">
        <v>8</v>
      </c>
      <c r="N1259" s="74">
        <v>0.14899999999999999</v>
      </c>
      <c r="O1259">
        <v>3</v>
      </c>
      <c r="P1259" s="84">
        <v>0.14899999999999999</v>
      </c>
      <c r="Q1259" s="86">
        <v>4.2</v>
      </c>
      <c r="R1259" s="85">
        <v>4.2</v>
      </c>
      <c r="S1259" s="87">
        <v>909950</v>
      </c>
      <c r="T1259" s="1">
        <v>4</v>
      </c>
      <c r="U1259" s="88">
        <v>216654.76190476189</v>
      </c>
      <c r="V1259" s="59">
        <v>4.6156382218803227</v>
      </c>
      <c r="X1259" s="98">
        <v>4.2</v>
      </c>
      <c r="Y1259" s="97">
        <v>330.2714285714286</v>
      </c>
    </row>
    <row r="1260" spans="1:25">
      <c r="A1260" s="58">
        <v>1262</v>
      </c>
      <c r="B1260" s="58">
        <v>1262</v>
      </c>
      <c r="C1260" s="58" t="s">
        <v>1951</v>
      </c>
      <c r="D1260" s="58" t="s">
        <v>215</v>
      </c>
      <c r="E1260" s="58" t="s">
        <v>215</v>
      </c>
      <c r="F1260" s="58" t="s">
        <v>1952</v>
      </c>
      <c r="G1260" s="58" t="s">
        <v>1953</v>
      </c>
      <c r="H1260" s="58" t="s">
        <v>179</v>
      </c>
      <c r="I1260">
        <v>38000</v>
      </c>
      <c r="J1260">
        <v>38000</v>
      </c>
      <c r="K1260" s="58" t="s">
        <v>185</v>
      </c>
      <c r="L1260" s="74">
        <v>6.6879999999999997</v>
      </c>
      <c r="M1260" s="85">
        <v>7</v>
      </c>
      <c r="N1260" s="74">
        <v>0.12</v>
      </c>
      <c r="O1260">
        <v>3</v>
      </c>
      <c r="P1260" s="84">
        <v>0.12</v>
      </c>
      <c r="Q1260" s="86">
        <v>4.2</v>
      </c>
      <c r="R1260" s="85">
        <v>4.2</v>
      </c>
      <c r="S1260" s="87">
        <v>839680</v>
      </c>
      <c r="T1260" s="1">
        <v>4</v>
      </c>
      <c r="U1260" s="88">
        <v>199923.80952380953</v>
      </c>
      <c r="V1260" s="59">
        <v>5.0019054878048781</v>
      </c>
      <c r="X1260" s="98">
        <v>4.2</v>
      </c>
      <c r="Y1260" s="97">
        <v>216.6547619047619</v>
      </c>
    </row>
    <row r="1261" spans="1:25">
      <c r="A1261" s="58">
        <v>1263</v>
      </c>
      <c r="B1261" s="58">
        <v>1263</v>
      </c>
      <c r="C1261" s="58" t="s">
        <v>1954</v>
      </c>
      <c r="D1261" s="58" t="s">
        <v>207</v>
      </c>
      <c r="E1261" s="58" t="s">
        <v>207</v>
      </c>
      <c r="F1261" s="58" t="s">
        <v>1955</v>
      </c>
      <c r="H1261" s="58" t="s">
        <v>199</v>
      </c>
      <c r="I1261">
        <v>110000</v>
      </c>
      <c r="J1261">
        <v>110000</v>
      </c>
      <c r="K1261" s="58" t="s">
        <v>185</v>
      </c>
      <c r="L1261" s="74">
        <v>2.2650000000000001</v>
      </c>
      <c r="M1261" s="85">
        <v>3</v>
      </c>
      <c r="N1261" s="74">
        <v>0.14899999999999999</v>
      </c>
      <c r="O1261">
        <v>3</v>
      </c>
      <c r="P1261" s="84">
        <v>0.14899999999999999</v>
      </c>
      <c r="Q1261" s="86">
        <v>4.2</v>
      </c>
      <c r="R1261" s="85">
        <v>4.2</v>
      </c>
      <c r="S1261" s="87">
        <v>1574570</v>
      </c>
      <c r="T1261" s="1">
        <v>7</v>
      </c>
      <c r="U1261" s="88">
        <v>374897.61904761905</v>
      </c>
      <c r="V1261" s="59">
        <v>2.6673949078161021</v>
      </c>
      <c r="X1261" s="98">
        <v>4.2</v>
      </c>
      <c r="Y1261" s="97">
        <v>199.92380952380952</v>
      </c>
    </row>
    <row r="1262" spans="1:25">
      <c r="A1262" s="58">
        <v>1264</v>
      </c>
      <c r="B1262" s="58">
        <v>1264</v>
      </c>
      <c r="C1262" s="58" t="s">
        <v>1956</v>
      </c>
      <c r="D1262" s="58" t="s">
        <v>410</v>
      </c>
      <c r="E1262" s="58" t="s">
        <v>410</v>
      </c>
      <c r="F1262" s="58" t="s">
        <v>1869</v>
      </c>
      <c r="G1262" s="58" t="s">
        <v>1870</v>
      </c>
      <c r="H1262" s="58" t="s">
        <v>179</v>
      </c>
      <c r="I1262">
        <v>38000</v>
      </c>
      <c r="J1262">
        <v>38000</v>
      </c>
      <c r="K1262" s="58" t="s">
        <v>185</v>
      </c>
      <c r="L1262" s="74">
        <v>12.48</v>
      </c>
      <c r="M1262" s="85">
        <v>13</v>
      </c>
      <c r="N1262" s="74">
        <v>0.11700000000000001</v>
      </c>
      <c r="O1262">
        <v>3</v>
      </c>
      <c r="P1262" s="84">
        <v>0.11700000000000001</v>
      </c>
      <c r="Q1262" s="86">
        <v>4.2</v>
      </c>
      <c r="R1262" s="85">
        <v>4.2</v>
      </c>
      <c r="S1262" s="87">
        <v>1545240</v>
      </c>
      <c r="T1262" s="1">
        <v>1</v>
      </c>
      <c r="U1262" s="88">
        <v>367914.28571428568</v>
      </c>
      <c r="V1262" s="59">
        <v>2.7180243845616214</v>
      </c>
      <c r="X1262" s="98">
        <v>4.2</v>
      </c>
      <c r="Y1262" s="97">
        <v>374.89761904761906</v>
      </c>
    </row>
    <row r="1263" spans="1:25">
      <c r="A1263" s="58">
        <v>1265</v>
      </c>
      <c r="B1263" s="58">
        <v>1265</v>
      </c>
      <c r="C1263" s="58" t="s">
        <v>1957</v>
      </c>
      <c r="D1263" s="58" t="s">
        <v>182</v>
      </c>
      <c r="E1263" s="58" t="s">
        <v>182</v>
      </c>
      <c r="F1263" s="58" t="s">
        <v>1839</v>
      </c>
      <c r="G1263" s="58" t="s">
        <v>1840</v>
      </c>
      <c r="H1263" s="58" t="s">
        <v>179</v>
      </c>
      <c r="I1263">
        <v>38000</v>
      </c>
      <c r="J1263">
        <v>38000</v>
      </c>
      <c r="K1263" s="58" t="s">
        <v>185</v>
      </c>
      <c r="L1263" s="74">
        <v>12.942</v>
      </c>
      <c r="M1263" s="85">
        <v>13</v>
      </c>
      <c r="N1263" s="74">
        <v>0.125</v>
      </c>
      <c r="O1263">
        <v>3</v>
      </c>
      <c r="P1263" s="84">
        <v>0.125</v>
      </c>
      <c r="Q1263" s="86">
        <v>4.2</v>
      </c>
      <c r="R1263" s="85">
        <v>4.2</v>
      </c>
      <c r="S1263" s="87">
        <v>1545240</v>
      </c>
      <c r="T1263" s="1">
        <v>1</v>
      </c>
      <c r="U1263" s="88">
        <v>367914.28571428568</v>
      </c>
      <c r="V1263" s="59">
        <v>2.7180243845616214</v>
      </c>
      <c r="X1263" s="98">
        <v>4.2</v>
      </c>
      <c r="Y1263" s="97">
        <v>367.91428571428571</v>
      </c>
    </row>
    <row r="1264" spans="1:25">
      <c r="A1264" s="58">
        <v>1266</v>
      </c>
      <c r="B1264" s="58">
        <v>1266</v>
      </c>
      <c r="C1264" s="58" t="s">
        <v>1958</v>
      </c>
      <c r="D1264" s="58" t="s">
        <v>410</v>
      </c>
      <c r="E1264" s="58" t="s">
        <v>410</v>
      </c>
      <c r="F1264" s="58" t="s">
        <v>1866</v>
      </c>
      <c r="G1264" s="58" t="s">
        <v>1867</v>
      </c>
      <c r="H1264" s="58" t="s">
        <v>179</v>
      </c>
      <c r="I1264">
        <v>38000</v>
      </c>
      <c r="J1264">
        <v>38000</v>
      </c>
      <c r="K1264" s="58" t="s">
        <v>185</v>
      </c>
      <c r="L1264" s="74">
        <v>14.285</v>
      </c>
      <c r="M1264" s="85">
        <v>15</v>
      </c>
      <c r="N1264" s="74">
        <v>9.5000000000000001E-2</v>
      </c>
      <c r="O1264">
        <v>3</v>
      </c>
      <c r="P1264" s="84">
        <v>9.5000000000000001E-2</v>
      </c>
      <c r="Q1264" s="86">
        <v>4.2</v>
      </c>
      <c r="R1264" s="85">
        <v>4.2</v>
      </c>
      <c r="S1264" s="87">
        <v>1650640</v>
      </c>
      <c r="T1264" s="1">
        <v>1</v>
      </c>
      <c r="U1264" s="88">
        <v>393009.52380952379</v>
      </c>
      <c r="V1264" s="59">
        <v>2.5444676004458877</v>
      </c>
      <c r="X1264" s="98">
        <v>4.2</v>
      </c>
      <c r="Y1264" s="97">
        <v>367.91428571428571</v>
      </c>
    </row>
    <row r="1265" spans="1:25">
      <c r="A1265" s="58">
        <v>1267</v>
      </c>
      <c r="B1265" s="58">
        <v>1267</v>
      </c>
      <c r="C1265" s="58" t="s">
        <v>1959</v>
      </c>
      <c r="D1265" s="58" t="s">
        <v>882</v>
      </c>
      <c r="E1265" s="58" t="s">
        <v>882</v>
      </c>
      <c r="F1265" s="58" t="s">
        <v>1925</v>
      </c>
      <c r="G1265" s="58" t="s">
        <v>1926</v>
      </c>
      <c r="H1265" s="58" t="s">
        <v>179</v>
      </c>
      <c r="I1265">
        <v>38000</v>
      </c>
      <c r="J1265">
        <v>38000</v>
      </c>
      <c r="K1265" s="58" t="s">
        <v>185</v>
      </c>
      <c r="L1265" s="74">
        <v>2.286</v>
      </c>
      <c r="M1265" s="85">
        <v>3</v>
      </c>
      <c r="N1265" s="74">
        <v>0.25</v>
      </c>
      <c r="O1265">
        <v>3</v>
      </c>
      <c r="P1265" s="84">
        <v>0.25</v>
      </c>
      <c r="Q1265" s="86">
        <v>4.2</v>
      </c>
      <c r="R1265" s="85">
        <v>4.2</v>
      </c>
      <c r="S1265" s="87">
        <v>558600</v>
      </c>
      <c r="T1265" s="1">
        <v>4</v>
      </c>
      <c r="U1265" s="88">
        <v>133000</v>
      </c>
      <c r="V1265" s="59">
        <v>7.518796992481203</v>
      </c>
      <c r="X1265" s="98">
        <v>4.2</v>
      </c>
      <c r="Y1265" s="97">
        <v>393.00952380952378</v>
      </c>
    </row>
    <row r="1266" spans="1:25">
      <c r="A1266" s="58">
        <v>1268</v>
      </c>
      <c r="B1266" s="58">
        <v>1268</v>
      </c>
      <c r="C1266" s="58" t="s">
        <v>1960</v>
      </c>
      <c r="D1266" s="58" t="s">
        <v>410</v>
      </c>
      <c r="E1266" s="58" t="s">
        <v>410</v>
      </c>
      <c r="F1266" s="58" t="s">
        <v>1113</v>
      </c>
      <c r="G1266" s="58" t="s">
        <v>1114</v>
      </c>
      <c r="H1266" s="58" t="s">
        <v>179</v>
      </c>
      <c r="I1266">
        <v>38000</v>
      </c>
      <c r="J1266">
        <v>38000</v>
      </c>
      <c r="K1266">
        <v>10000</v>
      </c>
      <c r="L1266" s="74">
        <v>2.6509999999999998</v>
      </c>
      <c r="M1266" s="85">
        <v>3</v>
      </c>
      <c r="N1266" s="74">
        <v>0.26100000000000001</v>
      </c>
      <c r="O1266">
        <v>3</v>
      </c>
      <c r="P1266" s="84">
        <v>0.26100000000000001</v>
      </c>
      <c r="Q1266" s="86">
        <v>4.2</v>
      </c>
      <c r="R1266" s="85">
        <v>4.2</v>
      </c>
      <c r="S1266" s="87">
        <v>558600</v>
      </c>
      <c r="T1266" s="1">
        <v>4</v>
      </c>
      <c r="U1266" s="88">
        <v>133000</v>
      </c>
      <c r="V1266" s="59">
        <v>7.518796992481203</v>
      </c>
      <c r="X1266" s="98">
        <v>4.2</v>
      </c>
      <c r="Y1266" s="97">
        <v>133</v>
      </c>
    </row>
    <row r="1267" spans="1:25">
      <c r="A1267" s="58">
        <v>1269</v>
      </c>
      <c r="B1267" s="58">
        <v>1269</v>
      </c>
      <c r="C1267" s="58" t="s">
        <v>1961</v>
      </c>
      <c r="D1267" s="58" t="s">
        <v>1169</v>
      </c>
      <c r="E1267" s="58" t="s">
        <v>1169</v>
      </c>
      <c r="F1267" s="58" t="s">
        <v>869</v>
      </c>
      <c r="G1267" s="58" t="s">
        <v>870</v>
      </c>
      <c r="H1267" s="58" t="s">
        <v>179</v>
      </c>
      <c r="I1267">
        <v>38000</v>
      </c>
      <c r="J1267">
        <v>38000</v>
      </c>
      <c r="K1267" s="58" t="s">
        <v>185</v>
      </c>
      <c r="L1267" s="74">
        <v>10.305999999999999</v>
      </c>
      <c r="M1267" s="85">
        <v>11</v>
      </c>
      <c r="N1267" s="74">
        <v>0.26300000000000001</v>
      </c>
      <c r="O1267">
        <v>3</v>
      </c>
      <c r="P1267" s="84">
        <v>0.26300000000000001</v>
      </c>
      <c r="Q1267" s="86">
        <v>4.2</v>
      </c>
      <c r="R1267" s="85">
        <v>4.2</v>
      </c>
      <c r="S1267" s="87">
        <v>1439840</v>
      </c>
      <c r="T1267" s="1">
        <v>1</v>
      </c>
      <c r="U1267" s="88">
        <v>342819.04761904763</v>
      </c>
      <c r="V1267" s="59">
        <v>2.9169907767529724</v>
      </c>
      <c r="X1267" s="98">
        <v>4.2</v>
      </c>
      <c r="Y1267" s="97">
        <v>133</v>
      </c>
    </row>
    <row r="1268" spans="1:25">
      <c r="A1268" s="58">
        <v>1270</v>
      </c>
      <c r="B1268" s="58">
        <v>1270</v>
      </c>
      <c r="C1268" s="58" t="s">
        <v>1962</v>
      </c>
      <c r="D1268" s="58" t="s">
        <v>882</v>
      </c>
      <c r="E1268" s="58" t="s">
        <v>882</v>
      </c>
      <c r="F1268" s="58" t="s">
        <v>1921</v>
      </c>
      <c r="G1268" s="58" t="s">
        <v>1922</v>
      </c>
      <c r="H1268" s="58" t="s">
        <v>179</v>
      </c>
      <c r="I1268">
        <v>38000</v>
      </c>
      <c r="J1268">
        <v>38000</v>
      </c>
      <c r="K1268" s="58" t="s">
        <v>185</v>
      </c>
      <c r="L1268" s="74">
        <v>8.2040000000000006</v>
      </c>
      <c r="M1268" s="85">
        <v>9</v>
      </c>
      <c r="N1268" s="74">
        <v>0.23799999999999999</v>
      </c>
      <c r="O1268">
        <v>3</v>
      </c>
      <c r="P1268" s="84">
        <v>0.23799999999999999</v>
      </c>
      <c r="Q1268" s="86">
        <v>4.2</v>
      </c>
      <c r="R1268" s="85">
        <v>4.2</v>
      </c>
      <c r="S1268" s="87">
        <v>1334440</v>
      </c>
      <c r="T1268" s="1">
        <v>1</v>
      </c>
      <c r="U1268" s="88">
        <v>317723.80952380953</v>
      </c>
      <c r="V1268" s="59">
        <v>3.1473876682353645</v>
      </c>
      <c r="X1268" s="98">
        <v>4.2</v>
      </c>
      <c r="Y1268" s="97">
        <v>342.81904761904764</v>
      </c>
    </row>
    <row r="1269" spans="1:25">
      <c r="A1269" s="58">
        <v>1271</v>
      </c>
      <c r="B1269" s="58">
        <v>1271</v>
      </c>
      <c r="C1269" s="58" t="s">
        <v>1963</v>
      </c>
      <c r="D1269" s="58" t="s">
        <v>852</v>
      </c>
      <c r="E1269" s="58" t="s">
        <v>852</v>
      </c>
      <c r="F1269" s="58" t="s">
        <v>1964</v>
      </c>
      <c r="G1269" s="58" t="s">
        <v>1965</v>
      </c>
      <c r="H1269" s="58" t="s">
        <v>179</v>
      </c>
      <c r="I1269">
        <v>38000</v>
      </c>
      <c r="J1269">
        <v>38000</v>
      </c>
      <c r="K1269" s="58" t="s">
        <v>185</v>
      </c>
      <c r="L1269" s="74">
        <v>2.976</v>
      </c>
      <c r="M1269" s="85">
        <v>3</v>
      </c>
      <c r="N1269" s="74">
        <v>0.17499999999999999</v>
      </c>
      <c r="O1269">
        <v>3</v>
      </c>
      <c r="P1269" s="84">
        <v>0.17499999999999999</v>
      </c>
      <c r="Q1269" s="86">
        <v>4.2</v>
      </c>
      <c r="R1269" s="85">
        <v>4.2</v>
      </c>
      <c r="S1269" s="87">
        <v>558600</v>
      </c>
      <c r="T1269" s="1">
        <v>4</v>
      </c>
      <c r="U1269" s="88">
        <v>133000</v>
      </c>
      <c r="V1269" s="59">
        <v>7.518796992481203</v>
      </c>
      <c r="X1269" s="98">
        <v>4.2</v>
      </c>
      <c r="Y1269" s="97">
        <v>317.72380952380951</v>
      </c>
    </row>
    <row r="1270" spans="1:25">
      <c r="A1270" s="58">
        <v>1272</v>
      </c>
      <c r="B1270" s="58">
        <v>1272</v>
      </c>
      <c r="C1270" s="58" t="s">
        <v>1966</v>
      </c>
      <c r="D1270" s="58" t="s">
        <v>1190</v>
      </c>
      <c r="E1270" s="58" t="s">
        <v>1190</v>
      </c>
      <c r="F1270" s="58" t="s">
        <v>1967</v>
      </c>
      <c r="G1270" s="58" t="s">
        <v>1968</v>
      </c>
      <c r="H1270" s="58" t="s">
        <v>199</v>
      </c>
      <c r="I1270">
        <v>110000</v>
      </c>
      <c r="J1270">
        <v>110000</v>
      </c>
      <c r="K1270">
        <v>38000</v>
      </c>
      <c r="L1270" s="74">
        <v>11.121</v>
      </c>
      <c r="M1270" s="85">
        <v>12</v>
      </c>
      <c r="N1270" s="74">
        <v>0.19900000000000001</v>
      </c>
      <c r="O1270">
        <v>3</v>
      </c>
      <c r="P1270" s="84">
        <v>0.19900000000000001</v>
      </c>
      <c r="Q1270" s="86">
        <v>4.2</v>
      </c>
      <c r="R1270" s="85">
        <v>4.2</v>
      </c>
      <c r="S1270" s="87">
        <v>2048870</v>
      </c>
      <c r="T1270" s="1">
        <v>7</v>
      </c>
      <c r="U1270" s="88">
        <v>487826.19047619047</v>
      </c>
      <c r="V1270" s="59">
        <v>2.0499104384367968</v>
      </c>
      <c r="X1270" s="98">
        <v>4.2</v>
      </c>
      <c r="Y1270" s="97">
        <v>133</v>
      </c>
    </row>
    <row r="1271" spans="1:25">
      <c r="A1271" s="58">
        <v>1273</v>
      </c>
      <c r="B1271" s="58">
        <v>1273</v>
      </c>
      <c r="C1271" s="58" t="s">
        <v>1969</v>
      </c>
      <c r="D1271" s="58" t="s">
        <v>384</v>
      </c>
      <c r="E1271" s="58" t="s">
        <v>384</v>
      </c>
      <c r="F1271" s="58" t="s">
        <v>1104</v>
      </c>
      <c r="G1271" s="58" t="s">
        <v>1105</v>
      </c>
      <c r="H1271" s="58" t="s">
        <v>179</v>
      </c>
      <c r="I1271">
        <v>38000</v>
      </c>
      <c r="J1271">
        <v>38000</v>
      </c>
      <c r="K1271" s="58" t="s">
        <v>185</v>
      </c>
      <c r="L1271" s="74">
        <v>5.3390000000000004</v>
      </c>
      <c r="M1271" s="85">
        <v>6</v>
      </c>
      <c r="N1271" s="74">
        <v>0.151</v>
      </c>
      <c r="O1271">
        <v>3</v>
      </c>
      <c r="P1271" s="84">
        <v>0.151</v>
      </c>
      <c r="Q1271" s="86">
        <v>4.2</v>
      </c>
      <c r="R1271" s="85">
        <v>4.2</v>
      </c>
      <c r="S1271" s="87">
        <v>769410</v>
      </c>
      <c r="T1271" s="1">
        <v>4</v>
      </c>
      <c r="U1271" s="88">
        <v>183192.85714285713</v>
      </c>
      <c r="V1271" s="59">
        <v>5.4587281163488903</v>
      </c>
      <c r="X1271" s="98">
        <v>4.2</v>
      </c>
      <c r="Y1271" s="97">
        <v>487.82619047619045</v>
      </c>
    </row>
    <row r="1272" spans="1:25">
      <c r="A1272" s="58">
        <v>1274</v>
      </c>
      <c r="B1272" s="58">
        <v>1274</v>
      </c>
      <c r="C1272" s="58" t="s">
        <v>1970</v>
      </c>
      <c r="D1272" s="58" t="s">
        <v>775</v>
      </c>
      <c r="E1272" s="58" t="s">
        <v>775</v>
      </c>
      <c r="F1272" s="58" t="s">
        <v>1897</v>
      </c>
      <c r="G1272" s="58" t="s">
        <v>1898</v>
      </c>
      <c r="H1272" s="58" t="s">
        <v>179</v>
      </c>
      <c r="I1272">
        <v>38000</v>
      </c>
      <c r="J1272">
        <v>38000</v>
      </c>
      <c r="K1272">
        <v>10000</v>
      </c>
      <c r="L1272" s="74">
        <v>13.118</v>
      </c>
      <c r="M1272" s="85">
        <v>14</v>
      </c>
      <c r="N1272" s="74">
        <v>0.154</v>
      </c>
      <c r="O1272">
        <v>3</v>
      </c>
      <c r="P1272" s="84">
        <v>0.154</v>
      </c>
      <c r="Q1272" s="86">
        <v>4.2</v>
      </c>
      <c r="R1272" s="85">
        <v>4.2</v>
      </c>
      <c r="S1272" s="87">
        <v>1597940</v>
      </c>
      <c r="T1272" s="1">
        <v>1</v>
      </c>
      <c r="U1272" s="88">
        <v>380461.90476190473</v>
      </c>
      <c r="V1272" s="59">
        <v>2.6283840444572388</v>
      </c>
      <c r="X1272" s="98">
        <v>4.2</v>
      </c>
      <c r="Y1272" s="97">
        <v>183.19285714285712</v>
      </c>
    </row>
    <row r="1273" spans="1:25">
      <c r="A1273" s="58">
        <v>1275</v>
      </c>
      <c r="B1273" s="58">
        <v>1275</v>
      </c>
      <c r="C1273" s="58" t="s">
        <v>1971</v>
      </c>
      <c r="D1273" s="58" t="s">
        <v>852</v>
      </c>
      <c r="E1273" s="58" t="s">
        <v>852</v>
      </c>
      <c r="F1273" s="58" t="s">
        <v>1876</v>
      </c>
      <c r="G1273" s="58" t="s">
        <v>1877</v>
      </c>
      <c r="H1273" s="58" t="s">
        <v>179</v>
      </c>
      <c r="I1273">
        <v>38000</v>
      </c>
      <c r="J1273">
        <v>38000</v>
      </c>
      <c r="K1273">
        <v>20000</v>
      </c>
      <c r="L1273" s="74">
        <v>3.8769999999999998</v>
      </c>
      <c r="M1273" s="85">
        <v>4</v>
      </c>
      <c r="N1273" s="74">
        <v>0.14799999999999999</v>
      </c>
      <c r="O1273">
        <v>3</v>
      </c>
      <c r="P1273" s="84">
        <v>0.14799999999999999</v>
      </c>
      <c r="Q1273" s="86">
        <v>4.2</v>
      </c>
      <c r="R1273" s="85">
        <v>4.2</v>
      </c>
      <c r="S1273" s="87">
        <v>628870</v>
      </c>
      <c r="T1273" s="1">
        <v>4</v>
      </c>
      <c r="U1273" s="88">
        <v>149730.95238095237</v>
      </c>
      <c r="V1273" s="59">
        <v>6.6786458250512828</v>
      </c>
      <c r="X1273" s="98">
        <v>4.2</v>
      </c>
      <c r="Y1273" s="97">
        <v>380.46190476190475</v>
      </c>
    </row>
    <row r="1274" spans="1:25">
      <c r="A1274" s="58">
        <v>1276</v>
      </c>
      <c r="B1274" s="58">
        <v>1276</v>
      </c>
      <c r="C1274" s="58" t="s">
        <v>1972</v>
      </c>
      <c r="D1274" s="58" t="s">
        <v>1169</v>
      </c>
      <c r="E1274" s="58" t="s">
        <v>1169</v>
      </c>
      <c r="F1274" s="58" t="s">
        <v>1973</v>
      </c>
      <c r="G1274" s="58" t="s">
        <v>1974</v>
      </c>
      <c r="H1274" s="58" t="s">
        <v>199</v>
      </c>
      <c r="I1274">
        <v>110000</v>
      </c>
      <c r="J1274">
        <v>110000</v>
      </c>
      <c r="K1274">
        <v>38000</v>
      </c>
      <c r="L1274" s="74">
        <v>8.6460000000000008</v>
      </c>
      <c r="M1274" s="85">
        <v>9</v>
      </c>
      <c r="N1274" s="74">
        <v>0.29199999999999998</v>
      </c>
      <c r="O1274">
        <v>3</v>
      </c>
      <c r="P1274" s="84">
        <v>0.29199999999999998</v>
      </c>
      <c r="Q1274" s="86">
        <v>4.2</v>
      </c>
      <c r="R1274" s="85">
        <v>4.2</v>
      </c>
      <c r="S1274" s="87">
        <v>1890770</v>
      </c>
      <c r="T1274" s="1">
        <v>7</v>
      </c>
      <c r="U1274" s="88">
        <v>450183.33333333331</v>
      </c>
      <c r="V1274" s="59">
        <v>2.2213172411239865</v>
      </c>
      <c r="X1274" s="98">
        <v>4.2</v>
      </c>
      <c r="Y1274" s="97">
        <v>149.73095238095235</v>
      </c>
    </row>
    <row r="1275" spans="1:25">
      <c r="A1275" s="58">
        <v>1277</v>
      </c>
      <c r="B1275" s="58">
        <v>1277</v>
      </c>
      <c r="C1275" s="58" t="s">
        <v>1975</v>
      </c>
      <c r="D1275" s="58" t="s">
        <v>1169</v>
      </c>
      <c r="E1275" s="58" t="s">
        <v>1169</v>
      </c>
      <c r="F1275" s="58" t="s">
        <v>1976</v>
      </c>
      <c r="G1275" s="58" t="s">
        <v>1977</v>
      </c>
      <c r="H1275" s="58" t="s">
        <v>179</v>
      </c>
      <c r="I1275">
        <v>38000</v>
      </c>
      <c r="J1275">
        <v>38000</v>
      </c>
      <c r="K1275" s="58" t="s">
        <v>185</v>
      </c>
      <c r="L1275" s="74">
        <v>6.6109999999999998</v>
      </c>
      <c r="M1275" s="85">
        <v>7</v>
      </c>
      <c r="N1275" s="74">
        <v>0.109</v>
      </c>
      <c r="O1275">
        <v>3</v>
      </c>
      <c r="P1275" s="84">
        <v>0.109</v>
      </c>
      <c r="Q1275" s="86">
        <v>4.2</v>
      </c>
      <c r="R1275" s="85">
        <v>4.2</v>
      </c>
      <c r="S1275" s="87">
        <v>839680</v>
      </c>
      <c r="T1275" s="1">
        <v>4</v>
      </c>
      <c r="U1275" s="88">
        <v>199923.80952380953</v>
      </c>
      <c r="V1275" s="59">
        <v>5.0019054878048781</v>
      </c>
      <c r="X1275" s="98">
        <v>4.2</v>
      </c>
      <c r="Y1275" s="97">
        <v>450.18333333333334</v>
      </c>
    </row>
    <row r="1276" spans="1:25">
      <c r="A1276" s="58">
        <v>1278</v>
      </c>
      <c r="B1276" s="58">
        <v>1278</v>
      </c>
      <c r="C1276" s="58" t="s">
        <v>1978</v>
      </c>
      <c r="D1276" s="58" t="s">
        <v>882</v>
      </c>
      <c r="E1276" s="58" t="s">
        <v>882</v>
      </c>
      <c r="F1276" s="58" t="s">
        <v>1149</v>
      </c>
      <c r="G1276" s="58" t="s">
        <v>1150</v>
      </c>
      <c r="H1276" s="58" t="s">
        <v>179</v>
      </c>
      <c r="I1276">
        <v>38000</v>
      </c>
      <c r="J1276">
        <v>38000</v>
      </c>
      <c r="K1276" s="58" t="s">
        <v>185</v>
      </c>
      <c r="L1276" s="74">
        <v>4.984</v>
      </c>
      <c r="M1276" s="85">
        <v>5</v>
      </c>
      <c r="N1276" s="74">
        <v>0.32</v>
      </c>
      <c r="O1276">
        <v>3</v>
      </c>
      <c r="P1276" s="84">
        <v>0.32</v>
      </c>
      <c r="Q1276" s="86">
        <v>4.2</v>
      </c>
      <c r="R1276" s="85">
        <v>4.2</v>
      </c>
      <c r="S1276" s="87">
        <v>699140</v>
      </c>
      <c r="T1276" s="1">
        <v>4</v>
      </c>
      <c r="U1276" s="88">
        <v>166461.90476190476</v>
      </c>
      <c r="V1276" s="59">
        <v>6.0073804960379897</v>
      </c>
      <c r="X1276" s="98">
        <v>4.2</v>
      </c>
      <c r="Y1276" s="97">
        <v>199.92380952380952</v>
      </c>
    </row>
    <row r="1277" spans="1:25">
      <c r="A1277" s="58">
        <v>1279</v>
      </c>
      <c r="B1277" s="58">
        <v>1279</v>
      </c>
      <c r="C1277" s="58" t="s">
        <v>1979</v>
      </c>
      <c r="D1277" s="58" t="s">
        <v>882</v>
      </c>
      <c r="E1277" s="58" t="s">
        <v>882</v>
      </c>
      <c r="F1277" s="58" t="s">
        <v>1980</v>
      </c>
      <c r="G1277" s="58" t="s">
        <v>1981</v>
      </c>
      <c r="H1277" s="58" t="s">
        <v>179</v>
      </c>
      <c r="I1277">
        <v>38000</v>
      </c>
      <c r="J1277">
        <v>38000</v>
      </c>
      <c r="K1277" s="58" t="s">
        <v>185</v>
      </c>
      <c r="L1277" s="74">
        <v>7.7389999999999999</v>
      </c>
      <c r="M1277" s="85">
        <v>8</v>
      </c>
      <c r="N1277" s="74">
        <v>0.161</v>
      </c>
      <c r="O1277">
        <v>3</v>
      </c>
      <c r="P1277" s="84">
        <v>0.161</v>
      </c>
      <c r="Q1277" s="86">
        <v>4.2</v>
      </c>
      <c r="R1277" s="85">
        <v>4.2</v>
      </c>
      <c r="S1277" s="87">
        <v>909950</v>
      </c>
      <c r="T1277" s="1">
        <v>4</v>
      </c>
      <c r="U1277" s="88">
        <v>216654.76190476189</v>
      </c>
      <c r="V1277" s="59">
        <v>4.6156382218803227</v>
      </c>
      <c r="X1277" s="98">
        <v>4.2</v>
      </c>
      <c r="Y1277" s="97">
        <v>166.46190476190475</v>
      </c>
    </row>
    <row r="1278" spans="1:25">
      <c r="A1278" s="58">
        <v>1280</v>
      </c>
      <c r="B1278" s="58">
        <v>1280</v>
      </c>
      <c r="C1278" s="58" t="s">
        <v>1982</v>
      </c>
      <c r="D1278" s="58" t="s">
        <v>176</v>
      </c>
      <c r="E1278" s="58" t="s">
        <v>176</v>
      </c>
      <c r="F1278" s="58" t="s">
        <v>265</v>
      </c>
      <c r="G1278" s="58" t="s">
        <v>266</v>
      </c>
      <c r="H1278" s="58" t="s">
        <v>179</v>
      </c>
      <c r="I1278">
        <v>38000</v>
      </c>
      <c r="J1278">
        <v>38000</v>
      </c>
      <c r="K1278" s="58" t="s">
        <v>185</v>
      </c>
      <c r="L1278" s="74">
        <v>4.0529999999999999</v>
      </c>
      <c r="M1278" s="85">
        <v>5</v>
      </c>
      <c r="N1278" s="74">
        <v>0.11</v>
      </c>
      <c r="O1278">
        <v>3</v>
      </c>
      <c r="P1278" s="84">
        <v>0.11</v>
      </c>
      <c r="Q1278" s="86">
        <v>4.2</v>
      </c>
      <c r="R1278" s="85">
        <v>4.2</v>
      </c>
      <c r="S1278" s="87">
        <v>699140</v>
      </c>
      <c r="T1278" s="1">
        <v>4</v>
      </c>
      <c r="U1278" s="88">
        <v>166461.90476190476</v>
      </c>
      <c r="V1278" s="59">
        <v>6.0073804960379897</v>
      </c>
      <c r="X1278" s="98">
        <v>4.2</v>
      </c>
      <c r="Y1278" s="97">
        <v>216.6547619047619</v>
      </c>
    </row>
    <row r="1279" spans="1:25">
      <c r="A1279" s="58">
        <v>1281</v>
      </c>
      <c r="B1279" s="58">
        <v>1281</v>
      </c>
      <c r="C1279" s="58" t="s">
        <v>1983</v>
      </c>
      <c r="D1279" s="58" t="s">
        <v>380</v>
      </c>
      <c r="E1279" s="58" t="s">
        <v>380</v>
      </c>
      <c r="F1279" s="58" t="s">
        <v>1146</v>
      </c>
      <c r="G1279" s="58" t="s">
        <v>1147</v>
      </c>
      <c r="H1279" s="58" t="s">
        <v>179</v>
      </c>
      <c r="I1279">
        <v>38000</v>
      </c>
      <c r="J1279" s="58" t="s">
        <v>185</v>
      </c>
      <c r="K1279">
        <v>38000</v>
      </c>
      <c r="L1279" s="74">
        <v>6.399</v>
      </c>
      <c r="M1279" s="85">
        <v>7</v>
      </c>
      <c r="N1279" s="74">
        <v>0.17</v>
      </c>
      <c r="O1279">
        <v>3</v>
      </c>
      <c r="P1279" s="84">
        <v>0.17</v>
      </c>
      <c r="Q1279" s="86">
        <v>4.2</v>
      </c>
      <c r="R1279" s="85">
        <v>4.2</v>
      </c>
      <c r="S1279" s="87">
        <v>839680</v>
      </c>
      <c r="T1279" s="1">
        <v>4</v>
      </c>
      <c r="U1279" s="88">
        <v>199923.80952380953</v>
      </c>
      <c r="V1279" s="59">
        <v>5.0019054878048781</v>
      </c>
      <c r="X1279" s="98">
        <v>4.2</v>
      </c>
      <c r="Y1279" s="97">
        <v>166.46190476190475</v>
      </c>
    </row>
    <row r="1280" spans="1:25">
      <c r="A1280" s="58">
        <v>1282</v>
      </c>
      <c r="B1280" s="58">
        <v>1282</v>
      </c>
      <c r="C1280" s="58" t="s">
        <v>1984</v>
      </c>
      <c r="D1280" s="58" t="s">
        <v>197</v>
      </c>
      <c r="E1280" s="58" t="s">
        <v>197</v>
      </c>
      <c r="F1280" s="58" t="s">
        <v>494</v>
      </c>
      <c r="G1280" s="58" t="s">
        <v>495</v>
      </c>
      <c r="H1280" s="58" t="s">
        <v>179</v>
      </c>
      <c r="I1280">
        <v>38000</v>
      </c>
      <c r="J1280">
        <v>38000</v>
      </c>
      <c r="K1280">
        <v>10000</v>
      </c>
      <c r="L1280" s="74">
        <v>5.0430000000000001</v>
      </c>
      <c r="M1280" s="85">
        <v>6</v>
      </c>
      <c r="N1280" s="74">
        <v>0.16200000000000001</v>
      </c>
      <c r="O1280">
        <v>3</v>
      </c>
      <c r="P1280" s="84">
        <v>0.16200000000000001</v>
      </c>
      <c r="Q1280" s="86">
        <v>4.2</v>
      </c>
      <c r="R1280" s="85">
        <v>4.2</v>
      </c>
      <c r="S1280" s="87">
        <v>769410</v>
      </c>
      <c r="T1280" s="1">
        <v>4</v>
      </c>
      <c r="U1280" s="88">
        <v>183192.85714285713</v>
      </c>
      <c r="V1280" s="59">
        <v>5.4587281163488903</v>
      </c>
      <c r="X1280" s="98">
        <v>4.2</v>
      </c>
      <c r="Y1280" s="97">
        <v>199.92380952380952</v>
      </c>
    </row>
    <row r="1281" spans="1:25">
      <c r="A1281" s="58">
        <v>1283</v>
      </c>
      <c r="B1281" s="58">
        <v>1283</v>
      </c>
      <c r="C1281" s="58" t="s">
        <v>1985</v>
      </c>
      <c r="D1281" s="58" t="s">
        <v>1169</v>
      </c>
      <c r="E1281" s="58" t="s">
        <v>1169</v>
      </c>
      <c r="F1281" s="58" t="s">
        <v>1935</v>
      </c>
      <c r="G1281" s="58" t="s">
        <v>1936</v>
      </c>
      <c r="H1281" s="58" t="s">
        <v>179</v>
      </c>
      <c r="I1281">
        <v>38000</v>
      </c>
      <c r="J1281">
        <v>38000</v>
      </c>
      <c r="K1281" s="58" t="s">
        <v>185</v>
      </c>
      <c r="L1281" s="74">
        <v>11.711</v>
      </c>
      <c r="M1281" s="85">
        <v>12</v>
      </c>
      <c r="N1281" s="74">
        <v>0.23499999999999999</v>
      </c>
      <c r="O1281">
        <v>3</v>
      </c>
      <c r="P1281" s="84">
        <v>0.23499999999999999</v>
      </c>
      <c r="Q1281" s="86">
        <v>4.2</v>
      </c>
      <c r="R1281" s="85">
        <v>4.2</v>
      </c>
      <c r="S1281" s="87">
        <v>1492540</v>
      </c>
      <c r="T1281" s="1">
        <v>1</v>
      </c>
      <c r="U1281" s="88">
        <v>355366.66666666663</v>
      </c>
      <c r="V1281" s="59">
        <v>2.8139949348091173</v>
      </c>
      <c r="X1281" s="98">
        <v>4.2</v>
      </c>
      <c r="Y1281" s="97">
        <v>183.19285714285712</v>
      </c>
    </row>
    <row r="1282" spans="1:25">
      <c r="A1282" s="58">
        <v>1284</v>
      </c>
      <c r="B1282" s="58">
        <v>1284</v>
      </c>
      <c r="C1282" s="58" t="s">
        <v>1986</v>
      </c>
      <c r="D1282" s="58" t="s">
        <v>215</v>
      </c>
      <c r="E1282" s="58" t="s">
        <v>775</v>
      </c>
      <c r="F1282" s="58" t="s">
        <v>1987</v>
      </c>
      <c r="G1282" s="58" t="s">
        <v>1988</v>
      </c>
      <c r="H1282" s="58" t="s">
        <v>179</v>
      </c>
      <c r="I1282">
        <v>38000</v>
      </c>
      <c r="J1282">
        <v>38000</v>
      </c>
      <c r="K1282" s="58" t="s">
        <v>185</v>
      </c>
      <c r="L1282" s="74">
        <v>1.659</v>
      </c>
      <c r="M1282" s="85">
        <v>2</v>
      </c>
      <c r="N1282" s="74">
        <v>0.109</v>
      </c>
      <c r="O1282">
        <v>3</v>
      </c>
      <c r="P1282" s="84">
        <v>0.109</v>
      </c>
      <c r="Q1282" s="86">
        <v>4.2</v>
      </c>
      <c r="R1282" s="85">
        <v>4.2</v>
      </c>
      <c r="S1282" s="87">
        <v>488330</v>
      </c>
      <c r="T1282" s="1">
        <v>4</v>
      </c>
      <c r="U1282" s="88">
        <v>116269.04761904762</v>
      </c>
      <c r="V1282" s="59">
        <v>8.6007413019884087</v>
      </c>
      <c r="X1282" s="98">
        <v>4.2</v>
      </c>
      <c r="Y1282" s="97">
        <v>355.36666666666662</v>
      </c>
    </row>
    <row r="1283" spans="1:25">
      <c r="A1283" s="58">
        <v>1285</v>
      </c>
      <c r="B1283" s="58">
        <v>1285</v>
      </c>
      <c r="C1283" s="58" t="s">
        <v>1989</v>
      </c>
      <c r="D1283" s="58" t="s">
        <v>450</v>
      </c>
      <c r="E1283" s="58" t="s">
        <v>1169</v>
      </c>
      <c r="F1283" s="58" t="s">
        <v>883</v>
      </c>
      <c r="G1283" s="58" t="s">
        <v>884</v>
      </c>
      <c r="H1283" s="58" t="s">
        <v>179</v>
      </c>
      <c r="I1283">
        <v>38000</v>
      </c>
      <c r="J1283">
        <v>20000</v>
      </c>
      <c r="K1283">
        <v>38000</v>
      </c>
      <c r="L1283" s="74">
        <v>3.5720000000000001</v>
      </c>
      <c r="M1283" s="85">
        <v>4</v>
      </c>
      <c r="N1283" s="74">
        <v>0.121</v>
      </c>
      <c r="O1283">
        <v>3</v>
      </c>
      <c r="P1283" s="84">
        <v>0.121</v>
      </c>
      <c r="Q1283" s="86">
        <v>4.2</v>
      </c>
      <c r="R1283" s="85">
        <v>4.2</v>
      </c>
      <c r="S1283" s="87">
        <v>628870</v>
      </c>
      <c r="T1283" s="1">
        <v>4</v>
      </c>
      <c r="U1283" s="88">
        <v>149730.95238095237</v>
      </c>
      <c r="V1283" s="59">
        <v>6.6786458250512828</v>
      </c>
      <c r="X1283" s="98">
        <v>4.2</v>
      </c>
      <c r="Y1283" s="97">
        <v>116.26904761904763</v>
      </c>
    </row>
    <row r="1284" spans="1:25">
      <c r="A1284" s="58">
        <v>1286</v>
      </c>
      <c r="B1284" s="58">
        <v>1286</v>
      </c>
      <c r="C1284" s="58" t="s">
        <v>1990</v>
      </c>
      <c r="D1284" s="58" t="s">
        <v>1169</v>
      </c>
      <c r="E1284" s="58" t="s">
        <v>1169</v>
      </c>
      <c r="F1284" s="58" t="s">
        <v>1976</v>
      </c>
      <c r="G1284" s="58" t="s">
        <v>1977</v>
      </c>
      <c r="H1284" s="58" t="s">
        <v>179</v>
      </c>
      <c r="I1284">
        <v>38000</v>
      </c>
      <c r="J1284">
        <v>38000</v>
      </c>
      <c r="K1284" s="58" t="s">
        <v>185</v>
      </c>
      <c r="L1284" s="74">
        <v>8.9949999999999992</v>
      </c>
      <c r="M1284" s="85">
        <v>9</v>
      </c>
      <c r="N1284" s="74">
        <v>0.156</v>
      </c>
      <c r="O1284">
        <v>3</v>
      </c>
      <c r="P1284" s="84">
        <v>0.156</v>
      </c>
      <c r="Q1284" s="86">
        <v>4.2</v>
      </c>
      <c r="R1284" s="85">
        <v>4.2</v>
      </c>
      <c r="S1284" s="87">
        <v>1334440</v>
      </c>
      <c r="T1284" s="1">
        <v>1</v>
      </c>
      <c r="U1284" s="88">
        <v>317723.80952380953</v>
      </c>
      <c r="V1284" s="59">
        <v>3.1473876682353645</v>
      </c>
      <c r="X1284" s="98">
        <v>4.2</v>
      </c>
      <c r="Y1284" s="97">
        <v>149.73095238095235</v>
      </c>
    </row>
    <row r="1285" spans="1:25">
      <c r="A1285" s="58">
        <v>1287</v>
      </c>
      <c r="B1285" s="58">
        <v>1287</v>
      </c>
      <c r="C1285" s="58" t="s">
        <v>1991</v>
      </c>
      <c r="D1285" s="58" t="s">
        <v>215</v>
      </c>
      <c r="E1285" s="58" t="s">
        <v>215</v>
      </c>
      <c r="F1285" s="58" t="s">
        <v>1661</v>
      </c>
      <c r="G1285" s="58" t="s">
        <v>1662</v>
      </c>
      <c r="H1285" s="58" t="s">
        <v>179</v>
      </c>
      <c r="I1285">
        <v>38000</v>
      </c>
      <c r="J1285">
        <v>38000</v>
      </c>
      <c r="K1285" s="58" t="s">
        <v>185</v>
      </c>
      <c r="L1285" s="74">
        <v>10.297000000000001</v>
      </c>
      <c r="M1285" s="85">
        <v>11</v>
      </c>
      <c r="N1285" s="74">
        <v>0.11</v>
      </c>
      <c r="O1285">
        <v>3</v>
      </c>
      <c r="P1285" s="84">
        <v>0.11</v>
      </c>
      <c r="Q1285" s="86">
        <v>4.2</v>
      </c>
      <c r="R1285" s="85">
        <v>4.2</v>
      </c>
      <c r="S1285" s="87">
        <v>1439840</v>
      </c>
      <c r="T1285" s="1">
        <v>1</v>
      </c>
      <c r="U1285" s="88">
        <v>342819.04761904763</v>
      </c>
      <c r="V1285" s="59">
        <v>2.9169907767529724</v>
      </c>
      <c r="X1285" s="98">
        <v>4.2</v>
      </c>
      <c r="Y1285" s="97">
        <v>317.72380952380951</v>
      </c>
    </row>
    <row r="1286" spans="1:25">
      <c r="A1286" s="58">
        <v>1288</v>
      </c>
      <c r="B1286" s="58">
        <v>1288</v>
      </c>
      <c r="C1286" s="58" t="s">
        <v>1992</v>
      </c>
      <c r="D1286" s="58" t="s">
        <v>410</v>
      </c>
      <c r="E1286" s="58" t="s">
        <v>410</v>
      </c>
      <c r="F1286" s="58" t="s">
        <v>1993</v>
      </c>
      <c r="G1286" s="58" t="s">
        <v>1994</v>
      </c>
      <c r="H1286" s="58" t="s">
        <v>179</v>
      </c>
      <c r="I1286">
        <v>38000</v>
      </c>
      <c r="J1286">
        <v>38000</v>
      </c>
      <c r="K1286" s="58" t="s">
        <v>185</v>
      </c>
      <c r="L1286" s="74">
        <v>8.4779999999999998</v>
      </c>
      <c r="M1286" s="85">
        <v>9</v>
      </c>
      <c r="N1286" s="74">
        <v>0.20200000000000001</v>
      </c>
      <c r="O1286">
        <v>3</v>
      </c>
      <c r="P1286" s="84">
        <v>0.20200000000000001</v>
      </c>
      <c r="Q1286" s="86">
        <v>4.2</v>
      </c>
      <c r="R1286" s="85">
        <v>4.2</v>
      </c>
      <c r="S1286" s="87">
        <v>1334440</v>
      </c>
      <c r="T1286" s="1">
        <v>1</v>
      </c>
      <c r="U1286" s="88">
        <v>317723.80952380953</v>
      </c>
      <c r="V1286" s="59">
        <v>3.1473876682353645</v>
      </c>
      <c r="X1286" s="98">
        <v>4.2</v>
      </c>
      <c r="Y1286" s="97">
        <v>342.81904761904764</v>
      </c>
    </row>
    <row r="1287" spans="1:25">
      <c r="A1287" s="58">
        <v>1289</v>
      </c>
      <c r="B1287" s="58">
        <v>1289</v>
      </c>
      <c r="C1287" s="58" t="s">
        <v>1995</v>
      </c>
      <c r="D1287" s="58" t="s">
        <v>410</v>
      </c>
      <c r="E1287" s="58" t="s">
        <v>410</v>
      </c>
      <c r="F1287" s="58" t="s">
        <v>1996</v>
      </c>
      <c r="G1287" s="58" t="s">
        <v>1997</v>
      </c>
      <c r="H1287" s="58" t="s">
        <v>179</v>
      </c>
      <c r="I1287">
        <v>38000</v>
      </c>
      <c r="J1287">
        <v>38000</v>
      </c>
      <c r="K1287" s="58" t="s">
        <v>185</v>
      </c>
      <c r="L1287" s="74">
        <v>10.170999999999999</v>
      </c>
      <c r="M1287" s="85">
        <v>11</v>
      </c>
      <c r="N1287" s="74">
        <v>9.6000000000000002E-2</v>
      </c>
      <c r="O1287">
        <v>3</v>
      </c>
      <c r="P1287" s="84">
        <v>9.6000000000000002E-2</v>
      </c>
      <c r="Q1287" s="86">
        <v>4.2</v>
      </c>
      <c r="R1287" s="85">
        <v>4.2</v>
      </c>
      <c r="S1287" s="87">
        <v>1439840</v>
      </c>
      <c r="T1287" s="1">
        <v>1</v>
      </c>
      <c r="U1287" s="88">
        <v>342819.04761904763</v>
      </c>
      <c r="V1287" s="59">
        <v>2.9169907767529724</v>
      </c>
      <c r="X1287" s="98">
        <v>4.2</v>
      </c>
      <c r="Y1287" s="97">
        <v>317.72380952380951</v>
      </c>
    </row>
    <row r="1288" spans="1:25">
      <c r="A1288" s="58">
        <v>1290</v>
      </c>
      <c r="B1288" s="58">
        <v>1290</v>
      </c>
      <c r="C1288" s="58" t="s">
        <v>1998</v>
      </c>
      <c r="D1288" s="58" t="s">
        <v>489</v>
      </c>
      <c r="E1288" s="58" t="s">
        <v>489</v>
      </c>
      <c r="F1288" s="58" t="s">
        <v>1161</v>
      </c>
      <c r="G1288" s="58" t="s">
        <v>1162</v>
      </c>
      <c r="H1288" s="58" t="s">
        <v>179</v>
      </c>
      <c r="I1288">
        <v>38000</v>
      </c>
      <c r="J1288">
        <v>38000</v>
      </c>
      <c r="K1288" s="58" t="s">
        <v>185</v>
      </c>
      <c r="L1288" s="74">
        <v>8.8919999999999995</v>
      </c>
      <c r="M1288" s="85">
        <v>9</v>
      </c>
      <c r="N1288" s="74">
        <v>0.251</v>
      </c>
      <c r="O1288">
        <v>3</v>
      </c>
      <c r="P1288" s="84">
        <v>0.251</v>
      </c>
      <c r="Q1288" s="86">
        <v>4.2</v>
      </c>
      <c r="R1288" s="85">
        <v>4.2</v>
      </c>
      <c r="S1288" s="87">
        <v>1334440</v>
      </c>
      <c r="T1288" s="1">
        <v>1</v>
      </c>
      <c r="U1288" s="88">
        <v>317723.80952380953</v>
      </c>
      <c r="V1288" s="59">
        <v>3.1473876682353645</v>
      </c>
      <c r="X1288" s="98">
        <v>4.2</v>
      </c>
      <c r="Y1288" s="97">
        <v>342.81904761904764</v>
      </c>
    </row>
    <row r="1289" spans="1:25">
      <c r="A1289" s="58">
        <v>1291</v>
      </c>
      <c r="B1289" s="58">
        <v>1291</v>
      </c>
      <c r="C1289" s="58" t="s">
        <v>1999</v>
      </c>
      <c r="D1289" s="58" t="s">
        <v>1169</v>
      </c>
      <c r="E1289" s="58" t="s">
        <v>1169</v>
      </c>
      <c r="F1289" s="58" t="s">
        <v>1170</v>
      </c>
      <c r="G1289" s="58" t="s">
        <v>1171</v>
      </c>
      <c r="H1289" s="58" t="s">
        <v>179</v>
      </c>
      <c r="I1289">
        <v>38000</v>
      </c>
      <c r="J1289">
        <v>38000</v>
      </c>
      <c r="K1289" s="58" t="s">
        <v>185</v>
      </c>
      <c r="L1289" s="74">
        <v>10.951000000000001</v>
      </c>
      <c r="M1289" s="85">
        <v>11</v>
      </c>
      <c r="N1289" s="74">
        <v>0.13500000000000001</v>
      </c>
      <c r="O1289">
        <v>3</v>
      </c>
      <c r="P1289" s="84">
        <v>0.13500000000000001</v>
      </c>
      <c r="Q1289" s="86">
        <v>4.2</v>
      </c>
      <c r="R1289" s="85">
        <v>4.2</v>
      </c>
      <c r="S1289" s="87">
        <v>1439840</v>
      </c>
      <c r="T1289" s="1">
        <v>1</v>
      </c>
      <c r="U1289" s="88">
        <v>342819.04761904763</v>
      </c>
      <c r="V1289" s="59">
        <v>2.9169907767529724</v>
      </c>
      <c r="X1289" s="98">
        <v>4.2</v>
      </c>
      <c r="Y1289" s="97">
        <v>317.72380952380951</v>
      </c>
    </row>
    <row r="1290" spans="1:25">
      <c r="A1290" s="58">
        <v>1292</v>
      </c>
      <c r="B1290" s="58">
        <v>1292</v>
      </c>
      <c r="C1290" s="58" t="s">
        <v>2000</v>
      </c>
      <c r="D1290" s="58" t="s">
        <v>410</v>
      </c>
      <c r="E1290" s="58" t="s">
        <v>410</v>
      </c>
      <c r="F1290" s="58" t="s">
        <v>1879</v>
      </c>
      <c r="G1290" s="58" t="s">
        <v>1880</v>
      </c>
      <c r="H1290" s="58" t="s">
        <v>199</v>
      </c>
      <c r="I1290">
        <v>110000</v>
      </c>
      <c r="J1290">
        <v>110000</v>
      </c>
      <c r="K1290">
        <v>38000</v>
      </c>
      <c r="L1290" s="74">
        <v>2.6880000000000002</v>
      </c>
      <c r="M1290" s="85">
        <v>3</v>
      </c>
      <c r="N1290" s="74">
        <v>0.113</v>
      </c>
      <c r="O1290">
        <v>3</v>
      </c>
      <c r="P1290" s="84">
        <v>0.113</v>
      </c>
      <c r="Q1290" s="86">
        <v>4.2</v>
      </c>
      <c r="R1290" s="85">
        <v>4.2</v>
      </c>
      <c r="S1290" s="87">
        <v>1574570</v>
      </c>
      <c r="T1290" s="1">
        <v>7</v>
      </c>
      <c r="U1290" s="88">
        <v>374897.61904761905</v>
      </c>
      <c r="V1290" s="59">
        <v>2.6673949078161021</v>
      </c>
      <c r="X1290" s="98">
        <v>4.2</v>
      </c>
      <c r="Y1290" s="97">
        <v>342.81904761904764</v>
      </c>
    </row>
    <row r="1291" spans="1:25">
      <c r="A1291" s="58">
        <v>1293</v>
      </c>
      <c r="B1291" s="58">
        <v>1293</v>
      </c>
      <c r="C1291" s="58" t="s">
        <v>2001</v>
      </c>
      <c r="D1291" s="58" t="s">
        <v>1169</v>
      </c>
      <c r="E1291" s="58" t="s">
        <v>1169</v>
      </c>
      <c r="F1291" s="58" t="s">
        <v>883</v>
      </c>
      <c r="G1291" s="58" t="s">
        <v>884</v>
      </c>
      <c r="H1291" s="58" t="s">
        <v>179</v>
      </c>
      <c r="I1291">
        <v>38000</v>
      </c>
      <c r="J1291">
        <v>20000</v>
      </c>
      <c r="K1291">
        <v>38000</v>
      </c>
      <c r="L1291" s="74">
        <v>8.657</v>
      </c>
      <c r="M1291" s="85">
        <v>9</v>
      </c>
      <c r="N1291" s="74">
        <v>0.20300000000000001</v>
      </c>
      <c r="O1291">
        <v>3</v>
      </c>
      <c r="P1291" s="84">
        <v>0.20300000000000001</v>
      </c>
      <c r="Q1291" s="86">
        <v>4.2</v>
      </c>
      <c r="R1291" s="85">
        <v>4.2</v>
      </c>
      <c r="S1291" s="87">
        <v>1334440</v>
      </c>
      <c r="T1291" s="1">
        <v>1</v>
      </c>
      <c r="U1291" s="88">
        <v>317723.80952380953</v>
      </c>
      <c r="V1291" s="59">
        <v>3.1473876682353645</v>
      </c>
      <c r="X1291" s="98">
        <v>4.2</v>
      </c>
      <c r="Y1291" s="97">
        <v>374.89761904761906</v>
      </c>
    </row>
    <row r="1292" spans="1:25">
      <c r="A1292" s="58">
        <v>1294</v>
      </c>
      <c r="B1292" s="58">
        <v>1294</v>
      </c>
      <c r="C1292" s="58" t="s">
        <v>2002</v>
      </c>
      <c r="D1292" s="58" t="s">
        <v>176</v>
      </c>
      <c r="E1292" s="58" t="s">
        <v>176</v>
      </c>
      <c r="F1292" s="58" t="s">
        <v>2003</v>
      </c>
      <c r="G1292" s="58" t="s">
        <v>2004</v>
      </c>
      <c r="H1292" s="58" t="s">
        <v>179</v>
      </c>
      <c r="I1292">
        <v>38000</v>
      </c>
      <c r="J1292" s="58" t="s">
        <v>185</v>
      </c>
      <c r="K1292">
        <v>38000</v>
      </c>
      <c r="L1292" s="74">
        <v>1.845</v>
      </c>
      <c r="M1292" s="85">
        <v>2</v>
      </c>
      <c r="N1292" s="74">
        <v>0.153</v>
      </c>
      <c r="O1292">
        <v>3</v>
      </c>
      <c r="P1292" s="84">
        <v>0.153</v>
      </c>
      <c r="Q1292" s="86">
        <v>4.2</v>
      </c>
      <c r="R1292" s="85">
        <v>4.2</v>
      </c>
      <c r="S1292" s="87">
        <v>488330</v>
      </c>
      <c r="T1292" s="1">
        <v>4</v>
      </c>
      <c r="U1292" s="88">
        <v>116269.04761904762</v>
      </c>
      <c r="V1292" s="59">
        <v>8.6007413019884087</v>
      </c>
      <c r="X1292" s="98">
        <v>4.2</v>
      </c>
      <c r="Y1292" s="97">
        <v>317.72380952380951</v>
      </c>
    </row>
    <row r="1293" spans="1:25">
      <c r="A1293" s="58">
        <v>1295</v>
      </c>
      <c r="B1293" s="58">
        <v>1295</v>
      </c>
      <c r="C1293" s="58" t="s">
        <v>2005</v>
      </c>
      <c r="D1293" s="58" t="s">
        <v>176</v>
      </c>
      <c r="E1293" s="58" t="s">
        <v>176</v>
      </c>
      <c r="F1293" s="58" t="s">
        <v>928</v>
      </c>
      <c r="G1293" s="58" t="s">
        <v>929</v>
      </c>
      <c r="H1293" s="58" t="s">
        <v>199</v>
      </c>
      <c r="I1293">
        <v>110000</v>
      </c>
      <c r="J1293">
        <v>110000</v>
      </c>
      <c r="K1293">
        <v>38000</v>
      </c>
      <c r="L1293" s="74">
        <v>4.5</v>
      </c>
      <c r="M1293" s="85">
        <v>5</v>
      </c>
      <c r="N1293" s="74">
        <v>0.109</v>
      </c>
      <c r="O1293">
        <v>3</v>
      </c>
      <c r="P1293" s="84">
        <v>0.109</v>
      </c>
      <c r="Q1293" s="86">
        <v>4.2</v>
      </c>
      <c r="R1293" s="85">
        <v>4.2</v>
      </c>
      <c r="S1293" s="87">
        <v>1679970</v>
      </c>
      <c r="T1293" s="1">
        <v>7</v>
      </c>
      <c r="U1293" s="88">
        <v>399992.8571428571</v>
      </c>
      <c r="V1293" s="59">
        <v>2.5000446436543511</v>
      </c>
      <c r="X1293" s="98">
        <v>4.2</v>
      </c>
      <c r="Y1293" s="97">
        <v>116.26904761904763</v>
      </c>
    </row>
    <row r="1294" spans="1:25">
      <c r="A1294" s="58">
        <v>1296</v>
      </c>
      <c r="B1294" s="58">
        <v>1296</v>
      </c>
      <c r="C1294" s="58" t="s">
        <v>2006</v>
      </c>
      <c r="D1294" s="58" t="s">
        <v>249</v>
      </c>
      <c r="E1294" s="58" t="s">
        <v>249</v>
      </c>
      <c r="F1294" s="58" t="s">
        <v>422</v>
      </c>
      <c r="G1294" s="58" t="s">
        <v>423</v>
      </c>
      <c r="H1294" s="58" t="s">
        <v>199</v>
      </c>
      <c r="I1294">
        <v>110000</v>
      </c>
      <c r="J1294">
        <v>110000</v>
      </c>
      <c r="K1294">
        <v>20000</v>
      </c>
      <c r="L1294" s="74">
        <v>12.611000000000001</v>
      </c>
      <c r="M1294" s="85">
        <v>13</v>
      </c>
      <c r="N1294" s="74">
        <v>0.18099999999999999</v>
      </c>
      <c r="O1294">
        <v>3</v>
      </c>
      <c r="P1294" s="84">
        <v>0.18099999999999999</v>
      </c>
      <c r="Q1294" s="86">
        <v>4.2</v>
      </c>
      <c r="R1294" s="85">
        <v>4.2</v>
      </c>
      <c r="S1294" s="87">
        <v>2101570</v>
      </c>
      <c r="T1294" s="1">
        <v>7</v>
      </c>
      <c r="U1294" s="88">
        <v>500373.80952380953</v>
      </c>
      <c r="V1294" s="59">
        <v>1.9985058789381271</v>
      </c>
      <c r="X1294" s="98">
        <v>4.2</v>
      </c>
      <c r="Y1294" s="97">
        <v>399.99285714285708</v>
      </c>
    </row>
    <row r="1295" spans="1:25">
      <c r="A1295" s="58">
        <v>1297</v>
      </c>
      <c r="B1295" s="58">
        <v>1297</v>
      </c>
      <c r="C1295" s="58" t="s">
        <v>2007</v>
      </c>
      <c r="D1295" s="58" t="s">
        <v>249</v>
      </c>
      <c r="E1295" s="58" t="s">
        <v>249</v>
      </c>
      <c r="F1295" s="58" t="s">
        <v>250</v>
      </c>
      <c r="G1295" s="58" t="s">
        <v>251</v>
      </c>
      <c r="H1295" s="58" t="s">
        <v>199</v>
      </c>
      <c r="I1295">
        <v>110000</v>
      </c>
      <c r="L1295" s="74">
        <v>15.879</v>
      </c>
      <c r="M1295" s="85">
        <v>16</v>
      </c>
      <c r="N1295" s="74">
        <v>0.30499999999999999</v>
      </c>
      <c r="O1295">
        <v>3</v>
      </c>
      <c r="P1295" s="84">
        <v>0.30499999999999999</v>
      </c>
      <c r="Q1295" s="86">
        <v>4.2</v>
      </c>
      <c r="R1295" s="85">
        <v>4.2</v>
      </c>
      <c r="S1295" s="87">
        <v>2259670</v>
      </c>
      <c r="T1295" s="1">
        <v>7</v>
      </c>
      <c r="U1295" s="88">
        <v>538016.66666666663</v>
      </c>
      <c r="V1295" s="59">
        <v>1.8586784796010036</v>
      </c>
      <c r="X1295" s="98">
        <v>4.2</v>
      </c>
      <c r="Y1295" s="97">
        <v>500.37380952380948</v>
      </c>
    </row>
    <row r="1296" spans="1:25">
      <c r="A1296" s="58">
        <v>1298</v>
      </c>
      <c r="B1296" s="58">
        <v>1298</v>
      </c>
      <c r="C1296" s="58" t="s">
        <v>2008</v>
      </c>
      <c r="D1296" s="58" t="s">
        <v>182</v>
      </c>
      <c r="E1296" s="58" t="s">
        <v>182</v>
      </c>
      <c r="F1296" s="58" t="s">
        <v>595</v>
      </c>
      <c r="G1296" s="58" t="s">
        <v>596</v>
      </c>
      <c r="H1296" s="58" t="s">
        <v>179</v>
      </c>
      <c r="I1296">
        <v>38000</v>
      </c>
      <c r="J1296">
        <v>38000</v>
      </c>
      <c r="K1296" s="58" t="s">
        <v>185</v>
      </c>
      <c r="L1296" s="74">
        <v>6.1369999999999996</v>
      </c>
      <c r="M1296" s="85">
        <v>7</v>
      </c>
      <c r="N1296" s="74">
        <v>0.107</v>
      </c>
      <c r="O1296">
        <v>3</v>
      </c>
      <c r="P1296" s="84">
        <v>0.107</v>
      </c>
      <c r="Q1296" s="86">
        <v>4.2</v>
      </c>
      <c r="R1296" s="85">
        <v>4.2</v>
      </c>
      <c r="S1296" s="87">
        <v>839680</v>
      </c>
      <c r="T1296" s="1">
        <v>4</v>
      </c>
      <c r="U1296" s="88">
        <v>199923.80952380953</v>
      </c>
      <c r="V1296" s="59">
        <v>5.0019054878048781</v>
      </c>
      <c r="X1296" s="98">
        <v>4.2</v>
      </c>
      <c r="Y1296" s="97">
        <v>538.01666666666654</v>
      </c>
    </row>
    <row r="1297" spans="1:25">
      <c r="A1297" s="58">
        <v>1299</v>
      </c>
      <c r="B1297" s="58">
        <v>1299</v>
      </c>
      <c r="C1297" s="58" t="s">
        <v>2009</v>
      </c>
      <c r="D1297" s="58" t="s">
        <v>182</v>
      </c>
      <c r="E1297" s="58" t="s">
        <v>182</v>
      </c>
      <c r="F1297" s="58" t="s">
        <v>595</v>
      </c>
      <c r="G1297" s="58" t="s">
        <v>596</v>
      </c>
      <c r="H1297" s="58" t="s">
        <v>179</v>
      </c>
      <c r="I1297">
        <v>38000</v>
      </c>
      <c r="J1297">
        <v>38000</v>
      </c>
      <c r="K1297" s="58" t="s">
        <v>185</v>
      </c>
      <c r="L1297" s="74">
        <v>6.923</v>
      </c>
      <c r="M1297" s="85">
        <v>7</v>
      </c>
      <c r="N1297" s="74">
        <v>0.14000000000000001</v>
      </c>
      <c r="O1297">
        <v>3</v>
      </c>
      <c r="P1297" s="84">
        <v>0.14000000000000001</v>
      </c>
      <c r="Q1297" s="86">
        <v>4.2</v>
      </c>
      <c r="R1297" s="85">
        <v>4.2</v>
      </c>
      <c r="S1297" s="87">
        <v>839680</v>
      </c>
      <c r="T1297" s="1">
        <v>4</v>
      </c>
      <c r="U1297" s="88">
        <v>199923.80952380953</v>
      </c>
      <c r="V1297" s="59">
        <v>5.0019054878048781</v>
      </c>
      <c r="X1297" s="98">
        <v>4.2</v>
      </c>
      <c r="Y1297" s="97">
        <v>199.92380952380952</v>
      </c>
    </row>
    <row r="1298" spans="1:25">
      <c r="A1298" s="58">
        <v>1300</v>
      </c>
      <c r="B1298" s="58">
        <v>1300</v>
      </c>
      <c r="C1298" s="58" t="s">
        <v>2010</v>
      </c>
      <c r="D1298" s="58" t="s">
        <v>351</v>
      </c>
      <c r="E1298" s="58" t="s">
        <v>351</v>
      </c>
      <c r="F1298" s="58" t="s">
        <v>422</v>
      </c>
      <c r="G1298" s="58" t="s">
        <v>423</v>
      </c>
      <c r="H1298" s="58" t="s">
        <v>199</v>
      </c>
      <c r="I1298">
        <v>110000</v>
      </c>
      <c r="J1298">
        <v>110000</v>
      </c>
      <c r="K1298">
        <v>20000</v>
      </c>
      <c r="L1298" s="74">
        <v>7.2770000000000001</v>
      </c>
      <c r="M1298" s="85">
        <v>8</v>
      </c>
      <c r="N1298" s="74">
        <v>0.221</v>
      </c>
      <c r="O1298">
        <v>3</v>
      </c>
      <c r="P1298" s="84">
        <v>0.221</v>
      </c>
      <c r="Q1298" s="86">
        <v>4.2</v>
      </c>
      <c r="R1298" s="85">
        <v>4.2</v>
      </c>
      <c r="S1298" s="87">
        <v>1838070</v>
      </c>
      <c r="T1298" s="1">
        <v>7</v>
      </c>
      <c r="U1298" s="88">
        <v>437635.71428571426</v>
      </c>
      <c r="V1298" s="59">
        <v>2.2850054676916547</v>
      </c>
      <c r="X1298" s="98">
        <v>4.2</v>
      </c>
      <c r="Y1298" s="97">
        <v>199.92380952380952</v>
      </c>
    </row>
    <row r="1299" spans="1:25">
      <c r="A1299" s="58">
        <v>1301</v>
      </c>
      <c r="B1299" s="58">
        <v>1301</v>
      </c>
      <c r="C1299" s="58" t="s">
        <v>2011</v>
      </c>
      <c r="D1299" s="58" t="s">
        <v>346</v>
      </c>
      <c r="E1299" s="58" t="s">
        <v>346</v>
      </c>
      <c r="F1299" s="58" t="s">
        <v>347</v>
      </c>
      <c r="G1299" s="58" t="s">
        <v>348</v>
      </c>
      <c r="H1299" s="58" t="s">
        <v>199</v>
      </c>
      <c r="I1299">
        <v>110000</v>
      </c>
      <c r="J1299">
        <v>110000</v>
      </c>
      <c r="K1299" s="58" t="s">
        <v>200</v>
      </c>
      <c r="L1299" s="74">
        <v>1.907</v>
      </c>
      <c r="M1299" s="85">
        <v>2</v>
      </c>
      <c r="N1299" s="74">
        <v>0.184</v>
      </c>
      <c r="O1299">
        <v>3</v>
      </c>
      <c r="P1299" s="84">
        <v>0.184</v>
      </c>
      <c r="Q1299" s="86">
        <v>4.2</v>
      </c>
      <c r="R1299" s="85">
        <v>4.2</v>
      </c>
      <c r="S1299" s="87">
        <v>1340080</v>
      </c>
      <c r="T1299" s="1">
        <v>11</v>
      </c>
      <c r="U1299" s="88">
        <v>319066.66666666663</v>
      </c>
      <c r="V1299" s="59">
        <v>3.134141245298788</v>
      </c>
      <c r="X1299" s="98">
        <v>4.2</v>
      </c>
      <c r="Y1299" s="97">
        <v>437.63571428571424</v>
      </c>
    </row>
    <row r="1300" spans="1:25">
      <c r="A1300" s="58">
        <v>1302</v>
      </c>
      <c r="B1300" s="58">
        <v>1302</v>
      </c>
      <c r="C1300" s="58" t="s">
        <v>2012</v>
      </c>
      <c r="D1300" s="58" t="s">
        <v>346</v>
      </c>
      <c r="E1300" s="58" t="s">
        <v>346</v>
      </c>
      <c r="F1300" s="58" t="s">
        <v>347</v>
      </c>
      <c r="G1300" s="58" t="s">
        <v>348</v>
      </c>
      <c r="H1300" s="58" t="s">
        <v>199</v>
      </c>
      <c r="I1300">
        <v>110000</v>
      </c>
      <c r="J1300">
        <v>110000</v>
      </c>
      <c r="K1300" s="58" t="s">
        <v>200</v>
      </c>
      <c r="L1300" s="74">
        <v>3.3889999999999998</v>
      </c>
      <c r="M1300" s="85">
        <v>4</v>
      </c>
      <c r="N1300" s="74">
        <v>0.185</v>
      </c>
      <c r="O1300">
        <v>3</v>
      </c>
      <c r="P1300" s="84">
        <v>0.185</v>
      </c>
      <c r="Q1300" s="86">
        <v>4.2</v>
      </c>
      <c r="R1300" s="85">
        <v>4.2</v>
      </c>
      <c r="S1300" s="87">
        <v>1627270</v>
      </c>
      <c r="T1300" s="1">
        <v>7</v>
      </c>
      <c r="U1300" s="88">
        <v>387445.23809523811</v>
      </c>
      <c r="V1300" s="59">
        <v>2.5810099123071155</v>
      </c>
      <c r="X1300" s="98">
        <v>4.2</v>
      </c>
      <c r="Y1300" s="97">
        <v>319.06666666666661</v>
      </c>
    </row>
    <row r="1301" spans="1:25">
      <c r="A1301" s="58">
        <v>1303</v>
      </c>
      <c r="B1301" s="58">
        <v>1303</v>
      </c>
      <c r="C1301" s="58" t="s">
        <v>2013</v>
      </c>
      <c r="D1301" s="58" t="s">
        <v>852</v>
      </c>
      <c r="E1301" s="58" t="s">
        <v>852</v>
      </c>
      <c r="F1301" s="58" t="s">
        <v>517</v>
      </c>
      <c r="G1301" s="58" t="s">
        <v>518</v>
      </c>
      <c r="H1301" s="58" t="s">
        <v>179</v>
      </c>
      <c r="I1301">
        <v>38000</v>
      </c>
      <c r="J1301">
        <v>38000</v>
      </c>
      <c r="K1301">
        <v>10000</v>
      </c>
      <c r="L1301" s="74">
        <v>13.481999999999999</v>
      </c>
      <c r="M1301" s="85">
        <v>14</v>
      </c>
      <c r="N1301" s="74">
        <v>0.13700000000000001</v>
      </c>
      <c r="O1301">
        <v>3</v>
      </c>
      <c r="P1301" s="84">
        <v>0.13700000000000001</v>
      </c>
      <c r="Q1301" s="86">
        <v>4.2</v>
      </c>
      <c r="R1301" s="85">
        <v>4.2</v>
      </c>
      <c r="S1301" s="87">
        <v>1597940</v>
      </c>
      <c r="T1301" s="1">
        <v>1</v>
      </c>
      <c r="U1301" s="88">
        <v>380461.90476190473</v>
      </c>
      <c r="V1301" s="59">
        <v>2.6283840444572388</v>
      </c>
      <c r="X1301" s="98">
        <v>4.2</v>
      </c>
      <c r="Y1301" s="97">
        <v>387.4452380952381</v>
      </c>
    </row>
    <row r="1302" spans="1:25">
      <c r="A1302" s="58">
        <v>1304</v>
      </c>
      <c r="B1302" s="58">
        <v>1304</v>
      </c>
      <c r="C1302" s="58" t="s">
        <v>2014</v>
      </c>
      <c r="D1302" s="58" t="s">
        <v>852</v>
      </c>
      <c r="E1302" s="58" t="s">
        <v>852</v>
      </c>
      <c r="F1302" s="58" t="s">
        <v>517</v>
      </c>
      <c r="G1302" s="58" t="s">
        <v>518</v>
      </c>
      <c r="H1302" s="58" t="s">
        <v>179</v>
      </c>
      <c r="I1302">
        <v>38000</v>
      </c>
      <c r="J1302">
        <v>38000</v>
      </c>
      <c r="K1302">
        <v>10000</v>
      </c>
      <c r="L1302" s="74">
        <v>11.242000000000001</v>
      </c>
      <c r="M1302" s="85">
        <v>12</v>
      </c>
      <c r="N1302" s="74">
        <v>0.20100000000000001</v>
      </c>
      <c r="O1302">
        <v>3</v>
      </c>
      <c r="P1302" s="84">
        <v>0.20100000000000001</v>
      </c>
      <c r="Q1302" s="86">
        <v>4.2</v>
      </c>
      <c r="R1302" s="85">
        <v>4.2</v>
      </c>
      <c r="S1302" s="87">
        <v>1492540</v>
      </c>
      <c r="T1302" s="1">
        <v>1</v>
      </c>
      <c r="U1302" s="88">
        <v>355366.66666666663</v>
      </c>
      <c r="V1302" s="59">
        <v>2.8139949348091173</v>
      </c>
      <c r="X1302" s="98">
        <v>4.2</v>
      </c>
      <c r="Y1302" s="97">
        <v>380.46190476190475</v>
      </c>
    </row>
    <row r="1303" spans="1:25">
      <c r="A1303" s="58">
        <v>1305</v>
      </c>
      <c r="B1303" s="58">
        <v>1305</v>
      </c>
      <c r="C1303" s="58" t="s">
        <v>2015</v>
      </c>
      <c r="D1303" s="58" t="s">
        <v>852</v>
      </c>
      <c r="E1303" s="58" t="s">
        <v>852</v>
      </c>
      <c r="F1303" s="58" t="s">
        <v>2016</v>
      </c>
      <c r="G1303" s="58" t="s">
        <v>2017</v>
      </c>
      <c r="H1303" s="58" t="s">
        <v>179</v>
      </c>
      <c r="I1303">
        <v>38000</v>
      </c>
      <c r="J1303">
        <v>38000</v>
      </c>
      <c r="K1303" s="58" t="s">
        <v>185</v>
      </c>
      <c r="L1303" s="74">
        <v>6.11</v>
      </c>
      <c r="M1303" s="85">
        <v>7</v>
      </c>
      <c r="N1303" s="74">
        <v>0.13200000000000001</v>
      </c>
      <c r="O1303">
        <v>3</v>
      </c>
      <c r="P1303" s="84">
        <v>0.13200000000000001</v>
      </c>
      <c r="Q1303" s="86">
        <v>4.2</v>
      </c>
      <c r="R1303" s="85">
        <v>4.2</v>
      </c>
      <c r="S1303" s="87">
        <v>839680</v>
      </c>
      <c r="T1303" s="1">
        <v>4</v>
      </c>
      <c r="U1303" s="88">
        <v>199923.80952380953</v>
      </c>
      <c r="V1303" s="59">
        <v>5.0019054878048781</v>
      </c>
      <c r="X1303" s="98">
        <v>4.2</v>
      </c>
      <c r="Y1303" s="97">
        <v>355.36666666666662</v>
      </c>
    </row>
    <row r="1304" spans="1:25">
      <c r="A1304" s="58">
        <v>1306</v>
      </c>
      <c r="B1304" s="58">
        <v>1306</v>
      </c>
      <c r="C1304" s="58" t="s">
        <v>2018</v>
      </c>
      <c r="D1304" s="58" t="s">
        <v>852</v>
      </c>
      <c r="E1304" s="58" t="s">
        <v>852</v>
      </c>
      <c r="F1304" s="58" t="s">
        <v>2016</v>
      </c>
      <c r="G1304" s="58" t="s">
        <v>2017</v>
      </c>
      <c r="H1304" s="58" t="s">
        <v>179</v>
      </c>
      <c r="I1304">
        <v>38000</v>
      </c>
      <c r="J1304">
        <v>38000</v>
      </c>
      <c r="K1304" s="58" t="s">
        <v>185</v>
      </c>
      <c r="L1304" s="74">
        <v>6.9340000000000002</v>
      </c>
      <c r="M1304" s="85">
        <v>7</v>
      </c>
      <c r="N1304" s="74">
        <v>0.13400000000000001</v>
      </c>
      <c r="O1304">
        <v>3</v>
      </c>
      <c r="P1304" s="84">
        <v>0.13400000000000001</v>
      </c>
      <c r="Q1304" s="86">
        <v>4.2</v>
      </c>
      <c r="R1304" s="85">
        <v>4.2</v>
      </c>
      <c r="S1304" s="87">
        <v>839680</v>
      </c>
      <c r="T1304" s="1">
        <v>4</v>
      </c>
      <c r="U1304" s="88">
        <v>199923.80952380953</v>
      </c>
      <c r="V1304" s="59">
        <v>5.0019054878048781</v>
      </c>
      <c r="X1304" s="98">
        <v>4.2</v>
      </c>
      <c r="Y1304" s="97">
        <v>199.92380952380952</v>
      </c>
    </row>
    <row r="1305" spans="1:25">
      <c r="A1305" s="58">
        <v>1307</v>
      </c>
      <c r="B1305" s="58">
        <v>1307</v>
      </c>
      <c r="C1305" s="58" t="s">
        <v>2019</v>
      </c>
      <c r="D1305" s="58" t="s">
        <v>351</v>
      </c>
      <c r="E1305" s="58" t="s">
        <v>351</v>
      </c>
      <c r="F1305" s="58" t="s">
        <v>2020</v>
      </c>
      <c r="G1305" s="58" t="s">
        <v>2021</v>
      </c>
      <c r="H1305" s="58" t="s">
        <v>179</v>
      </c>
      <c r="I1305">
        <v>38000</v>
      </c>
      <c r="J1305">
        <v>38000</v>
      </c>
      <c r="K1305" s="58" t="s">
        <v>185</v>
      </c>
      <c r="L1305" s="74">
        <v>3.9460000000000002</v>
      </c>
      <c r="M1305" s="85">
        <v>4</v>
      </c>
      <c r="N1305" s="74">
        <v>0.33100000000000002</v>
      </c>
      <c r="O1305">
        <v>3</v>
      </c>
      <c r="P1305" s="84">
        <v>0.33100000000000002</v>
      </c>
      <c r="Q1305" s="86">
        <v>4.2</v>
      </c>
      <c r="R1305" s="85">
        <v>4.2</v>
      </c>
      <c r="S1305" s="87">
        <v>628870</v>
      </c>
      <c r="T1305" s="1">
        <v>4</v>
      </c>
      <c r="U1305" s="88">
        <v>149730.95238095237</v>
      </c>
      <c r="V1305" s="59">
        <v>6.6786458250512828</v>
      </c>
      <c r="X1305" s="98">
        <v>4.2</v>
      </c>
      <c r="Y1305" s="97">
        <v>199.92380952380952</v>
      </c>
    </row>
    <row r="1306" spans="1:25">
      <c r="A1306" s="58">
        <v>1308</v>
      </c>
      <c r="B1306" s="58">
        <v>1308</v>
      </c>
      <c r="C1306" s="58" t="s">
        <v>2022</v>
      </c>
      <c r="D1306" s="58" t="s">
        <v>852</v>
      </c>
      <c r="E1306" s="58" t="s">
        <v>852</v>
      </c>
      <c r="F1306" s="58" t="s">
        <v>2023</v>
      </c>
      <c r="G1306" s="58" t="s">
        <v>2024</v>
      </c>
      <c r="H1306" s="58" t="s">
        <v>199</v>
      </c>
      <c r="I1306">
        <v>110000</v>
      </c>
      <c r="J1306">
        <v>110000</v>
      </c>
      <c r="K1306" s="58" t="s">
        <v>185</v>
      </c>
      <c r="L1306" s="74">
        <v>8.0350000000000001</v>
      </c>
      <c r="M1306" s="85">
        <v>9</v>
      </c>
      <c r="N1306" s="74">
        <v>0.28199999999999997</v>
      </c>
      <c r="O1306">
        <v>3</v>
      </c>
      <c r="P1306" s="84">
        <v>0.28199999999999997</v>
      </c>
      <c r="Q1306" s="86">
        <v>4.2</v>
      </c>
      <c r="R1306" s="85">
        <v>4.2</v>
      </c>
      <c r="S1306" s="87">
        <v>1890770</v>
      </c>
      <c r="T1306" s="1">
        <v>7</v>
      </c>
      <c r="U1306" s="88">
        <v>450183.33333333331</v>
      </c>
      <c r="V1306" s="59">
        <v>2.2213172411239865</v>
      </c>
      <c r="X1306" s="98">
        <v>4.2</v>
      </c>
      <c r="Y1306" s="97">
        <v>149.73095238095235</v>
      </c>
    </row>
    <row r="1307" spans="1:25">
      <c r="A1307" s="58">
        <v>1309</v>
      </c>
      <c r="B1307" s="58">
        <v>1309</v>
      </c>
      <c r="C1307" s="58" t="s">
        <v>2025</v>
      </c>
      <c r="D1307" s="58" t="s">
        <v>852</v>
      </c>
      <c r="E1307" s="58" t="s">
        <v>852</v>
      </c>
      <c r="F1307" s="58" t="s">
        <v>517</v>
      </c>
      <c r="G1307" s="58" t="s">
        <v>518</v>
      </c>
      <c r="H1307" s="58" t="s">
        <v>179</v>
      </c>
      <c r="I1307">
        <v>38000</v>
      </c>
      <c r="J1307">
        <v>38000</v>
      </c>
      <c r="K1307">
        <v>10000</v>
      </c>
      <c r="L1307" s="74">
        <v>4.66</v>
      </c>
      <c r="M1307" s="85">
        <v>5</v>
      </c>
      <c r="N1307" s="74">
        <v>0.16700000000000001</v>
      </c>
      <c r="O1307">
        <v>3</v>
      </c>
      <c r="P1307" s="84">
        <v>0.16700000000000001</v>
      </c>
      <c r="Q1307" s="86">
        <v>4.2</v>
      </c>
      <c r="R1307" s="85">
        <v>4.2</v>
      </c>
      <c r="S1307" s="87">
        <v>699140</v>
      </c>
      <c r="T1307" s="1">
        <v>4</v>
      </c>
      <c r="U1307" s="88">
        <v>166461.90476190476</v>
      </c>
      <c r="V1307" s="59">
        <v>6.0073804960379897</v>
      </c>
      <c r="X1307" s="98">
        <v>4.2</v>
      </c>
      <c r="Y1307" s="97">
        <v>450.18333333333334</v>
      </c>
    </row>
    <row r="1308" spans="1:25">
      <c r="A1308" s="58">
        <v>1310</v>
      </c>
      <c r="B1308" s="58">
        <v>1310</v>
      </c>
      <c r="C1308" s="58" t="s">
        <v>2026</v>
      </c>
      <c r="D1308" s="58" t="s">
        <v>346</v>
      </c>
      <c r="E1308" s="58" t="s">
        <v>351</v>
      </c>
      <c r="F1308" s="58" t="s">
        <v>1427</v>
      </c>
      <c r="G1308" s="58" t="s">
        <v>1428</v>
      </c>
      <c r="H1308" s="58" t="s">
        <v>199</v>
      </c>
      <c r="I1308">
        <v>110000</v>
      </c>
      <c r="J1308">
        <v>110000</v>
      </c>
      <c r="K1308">
        <v>38000</v>
      </c>
      <c r="L1308" s="74">
        <v>8.4380000000000006</v>
      </c>
      <c r="M1308" s="85">
        <v>9</v>
      </c>
      <c r="N1308" s="74">
        <v>0.17399999999999999</v>
      </c>
      <c r="O1308">
        <v>3</v>
      </c>
      <c r="P1308" s="84">
        <v>0.17399999999999999</v>
      </c>
      <c r="Q1308" s="86">
        <v>4.2</v>
      </c>
      <c r="R1308" s="85">
        <v>4.2</v>
      </c>
      <c r="S1308" s="87">
        <v>1890770</v>
      </c>
      <c r="T1308" s="1">
        <v>7</v>
      </c>
      <c r="U1308" s="88">
        <v>450183.33333333331</v>
      </c>
      <c r="V1308" s="59">
        <v>2.2213172411239865</v>
      </c>
      <c r="X1308" s="98">
        <v>4.2</v>
      </c>
      <c r="Y1308" s="97">
        <v>166.46190476190475</v>
      </c>
    </row>
    <row r="1309" spans="1:25">
      <c r="A1309" s="58">
        <v>1311</v>
      </c>
      <c r="B1309" s="58">
        <v>1311</v>
      </c>
      <c r="C1309" s="58" t="s">
        <v>2027</v>
      </c>
      <c r="D1309" s="58" t="s">
        <v>234</v>
      </c>
      <c r="E1309" s="58" t="s">
        <v>234</v>
      </c>
      <c r="F1309" s="58" t="s">
        <v>2028</v>
      </c>
      <c r="G1309" s="58" t="s">
        <v>2029</v>
      </c>
      <c r="H1309" s="58" t="s">
        <v>179</v>
      </c>
      <c r="I1309">
        <v>38000</v>
      </c>
      <c r="J1309">
        <v>38000</v>
      </c>
      <c r="K1309" s="58" t="s">
        <v>185</v>
      </c>
      <c r="L1309" s="74">
        <v>6.57</v>
      </c>
      <c r="M1309" s="85">
        <v>7</v>
      </c>
      <c r="N1309" s="74">
        <v>0.23400000000000001</v>
      </c>
      <c r="O1309">
        <v>3</v>
      </c>
      <c r="P1309" s="84">
        <v>0.23400000000000001</v>
      </c>
      <c r="Q1309" s="86">
        <v>4.2</v>
      </c>
      <c r="R1309" s="85">
        <v>4.2</v>
      </c>
      <c r="S1309" s="87">
        <v>839680</v>
      </c>
      <c r="T1309" s="1">
        <v>4</v>
      </c>
      <c r="U1309" s="88">
        <v>199923.80952380953</v>
      </c>
      <c r="V1309" s="59">
        <v>5.0019054878048781</v>
      </c>
      <c r="X1309" s="98">
        <v>4.2</v>
      </c>
      <c r="Y1309" s="97">
        <v>450.18333333333334</v>
      </c>
    </row>
    <row r="1310" spans="1:25">
      <c r="A1310" s="58">
        <v>1312</v>
      </c>
      <c r="B1310" s="58">
        <v>1312</v>
      </c>
      <c r="C1310" s="58" t="s">
        <v>2030</v>
      </c>
      <c r="D1310" s="58" t="s">
        <v>852</v>
      </c>
      <c r="E1310" s="58" t="s">
        <v>852</v>
      </c>
      <c r="F1310" s="58" t="s">
        <v>2016</v>
      </c>
      <c r="G1310" s="58" t="s">
        <v>2017</v>
      </c>
      <c r="H1310" s="58" t="s">
        <v>179</v>
      </c>
      <c r="I1310">
        <v>38000</v>
      </c>
      <c r="J1310">
        <v>38000</v>
      </c>
      <c r="K1310" s="58" t="s">
        <v>185</v>
      </c>
      <c r="L1310" s="74">
        <v>12.313000000000001</v>
      </c>
      <c r="M1310" s="85">
        <v>13</v>
      </c>
      <c r="N1310" s="74">
        <v>0.14499999999999999</v>
      </c>
      <c r="O1310">
        <v>3</v>
      </c>
      <c r="P1310" s="84">
        <v>0.14499999999999999</v>
      </c>
      <c r="Q1310" s="86">
        <v>4.2</v>
      </c>
      <c r="R1310" s="85">
        <v>4.2</v>
      </c>
      <c r="S1310" s="87">
        <v>1545240</v>
      </c>
      <c r="T1310" s="1">
        <v>1</v>
      </c>
      <c r="U1310" s="88">
        <v>367914.28571428568</v>
      </c>
      <c r="V1310" s="59">
        <v>2.7180243845616214</v>
      </c>
      <c r="X1310" s="98">
        <v>4.2</v>
      </c>
      <c r="Y1310" s="97">
        <v>199.92380952380952</v>
      </c>
    </row>
    <row r="1311" spans="1:25">
      <c r="A1311" s="58">
        <v>1313</v>
      </c>
      <c r="B1311" s="58">
        <v>1313</v>
      </c>
      <c r="C1311" s="58" t="s">
        <v>2031</v>
      </c>
      <c r="D1311" s="58" t="s">
        <v>852</v>
      </c>
      <c r="E1311" s="58" t="s">
        <v>852</v>
      </c>
      <c r="F1311" s="58" t="s">
        <v>1839</v>
      </c>
      <c r="G1311" s="58" t="s">
        <v>1840</v>
      </c>
      <c r="H1311" s="58" t="s">
        <v>179</v>
      </c>
      <c r="I1311">
        <v>38000</v>
      </c>
      <c r="J1311">
        <v>38000</v>
      </c>
      <c r="K1311" s="58" t="s">
        <v>185</v>
      </c>
      <c r="L1311" s="74">
        <v>10.522</v>
      </c>
      <c r="M1311" s="85">
        <v>11</v>
      </c>
      <c r="N1311" s="74">
        <v>0.17</v>
      </c>
      <c r="O1311">
        <v>3</v>
      </c>
      <c r="P1311" s="84">
        <v>0.17</v>
      </c>
      <c r="Q1311" s="86">
        <v>4.2</v>
      </c>
      <c r="R1311" s="85">
        <v>4.2</v>
      </c>
      <c r="S1311" s="87">
        <v>1439840</v>
      </c>
      <c r="T1311" s="1">
        <v>1</v>
      </c>
      <c r="U1311" s="88">
        <v>342819.04761904763</v>
      </c>
      <c r="V1311" s="59">
        <v>2.9169907767529724</v>
      </c>
      <c r="X1311" s="98">
        <v>4.2</v>
      </c>
      <c r="Y1311" s="97">
        <v>367.91428571428571</v>
      </c>
    </row>
    <row r="1312" spans="1:25">
      <c r="A1312" s="58">
        <v>1314</v>
      </c>
      <c r="B1312" s="58">
        <v>1314</v>
      </c>
      <c r="C1312" s="58" t="s">
        <v>2032</v>
      </c>
      <c r="D1312" s="58" t="s">
        <v>234</v>
      </c>
      <c r="E1312" s="58" t="s">
        <v>234</v>
      </c>
      <c r="F1312" s="58" t="s">
        <v>2033</v>
      </c>
      <c r="G1312" s="58" t="s">
        <v>2034</v>
      </c>
      <c r="H1312" s="58" t="s">
        <v>179</v>
      </c>
      <c r="I1312">
        <v>38000</v>
      </c>
      <c r="J1312">
        <v>38000</v>
      </c>
      <c r="K1312" s="58" t="s">
        <v>185</v>
      </c>
      <c r="L1312" s="74">
        <v>5.3810000000000002</v>
      </c>
      <c r="M1312" s="85">
        <v>6</v>
      </c>
      <c r="N1312" s="74">
        <v>0.104</v>
      </c>
      <c r="O1312">
        <v>3</v>
      </c>
      <c r="P1312" s="84">
        <v>0.104</v>
      </c>
      <c r="Q1312" s="86">
        <v>4.2</v>
      </c>
      <c r="R1312" s="85">
        <v>4.2</v>
      </c>
      <c r="S1312" s="87">
        <v>769410</v>
      </c>
      <c r="T1312" s="1">
        <v>4</v>
      </c>
      <c r="U1312" s="88">
        <v>183192.85714285713</v>
      </c>
      <c r="V1312" s="59">
        <v>5.4587281163488903</v>
      </c>
      <c r="X1312" s="98">
        <v>4.2</v>
      </c>
      <c r="Y1312" s="97">
        <v>342.81904761904764</v>
      </c>
    </row>
    <row r="1313" spans="1:25">
      <c r="A1313" s="58">
        <v>1315</v>
      </c>
      <c r="B1313" s="58">
        <v>1315</v>
      </c>
      <c r="C1313" s="58" t="s">
        <v>2035</v>
      </c>
      <c r="D1313" s="58" t="s">
        <v>852</v>
      </c>
      <c r="E1313" s="58" t="s">
        <v>852</v>
      </c>
      <c r="F1313" s="58" t="s">
        <v>2020</v>
      </c>
      <c r="G1313" s="58" t="s">
        <v>2021</v>
      </c>
      <c r="H1313" s="58" t="s">
        <v>179</v>
      </c>
      <c r="I1313">
        <v>38000</v>
      </c>
      <c r="J1313">
        <v>38000</v>
      </c>
      <c r="K1313" s="58" t="s">
        <v>185</v>
      </c>
      <c r="L1313" s="74">
        <v>3.4860000000000002</v>
      </c>
      <c r="M1313" s="85">
        <v>4</v>
      </c>
      <c r="N1313" s="74">
        <v>0.20599999999999999</v>
      </c>
      <c r="O1313">
        <v>3</v>
      </c>
      <c r="P1313" s="84">
        <v>0.20599999999999999</v>
      </c>
      <c r="Q1313" s="86">
        <v>4.2</v>
      </c>
      <c r="R1313" s="85">
        <v>4.2</v>
      </c>
      <c r="S1313" s="87">
        <v>628870</v>
      </c>
      <c r="T1313" s="1">
        <v>4</v>
      </c>
      <c r="U1313" s="88">
        <v>149730.95238095237</v>
      </c>
      <c r="V1313" s="59">
        <v>6.6786458250512828</v>
      </c>
      <c r="X1313" s="98">
        <v>4.2</v>
      </c>
      <c r="Y1313" s="97">
        <v>183.19285714285712</v>
      </c>
    </row>
    <row r="1314" spans="1:25">
      <c r="A1314" s="58">
        <v>1316</v>
      </c>
      <c r="B1314" s="58">
        <v>1316</v>
      </c>
      <c r="C1314" s="58" t="s">
        <v>2036</v>
      </c>
      <c r="D1314" s="58" t="s">
        <v>1806</v>
      </c>
      <c r="E1314" s="58" t="s">
        <v>1806</v>
      </c>
      <c r="F1314" s="58" t="s">
        <v>2037</v>
      </c>
      <c r="G1314" s="58" t="s">
        <v>2038</v>
      </c>
      <c r="H1314" s="58" t="s">
        <v>179</v>
      </c>
      <c r="I1314">
        <v>38000</v>
      </c>
      <c r="J1314">
        <v>38000</v>
      </c>
      <c r="K1314" s="58" t="s">
        <v>185</v>
      </c>
      <c r="L1314" s="74">
        <v>5.8780000000000001</v>
      </c>
      <c r="M1314" s="85">
        <v>6</v>
      </c>
      <c r="N1314" s="74">
        <v>0.10199999999999999</v>
      </c>
      <c r="O1314">
        <v>3</v>
      </c>
      <c r="P1314" s="84">
        <v>0.10199999999999999</v>
      </c>
      <c r="Q1314" s="86">
        <v>4.2</v>
      </c>
      <c r="R1314" s="85">
        <v>4.2</v>
      </c>
      <c r="S1314" s="87">
        <v>769410</v>
      </c>
      <c r="T1314" s="1">
        <v>4</v>
      </c>
      <c r="U1314" s="88">
        <v>183192.85714285713</v>
      </c>
      <c r="V1314" s="59">
        <v>5.4587281163488903</v>
      </c>
      <c r="X1314" s="98">
        <v>4.2</v>
      </c>
      <c r="Y1314" s="97">
        <v>149.73095238095235</v>
      </c>
    </row>
    <row r="1315" spans="1:25">
      <c r="A1315" s="58">
        <v>1317</v>
      </c>
      <c r="B1315" s="58">
        <v>1317</v>
      </c>
      <c r="C1315" s="58" t="s">
        <v>2039</v>
      </c>
      <c r="D1315" s="58" t="s">
        <v>1806</v>
      </c>
      <c r="E1315" s="58" t="s">
        <v>1806</v>
      </c>
      <c r="F1315" s="58" t="s">
        <v>2037</v>
      </c>
      <c r="G1315" s="58" t="s">
        <v>2038</v>
      </c>
      <c r="H1315" s="58" t="s">
        <v>179</v>
      </c>
      <c r="I1315">
        <v>38000</v>
      </c>
      <c r="J1315">
        <v>38000</v>
      </c>
      <c r="K1315" s="58" t="s">
        <v>185</v>
      </c>
      <c r="L1315" s="74">
        <v>2.661</v>
      </c>
      <c r="M1315" s="85">
        <v>3</v>
      </c>
      <c r="N1315" s="74">
        <v>9.7000000000000003E-2</v>
      </c>
      <c r="O1315">
        <v>3</v>
      </c>
      <c r="P1315" s="84">
        <v>9.7000000000000003E-2</v>
      </c>
      <c r="Q1315" s="86">
        <v>4.2</v>
      </c>
      <c r="R1315" s="85">
        <v>4.2</v>
      </c>
      <c r="S1315" s="87">
        <v>558600</v>
      </c>
      <c r="T1315" s="1">
        <v>4</v>
      </c>
      <c r="U1315" s="88">
        <v>133000</v>
      </c>
      <c r="V1315" s="59">
        <v>7.518796992481203</v>
      </c>
      <c r="X1315" s="98">
        <v>4.2</v>
      </c>
      <c r="Y1315" s="97">
        <v>183.19285714285712</v>
      </c>
    </row>
    <row r="1316" spans="1:25">
      <c r="A1316" s="58">
        <v>1318</v>
      </c>
      <c r="B1316" s="58">
        <v>1318</v>
      </c>
      <c r="C1316" s="58" t="s">
        <v>2040</v>
      </c>
      <c r="D1316" s="58" t="s">
        <v>1806</v>
      </c>
      <c r="E1316" s="58" t="s">
        <v>1806</v>
      </c>
      <c r="F1316" s="58" t="s">
        <v>2037</v>
      </c>
      <c r="G1316" s="58" t="s">
        <v>2038</v>
      </c>
      <c r="H1316" s="58" t="s">
        <v>179</v>
      </c>
      <c r="I1316">
        <v>38000</v>
      </c>
      <c r="J1316">
        <v>38000</v>
      </c>
      <c r="K1316" s="58" t="s">
        <v>185</v>
      </c>
      <c r="L1316" s="74">
        <v>3.4569999999999999</v>
      </c>
      <c r="M1316" s="85">
        <v>4</v>
      </c>
      <c r="N1316" s="74">
        <v>0.108</v>
      </c>
      <c r="O1316">
        <v>3</v>
      </c>
      <c r="P1316" s="84">
        <v>0.108</v>
      </c>
      <c r="Q1316" s="86">
        <v>4.2</v>
      </c>
      <c r="R1316" s="85">
        <v>4.2</v>
      </c>
      <c r="S1316" s="87">
        <v>628870</v>
      </c>
      <c r="T1316" s="1">
        <v>4</v>
      </c>
      <c r="U1316" s="88">
        <v>149730.95238095237</v>
      </c>
      <c r="V1316" s="59">
        <v>6.6786458250512828</v>
      </c>
      <c r="X1316" s="98">
        <v>4.2</v>
      </c>
      <c r="Y1316" s="97">
        <v>133</v>
      </c>
    </row>
    <row r="1317" spans="1:25">
      <c r="A1317" s="58">
        <v>1319</v>
      </c>
      <c r="B1317" s="58">
        <v>1319</v>
      </c>
      <c r="C1317" s="58" t="s">
        <v>2041</v>
      </c>
      <c r="D1317" s="58" t="s">
        <v>1190</v>
      </c>
      <c r="E1317" s="58" t="s">
        <v>1190</v>
      </c>
      <c r="F1317" s="58" t="s">
        <v>2037</v>
      </c>
      <c r="G1317" s="58" t="s">
        <v>2038</v>
      </c>
      <c r="H1317" s="58" t="s">
        <v>179</v>
      </c>
      <c r="I1317">
        <v>38000</v>
      </c>
      <c r="J1317">
        <v>38000</v>
      </c>
      <c r="K1317" s="58" t="s">
        <v>185</v>
      </c>
      <c r="L1317" s="74">
        <v>5.8890000000000002</v>
      </c>
      <c r="M1317" s="85">
        <v>6</v>
      </c>
      <c r="N1317" s="74">
        <v>0.14099999999999999</v>
      </c>
      <c r="O1317">
        <v>3</v>
      </c>
      <c r="P1317" s="84">
        <v>0.14099999999999999</v>
      </c>
      <c r="Q1317" s="86">
        <v>4.2</v>
      </c>
      <c r="R1317" s="85">
        <v>4.2</v>
      </c>
      <c r="S1317" s="87">
        <v>769410</v>
      </c>
      <c r="T1317" s="1">
        <v>4</v>
      </c>
      <c r="U1317" s="88">
        <v>183192.85714285713</v>
      </c>
      <c r="V1317" s="59">
        <v>5.4587281163488903</v>
      </c>
      <c r="X1317" s="98">
        <v>4.2</v>
      </c>
      <c r="Y1317" s="97">
        <v>149.73095238095235</v>
      </c>
    </row>
    <row r="1318" spans="1:25">
      <c r="A1318" s="58">
        <v>1320</v>
      </c>
      <c r="B1318" s="58">
        <v>1320</v>
      </c>
      <c r="C1318" s="58" t="s">
        <v>2042</v>
      </c>
      <c r="D1318" s="58" t="s">
        <v>1806</v>
      </c>
      <c r="E1318" s="58" t="s">
        <v>1806</v>
      </c>
      <c r="F1318" s="58" t="s">
        <v>2037</v>
      </c>
      <c r="G1318" s="58" t="s">
        <v>2038</v>
      </c>
      <c r="H1318" s="58" t="s">
        <v>179</v>
      </c>
      <c r="I1318">
        <v>38000</v>
      </c>
      <c r="J1318">
        <v>38000</v>
      </c>
      <c r="K1318" s="58" t="s">
        <v>185</v>
      </c>
      <c r="L1318" s="74">
        <v>6.17</v>
      </c>
      <c r="M1318" s="85">
        <v>7</v>
      </c>
      <c r="N1318" s="74">
        <v>0.44</v>
      </c>
      <c r="O1318">
        <v>3</v>
      </c>
      <c r="P1318" s="84">
        <v>0.44</v>
      </c>
      <c r="Q1318" s="86">
        <v>4.2</v>
      </c>
      <c r="R1318" s="85">
        <v>4.2</v>
      </c>
      <c r="S1318" s="87">
        <v>839680</v>
      </c>
      <c r="T1318" s="1">
        <v>4</v>
      </c>
      <c r="U1318" s="88">
        <v>199923.80952380953</v>
      </c>
      <c r="V1318" s="59">
        <v>5.0019054878048781</v>
      </c>
      <c r="X1318" s="98">
        <v>4.2</v>
      </c>
      <c r="Y1318" s="97">
        <v>183.19285714285712</v>
      </c>
    </row>
    <row r="1319" spans="1:25">
      <c r="A1319" s="58">
        <v>1321</v>
      </c>
      <c r="B1319" s="58">
        <v>1321</v>
      </c>
      <c r="C1319" s="58" t="s">
        <v>2043</v>
      </c>
      <c r="D1319" s="58" t="s">
        <v>852</v>
      </c>
      <c r="E1319" s="58" t="s">
        <v>852</v>
      </c>
      <c r="F1319" s="58" t="s">
        <v>2044</v>
      </c>
      <c r="G1319" s="58" t="s">
        <v>2045</v>
      </c>
      <c r="H1319" s="58" t="s">
        <v>179</v>
      </c>
      <c r="I1319">
        <v>38000</v>
      </c>
      <c r="J1319">
        <v>38000</v>
      </c>
      <c r="K1319" s="58" t="s">
        <v>185</v>
      </c>
      <c r="L1319" s="74">
        <v>6.4640000000000004</v>
      </c>
      <c r="M1319" s="85">
        <v>7</v>
      </c>
      <c r="N1319" s="74">
        <v>0.13</v>
      </c>
      <c r="O1319">
        <v>3</v>
      </c>
      <c r="P1319" s="84">
        <v>0.13</v>
      </c>
      <c r="Q1319" s="86">
        <v>4.2</v>
      </c>
      <c r="R1319" s="85">
        <v>4.2</v>
      </c>
      <c r="S1319" s="87">
        <v>839680</v>
      </c>
      <c r="T1319" s="1">
        <v>4</v>
      </c>
      <c r="U1319" s="88">
        <v>199923.80952380953</v>
      </c>
      <c r="V1319" s="59">
        <v>5.0019054878048781</v>
      </c>
      <c r="X1319" s="98">
        <v>4.2</v>
      </c>
      <c r="Y1319" s="97">
        <v>199.92380952380952</v>
      </c>
    </row>
    <row r="1320" spans="1:25">
      <c r="A1320" s="58">
        <v>1322</v>
      </c>
      <c r="B1320" s="58">
        <v>1322</v>
      </c>
      <c r="C1320" s="58" t="s">
        <v>2046</v>
      </c>
      <c r="D1320" s="58" t="s">
        <v>1806</v>
      </c>
      <c r="E1320" s="58" t="s">
        <v>1806</v>
      </c>
      <c r="F1320" s="58" t="s">
        <v>2037</v>
      </c>
      <c r="G1320" s="58" t="s">
        <v>2038</v>
      </c>
      <c r="H1320" s="58" t="s">
        <v>179</v>
      </c>
      <c r="I1320">
        <v>38000</v>
      </c>
      <c r="J1320">
        <v>38000</v>
      </c>
      <c r="K1320" s="58" t="s">
        <v>185</v>
      </c>
      <c r="L1320" s="74">
        <v>6.96</v>
      </c>
      <c r="M1320" s="85">
        <v>7</v>
      </c>
      <c r="N1320" s="74">
        <v>0.16600000000000001</v>
      </c>
      <c r="O1320">
        <v>3</v>
      </c>
      <c r="P1320" s="84">
        <v>0.16600000000000001</v>
      </c>
      <c r="Q1320" s="86">
        <v>4.2</v>
      </c>
      <c r="R1320" s="85">
        <v>4.2</v>
      </c>
      <c r="S1320" s="87">
        <v>839680</v>
      </c>
      <c r="T1320" s="1">
        <v>4</v>
      </c>
      <c r="U1320" s="88">
        <v>199923.80952380953</v>
      </c>
      <c r="V1320" s="59">
        <v>5.0019054878048781</v>
      </c>
      <c r="X1320" s="98">
        <v>4.2</v>
      </c>
      <c r="Y1320" s="97">
        <v>199.92380952380952</v>
      </c>
    </row>
    <row r="1321" spans="1:25">
      <c r="A1321" s="58">
        <v>1323</v>
      </c>
      <c r="B1321" s="58">
        <v>1323</v>
      </c>
      <c r="C1321" s="58" t="s">
        <v>2047</v>
      </c>
      <c r="D1321" s="58" t="s">
        <v>384</v>
      </c>
      <c r="E1321" s="58" t="s">
        <v>1806</v>
      </c>
      <c r="F1321" s="58" t="s">
        <v>2048</v>
      </c>
      <c r="G1321" s="58" t="s">
        <v>2049</v>
      </c>
      <c r="H1321" s="58" t="s">
        <v>179</v>
      </c>
      <c r="I1321">
        <v>38000</v>
      </c>
      <c r="J1321">
        <v>38000</v>
      </c>
      <c r="K1321" s="58" t="s">
        <v>185</v>
      </c>
      <c r="L1321" s="74">
        <v>6.5590000000000002</v>
      </c>
      <c r="M1321" s="85">
        <v>7</v>
      </c>
      <c r="N1321" s="74">
        <v>0.16800000000000001</v>
      </c>
      <c r="O1321">
        <v>3</v>
      </c>
      <c r="P1321" s="84">
        <v>0.16800000000000001</v>
      </c>
      <c r="Q1321" s="86">
        <v>4.2</v>
      </c>
      <c r="R1321" s="85">
        <v>4.2</v>
      </c>
      <c r="S1321" s="87">
        <v>839680</v>
      </c>
      <c r="T1321" s="1">
        <v>4</v>
      </c>
      <c r="U1321" s="88">
        <v>199923.80952380953</v>
      </c>
      <c r="V1321" s="59">
        <v>5.0019054878048781</v>
      </c>
      <c r="X1321" s="98">
        <v>4.2</v>
      </c>
      <c r="Y1321" s="97">
        <v>199.92380952380952</v>
      </c>
    </row>
    <row r="1322" spans="1:25">
      <c r="A1322" s="58">
        <v>1324</v>
      </c>
      <c r="B1322" s="58">
        <v>1324</v>
      </c>
      <c r="C1322" s="58" t="s">
        <v>2050</v>
      </c>
      <c r="D1322" s="58" t="s">
        <v>1190</v>
      </c>
      <c r="E1322" s="58" t="s">
        <v>1190</v>
      </c>
      <c r="F1322" s="58" t="s">
        <v>1842</v>
      </c>
      <c r="G1322" s="58" t="s">
        <v>1843</v>
      </c>
      <c r="H1322" s="58" t="s">
        <v>199</v>
      </c>
      <c r="I1322">
        <v>110000</v>
      </c>
      <c r="J1322">
        <v>110000</v>
      </c>
      <c r="K1322">
        <v>38000</v>
      </c>
      <c r="L1322" s="74">
        <v>9.016</v>
      </c>
      <c r="M1322" s="85">
        <v>10</v>
      </c>
      <c r="N1322" s="74">
        <v>0.19800000000000001</v>
      </c>
      <c r="O1322">
        <v>3</v>
      </c>
      <c r="P1322" s="84">
        <v>0.19800000000000001</v>
      </c>
      <c r="Q1322" s="86">
        <v>4.2</v>
      </c>
      <c r="R1322" s="85">
        <v>4.2</v>
      </c>
      <c r="S1322" s="87">
        <v>1943470</v>
      </c>
      <c r="T1322" s="1">
        <v>7</v>
      </c>
      <c r="U1322" s="88">
        <v>462730.95238095237</v>
      </c>
      <c r="V1322" s="59">
        <v>2.1610830113148132</v>
      </c>
      <c r="X1322" s="98">
        <v>4.2</v>
      </c>
      <c r="Y1322" s="97">
        <v>199.92380952380952</v>
      </c>
    </row>
    <row r="1323" spans="1:25">
      <c r="A1323" s="58">
        <v>1325</v>
      </c>
      <c r="B1323" s="58">
        <v>1325</v>
      </c>
      <c r="C1323" s="58" t="s">
        <v>2051</v>
      </c>
      <c r="D1323" s="58" t="s">
        <v>1190</v>
      </c>
      <c r="E1323" s="58" t="s">
        <v>1190</v>
      </c>
      <c r="F1323" s="58" t="s">
        <v>2037</v>
      </c>
      <c r="G1323" s="58" t="s">
        <v>2038</v>
      </c>
      <c r="H1323" s="58" t="s">
        <v>179</v>
      </c>
      <c r="I1323">
        <v>38000</v>
      </c>
      <c r="J1323">
        <v>38000</v>
      </c>
      <c r="K1323" s="58" t="s">
        <v>185</v>
      </c>
      <c r="L1323" s="74">
        <v>12.183</v>
      </c>
      <c r="M1323" s="85">
        <v>13</v>
      </c>
      <c r="N1323" s="74">
        <v>0.10299999999999999</v>
      </c>
      <c r="O1323">
        <v>3</v>
      </c>
      <c r="P1323" s="84">
        <v>0.10299999999999999</v>
      </c>
      <c r="Q1323" s="86">
        <v>4.2</v>
      </c>
      <c r="R1323" s="85">
        <v>4.2</v>
      </c>
      <c r="S1323" s="87">
        <v>1545240</v>
      </c>
      <c r="T1323" s="1">
        <v>1</v>
      </c>
      <c r="U1323" s="88">
        <v>367914.28571428568</v>
      </c>
      <c r="V1323" s="59">
        <v>2.7180243845616214</v>
      </c>
      <c r="X1323" s="98">
        <v>4.2</v>
      </c>
      <c r="Y1323" s="97">
        <v>462.73095238095237</v>
      </c>
    </row>
    <row r="1324" spans="1:25">
      <c r="A1324" s="58">
        <v>1326</v>
      </c>
      <c r="B1324" s="58">
        <v>1326</v>
      </c>
      <c r="C1324" s="58" t="s">
        <v>2052</v>
      </c>
      <c r="D1324" s="58" t="s">
        <v>1190</v>
      </c>
      <c r="E1324" s="58" t="s">
        <v>1190</v>
      </c>
      <c r="F1324" s="58" t="s">
        <v>1191</v>
      </c>
      <c r="G1324" s="58" t="s">
        <v>1192</v>
      </c>
      <c r="H1324" s="58" t="s">
        <v>179</v>
      </c>
      <c r="I1324">
        <v>38000</v>
      </c>
      <c r="J1324">
        <v>38000</v>
      </c>
      <c r="K1324">
        <v>10000</v>
      </c>
      <c r="L1324" s="74">
        <v>8.4619999999999997</v>
      </c>
      <c r="M1324" s="85">
        <v>9</v>
      </c>
      <c r="N1324" s="74">
        <v>9.0999999999999998E-2</v>
      </c>
      <c r="O1324">
        <v>3</v>
      </c>
      <c r="P1324" s="84">
        <v>9.0999999999999998E-2</v>
      </c>
      <c r="Q1324" s="86">
        <v>4.2</v>
      </c>
      <c r="R1324" s="85">
        <v>4.2</v>
      </c>
      <c r="S1324" s="87">
        <v>1334440</v>
      </c>
      <c r="T1324" s="1">
        <v>1</v>
      </c>
      <c r="U1324" s="88">
        <v>317723.80952380953</v>
      </c>
      <c r="V1324" s="59">
        <v>3.1473876682353645</v>
      </c>
      <c r="X1324" s="98">
        <v>4.2</v>
      </c>
      <c r="Y1324" s="97">
        <v>367.91428571428571</v>
      </c>
    </row>
    <row r="1325" spans="1:25">
      <c r="A1325" s="58">
        <v>1327</v>
      </c>
      <c r="B1325" s="58">
        <v>1327</v>
      </c>
      <c r="C1325" s="58" t="s">
        <v>2053</v>
      </c>
      <c r="D1325" s="58" t="s">
        <v>1806</v>
      </c>
      <c r="E1325" s="58" t="s">
        <v>1806</v>
      </c>
      <c r="F1325" s="58" t="s">
        <v>2054</v>
      </c>
      <c r="G1325" s="58" t="s">
        <v>2055</v>
      </c>
      <c r="H1325" s="58" t="s">
        <v>179</v>
      </c>
      <c r="I1325">
        <v>38000</v>
      </c>
      <c r="J1325">
        <v>38000</v>
      </c>
      <c r="K1325" s="58" t="s">
        <v>185</v>
      </c>
      <c r="L1325" s="74">
        <v>6.5780000000000003</v>
      </c>
      <c r="M1325" s="85">
        <v>7</v>
      </c>
      <c r="N1325" s="74">
        <v>0.27200000000000002</v>
      </c>
      <c r="O1325">
        <v>3</v>
      </c>
      <c r="P1325" s="84">
        <v>0.27200000000000002</v>
      </c>
      <c r="Q1325" s="86">
        <v>4.2</v>
      </c>
      <c r="R1325" s="85">
        <v>4.2</v>
      </c>
      <c r="S1325" s="87">
        <v>839680</v>
      </c>
      <c r="T1325" s="1">
        <v>4</v>
      </c>
      <c r="U1325" s="88">
        <v>199923.80952380953</v>
      </c>
      <c r="V1325" s="59">
        <v>5.0019054878048781</v>
      </c>
      <c r="X1325" s="98">
        <v>4.2</v>
      </c>
      <c r="Y1325" s="97">
        <v>317.72380952380951</v>
      </c>
    </row>
    <row r="1326" spans="1:25">
      <c r="A1326" s="58">
        <v>1328</v>
      </c>
      <c r="B1326" s="58">
        <v>1328</v>
      </c>
      <c r="C1326" s="58" t="s">
        <v>2056</v>
      </c>
      <c r="D1326" s="58" t="s">
        <v>1190</v>
      </c>
      <c r="E1326" s="58" t="s">
        <v>1190</v>
      </c>
      <c r="F1326" s="58" t="s">
        <v>1191</v>
      </c>
      <c r="G1326" s="58" t="s">
        <v>1192</v>
      </c>
      <c r="H1326" s="58" t="s">
        <v>179</v>
      </c>
      <c r="I1326">
        <v>38000</v>
      </c>
      <c r="J1326">
        <v>38000</v>
      </c>
      <c r="K1326">
        <v>10000</v>
      </c>
      <c r="L1326" s="74">
        <v>8.6020000000000003</v>
      </c>
      <c r="M1326" s="85">
        <v>9</v>
      </c>
      <c r="N1326" s="74">
        <v>0.154</v>
      </c>
      <c r="O1326">
        <v>3</v>
      </c>
      <c r="P1326" s="84">
        <v>0.154</v>
      </c>
      <c r="Q1326" s="86">
        <v>4.2</v>
      </c>
      <c r="R1326" s="85">
        <v>4.2</v>
      </c>
      <c r="S1326" s="87">
        <v>1334440</v>
      </c>
      <c r="T1326" s="1">
        <v>1</v>
      </c>
      <c r="U1326" s="88">
        <v>317723.80952380953</v>
      </c>
      <c r="V1326" s="59">
        <v>3.1473876682353645</v>
      </c>
      <c r="X1326" s="98">
        <v>4.2</v>
      </c>
      <c r="Y1326" s="97">
        <v>199.92380952380952</v>
      </c>
    </row>
    <row r="1327" spans="1:25">
      <c r="A1327" s="58">
        <v>1329</v>
      </c>
      <c r="B1327" s="58">
        <v>1329</v>
      </c>
      <c r="C1327" s="58" t="s">
        <v>2057</v>
      </c>
      <c r="D1327" s="58" t="s">
        <v>1190</v>
      </c>
      <c r="E1327" s="58" t="s">
        <v>1190</v>
      </c>
      <c r="F1327" s="58" t="s">
        <v>1191</v>
      </c>
      <c r="G1327" s="58" t="s">
        <v>1192</v>
      </c>
      <c r="H1327" s="58" t="s">
        <v>179</v>
      </c>
      <c r="I1327">
        <v>38000</v>
      </c>
      <c r="J1327">
        <v>38000</v>
      </c>
      <c r="K1327">
        <v>10000</v>
      </c>
      <c r="L1327" s="74">
        <v>3.665</v>
      </c>
      <c r="M1327" s="85">
        <v>4</v>
      </c>
      <c r="N1327" s="74">
        <v>0.17599999999999999</v>
      </c>
      <c r="O1327">
        <v>3</v>
      </c>
      <c r="P1327" s="84">
        <v>0.17599999999999999</v>
      </c>
      <c r="Q1327" s="86">
        <v>4.2</v>
      </c>
      <c r="R1327" s="85">
        <v>4.2</v>
      </c>
      <c r="S1327" s="87">
        <v>628870</v>
      </c>
      <c r="T1327" s="1">
        <v>4</v>
      </c>
      <c r="U1327" s="88">
        <v>149730.95238095237</v>
      </c>
      <c r="V1327" s="59">
        <v>6.6786458250512828</v>
      </c>
      <c r="X1327" s="98">
        <v>4.2</v>
      </c>
      <c r="Y1327" s="97">
        <v>317.72380952380951</v>
      </c>
    </row>
    <row r="1328" spans="1:25">
      <c r="A1328" s="58">
        <v>1330</v>
      </c>
      <c r="B1328" s="58">
        <v>1330</v>
      </c>
      <c r="C1328" s="58" t="s">
        <v>2058</v>
      </c>
      <c r="D1328" s="58" t="s">
        <v>1190</v>
      </c>
      <c r="E1328" s="58" t="s">
        <v>1190</v>
      </c>
      <c r="F1328" s="58" t="s">
        <v>2054</v>
      </c>
      <c r="G1328" s="58" t="s">
        <v>2055</v>
      </c>
      <c r="H1328" s="58" t="s">
        <v>179</v>
      </c>
      <c r="I1328">
        <v>38000</v>
      </c>
      <c r="J1328">
        <v>38000</v>
      </c>
      <c r="K1328" s="58" t="s">
        <v>185</v>
      </c>
      <c r="L1328" s="74">
        <v>5.7279999999999998</v>
      </c>
      <c r="M1328" s="85">
        <v>6</v>
      </c>
      <c r="N1328" s="74">
        <v>0.109</v>
      </c>
      <c r="O1328">
        <v>3</v>
      </c>
      <c r="P1328" s="84">
        <v>0.109</v>
      </c>
      <c r="Q1328" s="86">
        <v>4.2</v>
      </c>
      <c r="R1328" s="85">
        <v>4.2</v>
      </c>
      <c r="S1328" s="87">
        <v>769410</v>
      </c>
      <c r="T1328" s="1">
        <v>4</v>
      </c>
      <c r="U1328" s="88">
        <v>183192.85714285713</v>
      </c>
      <c r="V1328" s="59">
        <v>5.4587281163488903</v>
      </c>
      <c r="X1328" s="98">
        <v>4.2</v>
      </c>
      <c r="Y1328" s="97">
        <v>149.73095238095235</v>
      </c>
    </row>
    <row r="1329" spans="1:25">
      <c r="A1329" s="58">
        <v>1331</v>
      </c>
      <c r="B1329" s="58">
        <v>1331</v>
      </c>
      <c r="C1329" s="58" t="s">
        <v>2059</v>
      </c>
      <c r="D1329" s="58" t="s">
        <v>384</v>
      </c>
      <c r="E1329" s="58" t="s">
        <v>1806</v>
      </c>
      <c r="F1329" s="58" t="s">
        <v>2048</v>
      </c>
      <c r="G1329" s="58" t="s">
        <v>2049</v>
      </c>
      <c r="H1329" s="58" t="s">
        <v>179</v>
      </c>
      <c r="I1329">
        <v>38000</v>
      </c>
      <c r="J1329">
        <v>38000</v>
      </c>
      <c r="K1329" s="58" t="s">
        <v>185</v>
      </c>
      <c r="L1329" s="74">
        <v>5.9240000000000004</v>
      </c>
      <c r="M1329" s="85">
        <v>6</v>
      </c>
      <c r="N1329" s="74">
        <v>0.23100000000000001</v>
      </c>
      <c r="O1329">
        <v>3</v>
      </c>
      <c r="P1329" s="84">
        <v>0.23100000000000001</v>
      </c>
      <c r="Q1329" s="86">
        <v>4.2</v>
      </c>
      <c r="R1329" s="85">
        <v>4.2</v>
      </c>
      <c r="S1329" s="87">
        <v>769410</v>
      </c>
      <c r="T1329" s="1">
        <v>4</v>
      </c>
      <c r="U1329" s="88">
        <v>183192.85714285713</v>
      </c>
      <c r="V1329" s="59">
        <v>5.4587281163488903</v>
      </c>
      <c r="X1329" s="98">
        <v>4.2</v>
      </c>
      <c r="Y1329" s="97">
        <v>183.19285714285712</v>
      </c>
    </row>
    <row r="1330" spans="1:25">
      <c r="A1330" s="58">
        <v>1332</v>
      </c>
      <c r="B1330" s="58">
        <v>1332</v>
      </c>
      <c r="C1330" s="58" t="s">
        <v>2060</v>
      </c>
      <c r="D1330" s="58" t="s">
        <v>1190</v>
      </c>
      <c r="E1330" s="58" t="s">
        <v>1190</v>
      </c>
      <c r="F1330" s="58" t="s">
        <v>1906</v>
      </c>
      <c r="G1330" s="58" t="s">
        <v>1907</v>
      </c>
      <c r="H1330" s="58" t="s">
        <v>179</v>
      </c>
      <c r="I1330">
        <v>38000</v>
      </c>
      <c r="J1330">
        <v>38000</v>
      </c>
      <c r="K1330">
        <v>10000</v>
      </c>
      <c r="L1330" s="74">
        <v>14.539</v>
      </c>
      <c r="M1330" s="85">
        <v>15</v>
      </c>
      <c r="N1330" s="74">
        <v>0.13300000000000001</v>
      </c>
      <c r="O1330">
        <v>3</v>
      </c>
      <c r="P1330" s="84">
        <v>0.13300000000000001</v>
      </c>
      <c r="Q1330" s="86">
        <v>4.2</v>
      </c>
      <c r="R1330" s="85">
        <v>4.2</v>
      </c>
      <c r="S1330" s="87">
        <v>1650640</v>
      </c>
      <c r="T1330" s="1">
        <v>1</v>
      </c>
      <c r="U1330" s="88">
        <v>393009.52380952379</v>
      </c>
      <c r="V1330" s="59">
        <v>2.5444676004458877</v>
      </c>
      <c r="X1330" s="98">
        <v>4.2</v>
      </c>
      <c r="Y1330" s="97">
        <v>183.19285714285712</v>
      </c>
    </row>
    <row r="1331" spans="1:25">
      <c r="A1331" s="58">
        <v>1333</v>
      </c>
      <c r="B1331" s="58">
        <v>1333</v>
      </c>
      <c r="C1331" s="58" t="s">
        <v>2061</v>
      </c>
      <c r="D1331" s="58" t="s">
        <v>1806</v>
      </c>
      <c r="E1331" s="58" t="s">
        <v>1806</v>
      </c>
      <c r="F1331" s="58" t="s">
        <v>2062</v>
      </c>
      <c r="G1331" s="58" t="s">
        <v>2063</v>
      </c>
      <c r="H1331" s="58" t="s">
        <v>179</v>
      </c>
      <c r="I1331">
        <v>38000</v>
      </c>
      <c r="J1331">
        <v>38000</v>
      </c>
      <c r="K1331" s="58" t="s">
        <v>185</v>
      </c>
      <c r="L1331" s="74">
        <v>4.5279999999999996</v>
      </c>
      <c r="M1331" s="85">
        <v>5</v>
      </c>
      <c r="N1331" s="74">
        <v>0.14399999999999999</v>
      </c>
      <c r="O1331">
        <v>3</v>
      </c>
      <c r="P1331" s="84">
        <v>0.14399999999999999</v>
      </c>
      <c r="Q1331" s="86">
        <v>4.2</v>
      </c>
      <c r="R1331" s="85">
        <v>4.2</v>
      </c>
      <c r="S1331" s="87">
        <v>699140</v>
      </c>
      <c r="T1331" s="1">
        <v>4</v>
      </c>
      <c r="U1331" s="88">
        <v>166461.90476190476</v>
      </c>
      <c r="V1331" s="59">
        <v>6.0073804960379897</v>
      </c>
      <c r="X1331" s="98">
        <v>4.2</v>
      </c>
      <c r="Y1331" s="97">
        <v>393.00952380952378</v>
      </c>
    </row>
    <row r="1332" spans="1:25">
      <c r="A1332" s="58">
        <v>1334</v>
      </c>
      <c r="B1332" s="58">
        <v>1334</v>
      </c>
      <c r="C1332" s="58" t="s">
        <v>2064</v>
      </c>
      <c r="D1332" s="58" t="s">
        <v>249</v>
      </c>
      <c r="E1332" s="58" t="s">
        <v>249</v>
      </c>
      <c r="F1332" s="58" t="s">
        <v>2065</v>
      </c>
      <c r="G1332" s="58" t="s">
        <v>2066</v>
      </c>
      <c r="H1332" s="58" t="s">
        <v>179</v>
      </c>
      <c r="I1332">
        <v>38000</v>
      </c>
      <c r="J1332">
        <v>38000</v>
      </c>
      <c r="K1332" s="58" t="s">
        <v>185</v>
      </c>
      <c r="L1332" s="74">
        <v>5.1219999999999999</v>
      </c>
      <c r="M1332" s="85">
        <v>6</v>
      </c>
      <c r="N1332" s="74">
        <v>0.11600000000000001</v>
      </c>
      <c r="O1332">
        <v>3</v>
      </c>
      <c r="P1332" s="84">
        <v>0.11600000000000001</v>
      </c>
      <c r="Q1332" s="86">
        <v>4.2</v>
      </c>
      <c r="R1332" s="85">
        <v>4.2</v>
      </c>
      <c r="S1332" s="87">
        <v>769410</v>
      </c>
      <c r="T1332" s="1">
        <v>4</v>
      </c>
      <c r="U1332" s="88">
        <v>183192.85714285713</v>
      </c>
      <c r="V1332" s="59">
        <v>5.4587281163488903</v>
      </c>
      <c r="X1332" s="98">
        <v>4.2</v>
      </c>
      <c r="Y1332" s="97">
        <v>166.46190476190475</v>
      </c>
    </row>
    <row r="1333" spans="1:25">
      <c r="A1333" s="58">
        <v>1335</v>
      </c>
      <c r="B1333" s="58">
        <v>1335</v>
      </c>
      <c r="C1333" s="58" t="s">
        <v>2067</v>
      </c>
      <c r="D1333" s="58" t="s">
        <v>2068</v>
      </c>
      <c r="E1333" s="58" t="s">
        <v>2068</v>
      </c>
      <c r="F1333" s="58" t="s">
        <v>2069</v>
      </c>
      <c r="G1333" s="58" t="s">
        <v>2070</v>
      </c>
      <c r="H1333" s="58" t="s">
        <v>179</v>
      </c>
      <c r="I1333">
        <v>38000</v>
      </c>
      <c r="J1333">
        <v>38000</v>
      </c>
      <c r="K1333" s="58" t="s">
        <v>185</v>
      </c>
      <c r="L1333" s="74">
        <v>6.2140000000000004</v>
      </c>
      <c r="M1333" s="85">
        <v>7</v>
      </c>
      <c r="N1333" s="74">
        <v>0.13700000000000001</v>
      </c>
      <c r="O1333">
        <v>3</v>
      </c>
      <c r="P1333" s="84">
        <v>0.13700000000000001</v>
      </c>
      <c r="Q1333" s="86">
        <v>4.2</v>
      </c>
      <c r="R1333" s="85">
        <v>4.2</v>
      </c>
      <c r="S1333" s="87">
        <v>839680</v>
      </c>
      <c r="T1333" s="1">
        <v>4</v>
      </c>
      <c r="U1333" s="88">
        <v>199923.80952380953</v>
      </c>
      <c r="V1333" s="59">
        <v>5.0019054878048781</v>
      </c>
      <c r="X1333" s="98">
        <v>4.2</v>
      </c>
      <c r="Y1333" s="97">
        <v>183.19285714285712</v>
      </c>
    </row>
    <row r="1334" spans="1:25">
      <c r="A1334" s="58">
        <v>1336</v>
      </c>
      <c r="B1334" s="58">
        <v>1336</v>
      </c>
      <c r="C1334" s="58" t="s">
        <v>2071</v>
      </c>
      <c r="D1334" s="58" t="s">
        <v>1190</v>
      </c>
      <c r="E1334" s="58" t="s">
        <v>1190</v>
      </c>
      <c r="F1334" s="58" t="s">
        <v>2072</v>
      </c>
      <c r="G1334" s="58" t="s">
        <v>2073</v>
      </c>
      <c r="H1334" s="58" t="s">
        <v>179</v>
      </c>
      <c r="I1334">
        <v>38000</v>
      </c>
      <c r="J1334">
        <v>38000</v>
      </c>
      <c r="K1334">
        <v>10000</v>
      </c>
      <c r="L1334" s="74">
        <v>7.4050000000000002</v>
      </c>
      <c r="M1334" s="85">
        <v>8</v>
      </c>
      <c r="N1334" s="74">
        <v>0.13900000000000001</v>
      </c>
      <c r="O1334">
        <v>3</v>
      </c>
      <c r="P1334" s="84">
        <v>0.13900000000000001</v>
      </c>
      <c r="Q1334" s="86">
        <v>4.2</v>
      </c>
      <c r="R1334" s="85">
        <v>4.2</v>
      </c>
      <c r="S1334" s="87">
        <v>909950</v>
      </c>
      <c r="T1334" s="1">
        <v>4</v>
      </c>
      <c r="U1334" s="88">
        <v>216654.76190476189</v>
      </c>
      <c r="V1334" s="59">
        <v>4.6156382218803227</v>
      </c>
      <c r="X1334" s="98">
        <v>4.2</v>
      </c>
      <c r="Y1334" s="97">
        <v>199.92380952380952</v>
      </c>
    </row>
    <row r="1335" spans="1:25">
      <c r="A1335" s="58">
        <v>1337</v>
      </c>
      <c r="B1335" s="58">
        <v>1337</v>
      </c>
      <c r="C1335" s="58" t="s">
        <v>2074</v>
      </c>
      <c r="D1335" s="58" t="s">
        <v>1190</v>
      </c>
      <c r="E1335" s="58" t="s">
        <v>1190</v>
      </c>
      <c r="F1335" s="58" t="s">
        <v>2072</v>
      </c>
      <c r="G1335" s="58" t="s">
        <v>2073</v>
      </c>
      <c r="H1335" s="58" t="s">
        <v>179</v>
      </c>
      <c r="I1335">
        <v>38000</v>
      </c>
      <c r="J1335">
        <v>38000</v>
      </c>
      <c r="K1335">
        <v>10000</v>
      </c>
      <c r="L1335" s="74">
        <v>4.4340000000000002</v>
      </c>
      <c r="M1335" s="85">
        <v>5</v>
      </c>
      <c r="N1335" s="74">
        <v>0.30599999999999999</v>
      </c>
      <c r="O1335">
        <v>3</v>
      </c>
      <c r="P1335" s="84">
        <v>0.30599999999999999</v>
      </c>
      <c r="Q1335" s="86">
        <v>4.2</v>
      </c>
      <c r="R1335" s="85">
        <v>4.2</v>
      </c>
      <c r="S1335" s="87">
        <v>699140</v>
      </c>
      <c r="T1335" s="1">
        <v>4</v>
      </c>
      <c r="U1335" s="88">
        <v>166461.90476190476</v>
      </c>
      <c r="V1335" s="59">
        <v>6.0073804960379897</v>
      </c>
      <c r="X1335" s="98">
        <v>4.2</v>
      </c>
      <c r="Y1335" s="97">
        <v>216.6547619047619</v>
      </c>
    </row>
    <row r="1336" spans="1:25">
      <c r="A1336" s="58">
        <v>1338</v>
      </c>
      <c r="B1336" s="58">
        <v>1338</v>
      </c>
      <c r="C1336" s="58" t="s">
        <v>2075</v>
      </c>
      <c r="D1336" s="58" t="s">
        <v>1190</v>
      </c>
      <c r="E1336" s="58" t="s">
        <v>1190</v>
      </c>
      <c r="F1336" s="58" t="s">
        <v>1194</v>
      </c>
      <c r="G1336" s="58" t="s">
        <v>1195</v>
      </c>
      <c r="H1336" s="58" t="s">
        <v>179</v>
      </c>
      <c r="I1336">
        <v>38000</v>
      </c>
      <c r="J1336">
        <v>38000</v>
      </c>
      <c r="K1336" s="58" t="s">
        <v>185</v>
      </c>
      <c r="L1336" s="74">
        <v>7.8280000000000003</v>
      </c>
      <c r="M1336" s="85">
        <v>8</v>
      </c>
      <c r="N1336" s="74">
        <v>0.115</v>
      </c>
      <c r="O1336">
        <v>3</v>
      </c>
      <c r="P1336" s="84">
        <v>0.115</v>
      </c>
      <c r="Q1336" s="86">
        <v>4.2</v>
      </c>
      <c r="R1336" s="85">
        <v>4.2</v>
      </c>
      <c r="S1336" s="87">
        <v>909950</v>
      </c>
      <c r="T1336" s="1">
        <v>4</v>
      </c>
      <c r="U1336" s="88">
        <v>216654.76190476189</v>
      </c>
      <c r="V1336" s="59">
        <v>4.6156382218803227</v>
      </c>
      <c r="X1336" s="98">
        <v>4.2</v>
      </c>
      <c r="Y1336" s="97">
        <v>166.46190476190475</v>
      </c>
    </row>
    <row r="1337" spans="1:25">
      <c r="A1337" s="58">
        <v>1339</v>
      </c>
      <c r="B1337" s="58">
        <v>1339</v>
      </c>
      <c r="C1337" s="58" t="s">
        <v>2076</v>
      </c>
      <c r="D1337" s="58" t="s">
        <v>536</v>
      </c>
      <c r="E1337" s="58" t="s">
        <v>536</v>
      </c>
      <c r="F1337" s="58" t="s">
        <v>2077</v>
      </c>
      <c r="G1337" s="58" t="s">
        <v>2078</v>
      </c>
      <c r="H1337" s="58" t="s">
        <v>179</v>
      </c>
      <c r="I1337">
        <v>38000</v>
      </c>
      <c r="J1337">
        <v>38000</v>
      </c>
      <c r="L1337" s="74">
        <v>5.9119999999999999</v>
      </c>
      <c r="M1337" s="85">
        <v>6</v>
      </c>
      <c r="N1337" s="74">
        <v>0.34799999999999998</v>
      </c>
      <c r="O1337">
        <v>3</v>
      </c>
      <c r="P1337" s="84">
        <v>0.34799999999999998</v>
      </c>
      <c r="Q1337" s="86">
        <v>4.2</v>
      </c>
      <c r="R1337" s="85">
        <v>4.2</v>
      </c>
      <c r="S1337" s="87">
        <v>769410</v>
      </c>
      <c r="T1337" s="1">
        <v>4</v>
      </c>
      <c r="U1337" s="88">
        <v>183192.85714285713</v>
      </c>
      <c r="V1337" s="59">
        <v>5.4587281163488903</v>
      </c>
      <c r="X1337" s="98">
        <v>4.2</v>
      </c>
      <c r="Y1337" s="97">
        <v>216.6547619047619</v>
      </c>
    </row>
    <row r="1338" spans="1:25">
      <c r="A1338" s="58">
        <v>1340</v>
      </c>
      <c r="B1338" s="58">
        <v>1340</v>
      </c>
      <c r="C1338" s="58" t="s">
        <v>2079</v>
      </c>
      <c r="D1338" s="58" t="s">
        <v>536</v>
      </c>
      <c r="E1338" s="58" t="s">
        <v>536</v>
      </c>
      <c r="F1338" s="58" t="s">
        <v>2080</v>
      </c>
      <c r="G1338" s="58" t="s">
        <v>2081</v>
      </c>
      <c r="H1338" s="58" t="s">
        <v>179</v>
      </c>
      <c r="I1338">
        <v>38000</v>
      </c>
      <c r="J1338">
        <v>38000</v>
      </c>
      <c r="K1338" s="58" t="s">
        <v>185</v>
      </c>
      <c r="L1338" s="74">
        <v>8.125</v>
      </c>
      <c r="M1338" s="85">
        <v>9</v>
      </c>
      <c r="N1338" s="74">
        <v>9.5000000000000001E-2</v>
      </c>
      <c r="O1338">
        <v>3</v>
      </c>
      <c r="P1338" s="84">
        <v>9.5000000000000001E-2</v>
      </c>
      <c r="Q1338" s="86">
        <v>4.2</v>
      </c>
      <c r="R1338" s="85">
        <v>4.2</v>
      </c>
      <c r="S1338" s="87">
        <v>1334440</v>
      </c>
      <c r="T1338" s="1">
        <v>1</v>
      </c>
      <c r="U1338" s="88">
        <v>317723.80952380953</v>
      </c>
      <c r="V1338" s="59">
        <v>3.1473876682353645</v>
      </c>
      <c r="X1338" s="98">
        <v>4.2</v>
      </c>
      <c r="Y1338" s="97">
        <v>183.19285714285712</v>
      </c>
    </row>
    <row r="1339" spans="1:25">
      <c r="A1339" s="58">
        <v>1341</v>
      </c>
      <c r="B1339" s="58">
        <v>1341</v>
      </c>
      <c r="C1339" s="58" t="s">
        <v>2082</v>
      </c>
      <c r="D1339" s="58" t="s">
        <v>1190</v>
      </c>
      <c r="E1339" s="58" t="s">
        <v>536</v>
      </c>
      <c r="F1339" s="58" t="s">
        <v>1194</v>
      </c>
      <c r="G1339" s="58" t="s">
        <v>1195</v>
      </c>
      <c r="H1339" s="58" t="s">
        <v>179</v>
      </c>
      <c r="I1339">
        <v>38000</v>
      </c>
      <c r="J1339">
        <v>38000</v>
      </c>
      <c r="K1339" s="58" t="s">
        <v>185</v>
      </c>
      <c r="L1339" s="74">
        <v>7.032</v>
      </c>
      <c r="M1339" s="85">
        <v>8</v>
      </c>
      <c r="N1339" s="74">
        <v>0.13200000000000001</v>
      </c>
      <c r="O1339">
        <v>3</v>
      </c>
      <c r="P1339" s="84">
        <v>0.13200000000000001</v>
      </c>
      <c r="Q1339" s="86">
        <v>4.2</v>
      </c>
      <c r="R1339" s="85">
        <v>4.2</v>
      </c>
      <c r="S1339" s="87">
        <v>909950</v>
      </c>
      <c r="T1339" s="1">
        <v>4</v>
      </c>
      <c r="U1339" s="88">
        <v>216654.76190476189</v>
      </c>
      <c r="V1339" s="59">
        <v>4.6156382218803227</v>
      </c>
      <c r="X1339" s="98">
        <v>4.2</v>
      </c>
      <c r="Y1339" s="97">
        <v>317.72380952380951</v>
      </c>
    </row>
    <row r="1340" spans="1:25">
      <c r="A1340" s="58">
        <v>1342</v>
      </c>
      <c r="B1340" s="58">
        <v>1342</v>
      </c>
      <c r="C1340" s="58" t="s">
        <v>2083</v>
      </c>
      <c r="D1340" s="58" t="s">
        <v>536</v>
      </c>
      <c r="E1340" s="58" t="s">
        <v>536</v>
      </c>
      <c r="F1340" s="58" t="s">
        <v>2084</v>
      </c>
      <c r="G1340" s="58" t="s">
        <v>2085</v>
      </c>
      <c r="H1340" s="58" t="s">
        <v>179</v>
      </c>
      <c r="I1340">
        <v>38000</v>
      </c>
      <c r="J1340">
        <v>38000</v>
      </c>
      <c r="K1340" s="58" t="s">
        <v>185</v>
      </c>
      <c r="L1340" s="74">
        <v>1.865</v>
      </c>
      <c r="M1340" s="85">
        <v>2</v>
      </c>
      <c r="N1340" s="74">
        <v>0.27900000000000003</v>
      </c>
      <c r="O1340">
        <v>3</v>
      </c>
      <c r="P1340" s="84">
        <v>0.27900000000000003</v>
      </c>
      <c r="Q1340" s="86">
        <v>4.2</v>
      </c>
      <c r="R1340" s="85">
        <v>4.2</v>
      </c>
      <c r="S1340" s="87">
        <v>488330</v>
      </c>
      <c r="T1340" s="1">
        <v>4</v>
      </c>
      <c r="U1340" s="88">
        <v>116269.04761904762</v>
      </c>
      <c r="V1340" s="59">
        <v>8.6007413019884087</v>
      </c>
      <c r="X1340" s="98">
        <v>4.2</v>
      </c>
      <c r="Y1340" s="97">
        <v>216.6547619047619</v>
      </c>
    </row>
    <row r="1341" spans="1:25">
      <c r="A1341" s="58">
        <v>1343</v>
      </c>
      <c r="B1341" s="58">
        <v>1343</v>
      </c>
      <c r="C1341" s="58" t="s">
        <v>2086</v>
      </c>
      <c r="D1341" s="58" t="s">
        <v>536</v>
      </c>
      <c r="E1341" s="58" t="s">
        <v>536</v>
      </c>
      <c r="F1341" s="58" t="s">
        <v>2087</v>
      </c>
      <c r="G1341" s="58" t="s">
        <v>2088</v>
      </c>
      <c r="H1341" s="58" t="s">
        <v>179</v>
      </c>
      <c r="I1341">
        <v>38000</v>
      </c>
      <c r="J1341">
        <v>38000</v>
      </c>
      <c r="K1341" s="58" t="s">
        <v>185</v>
      </c>
      <c r="L1341" s="74">
        <v>3.9020000000000001</v>
      </c>
      <c r="M1341" s="85">
        <v>4</v>
      </c>
      <c r="N1341" s="74">
        <v>0.24099999999999999</v>
      </c>
      <c r="O1341">
        <v>3</v>
      </c>
      <c r="P1341" s="84">
        <v>0.24099999999999999</v>
      </c>
      <c r="Q1341" s="86">
        <v>4.2</v>
      </c>
      <c r="R1341" s="85">
        <v>4.2</v>
      </c>
      <c r="S1341" s="87">
        <v>628870</v>
      </c>
      <c r="T1341" s="1">
        <v>4</v>
      </c>
      <c r="U1341" s="88">
        <v>149730.95238095237</v>
      </c>
      <c r="V1341" s="59">
        <v>6.6786458250512828</v>
      </c>
      <c r="X1341" s="98">
        <v>4.2</v>
      </c>
      <c r="Y1341" s="97">
        <v>116.26904761904763</v>
      </c>
    </row>
    <row r="1342" spans="1:25">
      <c r="A1342" s="58">
        <v>1344</v>
      </c>
      <c r="B1342" s="58">
        <v>1344</v>
      </c>
      <c r="C1342" s="58" t="s">
        <v>2089</v>
      </c>
      <c r="D1342" s="58" t="s">
        <v>1806</v>
      </c>
      <c r="E1342" s="58" t="s">
        <v>1806</v>
      </c>
      <c r="F1342" s="58" t="s">
        <v>2090</v>
      </c>
      <c r="G1342" s="58" t="s">
        <v>2091</v>
      </c>
      <c r="H1342" s="58" t="s">
        <v>199</v>
      </c>
      <c r="I1342">
        <v>110000</v>
      </c>
      <c r="J1342">
        <v>110000</v>
      </c>
      <c r="K1342">
        <v>38000</v>
      </c>
      <c r="L1342" s="74">
        <v>4.6269999999999998</v>
      </c>
      <c r="M1342" s="85">
        <v>5</v>
      </c>
      <c r="N1342" s="74">
        <v>0.107</v>
      </c>
      <c r="O1342">
        <v>3</v>
      </c>
      <c r="P1342" s="84">
        <v>0.107</v>
      </c>
      <c r="Q1342" s="86">
        <v>4.2</v>
      </c>
      <c r="R1342" s="85">
        <v>4.2</v>
      </c>
      <c r="S1342" s="87">
        <v>1679970</v>
      </c>
      <c r="T1342" s="1">
        <v>7</v>
      </c>
      <c r="U1342" s="88">
        <v>399992.8571428571</v>
      </c>
      <c r="V1342" s="59">
        <v>2.5000446436543511</v>
      </c>
      <c r="X1342" s="98">
        <v>4.2</v>
      </c>
      <c r="Y1342" s="97">
        <v>149.73095238095235</v>
      </c>
    </row>
    <row r="1343" spans="1:25">
      <c r="A1343" s="58">
        <v>1345</v>
      </c>
      <c r="B1343" s="58">
        <v>1345</v>
      </c>
      <c r="C1343" s="58" t="s">
        <v>2092</v>
      </c>
      <c r="D1343" s="58" t="s">
        <v>852</v>
      </c>
      <c r="E1343" s="58" t="s">
        <v>852</v>
      </c>
      <c r="F1343" s="58" t="s">
        <v>1839</v>
      </c>
      <c r="G1343" s="58" t="s">
        <v>1840</v>
      </c>
      <c r="H1343" s="58" t="s">
        <v>179</v>
      </c>
      <c r="I1343">
        <v>38000</v>
      </c>
      <c r="J1343">
        <v>38000</v>
      </c>
      <c r="K1343" s="58" t="s">
        <v>185</v>
      </c>
      <c r="L1343" s="74">
        <v>4.8579999999999997</v>
      </c>
      <c r="M1343" s="85">
        <v>5</v>
      </c>
      <c r="N1343" s="74">
        <v>0.21199999999999999</v>
      </c>
      <c r="O1343">
        <v>3</v>
      </c>
      <c r="P1343" s="84">
        <v>0.21199999999999999</v>
      </c>
      <c r="Q1343" s="86">
        <v>4.2</v>
      </c>
      <c r="R1343" s="85">
        <v>4.2</v>
      </c>
      <c r="S1343" s="87">
        <v>699140</v>
      </c>
      <c r="T1343" s="1">
        <v>4</v>
      </c>
      <c r="U1343" s="88">
        <v>166461.90476190476</v>
      </c>
      <c r="V1343" s="59">
        <v>6.0073804960379897</v>
      </c>
      <c r="X1343" s="98">
        <v>4.2</v>
      </c>
      <c r="Y1343" s="97">
        <v>399.99285714285708</v>
      </c>
    </row>
    <row r="1344" spans="1:25">
      <c r="A1344" s="58">
        <v>1346</v>
      </c>
      <c r="B1344" s="58">
        <v>1346</v>
      </c>
      <c r="C1344" s="58" t="s">
        <v>2093</v>
      </c>
      <c r="D1344" s="58" t="s">
        <v>1811</v>
      </c>
      <c r="E1344" s="58" t="s">
        <v>1811</v>
      </c>
      <c r="F1344" s="58" t="s">
        <v>1698</v>
      </c>
      <c r="G1344" s="58" t="s">
        <v>1699</v>
      </c>
      <c r="H1344" s="58" t="s">
        <v>199</v>
      </c>
      <c r="I1344">
        <v>110000</v>
      </c>
      <c r="J1344">
        <v>110000</v>
      </c>
      <c r="K1344">
        <v>38000</v>
      </c>
      <c r="L1344" s="74">
        <v>6.726</v>
      </c>
      <c r="M1344" s="85">
        <v>7</v>
      </c>
      <c r="N1344" s="74">
        <v>0.113</v>
      </c>
      <c r="O1344">
        <v>3</v>
      </c>
      <c r="P1344" s="84">
        <v>0.113</v>
      </c>
      <c r="Q1344" s="86">
        <v>4.2</v>
      </c>
      <c r="R1344" s="85">
        <v>4.2</v>
      </c>
      <c r="S1344" s="87">
        <v>1785370</v>
      </c>
      <c r="T1344" s="1">
        <v>7</v>
      </c>
      <c r="U1344" s="88">
        <v>425088.09523809521</v>
      </c>
      <c r="V1344" s="59">
        <v>2.3524535530450272</v>
      </c>
      <c r="X1344" s="98">
        <v>4.2</v>
      </c>
      <c r="Y1344" s="97">
        <v>166.46190476190475</v>
      </c>
    </row>
    <row r="1345" spans="1:25">
      <c r="A1345" s="58">
        <v>1347</v>
      </c>
      <c r="B1345" s="58">
        <v>1347</v>
      </c>
      <c r="C1345" s="58" t="s">
        <v>2094</v>
      </c>
      <c r="D1345" s="58" t="s">
        <v>1811</v>
      </c>
      <c r="E1345" s="58" t="s">
        <v>1811</v>
      </c>
      <c r="F1345" s="58" t="s">
        <v>1815</v>
      </c>
      <c r="G1345" s="58" t="s">
        <v>1816</v>
      </c>
      <c r="H1345" s="58" t="s">
        <v>199</v>
      </c>
      <c r="I1345">
        <v>110000</v>
      </c>
      <c r="J1345">
        <v>110000</v>
      </c>
      <c r="K1345">
        <v>38000</v>
      </c>
      <c r="L1345" s="74">
        <v>6.36</v>
      </c>
      <c r="M1345" s="85">
        <v>7</v>
      </c>
      <c r="N1345" s="74">
        <v>0.106</v>
      </c>
      <c r="O1345">
        <v>3</v>
      </c>
      <c r="P1345" s="84">
        <v>0.106</v>
      </c>
      <c r="Q1345" s="86">
        <v>4.2</v>
      </c>
      <c r="R1345" s="85">
        <v>4.2</v>
      </c>
      <c r="S1345" s="87">
        <v>1785370</v>
      </c>
      <c r="T1345" s="1">
        <v>7</v>
      </c>
      <c r="U1345" s="88">
        <v>425088.09523809521</v>
      </c>
      <c r="V1345" s="59">
        <v>2.3524535530450272</v>
      </c>
      <c r="X1345" s="98">
        <v>4.2</v>
      </c>
      <c r="Y1345" s="97">
        <v>425.08809523809521</v>
      </c>
    </row>
    <row r="1346" spans="1:25">
      <c r="A1346" s="58">
        <v>1348</v>
      </c>
      <c r="B1346" s="58">
        <v>1348</v>
      </c>
      <c r="C1346" s="58" t="s">
        <v>2095</v>
      </c>
      <c r="D1346" s="58" t="s">
        <v>182</v>
      </c>
      <c r="E1346" s="58" t="s">
        <v>182</v>
      </c>
      <c r="F1346" s="58" t="s">
        <v>595</v>
      </c>
      <c r="G1346" s="58" t="s">
        <v>596</v>
      </c>
      <c r="H1346" s="58" t="s">
        <v>179</v>
      </c>
      <c r="I1346">
        <v>38000</v>
      </c>
      <c r="J1346">
        <v>38000</v>
      </c>
      <c r="K1346" s="58" t="s">
        <v>185</v>
      </c>
      <c r="L1346" s="74">
        <v>6.4690000000000003</v>
      </c>
      <c r="M1346" s="85">
        <v>7</v>
      </c>
      <c r="N1346" s="74">
        <v>0.14499999999999999</v>
      </c>
      <c r="O1346">
        <v>3</v>
      </c>
      <c r="P1346" s="84">
        <v>0.14499999999999999</v>
      </c>
      <c r="Q1346" s="86">
        <v>4.2</v>
      </c>
      <c r="R1346" s="85">
        <v>4.2</v>
      </c>
      <c r="S1346" s="87">
        <v>839680</v>
      </c>
      <c r="T1346" s="1">
        <v>4</v>
      </c>
      <c r="U1346" s="88">
        <v>199923.80952380953</v>
      </c>
      <c r="V1346" s="59">
        <v>5.0019054878048781</v>
      </c>
      <c r="X1346" s="98">
        <v>4.2</v>
      </c>
      <c r="Y1346" s="97">
        <v>425.08809523809521</v>
      </c>
    </row>
    <row r="1347" spans="1:25">
      <c r="A1347" s="58">
        <v>1349</v>
      </c>
      <c r="B1347" s="58">
        <v>1349</v>
      </c>
      <c r="C1347" s="58" t="s">
        <v>2096</v>
      </c>
      <c r="D1347" s="58" t="s">
        <v>1806</v>
      </c>
      <c r="E1347" s="58" t="s">
        <v>1806</v>
      </c>
      <c r="F1347" s="58" t="s">
        <v>1807</v>
      </c>
      <c r="G1347" s="58" t="s">
        <v>1808</v>
      </c>
      <c r="H1347" s="58" t="s">
        <v>179</v>
      </c>
      <c r="I1347">
        <v>38000</v>
      </c>
      <c r="J1347">
        <v>38000</v>
      </c>
      <c r="K1347" s="58" t="s">
        <v>185</v>
      </c>
      <c r="L1347" s="74">
        <v>10.254</v>
      </c>
      <c r="M1347" s="85">
        <v>11</v>
      </c>
      <c r="N1347" s="74">
        <v>0.248</v>
      </c>
      <c r="O1347">
        <v>3</v>
      </c>
      <c r="P1347" s="84">
        <v>0.248</v>
      </c>
      <c r="Q1347" s="86">
        <v>4.2</v>
      </c>
      <c r="R1347" s="85">
        <v>4.2</v>
      </c>
      <c r="S1347" s="87">
        <v>1439840</v>
      </c>
      <c r="T1347" s="1">
        <v>1</v>
      </c>
      <c r="U1347" s="88">
        <v>342819.04761904763</v>
      </c>
      <c r="V1347" s="59">
        <v>2.9169907767529724</v>
      </c>
      <c r="X1347" s="98">
        <v>4.2</v>
      </c>
      <c r="Y1347" s="97">
        <v>199.92380952380952</v>
      </c>
    </row>
    <row r="1348" spans="1:25">
      <c r="A1348" s="58">
        <v>1350</v>
      </c>
      <c r="B1348" s="58">
        <v>1350</v>
      </c>
      <c r="C1348" s="58" t="s">
        <v>2097</v>
      </c>
      <c r="D1348" s="58" t="s">
        <v>1806</v>
      </c>
      <c r="E1348" s="58" t="s">
        <v>1806</v>
      </c>
      <c r="F1348" s="58" t="s">
        <v>2098</v>
      </c>
      <c r="G1348" s="58" t="s">
        <v>2099</v>
      </c>
      <c r="H1348" s="58" t="s">
        <v>199</v>
      </c>
      <c r="I1348">
        <v>110000</v>
      </c>
      <c r="L1348" s="74">
        <v>6.45</v>
      </c>
      <c r="M1348" s="85">
        <v>7</v>
      </c>
      <c r="N1348" s="74">
        <v>0.20300000000000001</v>
      </c>
      <c r="O1348">
        <v>3</v>
      </c>
      <c r="P1348" s="84">
        <v>0.20300000000000001</v>
      </c>
      <c r="Q1348" s="86">
        <v>4.2</v>
      </c>
      <c r="R1348" s="85">
        <v>4.2</v>
      </c>
      <c r="S1348" s="87">
        <v>1785370</v>
      </c>
      <c r="T1348" s="1">
        <v>7</v>
      </c>
      <c r="U1348" s="88">
        <v>425088.09523809521</v>
      </c>
      <c r="V1348" s="59">
        <v>2.3524535530450272</v>
      </c>
      <c r="X1348" s="98">
        <v>4.2</v>
      </c>
      <c r="Y1348" s="97">
        <v>342.81904761904764</v>
      </c>
    </row>
    <row r="1349" spans="1:25">
      <c r="A1349" s="58">
        <v>1351</v>
      </c>
      <c r="B1349" s="58">
        <v>1351</v>
      </c>
      <c r="C1349" s="58" t="s">
        <v>2100</v>
      </c>
      <c r="D1349" s="58" t="s">
        <v>2068</v>
      </c>
      <c r="E1349" s="58" t="s">
        <v>2068</v>
      </c>
      <c r="F1349" s="58" t="s">
        <v>2101</v>
      </c>
      <c r="G1349" s="58" t="s">
        <v>2102</v>
      </c>
      <c r="H1349" s="58" t="s">
        <v>179</v>
      </c>
      <c r="I1349">
        <v>38000</v>
      </c>
      <c r="J1349">
        <v>38000</v>
      </c>
      <c r="K1349">
        <v>20000</v>
      </c>
      <c r="L1349" s="74">
        <v>4.6749999999999998</v>
      </c>
      <c r="M1349" s="85">
        <v>5</v>
      </c>
      <c r="N1349" s="74">
        <v>0.115</v>
      </c>
      <c r="O1349">
        <v>3</v>
      </c>
      <c r="P1349" s="84">
        <v>0.115</v>
      </c>
      <c r="Q1349" s="86">
        <v>4.2</v>
      </c>
      <c r="R1349" s="85">
        <v>4.2</v>
      </c>
      <c r="S1349" s="87">
        <v>699140</v>
      </c>
      <c r="T1349" s="1">
        <v>4</v>
      </c>
      <c r="U1349" s="88">
        <v>166461.90476190476</v>
      </c>
      <c r="V1349" s="59">
        <v>6.0073804960379897</v>
      </c>
      <c r="X1349" s="98">
        <v>4.2</v>
      </c>
      <c r="Y1349" s="97">
        <v>425.08809523809521</v>
      </c>
    </row>
    <row r="1350" spans="1:25">
      <c r="A1350" s="58">
        <v>1352</v>
      </c>
      <c r="B1350" s="58">
        <v>1352</v>
      </c>
      <c r="C1350" s="58" t="s">
        <v>2103</v>
      </c>
      <c r="D1350" s="58" t="s">
        <v>882</v>
      </c>
      <c r="E1350" s="58" t="s">
        <v>882</v>
      </c>
      <c r="F1350" s="58" t="s">
        <v>1149</v>
      </c>
      <c r="G1350" s="58" t="s">
        <v>1150</v>
      </c>
      <c r="H1350" s="58" t="s">
        <v>179</v>
      </c>
      <c r="I1350">
        <v>38000</v>
      </c>
      <c r="J1350">
        <v>38000</v>
      </c>
      <c r="K1350" s="58" t="s">
        <v>185</v>
      </c>
      <c r="L1350" s="74">
        <v>16.731000000000002</v>
      </c>
      <c r="M1350" s="85">
        <v>17</v>
      </c>
      <c r="N1350" s="74">
        <v>0.13300000000000001</v>
      </c>
      <c r="O1350">
        <v>3</v>
      </c>
      <c r="P1350" s="84">
        <v>0.13300000000000001</v>
      </c>
      <c r="Q1350" s="86">
        <v>4.2</v>
      </c>
      <c r="R1350" s="85">
        <v>4.2</v>
      </c>
      <c r="S1350" s="87">
        <v>1756040</v>
      </c>
      <c r="T1350" s="1">
        <v>1</v>
      </c>
      <c r="U1350" s="88">
        <v>418104.76190476189</v>
      </c>
      <c r="V1350" s="59">
        <v>2.3917450627548349</v>
      </c>
      <c r="X1350" s="98">
        <v>4.2</v>
      </c>
      <c r="Y1350" s="97">
        <v>166.46190476190475</v>
      </c>
    </row>
    <row r="1351" spans="1:25">
      <c r="A1351" s="58">
        <v>1353</v>
      </c>
      <c r="B1351" s="58">
        <v>1353</v>
      </c>
      <c r="C1351" s="58" t="s">
        <v>2104</v>
      </c>
      <c r="D1351" s="58" t="s">
        <v>882</v>
      </c>
      <c r="E1351" s="58" t="s">
        <v>882</v>
      </c>
      <c r="F1351" s="58" t="s">
        <v>1149</v>
      </c>
      <c r="G1351" s="58" t="s">
        <v>1150</v>
      </c>
      <c r="H1351" s="58" t="s">
        <v>179</v>
      </c>
      <c r="I1351">
        <v>38000</v>
      </c>
      <c r="J1351">
        <v>38000</v>
      </c>
      <c r="K1351" s="58" t="s">
        <v>185</v>
      </c>
      <c r="L1351" s="74">
        <v>16.649000000000001</v>
      </c>
      <c r="M1351" s="85">
        <v>17</v>
      </c>
      <c r="N1351" s="74">
        <v>0.153</v>
      </c>
      <c r="O1351">
        <v>3</v>
      </c>
      <c r="P1351" s="84">
        <v>0.153</v>
      </c>
      <c r="Q1351" s="86">
        <v>4.2</v>
      </c>
      <c r="R1351" s="85">
        <v>4.2</v>
      </c>
      <c r="S1351" s="87">
        <v>1756040</v>
      </c>
      <c r="T1351" s="1">
        <v>1</v>
      </c>
      <c r="U1351" s="88">
        <v>418104.76190476189</v>
      </c>
      <c r="V1351" s="59">
        <v>2.3917450627548349</v>
      </c>
      <c r="X1351" s="98">
        <v>4.2</v>
      </c>
      <c r="Y1351" s="97">
        <v>418.10476190476186</v>
      </c>
    </row>
    <row r="1352" spans="1:25">
      <c r="A1352" s="58">
        <v>1354</v>
      </c>
      <c r="B1352" s="58">
        <v>1354</v>
      </c>
      <c r="C1352" s="58" t="s">
        <v>2105</v>
      </c>
      <c r="D1352" s="58" t="s">
        <v>775</v>
      </c>
      <c r="E1352" s="58" t="s">
        <v>775</v>
      </c>
      <c r="F1352" s="58" t="s">
        <v>903</v>
      </c>
      <c r="G1352" s="58" t="s">
        <v>904</v>
      </c>
      <c r="H1352" s="58" t="s">
        <v>179</v>
      </c>
      <c r="I1352">
        <v>38000</v>
      </c>
      <c r="J1352">
        <v>38000</v>
      </c>
      <c r="K1352" s="58" t="s">
        <v>185</v>
      </c>
      <c r="L1352" s="74">
        <v>7.4260000000000002</v>
      </c>
      <c r="M1352" s="85">
        <v>8</v>
      </c>
      <c r="N1352" s="74">
        <v>0.20100000000000001</v>
      </c>
      <c r="O1352">
        <v>3</v>
      </c>
      <c r="P1352" s="84">
        <v>0.20100000000000001</v>
      </c>
      <c r="Q1352" s="86">
        <v>4.2</v>
      </c>
      <c r="R1352" s="85">
        <v>4.2</v>
      </c>
      <c r="S1352" s="87">
        <v>909950</v>
      </c>
      <c r="T1352" s="1">
        <v>4</v>
      </c>
      <c r="U1352" s="88">
        <v>216654.76190476189</v>
      </c>
      <c r="V1352" s="59">
        <v>4.6156382218803227</v>
      </c>
      <c r="X1352" s="98">
        <v>4.2</v>
      </c>
      <c r="Y1352" s="97">
        <v>418.10476190476186</v>
      </c>
    </row>
    <row r="1353" spans="1:25">
      <c r="A1353" s="58">
        <v>1355</v>
      </c>
      <c r="B1353" s="58">
        <v>1355</v>
      </c>
      <c r="C1353" s="58" t="s">
        <v>2106</v>
      </c>
      <c r="D1353" s="58" t="s">
        <v>2068</v>
      </c>
      <c r="E1353" s="58" t="s">
        <v>2068</v>
      </c>
      <c r="F1353" s="58" t="s">
        <v>2069</v>
      </c>
      <c r="G1353" s="58" t="s">
        <v>2070</v>
      </c>
      <c r="H1353" s="58" t="s">
        <v>179</v>
      </c>
      <c r="I1353">
        <v>38000</v>
      </c>
      <c r="J1353">
        <v>38000</v>
      </c>
      <c r="K1353" s="58" t="s">
        <v>185</v>
      </c>
      <c r="L1353" s="74">
        <v>7.9409999999999998</v>
      </c>
      <c r="M1353" s="85">
        <v>8</v>
      </c>
      <c r="N1353" s="74">
        <v>0.22600000000000001</v>
      </c>
      <c r="O1353">
        <v>3</v>
      </c>
      <c r="P1353" s="84">
        <v>0.22600000000000001</v>
      </c>
      <c r="Q1353" s="86">
        <v>4.2</v>
      </c>
      <c r="R1353" s="85">
        <v>4.2</v>
      </c>
      <c r="S1353" s="87">
        <v>909950</v>
      </c>
      <c r="T1353" s="1">
        <v>4</v>
      </c>
      <c r="U1353" s="88">
        <v>216654.76190476189</v>
      </c>
      <c r="V1353" s="59">
        <v>4.6156382218803227</v>
      </c>
      <c r="X1353" s="98">
        <v>4.2</v>
      </c>
      <c r="Y1353" s="97">
        <v>216.6547619047619</v>
      </c>
    </row>
    <row r="1354" spans="1:25">
      <c r="A1354" s="58">
        <v>1356</v>
      </c>
      <c r="B1354" s="58">
        <v>1356</v>
      </c>
      <c r="C1354" s="58" t="s">
        <v>2107</v>
      </c>
      <c r="D1354" s="58" t="s">
        <v>450</v>
      </c>
      <c r="E1354" s="58" t="s">
        <v>450</v>
      </c>
      <c r="F1354" s="58" t="s">
        <v>769</v>
      </c>
      <c r="G1354" s="58" t="s">
        <v>770</v>
      </c>
      <c r="H1354" s="58" t="s">
        <v>179</v>
      </c>
      <c r="I1354">
        <v>38000</v>
      </c>
      <c r="J1354" s="58" t="s">
        <v>185</v>
      </c>
      <c r="K1354">
        <v>38000</v>
      </c>
      <c r="L1354" s="74">
        <v>1.8979999999999999</v>
      </c>
      <c r="M1354" s="85">
        <v>2</v>
      </c>
      <c r="N1354" s="74">
        <v>0.14799999999999999</v>
      </c>
      <c r="O1354">
        <v>3</v>
      </c>
      <c r="P1354" s="84">
        <v>0.14799999999999999</v>
      </c>
      <c r="Q1354" s="86">
        <v>4.2</v>
      </c>
      <c r="R1354" s="85">
        <v>4.2</v>
      </c>
      <c r="S1354" s="87">
        <v>488330</v>
      </c>
      <c r="T1354" s="1">
        <v>4</v>
      </c>
      <c r="U1354" s="88">
        <v>116269.04761904762</v>
      </c>
      <c r="V1354" s="59">
        <v>8.6007413019884087</v>
      </c>
      <c r="X1354" s="98">
        <v>4.2</v>
      </c>
      <c r="Y1354" s="97">
        <v>216.6547619047619</v>
      </c>
    </row>
    <row r="1355" spans="1:25">
      <c r="A1355" s="58">
        <v>1357</v>
      </c>
      <c r="B1355" s="58">
        <v>1357</v>
      </c>
      <c r="C1355" s="58" t="s">
        <v>2108</v>
      </c>
      <c r="D1355" s="58" t="s">
        <v>410</v>
      </c>
      <c r="E1355" s="58" t="s">
        <v>410</v>
      </c>
      <c r="F1355" s="58" t="s">
        <v>1866</v>
      </c>
      <c r="G1355" s="58" t="s">
        <v>1867</v>
      </c>
      <c r="H1355" s="58" t="s">
        <v>179</v>
      </c>
      <c r="I1355">
        <v>38000</v>
      </c>
      <c r="J1355">
        <v>38000</v>
      </c>
      <c r="K1355" s="58" t="s">
        <v>185</v>
      </c>
      <c r="L1355" s="74">
        <v>4.9340000000000002</v>
      </c>
      <c r="M1355" s="85">
        <v>5</v>
      </c>
      <c r="N1355" s="74">
        <v>0.29899999999999999</v>
      </c>
      <c r="O1355">
        <v>3</v>
      </c>
      <c r="P1355" s="84">
        <v>0.29899999999999999</v>
      </c>
      <c r="Q1355" s="86">
        <v>4.2</v>
      </c>
      <c r="R1355" s="85">
        <v>4.2</v>
      </c>
      <c r="S1355" s="87">
        <v>699140</v>
      </c>
      <c r="T1355" s="1">
        <v>4</v>
      </c>
      <c r="U1355" s="88">
        <v>166461.90476190476</v>
      </c>
      <c r="V1355" s="59">
        <v>6.0073804960379897</v>
      </c>
      <c r="X1355" s="98">
        <v>4.2</v>
      </c>
      <c r="Y1355" s="97">
        <v>116.26904761904763</v>
      </c>
    </row>
    <row r="1356" spans="1:25">
      <c r="A1356" s="58">
        <v>1358</v>
      </c>
      <c r="B1356" s="58">
        <v>1358</v>
      </c>
      <c r="C1356" s="58" t="s">
        <v>2109</v>
      </c>
      <c r="D1356" s="58" t="s">
        <v>882</v>
      </c>
      <c r="E1356" s="58" t="s">
        <v>882</v>
      </c>
      <c r="F1356" s="58" t="s">
        <v>1944</v>
      </c>
      <c r="G1356" s="58" t="s">
        <v>1945</v>
      </c>
      <c r="H1356" s="58" t="s">
        <v>179</v>
      </c>
      <c r="I1356">
        <v>38000</v>
      </c>
      <c r="J1356">
        <v>38000</v>
      </c>
      <c r="K1356">
        <v>20000</v>
      </c>
      <c r="L1356" s="74">
        <v>3.173</v>
      </c>
      <c r="M1356" s="85">
        <v>4</v>
      </c>
      <c r="N1356" s="74">
        <v>0.39200000000000002</v>
      </c>
      <c r="O1356">
        <v>3</v>
      </c>
      <c r="P1356" s="84">
        <v>0.39200000000000002</v>
      </c>
      <c r="Q1356" s="86">
        <v>4.2</v>
      </c>
      <c r="R1356" s="85">
        <v>4.2</v>
      </c>
      <c r="S1356" s="87">
        <v>628870</v>
      </c>
      <c r="T1356" s="1">
        <v>4</v>
      </c>
      <c r="U1356" s="88">
        <v>149730.95238095237</v>
      </c>
      <c r="V1356" s="59">
        <v>6.6786458250512828</v>
      </c>
      <c r="X1356" s="98">
        <v>4.2</v>
      </c>
      <c r="Y1356" s="97">
        <v>166.46190476190475</v>
      </c>
    </row>
    <row r="1357" spans="1:25">
      <c r="A1357" s="58">
        <v>1359</v>
      </c>
      <c r="B1357" s="58">
        <v>1359</v>
      </c>
      <c r="C1357" s="58" t="s">
        <v>2110</v>
      </c>
      <c r="D1357" s="58" t="s">
        <v>882</v>
      </c>
      <c r="E1357" s="58" t="s">
        <v>882</v>
      </c>
      <c r="F1357" s="58" t="s">
        <v>1822</v>
      </c>
      <c r="G1357" s="58" t="s">
        <v>1823</v>
      </c>
      <c r="H1357" s="58" t="s">
        <v>199</v>
      </c>
      <c r="I1357">
        <v>110000</v>
      </c>
      <c r="L1357" s="74">
        <v>5.6589999999999998</v>
      </c>
      <c r="M1357" s="85">
        <v>6</v>
      </c>
      <c r="N1357" s="74">
        <v>0.30199999999999999</v>
      </c>
      <c r="O1357">
        <v>3</v>
      </c>
      <c r="P1357" s="84">
        <v>0.30199999999999999</v>
      </c>
      <c r="Q1357" s="86">
        <v>4.2</v>
      </c>
      <c r="R1357" s="85">
        <v>4.2</v>
      </c>
      <c r="S1357" s="87">
        <v>1732670</v>
      </c>
      <c r="T1357" s="1">
        <v>7</v>
      </c>
      <c r="U1357" s="88">
        <v>412540.47619047615</v>
      </c>
      <c r="V1357" s="59">
        <v>2.4240045709800482</v>
      </c>
      <c r="X1357" s="98">
        <v>4.2</v>
      </c>
      <c r="Y1357" s="97">
        <v>149.73095238095235</v>
      </c>
    </row>
    <row r="1358" spans="1:25">
      <c r="A1358" s="58">
        <v>1360</v>
      </c>
      <c r="B1358" s="58">
        <v>1360</v>
      </c>
      <c r="C1358" s="58" t="s">
        <v>2111</v>
      </c>
      <c r="D1358" s="58" t="s">
        <v>410</v>
      </c>
      <c r="E1358" s="58" t="s">
        <v>410</v>
      </c>
      <c r="F1358" s="58" t="s">
        <v>883</v>
      </c>
      <c r="G1358" s="58" t="s">
        <v>884</v>
      </c>
      <c r="H1358" s="58" t="s">
        <v>179</v>
      </c>
      <c r="I1358">
        <v>38000</v>
      </c>
      <c r="J1358">
        <v>20000</v>
      </c>
      <c r="K1358">
        <v>38000</v>
      </c>
      <c r="L1358" s="74">
        <v>1.9910000000000001</v>
      </c>
      <c r="M1358" s="85">
        <v>2</v>
      </c>
      <c r="N1358" s="74">
        <v>0.42399999999999999</v>
      </c>
      <c r="O1358">
        <v>3</v>
      </c>
      <c r="P1358" s="84">
        <v>0.42399999999999999</v>
      </c>
      <c r="Q1358" s="86">
        <v>4.2</v>
      </c>
      <c r="R1358" s="85">
        <v>4.2</v>
      </c>
      <c r="S1358" s="87">
        <v>488330</v>
      </c>
      <c r="T1358" s="1">
        <v>4</v>
      </c>
      <c r="U1358" s="88">
        <v>116269.04761904762</v>
      </c>
      <c r="V1358" s="59">
        <v>8.6007413019884087</v>
      </c>
      <c r="X1358" s="98">
        <v>4.2</v>
      </c>
      <c r="Y1358" s="97">
        <v>412.54047619047617</v>
      </c>
    </row>
    <row r="1359" spans="1:25">
      <c r="A1359" s="58">
        <v>1361</v>
      </c>
      <c r="B1359" s="58">
        <v>1361</v>
      </c>
      <c r="C1359" s="58" t="s">
        <v>2112</v>
      </c>
      <c r="D1359" s="58" t="s">
        <v>882</v>
      </c>
      <c r="E1359" s="58" t="s">
        <v>1169</v>
      </c>
      <c r="F1359" s="58" t="s">
        <v>1889</v>
      </c>
      <c r="G1359" s="58" t="s">
        <v>1890</v>
      </c>
      <c r="H1359" s="58" t="s">
        <v>179</v>
      </c>
      <c r="I1359">
        <v>38000</v>
      </c>
      <c r="J1359">
        <v>38000</v>
      </c>
      <c r="K1359" s="58" t="s">
        <v>185</v>
      </c>
      <c r="L1359" s="74">
        <v>13.782</v>
      </c>
      <c r="M1359" s="85">
        <v>14</v>
      </c>
      <c r="N1359" s="74">
        <v>0.42199999999999999</v>
      </c>
      <c r="O1359">
        <v>3</v>
      </c>
      <c r="P1359" s="84">
        <v>0.42199999999999999</v>
      </c>
      <c r="Q1359" s="86">
        <v>4.2</v>
      </c>
      <c r="R1359" s="85">
        <v>4.2</v>
      </c>
      <c r="S1359" s="87">
        <v>1597940</v>
      </c>
      <c r="T1359" s="1">
        <v>1</v>
      </c>
      <c r="U1359" s="88">
        <v>380461.90476190473</v>
      </c>
      <c r="V1359" s="59">
        <v>2.6283840444572388</v>
      </c>
      <c r="X1359" s="98">
        <v>4.2</v>
      </c>
      <c r="Y1359" s="97">
        <v>116.26904761904763</v>
      </c>
    </row>
    <row r="1360" spans="1:25">
      <c r="A1360" s="58">
        <v>1362</v>
      </c>
      <c r="B1360" s="58">
        <v>1362</v>
      </c>
      <c r="C1360" s="58" t="s">
        <v>2113</v>
      </c>
      <c r="D1360" s="58" t="s">
        <v>215</v>
      </c>
      <c r="E1360" s="58" t="s">
        <v>450</v>
      </c>
      <c r="F1360" s="58" t="s">
        <v>901</v>
      </c>
      <c r="G1360" s="58" t="s">
        <v>407</v>
      </c>
      <c r="H1360" s="58" t="s">
        <v>179</v>
      </c>
      <c r="I1360">
        <v>38000</v>
      </c>
      <c r="J1360">
        <v>38000</v>
      </c>
      <c r="K1360" s="58" t="s">
        <v>185</v>
      </c>
      <c r="L1360" s="74">
        <v>7.633</v>
      </c>
      <c r="M1360" s="85">
        <v>8</v>
      </c>
      <c r="N1360" s="74">
        <v>0.10299999999999999</v>
      </c>
      <c r="O1360">
        <v>3</v>
      </c>
      <c r="P1360" s="84">
        <v>0.10299999999999999</v>
      </c>
      <c r="Q1360" s="86">
        <v>4.2</v>
      </c>
      <c r="R1360" s="85">
        <v>4.2</v>
      </c>
      <c r="S1360" s="87">
        <v>909950</v>
      </c>
      <c r="T1360" s="1">
        <v>4</v>
      </c>
      <c r="U1360" s="88">
        <v>216654.76190476189</v>
      </c>
      <c r="V1360" s="59">
        <v>4.6156382218803227</v>
      </c>
      <c r="X1360" s="98">
        <v>4.2</v>
      </c>
      <c r="Y1360" s="97">
        <v>380.46190476190475</v>
      </c>
    </row>
    <row r="1361" spans="1:25">
      <c r="A1361" s="58">
        <v>1363</v>
      </c>
      <c r="B1361" s="58">
        <v>1363</v>
      </c>
      <c r="C1361" s="58" t="s">
        <v>2114</v>
      </c>
      <c r="D1361" s="58" t="s">
        <v>489</v>
      </c>
      <c r="E1361" s="58" t="s">
        <v>489</v>
      </c>
      <c r="F1361" s="58" t="s">
        <v>469</v>
      </c>
      <c r="G1361" s="58" t="s">
        <v>470</v>
      </c>
      <c r="H1361" s="58" t="s">
        <v>179</v>
      </c>
      <c r="I1361">
        <v>38000</v>
      </c>
      <c r="J1361">
        <v>38000</v>
      </c>
      <c r="K1361" s="58" t="s">
        <v>185</v>
      </c>
      <c r="L1361" s="74">
        <v>5.2439999999999998</v>
      </c>
      <c r="M1361" s="85">
        <v>6</v>
      </c>
      <c r="N1361" s="74">
        <v>0.104</v>
      </c>
      <c r="O1361">
        <v>3</v>
      </c>
      <c r="P1361" s="84">
        <v>0.104</v>
      </c>
      <c r="Q1361" s="86">
        <v>4.2</v>
      </c>
      <c r="R1361" s="85">
        <v>4.2</v>
      </c>
      <c r="S1361" s="87">
        <v>769410</v>
      </c>
      <c r="T1361" s="1">
        <v>4</v>
      </c>
      <c r="U1361" s="88">
        <v>183192.85714285713</v>
      </c>
      <c r="V1361" s="59">
        <v>5.4587281163488903</v>
      </c>
      <c r="X1361" s="98">
        <v>4.2</v>
      </c>
      <c r="Y1361" s="97">
        <v>216.6547619047619</v>
      </c>
    </row>
    <row r="1362" spans="1:25">
      <c r="A1362" s="58">
        <v>1364</v>
      </c>
      <c r="B1362" s="58">
        <v>1364</v>
      </c>
      <c r="C1362" s="58" t="s">
        <v>2115</v>
      </c>
      <c r="D1362" s="58" t="s">
        <v>410</v>
      </c>
      <c r="E1362" s="58" t="s">
        <v>410</v>
      </c>
      <c r="F1362" s="58" t="s">
        <v>863</v>
      </c>
      <c r="G1362" s="58" t="s">
        <v>864</v>
      </c>
      <c r="H1362" s="58" t="s">
        <v>179</v>
      </c>
      <c r="I1362">
        <v>38000</v>
      </c>
      <c r="J1362">
        <v>38000</v>
      </c>
      <c r="K1362" s="58" t="s">
        <v>185</v>
      </c>
      <c r="L1362" s="74">
        <v>6.452</v>
      </c>
      <c r="M1362" s="85">
        <v>7</v>
      </c>
      <c r="N1362" s="74">
        <v>0.33800000000000002</v>
      </c>
      <c r="O1362">
        <v>3</v>
      </c>
      <c r="P1362" s="84">
        <v>0.33800000000000002</v>
      </c>
      <c r="Q1362" s="86">
        <v>4.2</v>
      </c>
      <c r="R1362" s="85">
        <v>4.2</v>
      </c>
      <c r="S1362" s="87">
        <v>839680</v>
      </c>
      <c r="T1362" s="1">
        <v>4</v>
      </c>
      <c r="U1362" s="88">
        <v>199923.80952380953</v>
      </c>
      <c r="V1362" s="59">
        <v>5.0019054878048781</v>
      </c>
      <c r="X1362" s="98">
        <v>4.2</v>
      </c>
      <c r="Y1362" s="97">
        <v>183.19285714285712</v>
      </c>
    </row>
    <row r="1363" spans="1:25">
      <c r="A1363" s="58">
        <v>1365</v>
      </c>
      <c r="B1363" s="58">
        <v>1365</v>
      </c>
      <c r="C1363" s="58" t="s">
        <v>2116</v>
      </c>
      <c r="D1363" s="58" t="s">
        <v>852</v>
      </c>
      <c r="E1363" s="58" t="s">
        <v>852</v>
      </c>
      <c r="F1363" s="58" t="s">
        <v>1876</v>
      </c>
      <c r="G1363" s="58" t="s">
        <v>1877</v>
      </c>
      <c r="H1363" s="58" t="s">
        <v>179</v>
      </c>
      <c r="I1363">
        <v>38000</v>
      </c>
      <c r="J1363">
        <v>38000</v>
      </c>
      <c r="K1363">
        <v>20000</v>
      </c>
      <c r="L1363" s="74">
        <v>1.677</v>
      </c>
      <c r="M1363" s="85">
        <v>2</v>
      </c>
      <c r="N1363" s="74">
        <v>0.26100000000000001</v>
      </c>
      <c r="O1363">
        <v>3</v>
      </c>
      <c r="P1363" s="84">
        <v>0.26100000000000001</v>
      </c>
      <c r="Q1363" s="86">
        <v>4.2</v>
      </c>
      <c r="R1363" s="85">
        <v>4.2</v>
      </c>
      <c r="S1363" s="87">
        <v>488330</v>
      </c>
      <c r="T1363" s="1">
        <v>4</v>
      </c>
      <c r="U1363" s="88">
        <v>116269.04761904762</v>
      </c>
      <c r="V1363" s="59">
        <v>8.6007413019884087</v>
      </c>
      <c r="X1363" s="98">
        <v>4.2</v>
      </c>
      <c r="Y1363" s="97">
        <v>199.92380952380952</v>
      </c>
    </row>
    <row r="1364" spans="1:25">
      <c r="A1364" s="58">
        <v>1366</v>
      </c>
      <c r="B1364" s="58">
        <v>1366</v>
      </c>
      <c r="C1364" s="58" t="s">
        <v>2117</v>
      </c>
      <c r="D1364" s="58" t="s">
        <v>346</v>
      </c>
      <c r="E1364" s="58" t="s">
        <v>346</v>
      </c>
      <c r="F1364" s="58" t="s">
        <v>347</v>
      </c>
      <c r="G1364" s="58" t="s">
        <v>348</v>
      </c>
      <c r="H1364" s="58" t="s">
        <v>199</v>
      </c>
      <c r="I1364">
        <v>110000</v>
      </c>
      <c r="J1364">
        <v>110000</v>
      </c>
      <c r="K1364" s="58" t="s">
        <v>200</v>
      </c>
      <c r="L1364" s="74">
        <v>4.5579999999999998</v>
      </c>
      <c r="M1364" s="85">
        <v>5</v>
      </c>
      <c r="N1364" s="74">
        <v>0.42199999999999999</v>
      </c>
      <c r="O1364">
        <v>3</v>
      </c>
      <c r="P1364" s="84">
        <v>0.42199999999999999</v>
      </c>
      <c r="Q1364" s="86">
        <v>4.2</v>
      </c>
      <c r="R1364" s="85">
        <v>4.2</v>
      </c>
      <c r="S1364" s="87">
        <v>1679970</v>
      </c>
      <c r="T1364" s="1">
        <v>7</v>
      </c>
      <c r="U1364" s="88">
        <v>399992.8571428571</v>
      </c>
      <c r="V1364" s="59">
        <v>2.5000446436543511</v>
      </c>
      <c r="X1364" s="98">
        <v>4.2</v>
      </c>
      <c r="Y1364" s="97">
        <v>116.26904761904763</v>
      </c>
    </row>
    <row r="1365" spans="1:25">
      <c r="A1365" s="58">
        <v>1367</v>
      </c>
      <c r="B1365" s="58">
        <v>1367</v>
      </c>
      <c r="C1365" s="58" t="s">
        <v>2118</v>
      </c>
      <c r="D1365" s="58" t="s">
        <v>852</v>
      </c>
      <c r="E1365" s="58" t="s">
        <v>852</v>
      </c>
      <c r="F1365" s="58" t="s">
        <v>1876</v>
      </c>
      <c r="G1365" s="58" t="s">
        <v>1877</v>
      </c>
      <c r="H1365" s="58" t="s">
        <v>179</v>
      </c>
      <c r="I1365">
        <v>38000</v>
      </c>
      <c r="J1365">
        <v>38000</v>
      </c>
      <c r="K1365">
        <v>20000</v>
      </c>
      <c r="L1365" s="74">
        <v>11.334</v>
      </c>
      <c r="M1365" s="85">
        <v>12</v>
      </c>
      <c r="N1365" s="74">
        <v>0.1</v>
      </c>
      <c r="O1365">
        <v>3</v>
      </c>
      <c r="P1365" s="84">
        <v>0.1</v>
      </c>
      <c r="Q1365" s="86">
        <v>4.2</v>
      </c>
      <c r="R1365" s="85">
        <v>4.2</v>
      </c>
      <c r="S1365" s="87">
        <v>1492540</v>
      </c>
      <c r="T1365" s="1">
        <v>1</v>
      </c>
      <c r="U1365" s="88">
        <v>355366.66666666663</v>
      </c>
      <c r="V1365" s="59">
        <v>2.8139949348091173</v>
      </c>
      <c r="X1365" s="98">
        <v>4.2</v>
      </c>
      <c r="Y1365" s="97">
        <v>399.99285714285708</v>
      </c>
    </row>
    <row r="1366" spans="1:25">
      <c r="A1366" s="58">
        <v>1368</v>
      </c>
      <c r="B1366" s="58">
        <v>1368</v>
      </c>
      <c r="C1366" s="58" t="s">
        <v>2119</v>
      </c>
      <c r="D1366" s="58" t="s">
        <v>1190</v>
      </c>
      <c r="E1366" s="58" t="s">
        <v>1190</v>
      </c>
      <c r="F1366" s="58" t="s">
        <v>2120</v>
      </c>
      <c r="G1366" s="58" t="s">
        <v>2121</v>
      </c>
      <c r="H1366" s="58" t="s">
        <v>179</v>
      </c>
      <c r="I1366">
        <v>38000</v>
      </c>
      <c r="J1366">
        <v>38000</v>
      </c>
      <c r="K1366" s="58" t="s">
        <v>185</v>
      </c>
      <c r="L1366" s="74">
        <v>6.8310000000000004</v>
      </c>
      <c r="M1366" s="85">
        <v>7</v>
      </c>
      <c r="N1366" s="74">
        <v>0.14299999999999999</v>
      </c>
      <c r="O1366">
        <v>3</v>
      </c>
      <c r="P1366" s="84">
        <v>0.14299999999999999</v>
      </c>
      <c r="Q1366" s="86">
        <v>4.2</v>
      </c>
      <c r="R1366" s="85">
        <v>4.2</v>
      </c>
      <c r="S1366" s="87">
        <v>839680</v>
      </c>
      <c r="T1366" s="1">
        <v>4</v>
      </c>
      <c r="U1366" s="88">
        <v>199923.80952380953</v>
      </c>
      <c r="V1366" s="59">
        <v>5.0019054878048781</v>
      </c>
      <c r="X1366" s="98">
        <v>4.2</v>
      </c>
      <c r="Y1366" s="97">
        <v>355.36666666666662</v>
      </c>
    </row>
    <row r="1367" spans="1:25">
      <c r="A1367" s="58">
        <v>1369</v>
      </c>
      <c r="B1367" s="58">
        <v>1369</v>
      </c>
      <c r="C1367" s="58" t="s">
        <v>2122</v>
      </c>
      <c r="D1367" s="58" t="s">
        <v>1190</v>
      </c>
      <c r="E1367" s="58" t="s">
        <v>1190</v>
      </c>
      <c r="F1367" s="58" t="s">
        <v>1906</v>
      </c>
      <c r="G1367" s="58" t="s">
        <v>1907</v>
      </c>
      <c r="H1367" s="58" t="s">
        <v>179</v>
      </c>
      <c r="I1367">
        <v>38000</v>
      </c>
      <c r="J1367">
        <v>38000</v>
      </c>
      <c r="K1367">
        <v>10000</v>
      </c>
      <c r="L1367" s="74">
        <v>7.3630000000000004</v>
      </c>
      <c r="M1367" s="85">
        <v>8</v>
      </c>
      <c r="N1367" s="74">
        <v>0.45700000000000002</v>
      </c>
      <c r="O1367">
        <v>3</v>
      </c>
      <c r="P1367" s="84">
        <v>0.45700000000000002</v>
      </c>
      <c r="Q1367" s="86">
        <v>4.2</v>
      </c>
      <c r="R1367" s="85">
        <v>4.2</v>
      </c>
      <c r="S1367" s="87">
        <v>909950</v>
      </c>
      <c r="T1367" s="1">
        <v>4</v>
      </c>
      <c r="U1367" s="88">
        <v>216654.76190476189</v>
      </c>
      <c r="V1367" s="59">
        <v>4.6156382218803227</v>
      </c>
      <c r="X1367" s="98">
        <v>4.2</v>
      </c>
      <c r="Y1367" s="97">
        <v>199.92380952380952</v>
      </c>
    </row>
    <row r="1368" spans="1:25">
      <c r="A1368" s="58">
        <v>1370</v>
      </c>
      <c r="B1368" s="58">
        <v>1370</v>
      </c>
      <c r="C1368" s="58" t="s">
        <v>2123</v>
      </c>
      <c r="D1368" s="58" t="s">
        <v>187</v>
      </c>
      <c r="E1368" s="58" t="s">
        <v>187</v>
      </c>
      <c r="F1368" s="58" t="s">
        <v>231</v>
      </c>
      <c r="G1368" s="58" t="s">
        <v>232</v>
      </c>
      <c r="H1368" s="58" t="s">
        <v>179</v>
      </c>
      <c r="I1368">
        <v>38000</v>
      </c>
      <c r="J1368" s="58" t="s">
        <v>185</v>
      </c>
      <c r="K1368">
        <v>38000</v>
      </c>
      <c r="L1368" s="74">
        <v>1.528</v>
      </c>
      <c r="M1368" s="85">
        <v>2</v>
      </c>
      <c r="N1368" s="74">
        <v>0.52900000000000003</v>
      </c>
      <c r="O1368">
        <v>3</v>
      </c>
      <c r="P1368" s="84">
        <v>0.52900000000000003</v>
      </c>
      <c r="Q1368" s="86">
        <v>4.2</v>
      </c>
      <c r="R1368" s="85">
        <v>4.2</v>
      </c>
      <c r="S1368" s="87">
        <v>488330</v>
      </c>
      <c r="T1368" s="1">
        <v>4</v>
      </c>
      <c r="U1368" s="88">
        <v>116269.04761904762</v>
      </c>
      <c r="V1368" s="59">
        <v>8.6007413019884087</v>
      </c>
      <c r="X1368" s="98">
        <v>4.2</v>
      </c>
      <c r="Y1368" s="97">
        <v>216.6547619047619</v>
      </c>
    </row>
    <row r="1369" spans="1:25">
      <c r="A1369" s="58">
        <v>1371</v>
      </c>
      <c r="B1369" s="58">
        <v>1371</v>
      </c>
      <c r="C1369" s="58" t="s">
        <v>2124</v>
      </c>
      <c r="D1369" s="58" t="s">
        <v>187</v>
      </c>
      <c r="E1369" s="58" t="s">
        <v>187</v>
      </c>
      <c r="F1369" s="58" t="s">
        <v>435</v>
      </c>
      <c r="G1369" s="58" t="s">
        <v>436</v>
      </c>
      <c r="H1369" s="58" t="s">
        <v>199</v>
      </c>
      <c r="I1369">
        <v>110000</v>
      </c>
      <c r="J1369">
        <v>38000</v>
      </c>
      <c r="K1369">
        <v>110000</v>
      </c>
      <c r="L1369" s="74">
        <v>9.3040000000000003</v>
      </c>
      <c r="M1369" s="85">
        <v>10</v>
      </c>
      <c r="N1369" s="74">
        <v>0.27700000000000002</v>
      </c>
      <c r="O1369">
        <v>3</v>
      </c>
      <c r="P1369" s="84">
        <v>0.27700000000000002</v>
      </c>
      <c r="Q1369" s="86">
        <v>4.2</v>
      </c>
      <c r="R1369" s="85">
        <v>4.2</v>
      </c>
      <c r="S1369" s="87">
        <v>1943470</v>
      </c>
      <c r="T1369" s="1">
        <v>7</v>
      </c>
      <c r="U1369" s="88">
        <v>462730.95238095237</v>
      </c>
      <c r="V1369" s="59">
        <v>2.1610830113148132</v>
      </c>
      <c r="X1369" s="98">
        <v>4.2</v>
      </c>
      <c r="Y1369" s="97">
        <v>116.26904761904763</v>
      </c>
    </row>
    <row r="1370" spans="1:25">
      <c r="A1370" s="58">
        <v>1372</v>
      </c>
      <c r="B1370" s="58">
        <v>1372</v>
      </c>
      <c r="C1370" s="58" t="s">
        <v>2125</v>
      </c>
      <c r="D1370" s="58" t="s">
        <v>187</v>
      </c>
      <c r="E1370" s="58" t="s">
        <v>187</v>
      </c>
      <c r="F1370" s="58" t="s">
        <v>859</v>
      </c>
      <c r="G1370" s="58" t="s">
        <v>860</v>
      </c>
      <c r="H1370" s="58" t="s">
        <v>179</v>
      </c>
      <c r="I1370">
        <v>38000</v>
      </c>
      <c r="J1370">
        <v>38000</v>
      </c>
      <c r="K1370" s="58" t="s">
        <v>185</v>
      </c>
      <c r="L1370" s="74">
        <v>10.66</v>
      </c>
      <c r="M1370" s="85">
        <v>11</v>
      </c>
      <c r="N1370" s="74">
        <v>9.0999999999999998E-2</v>
      </c>
      <c r="O1370">
        <v>3</v>
      </c>
      <c r="P1370" s="84">
        <v>9.0999999999999998E-2</v>
      </c>
      <c r="Q1370" s="86">
        <v>4.2</v>
      </c>
      <c r="R1370" s="85">
        <v>4.2</v>
      </c>
      <c r="S1370" s="87">
        <v>1439840</v>
      </c>
      <c r="T1370" s="1">
        <v>1</v>
      </c>
      <c r="U1370" s="88">
        <v>342819.04761904763</v>
      </c>
      <c r="V1370" s="59">
        <v>2.9169907767529724</v>
      </c>
      <c r="X1370" s="98">
        <v>4.2</v>
      </c>
      <c r="Y1370" s="97">
        <v>462.73095238095237</v>
      </c>
    </row>
    <row r="1371" spans="1:25">
      <c r="A1371" s="58">
        <v>1373</v>
      </c>
      <c r="B1371" s="58">
        <v>1373</v>
      </c>
      <c r="C1371" s="58" t="s">
        <v>2126</v>
      </c>
      <c r="D1371" s="58" t="s">
        <v>187</v>
      </c>
      <c r="E1371" s="58" t="s">
        <v>187</v>
      </c>
      <c r="F1371" s="58" t="s">
        <v>435</v>
      </c>
      <c r="G1371" s="58" t="s">
        <v>436</v>
      </c>
      <c r="H1371" s="58" t="s">
        <v>199</v>
      </c>
      <c r="I1371">
        <v>110000</v>
      </c>
      <c r="J1371">
        <v>38000</v>
      </c>
      <c r="K1371">
        <v>110000</v>
      </c>
      <c r="L1371" s="74">
        <v>5.41</v>
      </c>
      <c r="M1371" s="85">
        <v>6</v>
      </c>
      <c r="N1371" s="74">
        <v>0.29099999999999998</v>
      </c>
      <c r="O1371">
        <v>3</v>
      </c>
      <c r="P1371" s="84">
        <v>0.29099999999999998</v>
      </c>
      <c r="Q1371" s="86">
        <v>4.2</v>
      </c>
      <c r="R1371" s="85">
        <v>4.2</v>
      </c>
      <c r="S1371" s="87">
        <v>1732670</v>
      </c>
      <c r="T1371" s="1">
        <v>7</v>
      </c>
      <c r="U1371" s="88">
        <v>412540.47619047615</v>
      </c>
      <c r="V1371" s="59">
        <v>2.4240045709800482</v>
      </c>
      <c r="X1371" s="98">
        <v>4.2</v>
      </c>
      <c r="Y1371" s="97">
        <v>342.81904761904764</v>
      </c>
    </row>
    <row r="1372" spans="1:25">
      <c r="A1372" s="58">
        <v>1374</v>
      </c>
      <c r="B1372" s="58">
        <v>1374</v>
      </c>
      <c r="C1372" s="58" t="s">
        <v>2127</v>
      </c>
      <c r="D1372" s="58" t="s">
        <v>187</v>
      </c>
      <c r="E1372" s="58" t="s">
        <v>187</v>
      </c>
      <c r="F1372" s="58" t="s">
        <v>246</v>
      </c>
      <c r="G1372" s="58" t="s">
        <v>247</v>
      </c>
      <c r="H1372" s="58" t="s">
        <v>199</v>
      </c>
      <c r="I1372">
        <v>110000</v>
      </c>
      <c r="J1372">
        <v>33000</v>
      </c>
      <c r="K1372">
        <v>110000</v>
      </c>
      <c r="L1372" s="74">
        <v>7.02</v>
      </c>
      <c r="M1372" s="85">
        <v>8</v>
      </c>
      <c r="N1372" s="74">
        <v>0.312</v>
      </c>
      <c r="O1372">
        <v>3</v>
      </c>
      <c r="P1372" s="84">
        <v>0.312</v>
      </c>
      <c r="Q1372" s="86">
        <v>4.2</v>
      </c>
      <c r="R1372" s="85">
        <v>4.2</v>
      </c>
      <c r="S1372" s="87">
        <v>1838070</v>
      </c>
      <c r="T1372" s="1">
        <v>7</v>
      </c>
      <c r="U1372" s="88">
        <v>437635.71428571426</v>
      </c>
      <c r="V1372" s="59">
        <v>2.2850054676916547</v>
      </c>
      <c r="X1372" s="98">
        <v>4.2</v>
      </c>
      <c r="Y1372" s="97">
        <v>412.54047619047617</v>
      </c>
    </row>
    <row r="1373" spans="1:25">
      <c r="A1373" s="58">
        <v>1375</v>
      </c>
      <c r="B1373" s="58">
        <v>1375</v>
      </c>
      <c r="C1373" s="58" t="s">
        <v>2128</v>
      </c>
      <c r="D1373" s="58" t="s">
        <v>187</v>
      </c>
      <c r="E1373" s="58" t="s">
        <v>187</v>
      </c>
      <c r="F1373" s="58" t="s">
        <v>246</v>
      </c>
      <c r="G1373" s="58" t="s">
        <v>247</v>
      </c>
      <c r="H1373" s="58" t="s">
        <v>199</v>
      </c>
      <c r="I1373">
        <v>110000</v>
      </c>
      <c r="J1373">
        <v>33000</v>
      </c>
      <c r="K1373">
        <v>110000</v>
      </c>
      <c r="L1373" s="74">
        <v>7.7279999999999998</v>
      </c>
      <c r="M1373" s="85">
        <v>8</v>
      </c>
      <c r="N1373" s="74">
        <v>9.6000000000000002E-2</v>
      </c>
      <c r="O1373">
        <v>3</v>
      </c>
      <c r="P1373" s="84">
        <v>9.6000000000000002E-2</v>
      </c>
      <c r="Q1373" s="86">
        <v>4.2</v>
      </c>
      <c r="R1373" s="85">
        <v>4.2</v>
      </c>
      <c r="S1373" s="87">
        <v>1838070</v>
      </c>
      <c r="T1373" s="1">
        <v>7</v>
      </c>
      <c r="U1373" s="88">
        <v>437635.71428571426</v>
      </c>
      <c r="V1373" s="59">
        <v>2.2850054676916547</v>
      </c>
      <c r="X1373" s="98">
        <v>4.2</v>
      </c>
      <c r="Y1373" s="97">
        <v>437.63571428571424</v>
      </c>
    </row>
    <row r="1374" spans="1:25">
      <c r="A1374" s="58">
        <v>1376</v>
      </c>
      <c r="B1374" s="58">
        <v>1376</v>
      </c>
      <c r="C1374" s="58" t="s">
        <v>2129</v>
      </c>
      <c r="D1374" s="58" t="s">
        <v>187</v>
      </c>
      <c r="E1374" s="58" t="s">
        <v>187</v>
      </c>
      <c r="F1374" s="58" t="s">
        <v>1213</v>
      </c>
      <c r="G1374" s="58" t="s">
        <v>1214</v>
      </c>
      <c r="H1374" s="58" t="s">
        <v>199</v>
      </c>
      <c r="I1374">
        <v>110000</v>
      </c>
      <c r="J1374" s="58" t="s">
        <v>185</v>
      </c>
      <c r="K1374">
        <v>110000</v>
      </c>
      <c r="L1374" s="74">
        <v>13.497999999999999</v>
      </c>
      <c r="M1374" s="85">
        <v>14</v>
      </c>
      <c r="N1374" s="74">
        <v>0.125</v>
      </c>
      <c r="O1374">
        <v>3</v>
      </c>
      <c r="P1374" s="84">
        <v>0.125</v>
      </c>
      <c r="Q1374" s="86">
        <v>4.2</v>
      </c>
      <c r="R1374" s="85">
        <v>4.2</v>
      </c>
      <c r="S1374" s="87">
        <v>2154270</v>
      </c>
      <c r="T1374" s="1">
        <v>7</v>
      </c>
      <c r="U1374" s="88">
        <v>512921.42857142852</v>
      </c>
      <c r="V1374" s="59">
        <v>1.9496163433552898</v>
      </c>
      <c r="X1374" s="98">
        <v>4.2</v>
      </c>
      <c r="Y1374" s="97">
        <v>437.63571428571424</v>
      </c>
    </row>
    <row r="1375" spans="1:25">
      <c r="A1375" s="58">
        <v>1377</v>
      </c>
      <c r="B1375" s="58">
        <v>1377</v>
      </c>
      <c r="C1375" s="58" t="s">
        <v>2130</v>
      </c>
      <c r="D1375" s="58" t="s">
        <v>249</v>
      </c>
      <c r="E1375" s="58" t="s">
        <v>249</v>
      </c>
      <c r="F1375" s="58" t="s">
        <v>250</v>
      </c>
      <c r="G1375" s="58" t="s">
        <v>251</v>
      </c>
      <c r="H1375" s="58" t="s">
        <v>199</v>
      </c>
      <c r="I1375">
        <v>110000</v>
      </c>
      <c r="L1375" s="74">
        <v>3.3820000000000001</v>
      </c>
      <c r="M1375" s="85">
        <v>4</v>
      </c>
      <c r="N1375" s="74">
        <v>0.124</v>
      </c>
      <c r="O1375">
        <v>3</v>
      </c>
      <c r="P1375" s="84">
        <v>0.124</v>
      </c>
      <c r="Q1375" s="86">
        <v>4.2</v>
      </c>
      <c r="R1375" s="85">
        <v>4.2</v>
      </c>
      <c r="S1375" s="87">
        <v>1627270</v>
      </c>
      <c r="T1375" s="1">
        <v>7</v>
      </c>
      <c r="U1375" s="88">
        <v>387445.23809523811</v>
      </c>
      <c r="V1375" s="59">
        <v>2.5810099123071155</v>
      </c>
      <c r="X1375" s="98">
        <v>4.2</v>
      </c>
      <c r="Y1375" s="97">
        <v>512.92142857142858</v>
      </c>
    </row>
    <row r="1376" spans="1:25">
      <c r="A1376" s="58">
        <v>1378</v>
      </c>
      <c r="B1376" s="58">
        <v>1378</v>
      </c>
      <c r="C1376" s="58" t="s">
        <v>2131</v>
      </c>
      <c r="D1376" s="58" t="s">
        <v>253</v>
      </c>
      <c r="E1376" s="58" t="s">
        <v>253</v>
      </c>
      <c r="F1376" s="58" t="s">
        <v>254</v>
      </c>
      <c r="G1376" s="58" t="s">
        <v>255</v>
      </c>
      <c r="H1376" s="58" t="s">
        <v>179</v>
      </c>
      <c r="I1376">
        <v>38000</v>
      </c>
      <c r="J1376">
        <v>38000</v>
      </c>
      <c r="K1376" s="58" t="s">
        <v>185</v>
      </c>
      <c r="L1376" s="74">
        <v>6.2830000000000004</v>
      </c>
      <c r="M1376" s="85">
        <v>7</v>
      </c>
      <c r="N1376" s="74">
        <v>0.24199999999999999</v>
      </c>
      <c r="O1376">
        <v>3</v>
      </c>
      <c r="P1376" s="84">
        <v>0.24199999999999999</v>
      </c>
      <c r="Q1376" s="86">
        <v>4.2</v>
      </c>
      <c r="R1376" s="85">
        <v>4.2</v>
      </c>
      <c r="S1376" s="87">
        <v>839680</v>
      </c>
      <c r="T1376" s="1">
        <v>4</v>
      </c>
      <c r="U1376" s="88">
        <v>199923.80952380953</v>
      </c>
      <c r="V1376" s="59">
        <v>5.0019054878048781</v>
      </c>
      <c r="X1376" s="98">
        <v>4.2</v>
      </c>
      <c r="Y1376" s="97">
        <v>387.4452380952381</v>
      </c>
    </row>
    <row r="1377" spans="1:25">
      <c r="A1377" s="58">
        <v>1379</v>
      </c>
      <c r="B1377" s="58">
        <v>1379</v>
      </c>
      <c r="C1377" s="58" t="s">
        <v>2132</v>
      </c>
      <c r="D1377" s="58" t="s">
        <v>215</v>
      </c>
      <c r="E1377" s="58" t="s">
        <v>215</v>
      </c>
      <c r="F1377" s="58" t="s">
        <v>257</v>
      </c>
      <c r="G1377" s="58" t="s">
        <v>258</v>
      </c>
      <c r="H1377" s="58" t="s">
        <v>179</v>
      </c>
      <c r="I1377">
        <v>38000</v>
      </c>
      <c r="J1377">
        <v>38000</v>
      </c>
      <c r="K1377">
        <v>20000</v>
      </c>
      <c r="L1377" s="74">
        <v>11.004</v>
      </c>
      <c r="M1377" s="85">
        <v>12</v>
      </c>
      <c r="N1377" s="74">
        <v>0.22600000000000001</v>
      </c>
      <c r="O1377">
        <v>3</v>
      </c>
      <c r="P1377" s="84">
        <v>0.22600000000000001</v>
      </c>
      <c r="Q1377" s="86">
        <v>4.2</v>
      </c>
      <c r="R1377" s="85">
        <v>4.2</v>
      </c>
      <c r="S1377" s="87">
        <v>1492540</v>
      </c>
      <c r="T1377" s="1">
        <v>1</v>
      </c>
      <c r="U1377" s="88">
        <v>355366.66666666663</v>
      </c>
      <c r="V1377" s="59">
        <v>2.8139949348091173</v>
      </c>
      <c r="X1377" s="98">
        <v>4.2</v>
      </c>
      <c r="Y1377" s="97">
        <v>199.92380952380952</v>
      </c>
    </row>
    <row r="1378" spans="1:25">
      <c r="A1378" s="58">
        <v>1380</v>
      </c>
      <c r="B1378" s="58">
        <v>1380</v>
      </c>
      <c r="C1378" s="58" t="s">
        <v>2133</v>
      </c>
      <c r="D1378" s="58" t="s">
        <v>215</v>
      </c>
      <c r="E1378" s="58" t="s">
        <v>215</v>
      </c>
      <c r="F1378" s="58" t="s">
        <v>257</v>
      </c>
      <c r="G1378" s="58" t="s">
        <v>258</v>
      </c>
      <c r="H1378" s="58" t="s">
        <v>179</v>
      </c>
      <c r="I1378">
        <v>38000</v>
      </c>
      <c r="J1378">
        <v>38000</v>
      </c>
      <c r="K1378">
        <v>20000</v>
      </c>
      <c r="L1378" s="74">
        <v>13.888</v>
      </c>
      <c r="M1378" s="85">
        <v>14</v>
      </c>
      <c r="N1378" s="74">
        <v>0.216</v>
      </c>
      <c r="O1378">
        <v>3</v>
      </c>
      <c r="P1378" s="84">
        <v>0.216</v>
      </c>
      <c r="Q1378" s="86">
        <v>4.2</v>
      </c>
      <c r="R1378" s="85">
        <v>4.2</v>
      </c>
      <c r="S1378" s="87">
        <v>1597940</v>
      </c>
      <c r="T1378" s="1">
        <v>1</v>
      </c>
      <c r="U1378" s="88">
        <v>380461.90476190473</v>
      </c>
      <c r="V1378" s="59">
        <v>2.6283840444572388</v>
      </c>
      <c r="X1378" s="98">
        <v>4.2</v>
      </c>
      <c r="Y1378" s="97">
        <v>355.36666666666662</v>
      </c>
    </row>
    <row r="1379" spans="1:25">
      <c r="A1379" s="58">
        <v>1381</v>
      </c>
      <c r="B1379" s="58">
        <v>1381</v>
      </c>
      <c r="C1379" s="58" t="s">
        <v>2134</v>
      </c>
      <c r="D1379" s="58" t="s">
        <v>215</v>
      </c>
      <c r="E1379" s="58" t="s">
        <v>215</v>
      </c>
      <c r="F1379" s="58" t="s">
        <v>225</v>
      </c>
      <c r="G1379" s="58" t="s">
        <v>226</v>
      </c>
      <c r="H1379" s="58" t="s">
        <v>179</v>
      </c>
      <c r="I1379">
        <v>38000</v>
      </c>
      <c r="J1379">
        <v>38000</v>
      </c>
      <c r="K1379">
        <v>20000</v>
      </c>
      <c r="L1379" s="74">
        <v>13.212999999999999</v>
      </c>
      <c r="M1379" s="85">
        <v>14</v>
      </c>
      <c r="N1379" s="74">
        <v>0.155</v>
      </c>
      <c r="O1379">
        <v>3</v>
      </c>
      <c r="P1379" s="84">
        <v>0.155</v>
      </c>
      <c r="Q1379" s="86">
        <v>4.2</v>
      </c>
      <c r="R1379" s="85">
        <v>4.2</v>
      </c>
      <c r="S1379" s="87">
        <v>1597940</v>
      </c>
      <c r="T1379" s="1">
        <v>1</v>
      </c>
      <c r="U1379" s="88">
        <v>380461.90476190473</v>
      </c>
      <c r="V1379" s="59">
        <v>2.6283840444572388</v>
      </c>
      <c r="X1379" s="98">
        <v>4.2</v>
      </c>
      <c r="Y1379" s="97">
        <v>380.46190476190475</v>
      </c>
    </row>
    <row r="1380" spans="1:25">
      <c r="A1380" s="58">
        <v>1382</v>
      </c>
      <c r="B1380" s="58">
        <v>1382</v>
      </c>
      <c r="C1380" s="58" t="s">
        <v>2135</v>
      </c>
      <c r="D1380" s="58" t="s">
        <v>176</v>
      </c>
      <c r="E1380" s="58" t="s">
        <v>176</v>
      </c>
      <c r="F1380" s="58" t="s">
        <v>257</v>
      </c>
      <c r="G1380" s="58" t="s">
        <v>258</v>
      </c>
      <c r="H1380" s="58" t="s">
        <v>179</v>
      </c>
      <c r="I1380">
        <v>38000</v>
      </c>
      <c r="J1380">
        <v>38000</v>
      </c>
      <c r="K1380">
        <v>20000</v>
      </c>
      <c r="L1380" s="74">
        <v>7.492</v>
      </c>
      <c r="M1380" s="85">
        <v>8</v>
      </c>
      <c r="N1380" s="74">
        <v>0.21</v>
      </c>
      <c r="O1380">
        <v>3</v>
      </c>
      <c r="P1380" s="84">
        <v>0.21</v>
      </c>
      <c r="Q1380" s="86">
        <v>4.2</v>
      </c>
      <c r="R1380" s="85">
        <v>4.2</v>
      </c>
      <c r="S1380" s="87">
        <v>909950</v>
      </c>
      <c r="T1380" s="1">
        <v>4</v>
      </c>
      <c r="U1380" s="88">
        <v>216654.76190476189</v>
      </c>
      <c r="V1380" s="59">
        <v>4.6156382218803227</v>
      </c>
      <c r="X1380" s="98">
        <v>4.2</v>
      </c>
      <c r="Y1380" s="97">
        <v>380.46190476190475</v>
      </c>
    </row>
    <row r="1381" spans="1:25">
      <c r="A1381" s="58">
        <v>1383</v>
      </c>
      <c r="B1381" s="58">
        <v>1383</v>
      </c>
      <c r="C1381" s="58" t="s">
        <v>2136</v>
      </c>
      <c r="D1381" s="58" t="s">
        <v>215</v>
      </c>
      <c r="E1381" s="58" t="s">
        <v>215</v>
      </c>
      <c r="F1381" s="58" t="s">
        <v>257</v>
      </c>
      <c r="G1381" s="58" t="s">
        <v>258</v>
      </c>
      <c r="H1381" s="58" t="s">
        <v>179</v>
      </c>
      <c r="I1381">
        <v>38000</v>
      </c>
      <c r="J1381">
        <v>38000</v>
      </c>
      <c r="K1381">
        <v>20000</v>
      </c>
      <c r="L1381" s="74">
        <v>8.4610000000000003</v>
      </c>
      <c r="M1381" s="85">
        <v>9</v>
      </c>
      <c r="N1381" s="74">
        <v>0.26800000000000002</v>
      </c>
      <c r="O1381">
        <v>3</v>
      </c>
      <c r="P1381" s="84">
        <v>0.26800000000000002</v>
      </c>
      <c r="Q1381" s="86">
        <v>4.2</v>
      </c>
      <c r="R1381" s="85">
        <v>4.2</v>
      </c>
      <c r="S1381" s="87">
        <v>1334440</v>
      </c>
      <c r="T1381" s="1">
        <v>1</v>
      </c>
      <c r="U1381" s="88">
        <v>317723.80952380953</v>
      </c>
      <c r="V1381" s="59">
        <v>3.1473876682353645</v>
      </c>
      <c r="X1381" s="98">
        <v>4.2</v>
      </c>
      <c r="Y1381" s="97">
        <v>216.6547619047619</v>
      </c>
    </row>
    <row r="1382" spans="1:25">
      <c r="A1382" s="58">
        <v>1384</v>
      </c>
      <c r="B1382" s="58">
        <v>1384</v>
      </c>
      <c r="C1382" s="58" t="s">
        <v>2137</v>
      </c>
      <c r="D1382" s="58" t="s">
        <v>215</v>
      </c>
      <c r="E1382" s="58" t="s">
        <v>176</v>
      </c>
      <c r="F1382" s="58" t="s">
        <v>225</v>
      </c>
      <c r="G1382" s="58" t="s">
        <v>226</v>
      </c>
      <c r="H1382" s="58" t="s">
        <v>179</v>
      </c>
      <c r="I1382">
        <v>38000</v>
      </c>
      <c r="J1382">
        <v>38000</v>
      </c>
      <c r="K1382">
        <v>20000</v>
      </c>
      <c r="L1382" s="74">
        <v>7.1440000000000001</v>
      </c>
      <c r="M1382" s="85">
        <v>8</v>
      </c>
      <c r="N1382" s="74">
        <v>0.66</v>
      </c>
      <c r="O1382">
        <v>3</v>
      </c>
      <c r="P1382" s="84">
        <v>0.66</v>
      </c>
      <c r="Q1382" s="86">
        <v>4.2</v>
      </c>
      <c r="R1382" s="85">
        <v>4.2</v>
      </c>
      <c r="S1382" s="87">
        <v>909950</v>
      </c>
      <c r="T1382" s="1">
        <v>4</v>
      </c>
      <c r="U1382" s="88">
        <v>216654.76190476189</v>
      </c>
      <c r="V1382" s="59">
        <v>4.6156382218803227</v>
      </c>
      <c r="X1382" s="98">
        <v>4.2</v>
      </c>
      <c r="Y1382" s="97">
        <v>317.72380952380951</v>
      </c>
    </row>
    <row r="1383" spans="1:25">
      <c r="A1383" s="58">
        <v>1385</v>
      </c>
      <c r="B1383" s="58">
        <v>1385</v>
      </c>
      <c r="C1383" s="58" t="s">
        <v>2138</v>
      </c>
      <c r="D1383" s="58" t="s">
        <v>176</v>
      </c>
      <c r="E1383" s="58" t="s">
        <v>176</v>
      </c>
      <c r="F1383" s="58" t="s">
        <v>225</v>
      </c>
      <c r="G1383" s="58" t="s">
        <v>226</v>
      </c>
      <c r="H1383" s="58" t="s">
        <v>179</v>
      </c>
      <c r="I1383">
        <v>38000</v>
      </c>
      <c r="J1383">
        <v>38000</v>
      </c>
      <c r="K1383">
        <v>20000</v>
      </c>
      <c r="L1383" s="74">
        <v>9.9390000000000001</v>
      </c>
      <c r="M1383" s="85">
        <v>10</v>
      </c>
      <c r="N1383" s="74">
        <v>0.10100000000000001</v>
      </c>
      <c r="O1383">
        <v>3</v>
      </c>
      <c r="P1383" s="84">
        <v>0.10100000000000001</v>
      </c>
      <c r="Q1383" s="86">
        <v>4.2</v>
      </c>
      <c r="R1383" s="85">
        <v>4.2</v>
      </c>
      <c r="S1383" s="87">
        <v>1387140</v>
      </c>
      <c r="T1383" s="1">
        <v>1</v>
      </c>
      <c r="U1383" s="88">
        <v>330271.42857142858</v>
      </c>
      <c r="V1383" s="59">
        <v>3.0278126216531858</v>
      </c>
      <c r="X1383" s="98">
        <v>4.2</v>
      </c>
      <c r="Y1383" s="97">
        <v>216.6547619047619</v>
      </c>
    </row>
    <row r="1384" spans="1:25">
      <c r="A1384" s="58">
        <v>1386</v>
      </c>
      <c r="B1384" s="58">
        <v>1386</v>
      </c>
      <c r="C1384" s="58" t="s">
        <v>2139</v>
      </c>
      <c r="D1384" s="58" t="s">
        <v>215</v>
      </c>
      <c r="E1384" s="58" t="s">
        <v>215</v>
      </c>
      <c r="F1384" s="58" t="s">
        <v>225</v>
      </c>
      <c r="G1384" s="58" t="s">
        <v>226</v>
      </c>
      <c r="H1384" s="58" t="s">
        <v>179</v>
      </c>
      <c r="I1384">
        <v>38000</v>
      </c>
      <c r="J1384">
        <v>38000</v>
      </c>
      <c r="K1384">
        <v>20000</v>
      </c>
      <c r="L1384" s="74">
        <v>11.090999999999999</v>
      </c>
      <c r="M1384" s="85">
        <v>12</v>
      </c>
      <c r="N1384" s="74">
        <v>0.41899999999999998</v>
      </c>
      <c r="O1384">
        <v>3</v>
      </c>
      <c r="P1384" s="84">
        <v>0.41899999999999998</v>
      </c>
      <c r="Q1384" s="86">
        <v>4.2</v>
      </c>
      <c r="R1384" s="85">
        <v>4.2</v>
      </c>
      <c r="S1384" s="87">
        <v>1492540</v>
      </c>
      <c r="T1384" s="1">
        <v>1</v>
      </c>
      <c r="U1384" s="88">
        <v>355366.66666666663</v>
      </c>
      <c r="V1384" s="59">
        <v>2.8139949348091173</v>
      </c>
      <c r="X1384" s="98">
        <v>4.2</v>
      </c>
      <c r="Y1384" s="97">
        <v>330.2714285714286</v>
      </c>
    </row>
    <row r="1385" spans="1:25">
      <c r="A1385" s="58">
        <v>1387</v>
      </c>
      <c r="B1385" s="58">
        <v>1387</v>
      </c>
      <c r="C1385" s="58" t="s">
        <v>2140</v>
      </c>
      <c r="D1385" s="58" t="s">
        <v>215</v>
      </c>
      <c r="E1385" s="58" t="s">
        <v>215</v>
      </c>
      <c r="F1385" s="58" t="s">
        <v>225</v>
      </c>
      <c r="G1385" s="58" t="s">
        <v>226</v>
      </c>
      <c r="H1385" s="58" t="s">
        <v>179</v>
      </c>
      <c r="I1385">
        <v>38000</v>
      </c>
      <c r="J1385">
        <v>38000</v>
      </c>
      <c r="K1385">
        <v>20000</v>
      </c>
      <c r="L1385" s="74">
        <v>9.4469999999999992</v>
      </c>
      <c r="M1385" s="85">
        <v>10</v>
      </c>
      <c r="N1385" s="74">
        <v>0.34599999999999997</v>
      </c>
      <c r="O1385">
        <v>3</v>
      </c>
      <c r="P1385" s="84">
        <v>0.34599999999999997</v>
      </c>
      <c r="Q1385" s="86">
        <v>4.2</v>
      </c>
      <c r="R1385" s="85">
        <v>4.2</v>
      </c>
      <c r="S1385" s="87">
        <v>1387140</v>
      </c>
      <c r="T1385" s="1">
        <v>1</v>
      </c>
      <c r="U1385" s="88">
        <v>330271.42857142858</v>
      </c>
      <c r="V1385" s="59">
        <v>3.0278126216531858</v>
      </c>
      <c r="X1385" s="98">
        <v>4.2</v>
      </c>
      <c r="Y1385" s="97">
        <v>355.36666666666662</v>
      </c>
    </row>
    <row r="1386" spans="1:25">
      <c r="A1386" s="58">
        <v>1388</v>
      </c>
      <c r="B1386" s="58">
        <v>1388</v>
      </c>
      <c r="C1386" s="58" t="s">
        <v>2141</v>
      </c>
      <c r="D1386" s="58" t="s">
        <v>215</v>
      </c>
      <c r="E1386" s="58" t="s">
        <v>215</v>
      </c>
      <c r="F1386" s="58" t="s">
        <v>225</v>
      </c>
      <c r="G1386" s="58" t="s">
        <v>226</v>
      </c>
      <c r="H1386" s="58" t="s">
        <v>179</v>
      </c>
      <c r="I1386">
        <v>38000</v>
      </c>
      <c r="J1386">
        <v>38000</v>
      </c>
      <c r="K1386">
        <v>20000</v>
      </c>
      <c r="L1386" s="74">
        <v>6.4429999999999996</v>
      </c>
      <c r="M1386" s="85">
        <v>7</v>
      </c>
      <c r="N1386" s="74">
        <v>0.55700000000000005</v>
      </c>
      <c r="O1386">
        <v>3</v>
      </c>
      <c r="P1386" s="84">
        <v>0.55700000000000005</v>
      </c>
      <c r="Q1386" s="86">
        <v>4.2</v>
      </c>
      <c r="R1386" s="85">
        <v>4.2</v>
      </c>
      <c r="S1386" s="87">
        <v>839680</v>
      </c>
      <c r="T1386" s="1">
        <v>4</v>
      </c>
      <c r="U1386" s="88">
        <v>199923.80952380953</v>
      </c>
      <c r="V1386" s="59">
        <v>5.0019054878048781</v>
      </c>
      <c r="X1386" s="98">
        <v>4.2</v>
      </c>
      <c r="Y1386" s="97">
        <v>330.2714285714286</v>
      </c>
    </row>
    <row r="1387" spans="1:25">
      <c r="A1387" s="58">
        <v>1389</v>
      </c>
      <c r="B1387" s="58">
        <v>1389</v>
      </c>
      <c r="C1387" s="58" t="s">
        <v>2142</v>
      </c>
      <c r="D1387" s="58" t="s">
        <v>215</v>
      </c>
      <c r="E1387" s="58" t="s">
        <v>215</v>
      </c>
      <c r="F1387" s="58" t="s">
        <v>225</v>
      </c>
      <c r="G1387" s="58" t="s">
        <v>226</v>
      </c>
      <c r="H1387" s="58" t="s">
        <v>179</v>
      </c>
      <c r="I1387">
        <v>38000</v>
      </c>
      <c r="J1387">
        <v>38000</v>
      </c>
      <c r="K1387">
        <v>20000</v>
      </c>
      <c r="L1387" s="74">
        <v>7.1790000000000003</v>
      </c>
      <c r="M1387" s="85">
        <v>8</v>
      </c>
      <c r="N1387" s="74">
        <v>0.313</v>
      </c>
      <c r="O1387">
        <v>3</v>
      </c>
      <c r="P1387" s="84">
        <v>0.313</v>
      </c>
      <c r="Q1387" s="86">
        <v>4.2</v>
      </c>
      <c r="R1387" s="85">
        <v>4.2</v>
      </c>
      <c r="S1387" s="87">
        <v>909950</v>
      </c>
      <c r="T1387" s="1">
        <v>4</v>
      </c>
      <c r="U1387" s="88">
        <v>216654.76190476189</v>
      </c>
      <c r="V1387" s="59">
        <v>4.6156382218803227</v>
      </c>
      <c r="X1387" s="98">
        <v>4.2</v>
      </c>
      <c r="Y1387" s="97">
        <v>199.92380952380952</v>
      </c>
    </row>
    <row r="1388" spans="1:25">
      <c r="A1388" s="58">
        <v>1390</v>
      </c>
      <c r="B1388" s="58">
        <v>1390</v>
      </c>
      <c r="C1388" s="58" t="s">
        <v>2143</v>
      </c>
      <c r="D1388" s="58" t="s">
        <v>176</v>
      </c>
      <c r="E1388" s="58" t="s">
        <v>176</v>
      </c>
      <c r="F1388" s="58" t="s">
        <v>257</v>
      </c>
      <c r="G1388" s="58" t="s">
        <v>258</v>
      </c>
      <c r="H1388" s="58" t="s">
        <v>179</v>
      </c>
      <c r="I1388">
        <v>38000</v>
      </c>
      <c r="J1388">
        <v>38000</v>
      </c>
      <c r="K1388">
        <v>20000</v>
      </c>
      <c r="L1388" s="74">
        <v>5.71</v>
      </c>
      <c r="M1388" s="85">
        <v>6</v>
      </c>
      <c r="N1388" s="74">
        <v>0.16200000000000001</v>
      </c>
      <c r="O1388">
        <v>3</v>
      </c>
      <c r="P1388" s="84">
        <v>0.16200000000000001</v>
      </c>
      <c r="Q1388" s="86">
        <v>4.2</v>
      </c>
      <c r="R1388" s="85">
        <v>4.2</v>
      </c>
      <c r="S1388" s="87">
        <v>769410</v>
      </c>
      <c r="T1388" s="1">
        <v>4</v>
      </c>
      <c r="U1388" s="88">
        <v>183192.85714285713</v>
      </c>
      <c r="V1388" s="59">
        <v>5.4587281163488903</v>
      </c>
      <c r="X1388" s="98">
        <v>4.2</v>
      </c>
      <c r="Y1388" s="97">
        <v>216.6547619047619</v>
      </c>
    </row>
    <row r="1389" spans="1:25">
      <c r="A1389" s="58">
        <v>1391</v>
      </c>
      <c r="B1389" s="58">
        <v>1391</v>
      </c>
      <c r="C1389" s="58" t="s">
        <v>2144</v>
      </c>
      <c r="D1389" s="58" t="s">
        <v>176</v>
      </c>
      <c r="E1389" s="58" t="s">
        <v>176</v>
      </c>
      <c r="F1389" s="58" t="s">
        <v>265</v>
      </c>
      <c r="G1389" s="58" t="s">
        <v>266</v>
      </c>
      <c r="H1389" s="58" t="s">
        <v>179</v>
      </c>
      <c r="I1389">
        <v>38000</v>
      </c>
      <c r="J1389">
        <v>38000</v>
      </c>
      <c r="K1389" s="58" t="s">
        <v>185</v>
      </c>
      <c r="L1389" s="74">
        <v>17.786000000000001</v>
      </c>
      <c r="M1389" s="85">
        <v>18</v>
      </c>
      <c r="N1389" s="74">
        <v>0.16700000000000001</v>
      </c>
      <c r="O1389">
        <v>3</v>
      </c>
      <c r="P1389" s="84">
        <v>0.16700000000000001</v>
      </c>
      <c r="Q1389" s="86">
        <v>4.2</v>
      </c>
      <c r="R1389" s="85">
        <v>4.2</v>
      </c>
      <c r="S1389" s="87">
        <v>1808740</v>
      </c>
      <c r="T1389" s="1">
        <v>1</v>
      </c>
      <c r="U1389" s="88">
        <v>430652.38095238095</v>
      </c>
      <c r="V1389" s="59">
        <v>2.3220584495284009</v>
      </c>
      <c r="X1389" s="98">
        <v>4.2</v>
      </c>
      <c r="Y1389" s="97">
        <v>183.19285714285712</v>
      </c>
    </row>
    <row r="1390" spans="1:25">
      <c r="A1390" s="58">
        <v>1392</v>
      </c>
      <c r="B1390" s="58">
        <v>1392</v>
      </c>
      <c r="C1390" s="58" t="s">
        <v>2145</v>
      </c>
      <c r="D1390" s="58" t="s">
        <v>176</v>
      </c>
      <c r="E1390" s="58" t="s">
        <v>176</v>
      </c>
      <c r="F1390" s="58" t="s">
        <v>272</v>
      </c>
      <c r="G1390" s="58" t="s">
        <v>273</v>
      </c>
      <c r="H1390" s="58" t="s">
        <v>179</v>
      </c>
      <c r="I1390">
        <v>38000</v>
      </c>
      <c r="J1390">
        <v>38000</v>
      </c>
      <c r="K1390" s="58" t="s">
        <v>185</v>
      </c>
      <c r="L1390" s="74">
        <v>8.3559999999999999</v>
      </c>
      <c r="M1390" s="85">
        <v>9</v>
      </c>
      <c r="N1390" s="74">
        <v>0.31900000000000001</v>
      </c>
      <c r="O1390">
        <v>3</v>
      </c>
      <c r="P1390" s="84">
        <v>0.31900000000000001</v>
      </c>
      <c r="Q1390" s="86">
        <v>4.2</v>
      </c>
      <c r="R1390" s="85">
        <v>4.2</v>
      </c>
      <c r="S1390" s="87">
        <v>1334440</v>
      </c>
      <c r="T1390" s="1">
        <v>1</v>
      </c>
      <c r="U1390" s="88">
        <v>317723.80952380953</v>
      </c>
      <c r="V1390" s="59">
        <v>3.1473876682353645</v>
      </c>
      <c r="X1390" s="98">
        <v>4.2</v>
      </c>
      <c r="Y1390" s="97">
        <v>430.65238095238095</v>
      </c>
    </row>
    <row r="1391" spans="1:25">
      <c r="A1391" s="58">
        <v>1393</v>
      </c>
      <c r="B1391" s="58">
        <v>1393</v>
      </c>
      <c r="C1391" s="58" t="s">
        <v>2146</v>
      </c>
      <c r="D1391" s="58" t="s">
        <v>176</v>
      </c>
      <c r="E1391" s="58" t="s">
        <v>176</v>
      </c>
      <c r="F1391" s="58" t="s">
        <v>265</v>
      </c>
      <c r="G1391" s="58" t="s">
        <v>266</v>
      </c>
      <c r="H1391" s="58" t="s">
        <v>179</v>
      </c>
      <c r="I1391">
        <v>38000</v>
      </c>
      <c r="J1391">
        <v>38000</v>
      </c>
      <c r="K1391" s="58" t="s">
        <v>185</v>
      </c>
      <c r="L1391" s="74">
        <v>14.154</v>
      </c>
      <c r="M1391" s="85">
        <v>15</v>
      </c>
      <c r="N1391" s="74">
        <v>0.12</v>
      </c>
      <c r="O1391">
        <v>3</v>
      </c>
      <c r="P1391" s="84">
        <v>0.12</v>
      </c>
      <c r="Q1391" s="86">
        <v>4.2</v>
      </c>
      <c r="R1391" s="85">
        <v>4.2</v>
      </c>
      <c r="S1391" s="87">
        <v>1650640</v>
      </c>
      <c r="T1391" s="1">
        <v>1</v>
      </c>
      <c r="U1391" s="88">
        <v>393009.52380952379</v>
      </c>
      <c r="V1391" s="59">
        <v>2.5444676004458877</v>
      </c>
      <c r="X1391" s="98">
        <v>4.2</v>
      </c>
      <c r="Y1391" s="97">
        <v>317.72380952380951</v>
      </c>
    </row>
    <row r="1392" spans="1:25">
      <c r="A1392" s="58">
        <v>1394</v>
      </c>
      <c r="B1392" s="58">
        <v>1394</v>
      </c>
      <c r="C1392" s="58" t="s">
        <v>2147</v>
      </c>
      <c r="D1392" s="58" t="s">
        <v>176</v>
      </c>
      <c r="E1392" s="58" t="s">
        <v>176</v>
      </c>
      <c r="F1392" s="58" t="s">
        <v>265</v>
      </c>
      <c r="G1392" s="58" t="s">
        <v>266</v>
      </c>
      <c r="H1392" s="58" t="s">
        <v>179</v>
      </c>
      <c r="I1392">
        <v>38000</v>
      </c>
      <c r="J1392">
        <v>38000</v>
      </c>
      <c r="K1392" s="58" t="s">
        <v>185</v>
      </c>
      <c r="L1392" s="74">
        <v>11.257999999999999</v>
      </c>
      <c r="M1392" s="85">
        <v>12</v>
      </c>
      <c r="N1392" s="74">
        <v>0.28999999999999998</v>
      </c>
      <c r="O1392">
        <v>3</v>
      </c>
      <c r="P1392" s="84">
        <v>0.28999999999999998</v>
      </c>
      <c r="Q1392" s="86">
        <v>4.2</v>
      </c>
      <c r="R1392" s="85">
        <v>4.2</v>
      </c>
      <c r="S1392" s="87">
        <v>1492540</v>
      </c>
      <c r="T1392" s="1">
        <v>1</v>
      </c>
      <c r="U1392" s="88">
        <v>355366.66666666663</v>
      </c>
      <c r="V1392" s="59">
        <v>2.8139949348091173</v>
      </c>
      <c r="X1392" s="98">
        <v>4.2</v>
      </c>
      <c r="Y1392" s="97">
        <v>393.00952380952378</v>
      </c>
    </row>
    <row r="1393" spans="1:25">
      <c r="A1393" s="58">
        <v>1395</v>
      </c>
      <c r="B1393" s="58">
        <v>1395</v>
      </c>
      <c r="C1393" s="58" t="s">
        <v>2148</v>
      </c>
      <c r="D1393" s="58" t="s">
        <v>176</v>
      </c>
      <c r="E1393" s="58" t="s">
        <v>176</v>
      </c>
      <c r="F1393" s="58" t="s">
        <v>265</v>
      </c>
      <c r="G1393" s="58" t="s">
        <v>266</v>
      </c>
      <c r="H1393" s="58" t="s">
        <v>179</v>
      </c>
      <c r="I1393">
        <v>38000</v>
      </c>
      <c r="J1393">
        <v>38000</v>
      </c>
      <c r="K1393" s="58" t="s">
        <v>185</v>
      </c>
      <c r="L1393" s="74">
        <v>11.096</v>
      </c>
      <c r="M1393" s="85">
        <v>12</v>
      </c>
      <c r="N1393" s="74">
        <v>0.21199999999999999</v>
      </c>
      <c r="O1393">
        <v>3</v>
      </c>
      <c r="P1393" s="84">
        <v>0.21199999999999999</v>
      </c>
      <c r="Q1393" s="86">
        <v>4.2</v>
      </c>
      <c r="R1393" s="85">
        <v>4.2</v>
      </c>
      <c r="S1393" s="87">
        <v>1492540</v>
      </c>
      <c r="T1393" s="1">
        <v>1</v>
      </c>
      <c r="U1393" s="88">
        <v>355366.66666666663</v>
      </c>
      <c r="V1393" s="59">
        <v>2.8139949348091173</v>
      </c>
      <c r="X1393" s="98">
        <v>4.2</v>
      </c>
      <c r="Y1393" s="97">
        <v>355.36666666666662</v>
      </c>
    </row>
    <row r="1394" spans="1:25">
      <c r="A1394" s="58">
        <v>1396</v>
      </c>
      <c r="B1394" s="58">
        <v>1396</v>
      </c>
      <c r="C1394" s="58" t="s">
        <v>2149</v>
      </c>
      <c r="D1394" s="58" t="s">
        <v>176</v>
      </c>
      <c r="E1394" s="58" t="s">
        <v>176</v>
      </c>
      <c r="F1394" s="58" t="s">
        <v>265</v>
      </c>
      <c r="G1394" s="58" t="s">
        <v>266</v>
      </c>
      <c r="H1394" s="58" t="s">
        <v>179</v>
      </c>
      <c r="I1394">
        <v>38000</v>
      </c>
      <c r="J1394">
        <v>38000</v>
      </c>
      <c r="K1394" s="58" t="s">
        <v>185</v>
      </c>
      <c r="L1394" s="74">
        <v>8.798</v>
      </c>
      <c r="M1394" s="85">
        <v>9</v>
      </c>
      <c r="N1394" s="74">
        <v>0.129</v>
      </c>
      <c r="O1394">
        <v>3</v>
      </c>
      <c r="P1394" s="84">
        <v>0.129</v>
      </c>
      <c r="Q1394" s="86">
        <v>4.2</v>
      </c>
      <c r="R1394" s="85">
        <v>4.2</v>
      </c>
      <c r="S1394" s="87">
        <v>1334440</v>
      </c>
      <c r="T1394" s="1">
        <v>1</v>
      </c>
      <c r="U1394" s="88">
        <v>317723.80952380953</v>
      </c>
      <c r="V1394" s="59">
        <v>3.1473876682353645</v>
      </c>
      <c r="X1394" s="98">
        <v>4.2</v>
      </c>
      <c r="Y1394" s="97">
        <v>355.36666666666662</v>
      </c>
    </row>
    <row r="1395" spans="1:25">
      <c r="A1395" s="58">
        <v>1397</v>
      </c>
      <c r="B1395" s="58">
        <v>1397</v>
      </c>
      <c r="C1395" s="58" t="s">
        <v>2150</v>
      </c>
      <c r="D1395" s="58" t="s">
        <v>176</v>
      </c>
      <c r="E1395" s="58" t="s">
        <v>176</v>
      </c>
      <c r="F1395" s="58" t="s">
        <v>265</v>
      </c>
      <c r="G1395" s="58" t="s">
        <v>266</v>
      </c>
      <c r="H1395" s="58" t="s">
        <v>179</v>
      </c>
      <c r="I1395">
        <v>38000</v>
      </c>
      <c r="J1395">
        <v>38000</v>
      </c>
      <c r="K1395" s="58" t="s">
        <v>185</v>
      </c>
      <c r="L1395" s="74">
        <v>14.896000000000001</v>
      </c>
      <c r="M1395" s="85">
        <v>15</v>
      </c>
      <c r="N1395" s="74">
        <v>0.51100000000000001</v>
      </c>
      <c r="O1395">
        <v>3</v>
      </c>
      <c r="P1395" s="84">
        <v>0.51100000000000001</v>
      </c>
      <c r="Q1395" s="86">
        <v>4.2</v>
      </c>
      <c r="R1395" s="85">
        <v>4.2</v>
      </c>
      <c r="S1395" s="87">
        <v>1650640</v>
      </c>
      <c r="T1395" s="1">
        <v>1</v>
      </c>
      <c r="U1395" s="88">
        <v>393009.52380952379</v>
      </c>
      <c r="V1395" s="59">
        <v>2.5444676004458877</v>
      </c>
      <c r="X1395" s="98">
        <v>4.2</v>
      </c>
      <c r="Y1395" s="97">
        <v>317.72380952380951</v>
      </c>
    </row>
    <row r="1396" spans="1:25">
      <c r="A1396" s="58">
        <v>1398</v>
      </c>
      <c r="B1396" s="58">
        <v>1398</v>
      </c>
      <c r="C1396" s="58" t="s">
        <v>2151</v>
      </c>
      <c r="D1396" s="58" t="s">
        <v>176</v>
      </c>
      <c r="E1396" s="58" t="s">
        <v>176</v>
      </c>
      <c r="F1396" s="58" t="s">
        <v>262</v>
      </c>
      <c r="G1396" s="58" t="s">
        <v>263</v>
      </c>
      <c r="H1396" s="58" t="s">
        <v>179</v>
      </c>
      <c r="I1396">
        <v>38000</v>
      </c>
      <c r="J1396" s="58" t="s">
        <v>185</v>
      </c>
      <c r="K1396">
        <v>38000</v>
      </c>
      <c r="L1396" s="74">
        <v>12.36</v>
      </c>
      <c r="M1396" s="85">
        <v>13</v>
      </c>
      <c r="N1396" s="74">
        <v>0.23</v>
      </c>
      <c r="O1396">
        <v>3</v>
      </c>
      <c r="P1396" s="84">
        <v>0.23</v>
      </c>
      <c r="Q1396" s="86">
        <v>4.2</v>
      </c>
      <c r="R1396" s="85">
        <v>4.2</v>
      </c>
      <c r="S1396" s="87">
        <v>1545240</v>
      </c>
      <c r="T1396" s="1">
        <v>1</v>
      </c>
      <c r="U1396" s="88">
        <v>367914.28571428568</v>
      </c>
      <c r="V1396" s="59">
        <v>2.7180243845616214</v>
      </c>
      <c r="X1396" s="98">
        <v>4.2</v>
      </c>
      <c r="Y1396" s="97">
        <v>393.00952380952378</v>
      </c>
    </row>
    <row r="1397" spans="1:25">
      <c r="A1397" s="58">
        <v>1399</v>
      </c>
      <c r="B1397" s="58">
        <v>1399</v>
      </c>
      <c r="C1397" s="58" t="s">
        <v>2152</v>
      </c>
      <c r="D1397" s="58" t="s">
        <v>176</v>
      </c>
      <c r="E1397" s="58" t="s">
        <v>176</v>
      </c>
      <c r="F1397" s="58" t="s">
        <v>265</v>
      </c>
      <c r="G1397" s="58" t="s">
        <v>266</v>
      </c>
      <c r="H1397" s="58" t="s">
        <v>179</v>
      </c>
      <c r="I1397">
        <v>38000</v>
      </c>
      <c r="J1397">
        <v>38000</v>
      </c>
      <c r="K1397" s="58" t="s">
        <v>185</v>
      </c>
      <c r="L1397" s="74">
        <v>12.957000000000001</v>
      </c>
      <c r="M1397" s="85">
        <v>13</v>
      </c>
      <c r="N1397" s="74">
        <v>0.27600000000000002</v>
      </c>
      <c r="O1397">
        <v>3</v>
      </c>
      <c r="P1397" s="84">
        <v>0.27600000000000002</v>
      </c>
      <c r="Q1397" s="86">
        <v>4.2</v>
      </c>
      <c r="R1397" s="85">
        <v>4.2</v>
      </c>
      <c r="S1397" s="87">
        <v>1545240</v>
      </c>
      <c r="T1397" s="1">
        <v>1</v>
      </c>
      <c r="U1397" s="88">
        <v>367914.28571428568</v>
      </c>
      <c r="V1397" s="59">
        <v>2.7180243845616214</v>
      </c>
      <c r="X1397" s="98">
        <v>4.2</v>
      </c>
      <c r="Y1397" s="97">
        <v>367.91428571428571</v>
      </c>
    </row>
    <row r="1398" spans="1:25">
      <c r="A1398" s="58">
        <v>1400</v>
      </c>
      <c r="B1398" s="58">
        <v>1400</v>
      </c>
      <c r="C1398" s="58" t="s">
        <v>2153</v>
      </c>
      <c r="D1398" s="58" t="s">
        <v>176</v>
      </c>
      <c r="E1398" s="58" t="s">
        <v>176</v>
      </c>
      <c r="F1398" s="58" t="s">
        <v>269</v>
      </c>
      <c r="G1398" s="58" t="s">
        <v>270</v>
      </c>
      <c r="H1398" s="58" t="s">
        <v>179</v>
      </c>
      <c r="I1398">
        <v>38000</v>
      </c>
      <c r="J1398">
        <v>38000</v>
      </c>
      <c r="K1398">
        <v>20000</v>
      </c>
      <c r="L1398" s="74">
        <v>12.638999999999999</v>
      </c>
      <c r="M1398" s="85">
        <v>13</v>
      </c>
      <c r="N1398" s="74">
        <v>0.10100000000000001</v>
      </c>
      <c r="O1398">
        <v>3</v>
      </c>
      <c r="P1398" s="84">
        <v>0.10100000000000001</v>
      </c>
      <c r="Q1398" s="86">
        <v>4.2</v>
      </c>
      <c r="R1398" s="85">
        <v>4.2</v>
      </c>
      <c r="S1398" s="87">
        <v>1545240</v>
      </c>
      <c r="T1398" s="1">
        <v>1</v>
      </c>
      <c r="U1398" s="88">
        <v>367914.28571428568</v>
      </c>
      <c r="V1398" s="59">
        <v>2.7180243845616214</v>
      </c>
      <c r="X1398" s="98">
        <v>4.2</v>
      </c>
      <c r="Y1398" s="97">
        <v>367.91428571428571</v>
      </c>
    </row>
    <row r="1399" spans="1:25">
      <c r="A1399" s="58">
        <v>1401</v>
      </c>
      <c r="B1399" s="58">
        <v>1401</v>
      </c>
      <c r="C1399" s="58" t="s">
        <v>2154</v>
      </c>
      <c r="D1399" s="58" t="s">
        <v>176</v>
      </c>
      <c r="E1399" s="58" t="s">
        <v>176</v>
      </c>
      <c r="F1399" s="58" t="s">
        <v>1269</v>
      </c>
      <c r="G1399" s="58" t="s">
        <v>1270</v>
      </c>
      <c r="H1399" s="58" t="s">
        <v>199</v>
      </c>
      <c r="I1399">
        <v>110000</v>
      </c>
      <c r="J1399">
        <v>110000</v>
      </c>
      <c r="K1399">
        <v>38000</v>
      </c>
      <c r="L1399" s="74">
        <v>13.446</v>
      </c>
      <c r="M1399" s="85">
        <v>14</v>
      </c>
      <c r="N1399" s="74">
        <v>0.39200000000000002</v>
      </c>
      <c r="O1399">
        <v>3</v>
      </c>
      <c r="P1399" s="84">
        <v>0.39200000000000002</v>
      </c>
      <c r="Q1399" s="86">
        <v>4.2</v>
      </c>
      <c r="R1399" s="85">
        <v>4.2</v>
      </c>
      <c r="S1399" s="87">
        <v>2154270</v>
      </c>
      <c r="T1399" s="1">
        <v>7</v>
      </c>
      <c r="U1399" s="88">
        <v>512921.42857142852</v>
      </c>
      <c r="V1399" s="59">
        <v>1.9496163433552898</v>
      </c>
      <c r="X1399" s="98">
        <v>4.2</v>
      </c>
      <c r="Y1399" s="97">
        <v>367.91428571428571</v>
      </c>
    </row>
    <row r="1400" spans="1:25">
      <c r="A1400" s="58">
        <v>1402</v>
      </c>
      <c r="B1400" s="58">
        <v>1402</v>
      </c>
      <c r="C1400" s="58" t="s">
        <v>2155</v>
      </c>
      <c r="D1400" s="58" t="s">
        <v>176</v>
      </c>
      <c r="E1400" s="58" t="s">
        <v>176</v>
      </c>
      <c r="F1400" s="58" t="s">
        <v>262</v>
      </c>
      <c r="G1400" s="58" t="s">
        <v>263</v>
      </c>
      <c r="H1400" s="58" t="s">
        <v>179</v>
      </c>
      <c r="I1400">
        <v>38000</v>
      </c>
      <c r="J1400" s="58" t="s">
        <v>185</v>
      </c>
      <c r="K1400">
        <v>38000</v>
      </c>
      <c r="L1400" s="74">
        <v>15.864000000000001</v>
      </c>
      <c r="M1400" s="85">
        <v>16</v>
      </c>
      <c r="N1400" s="74">
        <v>0.111</v>
      </c>
      <c r="O1400">
        <v>3</v>
      </c>
      <c r="P1400" s="84">
        <v>0.111</v>
      </c>
      <c r="Q1400" s="86">
        <v>4.2</v>
      </c>
      <c r="R1400" s="85">
        <v>4.2</v>
      </c>
      <c r="S1400" s="87">
        <v>1703340</v>
      </c>
      <c r="T1400" s="1">
        <v>1</v>
      </c>
      <c r="U1400" s="88">
        <v>405557.14285714284</v>
      </c>
      <c r="V1400" s="59">
        <v>2.4657437739969708</v>
      </c>
      <c r="X1400" s="98">
        <v>4.2</v>
      </c>
      <c r="Y1400" s="97">
        <v>512.92142857142858</v>
      </c>
    </row>
    <row r="1401" spans="1:25">
      <c r="A1401" s="58">
        <v>1403</v>
      </c>
      <c r="B1401" s="58">
        <v>1403</v>
      </c>
      <c r="C1401" s="58" t="s">
        <v>2156</v>
      </c>
      <c r="D1401" s="58" t="s">
        <v>176</v>
      </c>
      <c r="E1401" s="58" t="s">
        <v>176</v>
      </c>
      <c r="F1401" s="58" t="s">
        <v>564</v>
      </c>
      <c r="G1401" s="58" t="s">
        <v>565</v>
      </c>
      <c r="H1401" s="58" t="s">
        <v>199</v>
      </c>
      <c r="I1401">
        <v>110000</v>
      </c>
      <c r="L1401" s="74">
        <v>5.5460000000000003</v>
      </c>
      <c r="M1401" s="85">
        <v>6</v>
      </c>
      <c r="N1401" s="74">
        <v>0.19700000000000001</v>
      </c>
      <c r="O1401">
        <v>3</v>
      </c>
      <c r="P1401" s="84">
        <v>0.19700000000000001</v>
      </c>
      <c r="Q1401" s="86">
        <v>4.2</v>
      </c>
      <c r="R1401" s="85">
        <v>4.2</v>
      </c>
      <c r="S1401" s="87">
        <v>1732670</v>
      </c>
      <c r="T1401" s="1">
        <v>7</v>
      </c>
      <c r="U1401" s="88">
        <v>412540.47619047615</v>
      </c>
      <c r="V1401" s="59">
        <v>2.4240045709800482</v>
      </c>
      <c r="X1401" s="98">
        <v>4.2</v>
      </c>
      <c r="Y1401" s="97">
        <v>405.55714285714282</v>
      </c>
    </row>
    <row r="1402" spans="1:25">
      <c r="A1402" s="58">
        <v>1404</v>
      </c>
      <c r="B1402" s="58">
        <v>1404</v>
      </c>
      <c r="C1402" s="58" t="s">
        <v>2157</v>
      </c>
      <c r="D1402" s="58" t="s">
        <v>176</v>
      </c>
      <c r="E1402" s="58" t="s">
        <v>176</v>
      </c>
      <c r="F1402" s="58" t="s">
        <v>1523</v>
      </c>
      <c r="G1402" s="58" t="s">
        <v>1524</v>
      </c>
      <c r="H1402" s="58" t="s">
        <v>199</v>
      </c>
      <c r="I1402">
        <v>110000</v>
      </c>
      <c r="J1402" s="58" t="s">
        <v>1525</v>
      </c>
      <c r="K1402">
        <v>110000</v>
      </c>
      <c r="L1402" s="74">
        <v>5.1909999999999998</v>
      </c>
      <c r="M1402" s="85">
        <v>6</v>
      </c>
      <c r="N1402" s="74">
        <v>0.376</v>
      </c>
      <c r="O1402">
        <v>3</v>
      </c>
      <c r="P1402" s="84">
        <v>0.376</v>
      </c>
      <c r="Q1402" s="86">
        <v>4.2</v>
      </c>
      <c r="R1402" s="85">
        <v>4.2</v>
      </c>
      <c r="S1402" s="87">
        <v>1732670</v>
      </c>
      <c r="T1402" s="1">
        <v>7</v>
      </c>
      <c r="U1402" s="88">
        <v>412540.47619047615</v>
      </c>
      <c r="V1402" s="59">
        <v>2.4240045709800482</v>
      </c>
      <c r="X1402" s="98">
        <v>4.2</v>
      </c>
      <c r="Y1402" s="97">
        <v>412.54047619047617</v>
      </c>
    </row>
    <row r="1403" spans="1:25">
      <c r="A1403" s="58">
        <v>1405</v>
      </c>
      <c r="B1403" s="58">
        <v>1405</v>
      </c>
      <c r="C1403" s="58" t="s">
        <v>2158</v>
      </c>
      <c r="D1403" s="58" t="s">
        <v>176</v>
      </c>
      <c r="E1403" s="58" t="s">
        <v>176</v>
      </c>
      <c r="F1403" s="58" t="s">
        <v>265</v>
      </c>
      <c r="G1403" s="58" t="s">
        <v>266</v>
      </c>
      <c r="H1403" s="58" t="s">
        <v>179</v>
      </c>
      <c r="I1403">
        <v>38000</v>
      </c>
      <c r="J1403">
        <v>38000</v>
      </c>
      <c r="K1403" s="58" t="s">
        <v>185</v>
      </c>
      <c r="L1403" s="74">
        <v>4.1580000000000004</v>
      </c>
      <c r="M1403" s="85">
        <v>5</v>
      </c>
      <c r="N1403" s="74">
        <v>0.34399999999999997</v>
      </c>
      <c r="O1403">
        <v>3</v>
      </c>
      <c r="P1403" s="84">
        <v>0.34399999999999997</v>
      </c>
      <c r="Q1403" s="86">
        <v>4.2</v>
      </c>
      <c r="R1403" s="85">
        <v>4.2</v>
      </c>
      <c r="S1403" s="87">
        <v>699140</v>
      </c>
      <c r="T1403" s="1">
        <v>4</v>
      </c>
      <c r="U1403" s="88">
        <v>166461.90476190476</v>
      </c>
      <c r="V1403" s="59">
        <v>6.0073804960379897</v>
      </c>
      <c r="X1403" s="98">
        <v>4.2</v>
      </c>
      <c r="Y1403" s="97">
        <v>412.54047619047617</v>
      </c>
    </row>
    <row r="1404" spans="1:25">
      <c r="A1404" s="58">
        <v>1406</v>
      </c>
      <c r="B1404" s="58">
        <v>1406</v>
      </c>
      <c r="C1404" s="58" t="s">
        <v>2159</v>
      </c>
      <c r="D1404" s="58" t="s">
        <v>176</v>
      </c>
      <c r="E1404" s="58" t="s">
        <v>176</v>
      </c>
      <c r="F1404" s="58" t="s">
        <v>265</v>
      </c>
      <c r="G1404" s="58" t="s">
        <v>266</v>
      </c>
      <c r="H1404" s="58" t="s">
        <v>179</v>
      </c>
      <c r="I1404">
        <v>38000</v>
      </c>
      <c r="J1404">
        <v>38000</v>
      </c>
      <c r="K1404" s="58" t="s">
        <v>185</v>
      </c>
      <c r="L1404" s="74">
        <v>15.164999999999999</v>
      </c>
      <c r="M1404" s="85">
        <v>16</v>
      </c>
      <c r="N1404" s="74">
        <v>0.39700000000000002</v>
      </c>
      <c r="O1404">
        <v>3</v>
      </c>
      <c r="P1404" s="84">
        <v>0.39700000000000002</v>
      </c>
      <c r="Q1404" s="86">
        <v>4.2</v>
      </c>
      <c r="R1404" s="85">
        <v>4.2</v>
      </c>
      <c r="S1404" s="87">
        <v>1703340</v>
      </c>
      <c r="T1404" s="1">
        <v>1</v>
      </c>
      <c r="U1404" s="88">
        <v>405557.14285714284</v>
      </c>
      <c r="V1404" s="59">
        <v>2.4657437739969708</v>
      </c>
      <c r="X1404" s="98">
        <v>4.2</v>
      </c>
      <c r="Y1404" s="97">
        <v>166.46190476190475</v>
      </c>
    </row>
    <row r="1405" spans="1:25">
      <c r="A1405" s="58">
        <v>1407</v>
      </c>
      <c r="B1405" s="58">
        <v>1407</v>
      </c>
      <c r="C1405" s="58" t="s">
        <v>2160</v>
      </c>
      <c r="D1405" s="58" t="s">
        <v>176</v>
      </c>
      <c r="E1405" s="58" t="s">
        <v>176</v>
      </c>
      <c r="F1405" s="58" t="s">
        <v>262</v>
      </c>
      <c r="G1405" s="58" t="s">
        <v>263</v>
      </c>
      <c r="H1405" s="58" t="s">
        <v>179</v>
      </c>
      <c r="I1405">
        <v>38000</v>
      </c>
      <c r="J1405" s="58" t="s">
        <v>185</v>
      </c>
      <c r="K1405">
        <v>38000</v>
      </c>
      <c r="L1405" s="74">
        <v>11.757999999999999</v>
      </c>
      <c r="M1405" s="85">
        <v>12</v>
      </c>
      <c r="N1405" s="74">
        <v>9.0999999999999998E-2</v>
      </c>
      <c r="O1405">
        <v>3</v>
      </c>
      <c r="P1405" s="84">
        <v>9.0999999999999998E-2</v>
      </c>
      <c r="Q1405" s="86">
        <v>4.2</v>
      </c>
      <c r="R1405" s="85">
        <v>4.2</v>
      </c>
      <c r="S1405" s="87">
        <v>1492540</v>
      </c>
      <c r="T1405" s="1">
        <v>1</v>
      </c>
      <c r="U1405" s="88">
        <v>355366.66666666663</v>
      </c>
      <c r="V1405" s="59">
        <v>2.8139949348091173</v>
      </c>
      <c r="X1405" s="98">
        <v>4.2</v>
      </c>
      <c r="Y1405" s="97">
        <v>405.55714285714282</v>
      </c>
    </row>
    <row r="1406" spans="1:25">
      <c r="A1406" s="58">
        <v>1408</v>
      </c>
      <c r="B1406" s="58">
        <v>1408</v>
      </c>
      <c r="C1406" s="58" t="s">
        <v>2161</v>
      </c>
      <c r="D1406" s="58" t="s">
        <v>176</v>
      </c>
      <c r="E1406" s="58" t="s">
        <v>176</v>
      </c>
      <c r="F1406" s="58" t="s">
        <v>262</v>
      </c>
      <c r="G1406" s="58" t="s">
        <v>263</v>
      </c>
      <c r="H1406" s="58" t="s">
        <v>179</v>
      </c>
      <c r="I1406">
        <v>38000</v>
      </c>
      <c r="J1406" s="58" t="s">
        <v>185</v>
      </c>
      <c r="K1406">
        <v>38000</v>
      </c>
      <c r="L1406" s="74">
        <v>8.7349999999999994</v>
      </c>
      <c r="M1406" s="85">
        <v>9</v>
      </c>
      <c r="N1406" s="74">
        <v>0.31900000000000001</v>
      </c>
      <c r="O1406">
        <v>3</v>
      </c>
      <c r="P1406" s="84">
        <v>0.31900000000000001</v>
      </c>
      <c r="Q1406" s="86">
        <v>4.2</v>
      </c>
      <c r="R1406" s="85">
        <v>4.2</v>
      </c>
      <c r="S1406" s="87">
        <v>1334440</v>
      </c>
      <c r="T1406" s="1">
        <v>1</v>
      </c>
      <c r="U1406" s="88">
        <v>317723.80952380953</v>
      </c>
      <c r="V1406" s="59">
        <v>3.1473876682353645</v>
      </c>
      <c r="X1406" s="98">
        <v>4.2</v>
      </c>
      <c r="Y1406" s="97">
        <v>355.36666666666662</v>
      </c>
    </row>
    <row r="1407" spans="1:25">
      <c r="A1407" s="58">
        <v>1409</v>
      </c>
      <c r="B1407" s="58">
        <v>1409</v>
      </c>
      <c r="C1407" s="58" t="s">
        <v>2162</v>
      </c>
      <c r="D1407" s="58" t="s">
        <v>176</v>
      </c>
      <c r="E1407" s="58" t="s">
        <v>176</v>
      </c>
      <c r="F1407" s="58" t="s">
        <v>262</v>
      </c>
      <c r="G1407" s="58" t="s">
        <v>263</v>
      </c>
      <c r="H1407" s="58" t="s">
        <v>179</v>
      </c>
      <c r="I1407">
        <v>38000</v>
      </c>
      <c r="J1407" s="58" t="s">
        <v>185</v>
      </c>
      <c r="K1407">
        <v>38000</v>
      </c>
      <c r="L1407" s="74">
        <v>1.637</v>
      </c>
      <c r="M1407" s="85">
        <v>2</v>
      </c>
      <c r="N1407" s="74">
        <v>0.128</v>
      </c>
      <c r="O1407">
        <v>3</v>
      </c>
      <c r="P1407" s="84">
        <v>0.128</v>
      </c>
      <c r="Q1407" s="86">
        <v>4.2</v>
      </c>
      <c r="R1407" s="85">
        <v>4.2</v>
      </c>
      <c r="S1407" s="87">
        <v>488330</v>
      </c>
      <c r="T1407" s="1">
        <v>4</v>
      </c>
      <c r="U1407" s="88">
        <v>116269.04761904762</v>
      </c>
      <c r="V1407" s="59">
        <v>8.6007413019884087</v>
      </c>
      <c r="X1407" s="98">
        <v>4.2</v>
      </c>
      <c r="Y1407" s="97">
        <v>317.72380952380951</v>
      </c>
    </row>
    <row r="1408" spans="1:25">
      <c r="A1408" s="58">
        <v>1410</v>
      </c>
      <c r="B1408" s="58">
        <v>1410</v>
      </c>
      <c r="C1408" s="58" t="s">
        <v>2163</v>
      </c>
      <c r="D1408" s="58" t="s">
        <v>176</v>
      </c>
      <c r="E1408" s="58" t="s">
        <v>176</v>
      </c>
      <c r="F1408" s="58" t="s">
        <v>262</v>
      </c>
      <c r="G1408" s="58" t="s">
        <v>263</v>
      </c>
      <c r="H1408" s="58" t="s">
        <v>179</v>
      </c>
      <c r="I1408">
        <v>38000</v>
      </c>
      <c r="J1408" s="58" t="s">
        <v>185</v>
      </c>
      <c r="K1408">
        <v>38000</v>
      </c>
      <c r="L1408" s="74">
        <v>6.3259999999999996</v>
      </c>
      <c r="M1408" s="85">
        <v>7</v>
      </c>
      <c r="N1408" s="74">
        <v>0.44400000000000001</v>
      </c>
      <c r="O1408">
        <v>3</v>
      </c>
      <c r="P1408" s="84">
        <v>0.44400000000000001</v>
      </c>
      <c r="Q1408" s="86">
        <v>4.2</v>
      </c>
      <c r="R1408" s="85">
        <v>4.2</v>
      </c>
      <c r="S1408" s="87">
        <v>839680</v>
      </c>
      <c r="T1408" s="1">
        <v>4</v>
      </c>
      <c r="U1408" s="88">
        <v>199923.80952380953</v>
      </c>
      <c r="V1408" s="59">
        <v>5.0019054878048781</v>
      </c>
      <c r="X1408" s="98">
        <v>4.2</v>
      </c>
      <c r="Y1408" s="97">
        <v>116.26904761904763</v>
      </c>
    </row>
    <row r="1409" spans="1:25">
      <c r="A1409" s="58">
        <v>1411</v>
      </c>
      <c r="B1409" s="58">
        <v>1411</v>
      </c>
      <c r="C1409" s="58" t="s">
        <v>2164</v>
      </c>
      <c r="D1409" s="58" t="s">
        <v>176</v>
      </c>
      <c r="E1409" s="58" t="s">
        <v>176</v>
      </c>
      <c r="F1409" s="58" t="s">
        <v>262</v>
      </c>
      <c r="G1409" s="58" t="s">
        <v>263</v>
      </c>
      <c r="H1409" s="58" t="s">
        <v>179</v>
      </c>
      <c r="I1409">
        <v>38000</v>
      </c>
      <c r="J1409" s="58" t="s">
        <v>185</v>
      </c>
      <c r="K1409">
        <v>38000</v>
      </c>
      <c r="L1409" s="74">
        <v>3.6440000000000001</v>
      </c>
      <c r="M1409" s="85">
        <v>4</v>
      </c>
      <c r="N1409" s="74">
        <v>0.22700000000000001</v>
      </c>
      <c r="O1409">
        <v>3</v>
      </c>
      <c r="P1409" s="84">
        <v>0.22700000000000001</v>
      </c>
      <c r="Q1409" s="86">
        <v>4.2</v>
      </c>
      <c r="R1409" s="85">
        <v>4.2</v>
      </c>
      <c r="S1409" s="87">
        <v>628870</v>
      </c>
      <c r="T1409" s="1">
        <v>4</v>
      </c>
      <c r="U1409" s="88">
        <v>149730.95238095237</v>
      </c>
      <c r="V1409" s="59">
        <v>6.6786458250512828</v>
      </c>
      <c r="X1409" s="98">
        <v>4.2</v>
      </c>
      <c r="Y1409" s="97">
        <v>199.92380952380952</v>
      </c>
    </row>
    <row r="1410" spans="1:25">
      <c r="A1410" s="58">
        <v>1412</v>
      </c>
      <c r="B1410" s="58">
        <v>1412</v>
      </c>
      <c r="C1410" s="58" t="s">
        <v>2165</v>
      </c>
      <c r="D1410" s="58" t="s">
        <v>215</v>
      </c>
      <c r="E1410" s="58" t="s">
        <v>215</v>
      </c>
      <c r="F1410" s="58" t="s">
        <v>406</v>
      </c>
      <c r="G1410" s="58" t="s">
        <v>407</v>
      </c>
      <c r="H1410" s="58" t="s">
        <v>179</v>
      </c>
      <c r="I1410">
        <v>38000</v>
      </c>
      <c r="J1410" s="58" t="s">
        <v>185</v>
      </c>
      <c r="K1410">
        <v>38000</v>
      </c>
      <c r="L1410" s="74">
        <v>5.3639999999999999</v>
      </c>
      <c r="M1410" s="85">
        <v>6</v>
      </c>
      <c r="N1410" s="74">
        <v>0.42</v>
      </c>
      <c r="O1410">
        <v>3</v>
      </c>
      <c r="P1410" s="84">
        <v>0.42</v>
      </c>
      <c r="Q1410" s="86">
        <v>4.2</v>
      </c>
      <c r="R1410" s="85">
        <v>4.2</v>
      </c>
      <c r="S1410" s="87">
        <v>769410</v>
      </c>
      <c r="T1410" s="1">
        <v>4</v>
      </c>
      <c r="U1410" s="88">
        <v>183192.85714285713</v>
      </c>
      <c r="V1410" s="59">
        <v>5.4587281163488903</v>
      </c>
      <c r="X1410" s="98">
        <v>4.2</v>
      </c>
      <c r="Y1410" s="97">
        <v>149.73095238095235</v>
      </c>
    </row>
    <row r="1411" spans="1:25">
      <c r="A1411" s="58">
        <v>1413</v>
      </c>
      <c r="B1411" s="58">
        <v>1413</v>
      </c>
      <c r="C1411" s="58" t="s">
        <v>2166</v>
      </c>
      <c r="D1411" s="58" t="s">
        <v>215</v>
      </c>
      <c r="E1411" s="58" t="s">
        <v>215</v>
      </c>
      <c r="F1411" s="58" t="s">
        <v>406</v>
      </c>
      <c r="G1411" s="58" t="s">
        <v>407</v>
      </c>
      <c r="H1411" s="58" t="s">
        <v>179</v>
      </c>
      <c r="I1411">
        <v>38000</v>
      </c>
      <c r="J1411" s="58" t="s">
        <v>185</v>
      </c>
      <c r="K1411">
        <v>38000</v>
      </c>
      <c r="L1411" s="74">
        <v>6.0220000000000002</v>
      </c>
      <c r="M1411" s="85">
        <v>7</v>
      </c>
      <c r="N1411" s="74">
        <v>0.40100000000000002</v>
      </c>
      <c r="O1411">
        <v>3</v>
      </c>
      <c r="P1411" s="84">
        <v>0.40100000000000002</v>
      </c>
      <c r="Q1411" s="86">
        <v>4.2</v>
      </c>
      <c r="R1411" s="85">
        <v>4.2</v>
      </c>
      <c r="S1411" s="87">
        <v>839680</v>
      </c>
      <c r="T1411" s="1">
        <v>4</v>
      </c>
      <c r="U1411" s="88">
        <v>199923.80952380953</v>
      </c>
      <c r="V1411" s="59">
        <v>5.0019054878048781</v>
      </c>
      <c r="X1411" s="98">
        <v>4.2</v>
      </c>
      <c r="Y1411" s="97">
        <v>183.19285714285712</v>
      </c>
    </row>
    <row r="1412" spans="1:25">
      <c r="A1412" s="58">
        <v>1414</v>
      </c>
      <c r="B1412" s="58">
        <v>1414</v>
      </c>
      <c r="C1412" s="58" t="s">
        <v>2167</v>
      </c>
      <c r="D1412" s="58" t="s">
        <v>215</v>
      </c>
      <c r="E1412" s="58" t="s">
        <v>215</v>
      </c>
      <c r="F1412" s="58" t="s">
        <v>257</v>
      </c>
      <c r="G1412" s="58" t="s">
        <v>258</v>
      </c>
      <c r="H1412" s="58" t="s">
        <v>179</v>
      </c>
      <c r="I1412">
        <v>38000</v>
      </c>
      <c r="J1412">
        <v>38000</v>
      </c>
      <c r="K1412">
        <v>20000</v>
      </c>
      <c r="L1412" s="74">
        <v>2.5470000000000002</v>
      </c>
      <c r="M1412" s="85">
        <v>3</v>
      </c>
      <c r="N1412" s="74">
        <v>0.11700000000000001</v>
      </c>
      <c r="O1412">
        <v>3</v>
      </c>
      <c r="P1412" s="84">
        <v>0.11700000000000001</v>
      </c>
      <c r="Q1412" s="86">
        <v>4.2</v>
      </c>
      <c r="R1412" s="85">
        <v>4.2</v>
      </c>
      <c r="S1412" s="87">
        <v>558600</v>
      </c>
      <c r="T1412" s="1">
        <v>4</v>
      </c>
      <c r="U1412" s="88">
        <v>133000</v>
      </c>
      <c r="V1412" s="59">
        <v>7.518796992481203</v>
      </c>
      <c r="X1412" s="98">
        <v>4.2</v>
      </c>
      <c r="Y1412" s="97">
        <v>199.92380952380952</v>
      </c>
    </row>
    <row r="1413" spans="1:25">
      <c r="A1413" s="58">
        <v>1415</v>
      </c>
      <c r="B1413" s="58">
        <v>1415</v>
      </c>
      <c r="C1413" s="58" t="s">
        <v>2168</v>
      </c>
      <c r="D1413" s="58" t="s">
        <v>176</v>
      </c>
      <c r="E1413" s="58" t="s">
        <v>176</v>
      </c>
      <c r="F1413" s="58" t="s">
        <v>406</v>
      </c>
      <c r="G1413" s="58" t="s">
        <v>407</v>
      </c>
      <c r="H1413" s="58" t="s">
        <v>179</v>
      </c>
      <c r="I1413">
        <v>38000</v>
      </c>
      <c r="J1413" s="58" t="s">
        <v>185</v>
      </c>
      <c r="K1413">
        <v>38000</v>
      </c>
      <c r="L1413" s="74">
        <v>7.907</v>
      </c>
      <c r="M1413" s="85">
        <v>8</v>
      </c>
      <c r="N1413" s="74">
        <v>0.626</v>
      </c>
      <c r="O1413">
        <v>3</v>
      </c>
      <c r="P1413" s="84">
        <v>0.626</v>
      </c>
      <c r="Q1413" s="86">
        <v>4.2</v>
      </c>
      <c r="R1413" s="85">
        <v>4.2</v>
      </c>
      <c r="S1413" s="87">
        <v>909950</v>
      </c>
      <c r="T1413" s="1">
        <v>4</v>
      </c>
      <c r="U1413" s="88">
        <v>216654.76190476189</v>
      </c>
      <c r="V1413" s="59">
        <v>4.6156382218803227</v>
      </c>
      <c r="X1413" s="98">
        <v>4.2</v>
      </c>
      <c r="Y1413" s="97">
        <v>133</v>
      </c>
    </row>
    <row r="1414" spans="1:25">
      <c r="A1414" s="58">
        <v>1416</v>
      </c>
      <c r="B1414" s="58">
        <v>1416</v>
      </c>
      <c r="C1414" s="58" t="s">
        <v>2169</v>
      </c>
      <c r="D1414" s="58" t="s">
        <v>176</v>
      </c>
      <c r="E1414" s="58" t="s">
        <v>176</v>
      </c>
      <c r="F1414" s="58" t="s">
        <v>285</v>
      </c>
      <c r="G1414" s="58" t="s">
        <v>286</v>
      </c>
      <c r="H1414" s="58" t="s">
        <v>179</v>
      </c>
      <c r="I1414">
        <v>38000</v>
      </c>
      <c r="J1414">
        <v>38000</v>
      </c>
      <c r="K1414">
        <v>20000</v>
      </c>
      <c r="L1414" s="74">
        <v>5.44</v>
      </c>
      <c r="M1414" s="85">
        <v>6</v>
      </c>
      <c r="N1414" s="74">
        <v>0.45400000000000001</v>
      </c>
      <c r="O1414">
        <v>3</v>
      </c>
      <c r="P1414" s="84">
        <v>0.45400000000000001</v>
      </c>
      <c r="Q1414" s="86">
        <v>4.2</v>
      </c>
      <c r="R1414" s="85">
        <v>4.2</v>
      </c>
      <c r="S1414" s="87">
        <v>769410</v>
      </c>
      <c r="T1414" s="1">
        <v>4</v>
      </c>
      <c r="U1414" s="88">
        <v>183192.85714285713</v>
      </c>
      <c r="V1414" s="59">
        <v>5.4587281163488903</v>
      </c>
      <c r="X1414" s="98">
        <v>4.2</v>
      </c>
      <c r="Y1414" s="97">
        <v>216.6547619047619</v>
      </c>
    </row>
    <row r="1415" spans="1:25">
      <c r="A1415" s="58">
        <v>1417</v>
      </c>
      <c r="B1415" s="58">
        <v>1417</v>
      </c>
      <c r="C1415" s="58" t="s">
        <v>2170</v>
      </c>
      <c r="D1415" s="58" t="s">
        <v>176</v>
      </c>
      <c r="E1415" s="58" t="s">
        <v>176</v>
      </c>
      <c r="F1415" s="58" t="s">
        <v>269</v>
      </c>
      <c r="G1415" s="58" t="s">
        <v>270</v>
      </c>
      <c r="H1415" s="58" t="s">
        <v>179</v>
      </c>
      <c r="I1415">
        <v>38000</v>
      </c>
      <c r="J1415">
        <v>38000</v>
      </c>
      <c r="K1415">
        <v>20000</v>
      </c>
      <c r="L1415" s="74">
        <v>3.4710000000000001</v>
      </c>
      <c r="M1415" s="85">
        <v>4</v>
      </c>
      <c r="N1415" s="74">
        <v>0.38700000000000001</v>
      </c>
      <c r="O1415">
        <v>3</v>
      </c>
      <c r="P1415" s="84">
        <v>0.38700000000000001</v>
      </c>
      <c r="Q1415" s="86">
        <v>4.2</v>
      </c>
      <c r="R1415" s="85">
        <v>4.2</v>
      </c>
      <c r="S1415" s="87">
        <v>628870</v>
      </c>
      <c r="T1415" s="1">
        <v>4</v>
      </c>
      <c r="U1415" s="88">
        <v>149730.95238095237</v>
      </c>
      <c r="V1415" s="59">
        <v>6.6786458250512828</v>
      </c>
      <c r="X1415" s="98">
        <v>4.2</v>
      </c>
      <c r="Y1415" s="97">
        <v>183.19285714285712</v>
      </c>
    </row>
    <row r="1416" spans="1:25">
      <c r="A1416" s="58">
        <v>1418</v>
      </c>
      <c r="B1416" s="58">
        <v>1418</v>
      </c>
      <c r="C1416" s="58" t="s">
        <v>2171</v>
      </c>
      <c r="D1416" s="58" t="s">
        <v>176</v>
      </c>
      <c r="E1416" s="58" t="s">
        <v>176</v>
      </c>
      <c r="F1416" s="58" t="s">
        <v>222</v>
      </c>
      <c r="G1416" s="58" t="s">
        <v>223</v>
      </c>
      <c r="H1416" s="58" t="s">
        <v>179</v>
      </c>
      <c r="I1416">
        <v>38000</v>
      </c>
      <c r="J1416">
        <v>38000</v>
      </c>
      <c r="K1416">
        <v>20000</v>
      </c>
      <c r="L1416" s="74">
        <v>4.78</v>
      </c>
      <c r="M1416" s="85">
        <v>5</v>
      </c>
      <c r="N1416" s="74">
        <v>0.27600000000000002</v>
      </c>
      <c r="O1416">
        <v>3</v>
      </c>
      <c r="P1416" s="84">
        <v>0.27600000000000002</v>
      </c>
      <c r="Q1416" s="86">
        <v>4.2</v>
      </c>
      <c r="R1416" s="85">
        <v>4.2</v>
      </c>
      <c r="S1416" s="87">
        <v>699140</v>
      </c>
      <c r="T1416" s="1">
        <v>4</v>
      </c>
      <c r="U1416" s="88">
        <v>166461.90476190476</v>
      </c>
      <c r="V1416" s="59">
        <v>6.0073804960379897</v>
      </c>
      <c r="X1416" s="98">
        <v>4.2</v>
      </c>
      <c r="Y1416" s="97">
        <v>149.73095238095235</v>
      </c>
    </row>
    <row r="1417" spans="1:25">
      <c r="A1417" s="58">
        <v>1419</v>
      </c>
      <c r="B1417" s="58">
        <v>1419</v>
      </c>
      <c r="C1417" s="58" t="s">
        <v>2172</v>
      </c>
      <c r="D1417" s="58" t="s">
        <v>176</v>
      </c>
      <c r="E1417" s="58" t="s">
        <v>176</v>
      </c>
      <c r="F1417" s="58" t="s">
        <v>222</v>
      </c>
      <c r="G1417" s="58" t="s">
        <v>223</v>
      </c>
      <c r="H1417" s="58" t="s">
        <v>179</v>
      </c>
      <c r="I1417">
        <v>38000</v>
      </c>
      <c r="J1417">
        <v>38000</v>
      </c>
      <c r="K1417">
        <v>20000</v>
      </c>
      <c r="L1417" s="74">
        <v>7.2859999999999996</v>
      </c>
      <c r="M1417" s="85">
        <v>8</v>
      </c>
      <c r="N1417" s="74">
        <v>0.23899999999999999</v>
      </c>
      <c r="O1417">
        <v>3</v>
      </c>
      <c r="P1417" s="84">
        <v>0.23899999999999999</v>
      </c>
      <c r="Q1417" s="86">
        <v>4.2</v>
      </c>
      <c r="R1417" s="85">
        <v>4.2</v>
      </c>
      <c r="S1417" s="87">
        <v>909950</v>
      </c>
      <c r="T1417" s="1">
        <v>4</v>
      </c>
      <c r="U1417" s="88">
        <v>216654.76190476189</v>
      </c>
      <c r="V1417" s="59">
        <v>4.6156382218803227</v>
      </c>
      <c r="X1417" s="98">
        <v>4.2</v>
      </c>
      <c r="Y1417" s="97">
        <v>166.46190476190475</v>
      </c>
    </row>
    <row r="1418" spans="1:25">
      <c r="A1418" s="58">
        <v>1420</v>
      </c>
      <c r="B1418" s="58">
        <v>1420</v>
      </c>
      <c r="C1418" s="58" t="s">
        <v>2173</v>
      </c>
      <c r="D1418" s="58" t="s">
        <v>176</v>
      </c>
      <c r="E1418" s="58" t="s">
        <v>176</v>
      </c>
      <c r="F1418" s="58" t="s">
        <v>222</v>
      </c>
      <c r="G1418" s="58" t="s">
        <v>223</v>
      </c>
      <c r="H1418" s="58" t="s">
        <v>179</v>
      </c>
      <c r="I1418">
        <v>38000</v>
      </c>
      <c r="J1418">
        <v>38000</v>
      </c>
      <c r="K1418">
        <v>20000</v>
      </c>
      <c r="L1418" s="74">
        <v>8.7159999999999993</v>
      </c>
      <c r="M1418" s="85">
        <v>9</v>
      </c>
      <c r="N1418" s="74">
        <v>0.64400000000000002</v>
      </c>
      <c r="O1418">
        <v>3</v>
      </c>
      <c r="P1418" s="84">
        <v>0.64400000000000002</v>
      </c>
      <c r="Q1418" s="86">
        <v>4.2</v>
      </c>
      <c r="R1418" s="85">
        <v>4.2</v>
      </c>
      <c r="S1418" s="87">
        <v>1334440</v>
      </c>
      <c r="T1418" s="1">
        <v>1</v>
      </c>
      <c r="U1418" s="88">
        <v>317723.80952380953</v>
      </c>
      <c r="V1418" s="59">
        <v>3.1473876682353645</v>
      </c>
      <c r="X1418" s="98">
        <v>4.2</v>
      </c>
      <c r="Y1418" s="97">
        <v>216.6547619047619</v>
      </c>
    </row>
    <row r="1419" spans="1:25">
      <c r="A1419" s="58">
        <v>1421</v>
      </c>
      <c r="B1419" s="58">
        <v>1421</v>
      </c>
      <c r="C1419" s="58" t="s">
        <v>2174</v>
      </c>
      <c r="D1419" s="58" t="s">
        <v>176</v>
      </c>
      <c r="E1419" s="58" t="s">
        <v>176</v>
      </c>
      <c r="F1419" s="58" t="s">
        <v>222</v>
      </c>
      <c r="G1419" s="58" t="s">
        <v>223</v>
      </c>
      <c r="H1419" s="58" t="s">
        <v>179</v>
      </c>
      <c r="I1419">
        <v>38000</v>
      </c>
      <c r="J1419">
        <v>38000</v>
      </c>
      <c r="K1419">
        <v>20000</v>
      </c>
      <c r="L1419" s="74">
        <v>5.0439999999999996</v>
      </c>
      <c r="M1419" s="85">
        <v>6</v>
      </c>
      <c r="N1419" s="74">
        <v>0.17299999999999999</v>
      </c>
      <c r="O1419">
        <v>3</v>
      </c>
      <c r="P1419" s="84">
        <v>0.17299999999999999</v>
      </c>
      <c r="Q1419" s="86">
        <v>4.2</v>
      </c>
      <c r="R1419" s="85">
        <v>4.2</v>
      </c>
      <c r="S1419" s="87">
        <v>769410</v>
      </c>
      <c r="T1419" s="1">
        <v>4</v>
      </c>
      <c r="U1419" s="88">
        <v>183192.85714285713</v>
      </c>
      <c r="V1419" s="59">
        <v>5.4587281163488903</v>
      </c>
      <c r="X1419" s="98">
        <v>4.2</v>
      </c>
      <c r="Y1419" s="97">
        <v>317.72380952380951</v>
      </c>
    </row>
    <row r="1420" spans="1:25">
      <c r="A1420" s="58">
        <v>1422</v>
      </c>
      <c r="B1420" s="58">
        <v>1422</v>
      </c>
      <c r="C1420" s="58" t="s">
        <v>2175</v>
      </c>
      <c r="D1420" s="58" t="s">
        <v>176</v>
      </c>
      <c r="E1420" s="58" t="s">
        <v>176</v>
      </c>
      <c r="F1420" s="58" t="s">
        <v>290</v>
      </c>
      <c r="G1420" s="58" t="s">
        <v>291</v>
      </c>
      <c r="H1420" s="58" t="s">
        <v>179</v>
      </c>
      <c r="I1420">
        <v>38000</v>
      </c>
      <c r="J1420">
        <v>38000</v>
      </c>
      <c r="K1420">
        <v>20000</v>
      </c>
      <c r="L1420" s="74">
        <v>4.2670000000000003</v>
      </c>
      <c r="M1420" s="85">
        <v>5</v>
      </c>
      <c r="N1420" s="74">
        <v>0.10299999999999999</v>
      </c>
      <c r="O1420">
        <v>3</v>
      </c>
      <c r="P1420" s="84">
        <v>0.10299999999999999</v>
      </c>
      <c r="Q1420" s="86">
        <v>4.2</v>
      </c>
      <c r="R1420" s="85">
        <v>4.2</v>
      </c>
      <c r="S1420" s="87">
        <v>699140</v>
      </c>
      <c r="T1420" s="1">
        <v>4</v>
      </c>
      <c r="U1420" s="88">
        <v>166461.90476190476</v>
      </c>
      <c r="V1420" s="59">
        <v>6.0073804960379897</v>
      </c>
      <c r="X1420" s="98">
        <v>4.2</v>
      </c>
      <c r="Y1420" s="97">
        <v>183.19285714285712</v>
      </c>
    </row>
    <row r="1421" spans="1:25">
      <c r="A1421" s="58">
        <v>1423</v>
      </c>
      <c r="B1421" s="58">
        <v>1423</v>
      </c>
      <c r="C1421" s="58" t="s">
        <v>2176</v>
      </c>
      <c r="D1421" s="58" t="s">
        <v>176</v>
      </c>
      <c r="E1421" s="58" t="s">
        <v>176</v>
      </c>
      <c r="F1421" s="58" t="s">
        <v>293</v>
      </c>
      <c r="G1421" s="58" t="s">
        <v>294</v>
      </c>
      <c r="H1421" s="58" t="s">
        <v>179</v>
      </c>
      <c r="I1421">
        <v>38000</v>
      </c>
      <c r="J1421">
        <v>38000</v>
      </c>
      <c r="K1421">
        <v>10000</v>
      </c>
      <c r="L1421" s="74">
        <v>7.0869999999999997</v>
      </c>
      <c r="M1421" s="85">
        <v>8</v>
      </c>
      <c r="N1421" s="74">
        <v>0.30499999999999999</v>
      </c>
      <c r="O1421">
        <v>3</v>
      </c>
      <c r="P1421" s="84">
        <v>0.30499999999999999</v>
      </c>
      <c r="Q1421" s="86">
        <v>4.2</v>
      </c>
      <c r="R1421" s="85">
        <v>4.2</v>
      </c>
      <c r="S1421" s="87">
        <v>909950</v>
      </c>
      <c r="T1421" s="1">
        <v>4</v>
      </c>
      <c r="U1421" s="88">
        <v>216654.76190476189</v>
      </c>
      <c r="V1421" s="59">
        <v>4.6156382218803227</v>
      </c>
      <c r="X1421" s="98">
        <v>4.2</v>
      </c>
      <c r="Y1421" s="97">
        <v>166.46190476190475</v>
      </c>
    </row>
    <row r="1422" spans="1:25">
      <c r="A1422" s="58">
        <v>1424</v>
      </c>
      <c r="B1422" s="58">
        <v>1424</v>
      </c>
      <c r="C1422" s="58" t="s">
        <v>2177</v>
      </c>
      <c r="D1422" s="58" t="s">
        <v>176</v>
      </c>
      <c r="E1422" s="58" t="s">
        <v>176</v>
      </c>
      <c r="F1422" s="58" t="s">
        <v>290</v>
      </c>
      <c r="G1422" s="58" t="s">
        <v>291</v>
      </c>
      <c r="H1422" s="58" t="s">
        <v>179</v>
      </c>
      <c r="I1422">
        <v>38000</v>
      </c>
      <c r="J1422">
        <v>38000</v>
      </c>
      <c r="K1422">
        <v>20000</v>
      </c>
      <c r="L1422" s="74">
        <v>5.6120000000000001</v>
      </c>
      <c r="M1422" s="85">
        <v>6</v>
      </c>
      <c r="N1422" s="74">
        <v>0.2</v>
      </c>
      <c r="O1422">
        <v>3</v>
      </c>
      <c r="P1422" s="84">
        <v>0.2</v>
      </c>
      <c r="Q1422" s="86">
        <v>4.2</v>
      </c>
      <c r="R1422" s="85">
        <v>4.2</v>
      </c>
      <c r="S1422" s="87">
        <v>769410</v>
      </c>
      <c r="T1422" s="1">
        <v>4</v>
      </c>
      <c r="U1422" s="88">
        <v>183192.85714285713</v>
      </c>
      <c r="V1422" s="59">
        <v>5.4587281163488903</v>
      </c>
      <c r="X1422" s="98">
        <v>4.2</v>
      </c>
      <c r="Y1422" s="97">
        <v>216.6547619047619</v>
      </c>
    </row>
    <row r="1423" spans="1:25">
      <c r="A1423" s="58">
        <v>1425</v>
      </c>
      <c r="B1423" s="58">
        <v>1425</v>
      </c>
      <c r="C1423" s="58" t="s">
        <v>2178</v>
      </c>
      <c r="D1423" s="58" t="s">
        <v>176</v>
      </c>
      <c r="E1423" s="58" t="s">
        <v>176</v>
      </c>
      <c r="F1423" s="58" t="s">
        <v>290</v>
      </c>
      <c r="G1423" s="58" t="s">
        <v>291</v>
      </c>
      <c r="H1423" s="58" t="s">
        <v>179</v>
      </c>
      <c r="I1423">
        <v>38000</v>
      </c>
      <c r="J1423">
        <v>38000</v>
      </c>
      <c r="K1423">
        <v>20000</v>
      </c>
      <c r="L1423" s="74">
        <v>7.93</v>
      </c>
      <c r="M1423" s="85">
        <v>8</v>
      </c>
      <c r="N1423" s="74">
        <v>0.106</v>
      </c>
      <c r="O1423">
        <v>3</v>
      </c>
      <c r="P1423" s="84">
        <v>0.106</v>
      </c>
      <c r="Q1423" s="86">
        <v>4.2</v>
      </c>
      <c r="R1423" s="85">
        <v>4.2</v>
      </c>
      <c r="S1423" s="87">
        <v>909950</v>
      </c>
      <c r="T1423" s="1">
        <v>4</v>
      </c>
      <c r="U1423" s="88">
        <v>216654.76190476189</v>
      </c>
      <c r="V1423" s="59">
        <v>4.6156382218803227</v>
      </c>
      <c r="X1423" s="98">
        <v>4.2</v>
      </c>
      <c r="Y1423" s="97">
        <v>183.19285714285712</v>
      </c>
    </row>
    <row r="1424" spans="1:25">
      <c r="A1424" s="58">
        <v>1426</v>
      </c>
      <c r="B1424" s="58">
        <v>1426</v>
      </c>
      <c r="C1424" s="58" t="s">
        <v>2179</v>
      </c>
      <c r="D1424" s="58" t="s">
        <v>197</v>
      </c>
      <c r="E1424" s="58" t="s">
        <v>197</v>
      </c>
      <c r="F1424" s="58" t="s">
        <v>1767</v>
      </c>
      <c r="G1424" s="58" t="s">
        <v>1771</v>
      </c>
      <c r="H1424" s="58" t="s">
        <v>179</v>
      </c>
      <c r="I1424">
        <v>38000</v>
      </c>
      <c r="J1424">
        <v>38000</v>
      </c>
      <c r="K1424">
        <v>10000</v>
      </c>
      <c r="L1424" s="74">
        <v>6.3369999999999997</v>
      </c>
      <c r="M1424" s="85">
        <v>7</v>
      </c>
      <c r="N1424" s="74">
        <v>0.17699999999999999</v>
      </c>
      <c r="O1424">
        <v>3</v>
      </c>
      <c r="P1424" s="84">
        <v>0.17699999999999999</v>
      </c>
      <c r="Q1424" s="86">
        <v>4.2</v>
      </c>
      <c r="R1424" s="85">
        <v>4.2</v>
      </c>
      <c r="S1424" s="87">
        <v>839680</v>
      </c>
      <c r="T1424" s="1">
        <v>4</v>
      </c>
      <c r="U1424" s="88">
        <v>199923.80952380953</v>
      </c>
      <c r="V1424" s="59">
        <v>5.0019054878048781</v>
      </c>
      <c r="X1424" s="98">
        <v>4.2</v>
      </c>
      <c r="Y1424" s="97">
        <v>216.6547619047619</v>
      </c>
    </row>
    <row r="1425" spans="1:25">
      <c r="A1425" s="58">
        <v>1427</v>
      </c>
      <c r="B1425" s="58">
        <v>1427</v>
      </c>
      <c r="C1425" s="58" t="s">
        <v>2180</v>
      </c>
      <c r="D1425" s="58" t="s">
        <v>197</v>
      </c>
      <c r="E1425" s="58" t="s">
        <v>197</v>
      </c>
      <c r="F1425" s="58" t="s">
        <v>299</v>
      </c>
      <c r="G1425" s="58" t="s">
        <v>300</v>
      </c>
      <c r="H1425" s="58" t="s">
        <v>179</v>
      </c>
      <c r="I1425">
        <v>38000</v>
      </c>
      <c r="J1425">
        <v>38000</v>
      </c>
      <c r="K1425" s="58" t="s">
        <v>185</v>
      </c>
      <c r="L1425" s="74">
        <v>15.58</v>
      </c>
      <c r="M1425" s="85">
        <v>16</v>
      </c>
      <c r="N1425" s="74">
        <v>9.9000000000000005E-2</v>
      </c>
      <c r="O1425">
        <v>3</v>
      </c>
      <c r="P1425" s="84">
        <v>9.9000000000000005E-2</v>
      </c>
      <c r="Q1425" s="86">
        <v>4.2</v>
      </c>
      <c r="R1425" s="85">
        <v>4.2</v>
      </c>
      <c r="S1425" s="87">
        <v>1703340</v>
      </c>
      <c r="T1425" s="1">
        <v>1</v>
      </c>
      <c r="U1425" s="88">
        <v>405557.14285714284</v>
      </c>
      <c r="V1425" s="59">
        <v>2.4657437739969708</v>
      </c>
      <c r="X1425" s="98">
        <v>4.2</v>
      </c>
      <c r="Y1425" s="97">
        <v>199.92380952380952</v>
      </c>
    </row>
    <row r="1426" spans="1:25">
      <c r="A1426" s="58">
        <v>1428</v>
      </c>
      <c r="B1426" s="58">
        <v>1428</v>
      </c>
      <c r="C1426" s="58" t="s">
        <v>2181</v>
      </c>
      <c r="D1426" s="58" t="s">
        <v>197</v>
      </c>
      <c r="E1426" s="58" t="s">
        <v>197</v>
      </c>
      <c r="F1426" s="58" t="s">
        <v>486</v>
      </c>
      <c r="G1426" s="58" t="s">
        <v>487</v>
      </c>
      <c r="H1426" s="58" t="s">
        <v>179</v>
      </c>
      <c r="I1426">
        <v>38000</v>
      </c>
      <c r="J1426">
        <v>38000</v>
      </c>
      <c r="K1426" s="58" t="s">
        <v>185</v>
      </c>
      <c r="L1426" s="74">
        <v>18.161000000000001</v>
      </c>
      <c r="M1426" s="85">
        <v>19</v>
      </c>
      <c r="N1426" s="74">
        <v>0.27</v>
      </c>
      <c r="O1426">
        <v>3</v>
      </c>
      <c r="P1426" s="84">
        <v>0.27</v>
      </c>
      <c r="Q1426" s="86">
        <v>4.2</v>
      </c>
      <c r="R1426" s="85">
        <v>4.2</v>
      </c>
      <c r="S1426" s="87">
        <v>1861440</v>
      </c>
      <c r="T1426" s="1">
        <v>1</v>
      </c>
      <c r="U1426" s="88">
        <v>443200</v>
      </c>
      <c r="V1426" s="59">
        <v>2.256317689530686</v>
      </c>
      <c r="X1426" s="98">
        <v>4.2</v>
      </c>
      <c r="Y1426" s="97">
        <v>405.55714285714282</v>
      </c>
    </row>
    <row r="1427" spans="1:25">
      <c r="A1427" s="58">
        <v>1429</v>
      </c>
      <c r="B1427" s="58">
        <v>1429</v>
      </c>
      <c r="C1427" s="58" t="s">
        <v>2182</v>
      </c>
      <c r="D1427" s="58" t="s">
        <v>197</v>
      </c>
      <c r="E1427" s="58" t="s">
        <v>197</v>
      </c>
      <c r="F1427" s="58" t="s">
        <v>299</v>
      </c>
      <c r="G1427" s="58" t="s">
        <v>300</v>
      </c>
      <c r="H1427" s="58" t="s">
        <v>179</v>
      </c>
      <c r="I1427">
        <v>38000</v>
      </c>
      <c r="J1427">
        <v>38000</v>
      </c>
      <c r="K1427" s="58" t="s">
        <v>185</v>
      </c>
      <c r="L1427" s="74">
        <v>18.143000000000001</v>
      </c>
      <c r="M1427" s="85">
        <v>19</v>
      </c>
      <c r="N1427" s="74">
        <v>0.115</v>
      </c>
      <c r="O1427">
        <v>3</v>
      </c>
      <c r="P1427" s="84">
        <v>0.115</v>
      </c>
      <c r="Q1427" s="86">
        <v>4.2</v>
      </c>
      <c r="R1427" s="85">
        <v>4.2</v>
      </c>
      <c r="S1427" s="87">
        <v>1861440</v>
      </c>
      <c r="T1427" s="1">
        <v>1</v>
      </c>
      <c r="U1427" s="88">
        <v>443200</v>
      </c>
      <c r="V1427" s="59">
        <v>2.256317689530686</v>
      </c>
      <c r="X1427" s="98">
        <v>4.2</v>
      </c>
      <c r="Y1427" s="97">
        <v>443.2</v>
      </c>
    </row>
    <row r="1428" spans="1:25">
      <c r="A1428" s="58">
        <v>1430</v>
      </c>
      <c r="B1428" s="58">
        <v>1430</v>
      </c>
      <c r="C1428" s="58" t="s">
        <v>2183</v>
      </c>
      <c r="D1428" s="58" t="s">
        <v>182</v>
      </c>
      <c r="E1428" s="58" t="s">
        <v>182</v>
      </c>
      <c r="F1428" s="58" t="s">
        <v>183</v>
      </c>
      <c r="G1428" s="58" t="s">
        <v>184</v>
      </c>
      <c r="H1428" s="58" t="s">
        <v>179</v>
      </c>
      <c r="I1428">
        <v>38000</v>
      </c>
      <c r="J1428">
        <v>38000</v>
      </c>
      <c r="K1428" s="58" t="s">
        <v>185</v>
      </c>
      <c r="L1428" s="74">
        <v>12.266</v>
      </c>
      <c r="M1428" s="85">
        <v>13</v>
      </c>
      <c r="N1428" s="74">
        <v>0.09</v>
      </c>
      <c r="O1428">
        <v>3</v>
      </c>
      <c r="P1428" s="84">
        <v>0.09</v>
      </c>
      <c r="Q1428" s="86">
        <v>4.2</v>
      </c>
      <c r="R1428" s="85">
        <v>4.2</v>
      </c>
      <c r="S1428" s="87">
        <v>1545240</v>
      </c>
      <c r="T1428" s="1">
        <v>1</v>
      </c>
      <c r="U1428" s="88">
        <v>367914.28571428568</v>
      </c>
      <c r="V1428" s="59">
        <v>2.7180243845616214</v>
      </c>
      <c r="X1428" s="98">
        <v>4.2</v>
      </c>
      <c r="Y1428" s="97">
        <v>443.2</v>
      </c>
    </row>
    <row r="1429" spans="1:25">
      <c r="A1429" s="58">
        <v>1431</v>
      </c>
      <c r="B1429" s="58">
        <v>1431</v>
      </c>
      <c r="C1429" s="58" t="s">
        <v>2184</v>
      </c>
      <c r="D1429" s="58" t="s">
        <v>182</v>
      </c>
      <c r="E1429" s="58" t="s">
        <v>182</v>
      </c>
      <c r="F1429" s="58" t="s">
        <v>183</v>
      </c>
      <c r="G1429" s="58" t="s">
        <v>184</v>
      </c>
      <c r="H1429" s="58" t="s">
        <v>179</v>
      </c>
      <c r="I1429">
        <v>38000</v>
      </c>
      <c r="J1429">
        <v>38000</v>
      </c>
      <c r="K1429" s="58" t="s">
        <v>185</v>
      </c>
      <c r="L1429" s="74">
        <v>12.705</v>
      </c>
      <c r="M1429" s="85">
        <v>13</v>
      </c>
      <c r="N1429" s="74">
        <v>0.14799999999999999</v>
      </c>
      <c r="O1429">
        <v>3</v>
      </c>
      <c r="P1429" s="84">
        <v>0.14799999999999999</v>
      </c>
      <c r="Q1429" s="86">
        <v>4.2</v>
      </c>
      <c r="R1429" s="85">
        <v>4.2</v>
      </c>
      <c r="S1429" s="87">
        <v>1545240</v>
      </c>
      <c r="T1429" s="1">
        <v>1</v>
      </c>
      <c r="U1429" s="88">
        <v>367914.28571428568</v>
      </c>
      <c r="V1429" s="59">
        <v>2.7180243845616214</v>
      </c>
      <c r="X1429" s="98">
        <v>4.2</v>
      </c>
      <c r="Y1429" s="97">
        <v>367.91428571428571</v>
      </c>
    </row>
    <row r="1430" spans="1:25">
      <c r="A1430" s="58">
        <v>1432</v>
      </c>
      <c r="B1430" s="58">
        <v>1432</v>
      </c>
      <c r="C1430" s="58" t="s">
        <v>2185</v>
      </c>
      <c r="D1430" s="58" t="s">
        <v>182</v>
      </c>
      <c r="E1430" s="58" t="s">
        <v>182</v>
      </c>
      <c r="F1430" s="58" t="s">
        <v>302</v>
      </c>
      <c r="G1430" s="58" t="s">
        <v>303</v>
      </c>
      <c r="H1430" s="58" t="s">
        <v>179</v>
      </c>
      <c r="I1430">
        <v>38000</v>
      </c>
      <c r="J1430">
        <v>38000</v>
      </c>
      <c r="K1430" s="58" t="s">
        <v>185</v>
      </c>
      <c r="L1430" s="74">
        <v>9.9649999999999999</v>
      </c>
      <c r="M1430" s="85">
        <v>10</v>
      </c>
      <c r="N1430" s="74">
        <v>0.114</v>
      </c>
      <c r="O1430">
        <v>3</v>
      </c>
      <c r="P1430" s="84">
        <v>0.114</v>
      </c>
      <c r="Q1430" s="86">
        <v>4.2</v>
      </c>
      <c r="R1430" s="85">
        <v>4.2</v>
      </c>
      <c r="S1430" s="87">
        <v>1387140</v>
      </c>
      <c r="T1430" s="1">
        <v>1</v>
      </c>
      <c r="U1430" s="88">
        <v>330271.42857142858</v>
      </c>
      <c r="V1430" s="59">
        <v>3.0278126216531858</v>
      </c>
      <c r="X1430" s="98">
        <v>4.2</v>
      </c>
      <c r="Y1430" s="97">
        <v>367.91428571428571</v>
      </c>
    </row>
    <row r="1431" spans="1:25">
      <c r="A1431" s="58">
        <v>1433</v>
      </c>
      <c r="B1431" s="58">
        <v>1433</v>
      </c>
      <c r="C1431" s="58" t="s">
        <v>2186</v>
      </c>
      <c r="D1431" s="58" t="s">
        <v>182</v>
      </c>
      <c r="E1431" s="58" t="s">
        <v>182</v>
      </c>
      <c r="F1431" s="58" t="s">
        <v>302</v>
      </c>
      <c r="G1431" s="58" t="s">
        <v>303</v>
      </c>
      <c r="H1431" s="58" t="s">
        <v>179</v>
      </c>
      <c r="I1431">
        <v>38000</v>
      </c>
      <c r="J1431">
        <v>38000</v>
      </c>
      <c r="K1431" s="58" t="s">
        <v>185</v>
      </c>
      <c r="L1431" s="74">
        <v>11.948</v>
      </c>
      <c r="M1431" s="85">
        <v>12</v>
      </c>
      <c r="N1431" s="74">
        <v>0.156</v>
      </c>
      <c r="O1431">
        <v>3</v>
      </c>
      <c r="P1431" s="84">
        <v>0.156</v>
      </c>
      <c r="Q1431" s="86">
        <v>4.2</v>
      </c>
      <c r="R1431" s="85">
        <v>4.2</v>
      </c>
      <c r="S1431" s="87">
        <v>1492540</v>
      </c>
      <c r="T1431" s="1">
        <v>1</v>
      </c>
      <c r="U1431" s="88">
        <v>355366.66666666663</v>
      </c>
      <c r="V1431" s="59">
        <v>2.8139949348091173</v>
      </c>
      <c r="X1431" s="98">
        <v>4.2</v>
      </c>
      <c r="Y1431" s="97">
        <v>330.2714285714286</v>
      </c>
    </row>
    <row r="1432" spans="1:25">
      <c r="A1432" s="58">
        <v>1434</v>
      </c>
      <c r="B1432" s="58">
        <v>1434</v>
      </c>
      <c r="C1432" s="58" t="s">
        <v>2187</v>
      </c>
      <c r="D1432" s="58" t="s">
        <v>182</v>
      </c>
      <c r="E1432" s="58" t="s">
        <v>182</v>
      </c>
      <c r="F1432" s="58" t="s">
        <v>302</v>
      </c>
      <c r="G1432" s="58" t="s">
        <v>303</v>
      </c>
      <c r="H1432" s="58" t="s">
        <v>179</v>
      </c>
      <c r="I1432">
        <v>38000</v>
      </c>
      <c r="J1432">
        <v>38000</v>
      </c>
      <c r="K1432" s="58" t="s">
        <v>185</v>
      </c>
      <c r="L1432" s="74">
        <v>10.137</v>
      </c>
      <c r="M1432" s="85">
        <v>11</v>
      </c>
      <c r="N1432" s="74">
        <v>0.497</v>
      </c>
      <c r="O1432">
        <v>3</v>
      </c>
      <c r="P1432" s="84">
        <v>0.497</v>
      </c>
      <c r="Q1432" s="86">
        <v>4.2</v>
      </c>
      <c r="R1432" s="85">
        <v>4.2</v>
      </c>
      <c r="S1432" s="87">
        <v>1439840</v>
      </c>
      <c r="T1432" s="1">
        <v>1</v>
      </c>
      <c r="U1432" s="88">
        <v>342819.04761904763</v>
      </c>
      <c r="V1432" s="59">
        <v>2.9169907767529724</v>
      </c>
      <c r="X1432" s="98">
        <v>4.2</v>
      </c>
      <c r="Y1432" s="97">
        <v>355.36666666666662</v>
      </c>
    </row>
    <row r="1433" spans="1:25">
      <c r="A1433" s="58">
        <v>1435</v>
      </c>
      <c r="B1433" s="58">
        <v>1435</v>
      </c>
      <c r="C1433" s="58" t="s">
        <v>2188</v>
      </c>
      <c r="D1433" s="58" t="s">
        <v>182</v>
      </c>
      <c r="E1433" s="58" t="s">
        <v>182</v>
      </c>
      <c r="F1433" s="58" t="s">
        <v>302</v>
      </c>
      <c r="G1433" s="58" t="s">
        <v>303</v>
      </c>
      <c r="H1433" s="58" t="s">
        <v>179</v>
      </c>
      <c r="I1433">
        <v>38000</v>
      </c>
      <c r="J1433">
        <v>38000</v>
      </c>
      <c r="K1433" s="58" t="s">
        <v>185</v>
      </c>
      <c r="L1433" s="74">
        <v>2.5830000000000002</v>
      </c>
      <c r="M1433" s="85">
        <v>3</v>
      </c>
      <c r="N1433" s="74">
        <v>0.14799999999999999</v>
      </c>
      <c r="O1433">
        <v>3</v>
      </c>
      <c r="P1433" s="84">
        <v>0.14799999999999999</v>
      </c>
      <c r="Q1433" s="86">
        <v>4.2</v>
      </c>
      <c r="R1433" s="85">
        <v>4.2</v>
      </c>
      <c r="S1433" s="87">
        <v>558600</v>
      </c>
      <c r="T1433" s="1">
        <v>4</v>
      </c>
      <c r="U1433" s="88">
        <v>133000</v>
      </c>
      <c r="V1433" s="59">
        <v>7.518796992481203</v>
      </c>
      <c r="X1433" s="98">
        <v>4.2</v>
      </c>
      <c r="Y1433" s="97">
        <v>342.81904761904764</v>
      </c>
    </row>
    <row r="1434" spans="1:25">
      <c r="A1434" s="58">
        <v>1436</v>
      </c>
      <c r="B1434" s="58">
        <v>1436</v>
      </c>
      <c r="C1434" s="58" t="s">
        <v>2189</v>
      </c>
      <c r="D1434" s="58" t="s">
        <v>182</v>
      </c>
      <c r="E1434" s="58" t="s">
        <v>182</v>
      </c>
      <c r="F1434" s="58" t="s">
        <v>302</v>
      </c>
      <c r="G1434" s="58" t="s">
        <v>303</v>
      </c>
      <c r="H1434" s="58" t="s">
        <v>179</v>
      </c>
      <c r="I1434">
        <v>38000</v>
      </c>
      <c r="J1434">
        <v>38000</v>
      </c>
      <c r="K1434" s="58" t="s">
        <v>185</v>
      </c>
      <c r="L1434" s="74">
        <v>14.359</v>
      </c>
      <c r="M1434" s="85">
        <v>15</v>
      </c>
      <c r="N1434" s="74">
        <v>0.53700000000000003</v>
      </c>
      <c r="O1434">
        <v>3</v>
      </c>
      <c r="P1434" s="84">
        <v>0.53700000000000003</v>
      </c>
      <c r="Q1434" s="86">
        <v>4.2</v>
      </c>
      <c r="R1434" s="85">
        <v>4.2</v>
      </c>
      <c r="S1434" s="87">
        <v>1650640</v>
      </c>
      <c r="T1434" s="1">
        <v>1</v>
      </c>
      <c r="U1434" s="88">
        <v>393009.52380952379</v>
      </c>
      <c r="V1434" s="59">
        <v>2.5444676004458877</v>
      </c>
      <c r="X1434" s="98">
        <v>4.2</v>
      </c>
      <c r="Y1434" s="97">
        <v>133</v>
      </c>
    </row>
    <row r="1435" spans="1:25">
      <c r="A1435" s="58">
        <v>1437</v>
      </c>
      <c r="B1435" s="58">
        <v>1437</v>
      </c>
      <c r="C1435" s="58" t="s">
        <v>2190</v>
      </c>
      <c r="D1435" s="58" t="s">
        <v>182</v>
      </c>
      <c r="E1435" s="58" t="s">
        <v>182</v>
      </c>
      <c r="F1435" s="58" t="s">
        <v>302</v>
      </c>
      <c r="G1435" s="58" t="s">
        <v>303</v>
      </c>
      <c r="H1435" s="58" t="s">
        <v>179</v>
      </c>
      <c r="I1435">
        <v>38000</v>
      </c>
      <c r="J1435">
        <v>38000</v>
      </c>
      <c r="K1435" s="58" t="s">
        <v>185</v>
      </c>
      <c r="L1435" s="74">
        <v>12.731999999999999</v>
      </c>
      <c r="M1435" s="85">
        <v>13</v>
      </c>
      <c r="N1435" s="74">
        <v>0.252</v>
      </c>
      <c r="O1435">
        <v>3</v>
      </c>
      <c r="P1435" s="84">
        <v>0.252</v>
      </c>
      <c r="Q1435" s="86">
        <v>4.2</v>
      </c>
      <c r="R1435" s="85">
        <v>4.2</v>
      </c>
      <c r="S1435" s="87">
        <v>1545240</v>
      </c>
      <c r="T1435" s="1">
        <v>1</v>
      </c>
      <c r="U1435" s="88">
        <v>367914.28571428568</v>
      </c>
      <c r="V1435" s="59">
        <v>2.7180243845616214</v>
      </c>
      <c r="X1435" s="98">
        <v>4.2</v>
      </c>
      <c r="Y1435" s="97">
        <v>393.00952380952378</v>
      </c>
    </row>
    <row r="1436" spans="1:25">
      <c r="A1436" s="58">
        <v>1438</v>
      </c>
      <c r="B1436" s="58">
        <v>1438</v>
      </c>
      <c r="C1436" s="58" t="s">
        <v>2191</v>
      </c>
      <c r="D1436" s="58" t="s">
        <v>182</v>
      </c>
      <c r="E1436" s="58" t="s">
        <v>182</v>
      </c>
      <c r="F1436" s="58" t="s">
        <v>302</v>
      </c>
      <c r="G1436" s="58" t="s">
        <v>303</v>
      </c>
      <c r="H1436" s="58" t="s">
        <v>179</v>
      </c>
      <c r="I1436">
        <v>38000</v>
      </c>
      <c r="J1436">
        <v>38000</v>
      </c>
      <c r="K1436" s="58" t="s">
        <v>185</v>
      </c>
      <c r="L1436" s="74">
        <v>13.105</v>
      </c>
      <c r="M1436" s="85">
        <v>14</v>
      </c>
      <c r="N1436" s="74">
        <v>0.38600000000000001</v>
      </c>
      <c r="O1436">
        <v>3</v>
      </c>
      <c r="P1436" s="84">
        <v>0.38600000000000001</v>
      </c>
      <c r="Q1436" s="86">
        <v>4.2</v>
      </c>
      <c r="R1436" s="85">
        <v>4.2</v>
      </c>
      <c r="S1436" s="87">
        <v>1597940</v>
      </c>
      <c r="T1436" s="1">
        <v>1</v>
      </c>
      <c r="U1436" s="88">
        <v>380461.90476190473</v>
      </c>
      <c r="V1436" s="59">
        <v>2.6283840444572388</v>
      </c>
      <c r="X1436" s="98">
        <v>4.2</v>
      </c>
      <c r="Y1436" s="97">
        <v>367.91428571428571</v>
      </c>
    </row>
    <row r="1437" spans="1:25">
      <c r="A1437" s="58">
        <v>1439</v>
      </c>
      <c r="B1437" s="58">
        <v>1439</v>
      </c>
      <c r="C1437" s="58" t="s">
        <v>2192</v>
      </c>
      <c r="D1437" s="58" t="s">
        <v>182</v>
      </c>
      <c r="E1437" s="58" t="s">
        <v>182</v>
      </c>
      <c r="F1437" s="58" t="s">
        <v>440</v>
      </c>
      <c r="G1437" s="58" t="s">
        <v>441</v>
      </c>
      <c r="H1437" s="58" t="s">
        <v>199</v>
      </c>
      <c r="I1437">
        <v>110000</v>
      </c>
      <c r="L1437" s="74">
        <v>10.603</v>
      </c>
      <c r="M1437" s="85">
        <v>11</v>
      </c>
      <c r="N1437" s="74">
        <v>0.24</v>
      </c>
      <c r="O1437">
        <v>3</v>
      </c>
      <c r="P1437" s="84">
        <v>0.24</v>
      </c>
      <c r="Q1437" s="86">
        <v>4.2</v>
      </c>
      <c r="R1437" s="85">
        <v>4.2</v>
      </c>
      <c r="S1437" s="87">
        <v>1996170</v>
      </c>
      <c r="T1437" s="1">
        <v>7</v>
      </c>
      <c r="U1437" s="88">
        <v>475278.57142857142</v>
      </c>
      <c r="V1437" s="59">
        <v>2.1040292159485414</v>
      </c>
      <c r="X1437" s="98">
        <v>4.2</v>
      </c>
      <c r="Y1437" s="97">
        <v>380.46190476190475</v>
      </c>
    </row>
    <row r="1438" spans="1:25">
      <c r="A1438" s="58">
        <v>1440</v>
      </c>
      <c r="B1438" s="58">
        <v>1440</v>
      </c>
      <c r="C1438" s="58" t="s">
        <v>2193</v>
      </c>
      <c r="D1438" s="58" t="s">
        <v>182</v>
      </c>
      <c r="E1438" s="58" t="s">
        <v>182</v>
      </c>
      <c r="F1438" s="58" t="s">
        <v>302</v>
      </c>
      <c r="G1438" s="58" t="s">
        <v>303</v>
      </c>
      <c r="H1438" s="58" t="s">
        <v>179</v>
      </c>
      <c r="I1438">
        <v>38000</v>
      </c>
      <c r="J1438">
        <v>38000</v>
      </c>
      <c r="K1438" s="58" t="s">
        <v>185</v>
      </c>
      <c r="L1438" s="74">
        <v>17.082000000000001</v>
      </c>
      <c r="M1438" s="85">
        <v>18</v>
      </c>
      <c r="N1438" s="74">
        <v>0.27300000000000002</v>
      </c>
      <c r="O1438">
        <v>3</v>
      </c>
      <c r="P1438" s="84">
        <v>0.27300000000000002</v>
      </c>
      <c r="Q1438" s="86">
        <v>4.2</v>
      </c>
      <c r="R1438" s="85">
        <v>4.2</v>
      </c>
      <c r="S1438" s="87">
        <v>1808740</v>
      </c>
      <c r="T1438" s="1">
        <v>1</v>
      </c>
      <c r="U1438" s="88">
        <v>430652.38095238095</v>
      </c>
      <c r="V1438" s="59">
        <v>2.3220584495284009</v>
      </c>
      <c r="X1438" s="98">
        <v>4.2</v>
      </c>
      <c r="Y1438" s="97">
        <v>475.27857142857147</v>
      </c>
    </row>
    <row r="1439" spans="1:25">
      <c r="A1439" s="58">
        <v>1441</v>
      </c>
      <c r="B1439" s="58">
        <v>1441</v>
      </c>
      <c r="C1439" s="58" t="s">
        <v>2194</v>
      </c>
      <c r="D1439" s="58" t="s">
        <v>182</v>
      </c>
      <c r="E1439" s="58" t="s">
        <v>182</v>
      </c>
      <c r="F1439" s="58" t="s">
        <v>595</v>
      </c>
      <c r="G1439" s="58" t="s">
        <v>596</v>
      </c>
      <c r="H1439" s="58" t="s">
        <v>179</v>
      </c>
      <c r="I1439">
        <v>38000</v>
      </c>
      <c r="J1439">
        <v>38000</v>
      </c>
      <c r="K1439" s="58" t="s">
        <v>185</v>
      </c>
      <c r="L1439" s="74">
        <v>17.597999999999999</v>
      </c>
      <c r="M1439" s="85">
        <v>18</v>
      </c>
      <c r="N1439" s="74">
        <v>0.11899999999999999</v>
      </c>
      <c r="O1439">
        <v>3</v>
      </c>
      <c r="P1439" s="84">
        <v>0.11899999999999999</v>
      </c>
      <c r="Q1439" s="86">
        <v>4.2</v>
      </c>
      <c r="R1439" s="85">
        <v>4.2</v>
      </c>
      <c r="S1439" s="87">
        <v>1808740</v>
      </c>
      <c r="T1439" s="1">
        <v>1</v>
      </c>
      <c r="U1439" s="88">
        <v>430652.38095238095</v>
      </c>
      <c r="V1439" s="59">
        <v>2.3220584495284009</v>
      </c>
      <c r="X1439" s="98">
        <v>4.2</v>
      </c>
      <c r="Y1439" s="97">
        <v>430.65238095238095</v>
      </c>
    </row>
    <row r="1440" spans="1:25">
      <c r="A1440" s="58">
        <v>1442</v>
      </c>
      <c r="B1440" s="58">
        <v>1442</v>
      </c>
      <c r="C1440" s="58" t="s">
        <v>2195</v>
      </c>
      <c r="D1440" s="58" t="s">
        <v>234</v>
      </c>
      <c r="E1440" s="58" t="s">
        <v>234</v>
      </c>
      <c r="F1440" s="58" t="s">
        <v>595</v>
      </c>
      <c r="G1440" s="58" t="s">
        <v>596</v>
      </c>
      <c r="H1440" s="58" t="s">
        <v>179</v>
      </c>
      <c r="I1440">
        <v>38000</v>
      </c>
      <c r="J1440">
        <v>38000</v>
      </c>
      <c r="K1440" s="58" t="s">
        <v>185</v>
      </c>
      <c r="L1440" s="74">
        <v>17.635000000000002</v>
      </c>
      <c r="M1440" s="85">
        <v>18</v>
      </c>
      <c r="N1440" s="74">
        <v>0.55000000000000004</v>
      </c>
      <c r="O1440">
        <v>3</v>
      </c>
      <c r="P1440" s="84">
        <v>0.55000000000000004</v>
      </c>
      <c r="Q1440" s="86">
        <v>4.2</v>
      </c>
      <c r="R1440" s="85">
        <v>4.2</v>
      </c>
      <c r="S1440" s="87">
        <v>1808740</v>
      </c>
      <c r="T1440" s="1">
        <v>1</v>
      </c>
      <c r="U1440" s="88">
        <v>430652.38095238095</v>
      </c>
      <c r="V1440" s="59">
        <v>2.3220584495284009</v>
      </c>
      <c r="X1440" s="98">
        <v>4.2</v>
      </c>
      <c r="Y1440" s="97">
        <v>430.65238095238095</v>
      </c>
    </row>
    <row r="1441" spans="1:25">
      <c r="A1441" s="58">
        <v>1443</v>
      </c>
      <c r="B1441" s="58">
        <v>1443</v>
      </c>
      <c r="C1441" s="58" t="s">
        <v>2196</v>
      </c>
      <c r="D1441" s="58" t="s">
        <v>182</v>
      </c>
      <c r="E1441" s="58" t="s">
        <v>182</v>
      </c>
      <c r="F1441" s="58" t="s">
        <v>440</v>
      </c>
      <c r="G1441" s="58" t="s">
        <v>441</v>
      </c>
      <c r="H1441" s="58" t="s">
        <v>199</v>
      </c>
      <c r="I1441">
        <v>110000</v>
      </c>
      <c r="L1441" s="74">
        <v>11.291</v>
      </c>
      <c r="M1441" s="85">
        <v>12</v>
      </c>
      <c r="N1441" s="74">
        <v>0.36499999999999999</v>
      </c>
      <c r="O1441">
        <v>3</v>
      </c>
      <c r="P1441" s="84">
        <v>0.36499999999999999</v>
      </c>
      <c r="Q1441" s="86">
        <v>4.2</v>
      </c>
      <c r="R1441" s="85">
        <v>4.2</v>
      </c>
      <c r="S1441" s="87">
        <v>2048870</v>
      </c>
      <c r="T1441" s="1">
        <v>7</v>
      </c>
      <c r="U1441" s="88">
        <v>487826.19047619047</v>
      </c>
      <c r="V1441" s="59">
        <v>2.0499104384367968</v>
      </c>
      <c r="X1441" s="98">
        <v>4.2</v>
      </c>
      <c r="Y1441" s="97">
        <v>430.65238095238095</v>
      </c>
    </row>
    <row r="1442" spans="1:25">
      <c r="A1442" s="58">
        <v>1444</v>
      </c>
      <c r="B1442" s="58">
        <v>1444</v>
      </c>
      <c r="C1442" s="58" t="s">
        <v>2197</v>
      </c>
      <c r="D1442" s="58" t="s">
        <v>182</v>
      </c>
      <c r="E1442" s="58" t="s">
        <v>182</v>
      </c>
      <c r="F1442" s="58" t="s">
        <v>302</v>
      </c>
      <c r="G1442" s="58" t="s">
        <v>303</v>
      </c>
      <c r="H1442" s="58" t="s">
        <v>179</v>
      </c>
      <c r="I1442">
        <v>38000</v>
      </c>
      <c r="J1442">
        <v>38000</v>
      </c>
      <c r="K1442" s="58" t="s">
        <v>185</v>
      </c>
      <c r="L1442" s="74">
        <v>6.2050000000000001</v>
      </c>
      <c r="M1442" s="85">
        <v>7</v>
      </c>
      <c r="N1442" s="74">
        <v>0.34399999999999997</v>
      </c>
      <c r="O1442">
        <v>3</v>
      </c>
      <c r="P1442" s="84">
        <v>0.34399999999999997</v>
      </c>
      <c r="Q1442" s="86">
        <v>4.2</v>
      </c>
      <c r="R1442" s="85">
        <v>4.2</v>
      </c>
      <c r="S1442" s="87">
        <v>839680</v>
      </c>
      <c r="T1442" s="1">
        <v>4</v>
      </c>
      <c r="U1442" s="88">
        <v>199923.80952380953</v>
      </c>
      <c r="V1442" s="59">
        <v>5.0019054878048781</v>
      </c>
      <c r="X1442" s="98">
        <v>4.2</v>
      </c>
      <c r="Y1442" s="97">
        <v>487.82619047619045</v>
      </c>
    </row>
    <row r="1443" spans="1:25">
      <c r="A1443" s="58">
        <v>1445</v>
      </c>
      <c r="B1443" s="58">
        <v>1445</v>
      </c>
      <c r="C1443" s="58" t="s">
        <v>2198</v>
      </c>
      <c r="D1443" s="58" t="s">
        <v>234</v>
      </c>
      <c r="E1443" s="58" t="s">
        <v>234</v>
      </c>
      <c r="F1443" s="58" t="s">
        <v>309</v>
      </c>
      <c r="G1443" s="58" t="s">
        <v>310</v>
      </c>
      <c r="H1443" s="58" t="s">
        <v>179</v>
      </c>
      <c r="I1443">
        <v>38000</v>
      </c>
      <c r="J1443">
        <v>38000</v>
      </c>
      <c r="K1443">
        <v>20000</v>
      </c>
      <c r="L1443" s="74">
        <v>18.420999999999999</v>
      </c>
      <c r="M1443" s="85">
        <v>19</v>
      </c>
      <c r="N1443" s="74">
        <v>9.2999999999999999E-2</v>
      </c>
      <c r="O1443">
        <v>3</v>
      </c>
      <c r="P1443" s="84">
        <v>9.2999999999999999E-2</v>
      </c>
      <c r="Q1443" s="86">
        <v>4.2</v>
      </c>
      <c r="R1443" s="85">
        <v>4.2</v>
      </c>
      <c r="S1443" s="87">
        <v>1861440</v>
      </c>
      <c r="T1443" s="1">
        <v>1</v>
      </c>
      <c r="U1443" s="88">
        <v>443200</v>
      </c>
      <c r="V1443" s="59">
        <v>2.256317689530686</v>
      </c>
      <c r="X1443" s="98">
        <v>4.2</v>
      </c>
      <c r="Y1443" s="97">
        <v>199.92380952380952</v>
      </c>
    </row>
    <row r="1444" spans="1:25">
      <c r="A1444" s="58">
        <v>1446</v>
      </c>
      <c r="B1444" s="58">
        <v>1446</v>
      </c>
      <c r="C1444" s="58" t="s">
        <v>2199</v>
      </c>
      <c r="D1444" s="58" t="s">
        <v>234</v>
      </c>
      <c r="E1444" s="58" t="s">
        <v>234</v>
      </c>
      <c r="F1444" s="58" t="s">
        <v>302</v>
      </c>
      <c r="G1444" s="58" t="s">
        <v>303</v>
      </c>
      <c r="H1444" s="58" t="s">
        <v>179</v>
      </c>
      <c r="I1444">
        <v>38000</v>
      </c>
      <c r="J1444">
        <v>38000</v>
      </c>
      <c r="K1444" s="58" t="s">
        <v>185</v>
      </c>
      <c r="L1444" s="74">
        <v>20.745999999999999</v>
      </c>
      <c r="M1444" s="85">
        <v>21</v>
      </c>
      <c r="N1444" s="74">
        <v>0.33600000000000002</v>
      </c>
      <c r="O1444">
        <v>3</v>
      </c>
      <c r="P1444" s="84">
        <v>0.33600000000000002</v>
      </c>
      <c r="Q1444" s="86">
        <v>4.2</v>
      </c>
      <c r="R1444" s="85">
        <v>4.2</v>
      </c>
      <c r="S1444" s="87">
        <v>1966840</v>
      </c>
      <c r="T1444" s="1">
        <v>1</v>
      </c>
      <c r="U1444" s="88">
        <v>468295.23809523805</v>
      </c>
      <c r="V1444" s="59">
        <v>2.135405015151207</v>
      </c>
      <c r="X1444" s="98">
        <v>4.2</v>
      </c>
      <c r="Y1444" s="97">
        <v>443.2</v>
      </c>
    </row>
    <row r="1445" spans="1:25">
      <c r="A1445" s="58">
        <v>1447</v>
      </c>
      <c r="B1445" s="58">
        <v>1447</v>
      </c>
      <c r="C1445" s="58" t="s">
        <v>2200</v>
      </c>
      <c r="D1445" s="58" t="s">
        <v>234</v>
      </c>
      <c r="E1445" s="58" t="s">
        <v>234</v>
      </c>
      <c r="F1445" s="58" t="s">
        <v>316</v>
      </c>
      <c r="G1445" s="58" t="s">
        <v>317</v>
      </c>
      <c r="H1445" s="58" t="s">
        <v>199</v>
      </c>
      <c r="I1445">
        <v>110000</v>
      </c>
      <c r="J1445">
        <v>110000</v>
      </c>
      <c r="K1445">
        <v>38000</v>
      </c>
      <c r="L1445" s="74">
        <v>26.37</v>
      </c>
      <c r="M1445" s="85">
        <v>27</v>
      </c>
      <c r="N1445" s="74">
        <v>0.35399999999999998</v>
      </c>
      <c r="O1445">
        <v>3</v>
      </c>
      <c r="P1445" s="84">
        <v>0.35399999999999998</v>
      </c>
      <c r="Q1445" s="86">
        <v>4.2</v>
      </c>
      <c r="R1445" s="85">
        <v>4.2</v>
      </c>
      <c r="S1445" s="87">
        <v>2839370</v>
      </c>
      <c r="T1445" s="1">
        <v>7</v>
      </c>
      <c r="U1445" s="88">
        <v>676040.47619047621</v>
      </c>
      <c r="V1445" s="59">
        <v>1.4792013721353681</v>
      </c>
      <c r="X1445" s="98">
        <v>4.2</v>
      </c>
      <c r="Y1445" s="97">
        <v>468.29523809523806</v>
      </c>
    </row>
    <row r="1446" spans="1:25">
      <c r="A1446" s="58">
        <v>1448</v>
      </c>
      <c r="B1446" s="58">
        <v>1448</v>
      </c>
      <c r="C1446" s="58" t="s">
        <v>2201</v>
      </c>
      <c r="D1446" s="58" t="s">
        <v>234</v>
      </c>
      <c r="E1446" s="58" t="s">
        <v>234</v>
      </c>
      <c r="F1446" s="58" t="s">
        <v>323</v>
      </c>
      <c r="G1446" s="58" t="s">
        <v>324</v>
      </c>
      <c r="H1446" s="58" t="s">
        <v>179</v>
      </c>
      <c r="I1446">
        <v>38000</v>
      </c>
      <c r="J1446">
        <v>38000</v>
      </c>
      <c r="K1446">
        <v>20000</v>
      </c>
      <c r="L1446" s="74">
        <v>13.795999999999999</v>
      </c>
      <c r="M1446" s="85">
        <v>14</v>
      </c>
      <c r="N1446" s="74">
        <v>0.59299999999999997</v>
      </c>
      <c r="O1446">
        <v>3</v>
      </c>
      <c r="P1446" s="84">
        <v>0.59299999999999997</v>
      </c>
      <c r="Q1446" s="86">
        <v>4.2</v>
      </c>
      <c r="R1446" s="85">
        <v>4.2</v>
      </c>
      <c r="S1446" s="87">
        <v>1597940</v>
      </c>
      <c r="T1446" s="1">
        <v>1</v>
      </c>
      <c r="U1446" s="88">
        <v>380461.90476190473</v>
      </c>
      <c r="V1446" s="59">
        <v>2.6283840444572388</v>
      </c>
      <c r="X1446" s="98">
        <v>4.2</v>
      </c>
      <c r="Y1446" s="97">
        <v>676.04047619047628</v>
      </c>
    </row>
    <row r="1447" spans="1:25">
      <c r="A1447" s="58">
        <v>1449</v>
      </c>
      <c r="B1447" s="58">
        <v>1449</v>
      </c>
      <c r="C1447" s="58" t="s">
        <v>2202</v>
      </c>
      <c r="D1447" s="58" t="s">
        <v>234</v>
      </c>
      <c r="E1447" s="58" t="s">
        <v>234</v>
      </c>
      <c r="F1447" s="58" t="s">
        <v>323</v>
      </c>
      <c r="G1447" s="58" t="s">
        <v>324</v>
      </c>
      <c r="H1447" s="58" t="s">
        <v>179</v>
      </c>
      <c r="I1447">
        <v>38000</v>
      </c>
      <c r="J1447">
        <v>38000</v>
      </c>
      <c r="K1447">
        <v>20000</v>
      </c>
      <c r="L1447" s="74">
        <v>13.25</v>
      </c>
      <c r="M1447" s="85">
        <v>14</v>
      </c>
      <c r="N1447" s="74">
        <v>0.13200000000000001</v>
      </c>
      <c r="O1447">
        <v>3</v>
      </c>
      <c r="P1447" s="84">
        <v>0.13200000000000001</v>
      </c>
      <c r="Q1447" s="86">
        <v>4.2</v>
      </c>
      <c r="R1447" s="85">
        <v>4.2</v>
      </c>
      <c r="S1447" s="87">
        <v>1597940</v>
      </c>
      <c r="T1447" s="1">
        <v>1</v>
      </c>
      <c r="U1447" s="88">
        <v>380461.90476190473</v>
      </c>
      <c r="V1447" s="59">
        <v>2.6283840444572388</v>
      </c>
      <c r="X1447" s="98">
        <v>4.2</v>
      </c>
      <c r="Y1447" s="97">
        <v>380.46190476190475</v>
      </c>
    </row>
    <row r="1448" spans="1:25">
      <c r="A1448" s="58">
        <v>1450</v>
      </c>
      <c r="B1448" s="58">
        <v>1450</v>
      </c>
      <c r="C1448" s="58" t="s">
        <v>2203</v>
      </c>
      <c r="D1448" s="58" t="s">
        <v>234</v>
      </c>
      <c r="E1448" s="58" t="s">
        <v>234</v>
      </c>
      <c r="F1448" s="58" t="s">
        <v>630</v>
      </c>
      <c r="G1448" s="58" t="s">
        <v>631</v>
      </c>
      <c r="H1448" s="58" t="s">
        <v>179</v>
      </c>
      <c r="I1448">
        <v>38000</v>
      </c>
      <c r="J1448" s="58" t="s">
        <v>185</v>
      </c>
      <c r="K1448">
        <v>38000</v>
      </c>
      <c r="L1448" s="74">
        <v>9.0069999999999997</v>
      </c>
      <c r="M1448" s="85">
        <v>10</v>
      </c>
      <c r="N1448" s="74">
        <v>0.40799999999999997</v>
      </c>
      <c r="O1448">
        <v>3</v>
      </c>
      <c r="P1448" s="84">
        <v>0.40799999999999997</v>
      </c>
      <c r="Q1448" s="86">
        <v>4.2</v>
      </c>
      <c r="R1448" s="85">
        <v>4.2</v>
      </c>
      <c r="S1448" s="87">
        <v>1387140</v>
      </c>
      <c r="T1448" s="1">
        <v>1</v>
      </c>
      <c r="U1448" s="88">
        <v>330271.42857142858</v>
      </c>
      <c r="V1448" s="59">
        <v>3.0278126216531858</v>
      </c>
      <c r="X1448" s="98">
        <v>4.2</v>
      </c>
      <c r="Y1448" s="97">
        <v>380.46190476190475</v>
      </c>
    </row>
    <row r="1449" spans="1:25">
      <c r="A1449" s="58">
        <v>1451</v>
      </c>
      <c r="B1449" s="58">
        <v>1451</v>
      </c>
      <c r="C1449" s="58" t="s">
        <v>2204</v>
      </c>
      <c r="D1449" s="58" t="s">
        <v>234</v>
      </c>
      <c r="E1449" s="58" t="s">
        <v>234</v>
      </c>
      <c r="F1449" s="58" t="s">
        <v>630</v>
      </c>
      <c r="G1449" s="58" t="s">
        <v>631</v>
      </c>
      <c r="H1449" s="58" t="s">
        <v>179</v>
      </c>
      <c r="I1449">
        <v>38000</v>
      </c>
      <c r="J1449" s="58" t="s">
        <v>185</v>
      </c>
      <c r="K1449">
        <v>38000</v>
      </c>
      <c r="L1449" s="74">
        <v>4.1929999999999996</v>
      </c>
      <c r="M1449" s="85">
        <v>5</v>
      </c>
      <c r="N1449" s="74">
        <v>0.22</v>
      </c>
      <c r="O1449">
        <v>3</v>
      </c>
      <c r="P1449" s="84">
        <v>0.22</v>
      </c>
      <c r="Q1449" s="86">
        <v>4.2</v>
      </c>
      <c r="R1449" s="85">
        <v>4.2</v>
      </c>
      <c r="S1449" s="87">
        <v>699140</v>
      </c>
      <c r="T1449" s="1">
        <v>4</v>
      </c>
      <c r="U1449" s="88">
        <v>166461.90476190476</v>
      </c>
      <c r="V1449" s="59">
        <v>6.0073804960379897</v>
      </c>
      <c r="X1449" s="98">
        <v>4.2</v>
      </c>
      <c r="Y1449" s="97">
        <v>330.2714285714286</v>
      </c>
    </row>
    <row r="1450" spans="1:25">
      <c r="A1450" s="58">
        <v>1452</v>
      </c>
      <c r="B1450" s="58">
        <v>1452</v>
      </c>
      <c r="C1450" s="58" t="s">
        <v>2205</v>
      </c>
      <c r="D1450" s="58" t="s">
        <v>346</v>
      </c>
      <c r="E1450" s="58" t="s">
        <v>346</v>
      </c>
      <c r="F1450" s="58" t="s">
        <v>646</v>
      </c>
      <c r="G1450" s="58" t="s">
        <v>647</v>
      </c>
      <c r="H1450" s="58" t="s">
        <v>179</v>
      </c>
      <c r="I1450">
        <v>38000</v>
      </c>
      <c r="J1450" s="58" t="s">
        <v>185</v>
      </c>
      <c r="K1450">
        <v>38000</v>
      </c>
      <c r="L1450" s="74">
        <v>7.0289999999999999</v>
      </c>
      <c r="M1450" s="85">
        <v>8</v>
      </c>
      <c r="N1450" s="74">
        <v>0.21299999999999999</v>
      </c>
      <c r="O1450">
        <v>3</v>
      </c>
      <c r="P1450" s="84">
        <v>0.21299999999999999</v>
      </c>
      <c r="Q1450" s="86">
        <v>4.2</v>
      </c>
      <c r="R1450" s="85">
        <v>4.2</v>
      </c>
      <c r="S1450" s="87">
        <v>909950</v>
      </c>
      <c r="T1450" s="1">
        <v>4</v>
      </c>
      <c r="U1450" s="88">
        <v>216654.76190476189</v>
      </c>
      <c r="V1450" s="59">
        <v>4.6156382218803227</v>
      </c>
      <c r="X1450" s="98">
        <v>4.2</v>
      </c>
      <c r="Y1450" s="97">
        <v>166.46190476190475</v>
      </c>
    </row>
    <row r="1451" spans="1:25">
      <c r="A1451" s="58">
        <v>1453</v>
      </c>
      <c r="B1451" s="58">
        <v>1453</v>
      </c>
      <c r="C1451" s="58" t="s">
        <v>2206</v>
      </c>
      <c r="D1451" s="58" t="s">
        <v>351</v>
      </c>
      <c r="E1451" s="58" t="s">
        <v>351</v>
      </c>
      <c r="F1451" s="58" t="s">
        <v>514</v>
      </c>
      <c r="G1451" s="58" t="s">
        <v>515</v>
      </c>
      <c r="H1451" s="58" t="s">
        <v>179</v>
      </c>
      <c r="I1451">
        <v>38000</v>
      </c>
      <c r="J1451">
        <v>38000</v>
      </c>
      <c r="K1451">
        <v>20000</v>
      </c>
      <c r="L1451" s="74">
        <v>10.192</v>
      </c>
      <c r="M1451" s="85">
        <v>11</v>
      </c>
      <c r="N1451" s="74">
        <v>0.16600000000000001</v>
      </c>
      <c r="O1451">
        <v>3</v>
      </c>
      <c r="P1451" s="84">
        <v>0.16600000000000001</v>
      </c>
      <c r="Q1451" s="86">
        <v>4.2</v>
      </c>
      <c r="R1451" s="85">
        <v>4.2</v>
      </c>
      <c r="S1451" s="87">
        <v>1439840</v>
      </c>
      <c r="T1451" s="1">
        <v>1</v>
      </c>
      <c r="U1451" s="88">
        <v>342819.04761904763</v>
      </c>
      <c r="V1451" s="59">
        <v>2.9169907767529724</v>
      </c>
      <c r="X1451" s="98">
        <v>4.2</v>
      </c>
      <c r="Y1451" s="97">
        <v>216.6547619047619</v>
      </c>
    </row>
    <row r="1452" spans="1:25">
      <c r="A1452" s="58">
        <v>1454</v>
      </c>
      <c r="B1452" s="58">
        <v>1454</v>
      </c>
      <c r="C1452" s="58" t="s">
        <v>2207</v>
      </c>
      <c r="D1452" s="58" t="s">
        <v>346</v>
      </c>
      <c r="E1452" s="58" t="s">
        <v>346</v>
      </c>
      <c r="F1452" s="58" t="s">
        <v>352</v>
      </c>
      <c r="G1452" s="58" t="s">
        <v>353</v>
      </c>
      <c r="H1452" s="58" t="s">
        <v>179</v>
      </c>
      <c r="I1452">
        <v>38000</v>
      </c>
      <c r="J1452">
        <v>38000</v>
      </c>
      <c r="K1452">
        <v>10000</v>
      </c>
      <c r="L1452" s="74">
        <v>8.7469999999999999</v>
      </c>
      <c r="M1452" s="85">
        <v>9</v>
      </c>
      <c r="N1452" s="74">
        <v>0.17100000000000001</v>
      </c>
      <c r="O1452">
        <v>3</v>
      </c>
      <c r="P1452" s="84">
        <v>0.17100000000000001</v>
      </c>
      <c r="Q1452" s="86">
        <v>4.2</v>
      </c>
      <c r="R1452" s="85">
        <v>4.2</v>
      </c>
      <c r="S1452" s="87">
        <v>1334440</v>
      </c>
      <c r="T1452" s="1">
        <v>1</v>
      </c>
      <c r="U1452" s="88">
        <v>317723.80952380953</v>
      </c>
      <c r="V1452" s="59">
        <v>3.1473876682353645</v>
      </c>
      <c r="X1452" s="98">
        <v>4.2</v>
      </c>
      <c r="Y1452" s="97">
        <v>342.81904761904764</v>
      </c>
    </row>
    <row r="1453" spans="1:25">
      <c r="A1453" s="58">
        <v>1455</v>
      </c>
      <c r="B1453" s="58">
        <v>1455</v>
      </c>
      <c r="C1453" s="58" t="s">
        <v>2208</v>
      </c>
      <c r="D1453" s="58" t="s">
        <v>187</v>
      </c>
      <c r="E1453" s="58" t="s">
        <v>187</v>
      </c>
      <c r="F1453" s="58" t="s">
        <v>188</v>
      </c>
      <c r="G1453" s="58" t="s">
        <v>189</v>
      </c>
      <c r="H1453" s="58" t="s">
        <v>179</v>
      </c>
      <c r="I1453">
        <v>38000</v>
      </c>
      <c r="J1453">
        <v>38000</v>
      </c>
      <c r="K1453">
        <v>10000</v>
      </c>
      <c r="L1453" s="74">
        <v>4.0110000000000001</v>
      </c>
      <c r="M1453" s="85">
        <v>5</v>
      </c>
      <c r="N1453" s="74">
        <v>0.32600000000000001</v>
      </c>
      <c r="O1453">
        <v>3</v>
      </c>
      <c r="P1453" s="84">
        <v>0.32600000000000001</v>
      </c>
      <c r="Q1453" s="86">
        <v>4.2</v>
      </c>
      <c r="R1453" s="85">
        <v>4.2</v>
      </c>
      <c r="S1453" s="87">
        <v>699140</v>
      </c>
      <c r="T1453" s="1">
        <v>4</v>
      </c>
      <c r="U1453" s="88">
        <v>166461.90476190476</v>
      </c>
      <c r="V1453" s="59">
        <v>6.0073804960379897</v>
      </c>
      <c r="X1453" s="98">
        <v>4.2</v>
      </c>
      <c r="Y1453" s="97">
        <v>317.72380952380951</v>
      </c>
    </row>
    <row r="1454" spans="1:25">
      <c r="A1454" s="58">
        <v>1456</v>
      </c>
      <c r="B1454" s="58">
        <v>1456</v>
      </c>
      <c r="C1454" s="58" t="s">
        <v>2209</v>
      </c>
      <c r="D1454" s="58" t="s">
        <v>187</v>
      </c>
      <c r="E1454" s="58" t="s">
        <v>187</v>
      </c>
      <c r="F1454" s="58" t="s">
        <v>365</v>
      </c>
      <c r="G1454" s="58" t="s">
        <v>366</v>
      </c>
      <c r="H1454" s="58" t="s">
        <v>179</v>
      </c>
      <c r="I1454">
        <v>38000</v>
      </c>
      <c r="J1454">
        <v>38000</v>
      </c>
      <c r="K1454">
        <v>10000</v>
      </c>
      <c r="L1454" s="74">
        <v>3.4630000000000001</v>
      </c>
      <c r="M1454" s="85">
        <v>4</v>
      </c>
      <c r="N1454" s="74">
        <v>0.33900000000000002</v>
      </c>
      <c r="O1454">
        <v>3</v>
      </c>
      <c r="P1454" s="84">
        <v>0.33900000000000002</v>
      </c>
      <c r="Q1454" s="86">
        <v>4.2</v>
      </c>
      <c r="R1454" s="85">
        <v>4.2</v>
      </c>
      <c r="S1454" s="87">
        <v>628870</v>
      </c>
      <c r="T1454" s="1">
        <v>4</v>
      </c>
      <c r="U1454" s="88">
        <v>149730.95238095237</v>
      </c>
      <c r="V1454" s="59">
        <v>6.6786458250512828</v>
      </c>
      <c r="X1454" s="98">
        <v>4.2</v>
      </c>
      <c r="Y1454" s="97">
        <v>166.46190476190475</v>
      </c>
    </row>
    <row r="1455" spans="1:25">
      <c r="A1455" s="58">
        <v>1457</v>
      </c>
      <c r="B1455" s="58">
        <v>1457</v>
      </c>
      <c r="C1455" s="58" t="s">
        <v>2210</v>
      </c>
      <c r="D1455" s="58" t="s">
        <v>187</v>
      </c>
      <c r="E1455" s="58" t="s">
        <v>187</v>
      </c>
      <c r="F1455" s="58" t="s">
        <v>359</v>
      </c>
      <c r="G1455" s="58" t="s">
        <v>360</v>
      </c>
      <c r="H1455" s="58" t="s">
        <v>179</v>
      </c>
      <c r="I1455">
        <v>38000</v>
      </c>
      <c r="J1455" s="58" t="s">
        <v>185</v>
      </c>
      <c r="K1455">
        <v>38000</v>
      </c>
      <c r="L1455" s="74">
        <v>5.4619999999999997</v>
      </c>
      <c r="M1455" s="85">
        <v>6</v>
      </c>
      <c r="N1455" s="74">
        <v>0.19900000000000001</v>
      </c>
      <c r="O1455">
        <v>3</v>
      </c>
      <c r="P1455" s="84">
        <v>0.19900000000000001</v>
      </c>
      <c r="Q1455" s="86">
        <v>4.2</v>
      </c>
      <c r="R1455" s="85">
        <v>4.2</v>
      </c>
      <c r="S1455" s="87">
        <v>769410</v>
      </c>
      <c r="T1455" s="1">
        <v>4</v>
      </c>
      <c r="U1455" s="88">
        <v>183192.85714285713</v>
      </c>
      <c r="V1455" s="59">
        <v>5.4587281163488903</v>
      </c>
      <c r="X1455" s="98">
        <v>4.2</v>
      </c>
      <c r="Y1455" s="97">
        <v>149.73095238095235</v>
      </c>
    </row>
    <row r="1456" spans="1:25">
      <c r="A1456" s="58">
        <v>1458</v>
      </c>
      <c r="B1456" s="58">
        <v>1458</v>
      </c>
      <c r="C1456" s="58" t="s">
        <v>2211</v>
      </c>
      <c r="D1456" s="58" t="s">
        <v>187</v>
      </c>
      <c r="E1456" s="58" t="s">
        <v>187</v>
      </c>
      <c r="F1456" s="58" t="s">
        <v>359</v>
      </c>
      <c r="G1456" s="58" t="s">
        <v>360</v>
      </c>
      <c r="H1456" s="58" t="s">
        <v>179</v>
      </c>
      <c r="I1456">
        <v>38000</v>
      </c>
      <c r="J1456" s="58" t="s">
        <v>185</v>
      </c>
      <c r="K1456">
        <v>38000</v>
      </c>
      <c r="L1456" s="74">
        <v>5.8730000000000002</v>
      </c>
      <c r="M1456" s="85">
        <v>6</v>
      </c>
      <c r="N1456" s="74">
        <v>0.36099999999999999</v>
      </c>
      <c r="O1456">
        <v>3</v>
      </c>
      <c r="P1456" s="84">
        <v>0.36099999999999999</v>
      </c>
      <c r="Q1456" s="86">
        <v>4.2</v>
      </c>
      <c r="R1456" s="85">
        <v>4.2</v>
      </c>
      <c r="S1456" s="87">
        <v>769410</v>
      </c>
      <c r="T1456" s="1">
        <v>4</v>
      </c>
      <c r="U1456" s="88">
        <v>183192.85714285713</v>
      </c>
      <c r="V1456" s="59">
        <v>5.4587281163488903</v>
      </c>
      <c r="X1456" s="98">
        <v>4.2</v>
      </c>
      <c r="Y1456" s="97">
        <v>183.19285714285712</v>
      </c>
    </row>
    <row r="1457" spans="1:25">
      <c r="A1457" s="58">
        <v>1459</v>
      </c>
      <c r="B1457" s="58">
        <v>1459</v>
      </c>
      <c r="C1457" s="58" t="s">
        <v>2212</v>
      </c>
      <c r="D1457" s="58" t="s">
        <v>187</v>
      </c>
      <c r="E1457" s="58" t="s">
        <v>187</v>
      </c>
      <c r="F1457" s="58" t="s">
        <v>194</v>
      </c>
      <c r="G1457" s="58" t="s">
        <v>195</v>
      </c>
      <c r="H1457" s="58" t="s">
        <v>179</v>
      </c>
      <c r="I1457">
        <v>38000</v>
      </c>
      <c r="J1457" s="58" t="s">
        <v>185</v>
      </c>
      <c r="K1457">
        <v>38000</v>
      </c>
      <c r="L1457" s="74">
        <v>6.548</v>
      </c>
      <c r="M1457" s="85">
        <v>7</v>
      </c>
      <c r="N1457" s="74">
        <v>0.17799999999999999</v>
      </c>
      <c r="O1457">
        <v>3</v>
      </c>
      <c r="P1457" s="84">
        <v>0.17799999999999999</v>
      </c>
      <c r="Q1457" s="86">
        <v>4.2</v>
      </c>
      <c r="R1457" s="85">
        <v>4.2</v>
      </c>
      <c r="S1457" s="87">
        <v>839680</v>
      </c>
      <c r="T1457" s="1">
        <v>4</v>
      </c>
      <c r="U1457" s="88">
        <v>199923.80952380953</v>
      </c>
      <c r="V1457" s="59">
        <v>5.0019054878048781</v>
      </c>
      <c r="X1457" s="98">
        <v>4.2</v>
      </c>
      <c r="Y1457" s="97">
        <v>183.19285714285712</v>
      </c>
    </row>
    <row r="1458" spans="1:25">
      <c r="A1458" s="58">
        <v>1460</v>
      </c>
      <c r="B1458" s="58">
        <v>1460</v>
      </c>
      <c r="C1458" s="58" t="s">
        <v>2213</v>
      </c>
      <c r="D1458" s="58" t="s">
        <v>852</v>
      </c>
      <c r="E1458" s="58" t="s">
        <v>852</v>
      </c>
      <c r="F1458" s="58" t="s">
        <v>853</v>
      </c>
      <c r="G1458" s="58" t="s">
        <v>854</v>
      </c>
      <c r="H1458" s="58" t="s">
        <v>179</v>
      </c>
      <c r="I1458">
        <v>38000</v>
      </c>
      <c r="J1458" s="58" t="s">
        <v>185</v>
      </c>
      <c r="K1458">
        <v>38000</v>
      </c>
      <c r="L1458" s="74">
        <v>4.7590000000000003</v>
      </c>
      <c r="M1458" s="85">
        <v>5</v>
      </c>
      <c r="N1458" s="74">
        <v>0.497</v>
      </c>
      <c r="O1458">
        <v>3</v>
      </c>
      <c r="P1458" s="84">
        <v>0.497</v>
      </c>
      <c r="Q1458" s="86">
        <v>4.2</v>
      </c>
      <c r="R1458" s="85">
        <v>4.2</v>
      </c>
      <c r="S1458" s="87">
        <v>699140</v>
      </c>
      <c r="T1458" s="1">
        <v>4</v>
      </c>
      <c r="U1458" s="88">
        <v>166461.90476190476</v>
      </c>
      <c r="V1458" s="59">
        <v>6.0073804960379897</v>
      </c>
      <c r="X1458" s="98">
        <v>4.2</v>
      </c>
      <c r="Y1458" s="97">
        <v>199.92380952380952</v>
      </c>
    </row>
    <row r="1459" spans="1:25">
      <c r="A1459" s="58">
        <v>1461</v>
      </c>
      <c r="B1459" s="58">
        <v>1461</v>
      </c>
      <c r="C1459" s="58" t="s">
        <v>2214</v>
      </c>
      <c r="D1459" s="58" t="s">
        <v>852</v>
      </c>
      <c r="E1459" s="58" t="s">
        <v>346</v>
      </c>
      <c r="F1459" s="58" t="s">
        <v>853</v>
      </c>
      <c r="G1459" s="58" t="s">
        <v>854</v>
      </c>
      <c r="H1459" s="58" t="s">
        <v>179</v>
      </c>
      <c r="I1459">
        <v>38000</v>
      </c>
      <c r="J1459" s="58" t="s">
        <v>185</v>
      </c>
      <c r="K1459">
        <v>38000</v>
      </c>
      <c r="L1459" s="74">
        <v>7.5880000000000001</v>
      </c>
      <c r="M1459" s="85">
        <v>8</v>
      </c>
      <c r="N1459" s="74">
        <v>0.34699999999999998</v>
      </c>
      <c r="O1459">
        <v>3</v>
      </c>
      <c r="P1459" s="84">
        <v>0.34699999999999998</v>
      </c>
      <c r="Q1459" s="86">
        <v>4.2</v>
      </c>
      <c r="R1459" s="85">
        <v>4.2</v>
      </c>
      <c r="S1459" s="87">
        <v>909950</v>
      </c>
      <c r="T1459" s="1">
        <v>4</v>
      </c>
      <c r="U1459" s="88">
        <v>216654.76190476189</v>
      </c>
      <c r="V1459" s="59">
        <v>4.6156382218803227</v>
      </c>
      <c r="X1459" s="98">
        <v>4.2</v>
      </c>
      <c r="Y1459" s="97">
        <v>166.46190476190475</v>
      </c>
    </row>
    <row r="1460" spans="1:25">
      <c r="A1460" s="58">
        <v>1462</v>
      </c>
      <c r="B1460" s="58">
        <v>1462</v>
      </c>
      <c r="C1460" s="58" t="s">
        <v>2215</v>
      </c>
      <c r="D1460" s="58" t="s">
        <v>384</v>
      </c>
      <c r="E1460" s="58" t="s">
        <v>384</v>
      </c>
      <c r="F1460" s="58" t="s">
        <v>381</v>
      </c>
      <c r="G1460" s="58" t="s">
        <v>382</v>
      </c>
      <c r="H1460" s="58" t="s">
        <v>199</v>
      </c>
      <c r="I1460">
        <v>110000</v>
      </c>
      <c r="J1460">
        <v>20000</v>
      </c>
      <c r="K1460">
        <v>110000</v>
      </c>
      <c r="L1460" s="74">
        <v>7.617</v>
      </c>
      <c r="M1460" s="85">
        <v>8</v>
      </c>
      <c r="N1460" s="74">
        <v>0.121</v>
      </c>
      <c r="O1460">
        <v>3</v>
      </c>
      <c r="P1460" s="84">
        <v>0.121</v>
      </c>
      <c r="Q1460" s="86">
        <v>4.2</v>
      </c>
      <c r="R1460" s="85">
        <v>4.2</v>
      </c>
      <c r="S1460" s="87">
        <v>1838070</v>
      </c>
      <c r="T1460" s="1">
        <v>7</v>
      </c>
      <c r="U1460" s="88">
        <v>437635.71428571426</v>
      </c>
      <c r="V1460" s="59">
        <v>2.2850054676916547</v>
      </c>
      <c r="X1460" s="98">
        <v>4.2</v>
      </c>
      <c r="Y1460" s="97">
        <v>216.6547619047619</v>
      </c>
    </row>
    <row r="1461" spans="1:25">
      <c r="A1461" s="58">
        <v>1463</v>
      </c>
      <c r="B1461" s="58">
        <v>1463</v>
      </c>
      <c r="C1461" s="58" t="s">
        <v>2216</v>
      </c>
      <c r="D1461" s="58" t="s">
        <v>380</v>
      </c>
      <c r="E1461" s="58" t="s">
        <v>380</v>
      </c>
      <c r="F1461" s="58" t="s">
        <v>381</v>
      </c>
      <c r="G1461" s="58" t="s">
        <v>382</v>
      </c>
      <c r="H1461" s="58" t="s">
        <v>199</v>
      </c>
      <c r="I1461">
        <v>110000</v>
      </c>
      <c r="J1461">
        <v>20000</v>
      </c>
      <c r="K1461">
        <v>110000</v>
      </c>
      <c r="L1461" s="74">
        <v>11.255000000000001</v>
      </c>
      <c r="M1461" s="85">
        <v>12</v>
      </c>
      <c r="N1461" s="74">
        <v>0.498</v>
      </c>
      <c r="O1461">
        <v>3</v>
      </c>
      <c r="P1461" s="84">
        <v>0.498</v>
      </c>
      <c r="Q1461" s="86">
        <v>4.2</v>
      </c>
      <c r="R1461" s="85">
        <v>4.2</v>
      </c>
      <c r="S1461" s="87">
        <v>2048870</v>
      </c>
      <c r="T1461" s="1">
        <v>7</v>
      </c>
      <c r="U1461" s="88">
        <v>487826.19047619047</v>
      </c>
      <c r="V1461" s="59">
        <v>2.0499104384367968</v>
      </c>
      <c r="X1461" s="98">
        <v>4.2</v>
      </c>
      <c r="Y1461" s="97">
        <v>437.63571428571424</v>
      </c>
    </row>
    <row r="1462" spans="1:25">
      <c r="A1462" s="58">
        <v>1464</v>
      </c>
      <c r="B1462" s="58">
        <v>1464</v>
      </c>
      <c r="C1462" s="58" t="s">
        <v>2217</v>
      </c>
      <c r="D1462" s="58" t="s">
        <v>380</v>
      </c>
      <c r="E1462" s="58" t="s">
        <v>380</v>
      </c>
      <c r="F1462" s="58" t="s">
        <v>386</v>
      </c>
      <c r="G1462" s="58" t="s">
        <v>387</v>
      </c>
      <c r="H1462" s="58" t="s">
        <v>179</v>
      </c>
      <c r="I1462">
        <v>38000</v>
      </c>
      <c r="J1462">
        <v>38000</v>
      </c>
      <c r="K1462">
        <v>20000</v>
      </c>
      <c r="L1462" s="74">
        <v>9.4450000000000003</v>
      </c>
      <c r="M1462" s="85">
        <v>10</v>
      </c>
      <c r="N1462" s="74">
        <v>0.60799999999999998</v>
      </c>
      <c r="O1462">
        <v>3</v>
      </c>
      <c r="P1462" s="84">
        <v>0.60799999999999998</v>
      </c>
      <c r="Q1462" s="86">
        <v>4.2</v>
      </c>
      <c r="R1462" s="85">
        <v>4.2</v>
      </c>
      <c r="S1462" s="87">
        <v>1387140</v>
      </c>
      <c r="T1462" s="1">
        <v>1</v>
      </c>
      <c r="U1462" s="88">
        <v>330271.42857142858</v>
      </c>
      <c r="V1462" s="59">
        <v>3.0278126216531858</v>
      </c>
      <c r="X1462" s="98">
        <v>4.2</v>
      </c>
      <c r="Y1462" s="97">
        <v>487.82619047619045</v>
      </c>
    </row>
    <row r="1463" spans="1:25">
      <c r="A1463" s="58">
        <v>1465</v>
      </c>
      <c r="B1463" s="58">
        <v>1465</v>
      </c>
      <c r="C1463" s="58" t="s">
        <v>2218</v>
      </c>
      <c r="D1463" s="58" t="s">
        <v>207</v>
      </c>
      <c r="E1463" s="58" t="s">
        <v>207</v>
      </c>
      <c r="F1463" s="58" t="s">
        <v>389</v>
      </c>
      <c r="G1463" s="58" t="s">
        <v>390</v>
      </c>
      <c r="H1463" s="58" t="s">
        <v>199</v>
      </c>
      <c r="I1463">
        <v>110000</v>
      </c>
      <c r="J1463">
        <v>110000</v>
      </c>
      <c r="K1463">
        <v>38000</v>
      </c>
      <c r="L1463" s="74">
        <v>6.4969999999999999</v>
      </c>
      <c r="M1463" s="85">
        <v>7</v>
      </c>
      <c r="N1463" s="74">
        <v>0.318</v>
      </c>
      <c r="O1463">
        <v>3</v>
      </c>
      <c r="P1463" s="84">
        <v>0.318</v>
      </c>
      <c r="Q1463" s="86">
        <v>4.2</v>
      </c>
      <c r="R1463" s="85">
        <v>4.2</v>
      </c>
      <c r="S1463" s="87">
        <v>1785370</v>
      </c>
      <c r="T1463" s="1">
        <v>7</v>
      </c>
      <c r="U1463" s="88">
        <v>425088.09523809521</v>
      </c>
      <c r="V1463" s="59">
        <v>2.3524535530450272</v>
      </c>
      <c r="X1463" s="98">
        <v>4.2</v>
      </c>
      <c r="Y1463" s="97">
        <v>330.2714285714286</v>
      </c>
    </row>
    <row r="1464" spans="1:25">
      <c r="A1464" s="58">
        <v>1466</v>
      </c>
      <c r="B1464" s="58">
        <v>1466</v>
      </c>
      <c r="C1464" s="58" t="s">
        <v>2219</v>
      </c>
      <c r="D1464" s="58" t="s">
        <v>207</v>
      </c>
      <c r="E1464" s="58" t="s">
        <v>207</v>
      </c>
      <c r="F1464" s="58" t="s">
        <v>389</v>
      </c>
      <c r="G1464" s="58" t="s">
        <v>390</v>
      </c>
      <c r="H1464" s="58" t="s">
        <v>199</v>
      </c>
      <c r="I1464">
        <v>110000</v>
      </c>
      <c r="J1464">
        <v>110000</v>
      </c>
      <c r="K1464">
        <v>38000</v>
      </c>
      <c r="L1464" s="74">
        <v>6.9409999999999998</v>
      </c>
      <c r="M1464" s="85">
        <v>7</v>
      </c>
      <c r="N1464" s="74">
        <v>0.26700000000000002</v>
      </c>
      <c r="O1464">
        <v>3</v>
      </c>
      <c r="P1464" s="84">
        <v>0.26700000000000002</v>
      </c>
      <c r="Q1464" s="86">
        <v>4.2</v>
      </c>
      <c r="R1464" s="85">
        <v>4.2</v>
      </c>
      <c r="S1464" s="87">
        <v>1785370</v>
      </c>
      <c r="T1464" s="1">
        <v>7</v>
      </c>
      <c r="U1464" s="88">
        <v>425088.09523809521</v>
      </c>
      <c r="V1464" s="59">
        <v>2.3524535530450272</v>
      </c>
      <c r="X1464" s="98">
        <v>4.2</v>
      </c>
      <c r="Y1464" s="97">
        <v>425.08809523809521</v>
      </c>
    </row>
    <row r="1465" spans="1:25">
      <c r="A1465" s="58">
        <v>1467</v>
      </c>
      <c r="B1465" s="58">
        <v>1467</v>
      </c>
      <c r="C1465" s="58" t="s">
        <v>2220</v>
      </c>
      <c r="D1465" s="58" t="s">
        <v>207</v>
      </c>
      <c r="E1465" s="58" t="s">
        <v>207</v>
      </c>
      <c r="F1465" s="58" t="s">
        <v>389</v>
      </c>
      <c r="G1465" s="58" t="s">
        <v>390</v>
      </c>
      <c r="H1465" s="58" t="s">
        <v>199</v>
      </c>
      <c r="I1465">
        <v>110000</v>
      </c>
      <c r="J1465">
        <v>110000</v>
      </c>
      <c r="K1465">
        <v>38000</v>
      </c>
      <c r="L1465" s="74">
        <v>8.76</v>
      </c>
      <c r="M1465" s="85">
        <v>9</v>
      </c>
      <c r="N1465" s="74">
        <v>0.24299999999999999</v>
      </c>
      <c r="O1465">
        <v>3</v>
      </c>
      <c r="P1465" s="84">
        <v>0.24299999999999999</v>
      </c>
      <c r="Q1465" s="86">
        <v>4.2</v>
      </c>
      <c r="R1465" s="85">
        <v>4.2</v>
      </c>
      <c r="S1465" s="87">
        <v>1890770</v>
      </c>
      <c r="T1465" s="1">
        <v>7</v>
      </c>
      <c r="U1465" s="88">
        <v>450183.33333333331</v>
      </c>
      <c r="V1465" s="59">
        <v>2.2213172411239865</v>
      </c>
      <c r="X1465" s="98">
        <v>4.2</v>
      </c>
      <c r="Y1465" s="97">
        <v>425.08809523809521</v>
      </c>
    </row>
    <row r="1466" spans="1:25">
      <c r="A1466" s="58">
        <v>1468</v>
      </c>
      <c r="B1466" s="58">
        <v>1468</v>
      </c>
      <c r="C1466" s="58" t="s">
        <v>2221</v>
      </c>
      <c r="D1466" s="58" t="s">
        <v>207</v>
      </c>
      <c r="E1466" s="58" t="s">
        <v>207</v>
      </c>
      <c r="F1466" s="58" t="s">
        <v>705</v>
      </c>
      <c r="G1466" s="58" t="s">
        <v>706</v>
      </c>
      <c r="H1466" s="58" t="s">
        <v>179</v>
      </c>
      <c r="I1466">
        <v>38000</v>
      </c>
      <c r="J1466" s="58" t="s">
        <v>185</v>
      </c>
      <c r="K1466">
        <v>38000</v>
      </c>
      <c r="L1466" s="74">
        <v>11.14</v>
      </c>
      <c r="M1466" s="85">
        <v>12</v>
      </c>
      <c r="N1466" s="74">
        <v>0.40200000000000002</v>
      </c>
      <c r="O1466">
        <v>3</v>
      </c>
      <c r="P1466" s="84">
        <v>0.40200000000000002</v>
      </c>
      <c r="Q1466" s="86">
        <v>4.2</v>
      </c>
      <c r="R1466" s="85">
        <v>4.2</v>
      </c>
      <c r="S1466" s="87">
        <v>1492540</v>
      </c>
      <c r="T1466" s="1">
        <v>1</v>
      </c>
      <c r="U1466" s="88">
        <v>355366.66666666663</v>
      </c>
      <c r="V1466" s="59">
        <v>2.8139949348091173</v>
      </c>
      <c r="X1466" s="98">
        <v>4.2</v>
      </c>
      <c r="Y1466" s="97">
        <v>450.18333333333334</v>
      </c>
    </row>
    <row r="1467" spans="1:25">
      <c r="A1467" s="58">
        <v>1469</v>
      </c>
      <c r="B1467" s="58">
        <v>1469</v>
      </c>
      <c r="C1467" s="58" t="s">
        <v>2222</v>
      </c>
      <c r="D1467" s="58" t="s">
        <v>207</v>
      </c>
      <c r="E1467" s="58" t="s">
        <v>207</v>
      </c>
      <c r="F1467" s="58" t="s">
        <v>389</v>
      </c>
      <c r="G1467" s="58" t="s">
        <v>390</v>
      </c>
      <c r="H1467" s="58" t="s">
        <v>199</v>
      </c>
      <c r="I1467">
        <v>110000</v>
      </c>
      <c r="J1467">
        <v>110000</v>
      </c>
      <c r="K1467">
        <v>38000</v>
      </c>
      <c r="L1467" s="74">
        <v>9.5980000000000008</v>
      </c>
      <c r="M1467" s="85">
        <v>10</v>
      </c>
      <c r="N1467" s="74">
        <v>0.129</v>
      </c>
      <c r="O1467">
        <v>3</v>
      </c>
      <c r="P1467" s="84">
        <v>0.129</v>
      </c>
      <c r="Q1467" s="86">
        <v>4.2</v>
      </c>
      <c r="R1467" s="85">
        <v>4.2</v>
      </c>
      <c r="S1467" s="87">
        <v>1943470</v>
      </c>
      <c r="T1467" s="1">
        <v>7</v>
      </c>
      <c r="U1467" s="88">
        <v>462730.95238095237</v>
      </c>
      <c r="V1467" s="59">
        <v>2.1610830113148132</v>
      </c>
      <c r="X1467" s="98">
        <v>4.2</v>
      </c>
      <c r="Y1467" s="97">
        <v>355.36666666666662</v>
      </c>
    </row>
    <row r="1468" spans="1:25">
      <c r="A1468" s="58">
        <v>1470</v>
      </c>
      <c r="B1468" s="58">
        <v>1470</v>
      </c>
      <c r="C1468" s="58" t="s">
        <v>2223</v>
      </c>
      <c r="D1468" s="58" t="s">
        <v>207</v>
      </c>
      <c r="E1468" s="58" t="s">
        <v>207</v>
      </c>
      <c r="F1468" s="58" t="s">
        <v>393</v>
      </c>
      <c r="G1468" s="58" t="s">
        <v>394</v>
      </c>
      <c r="H1468" s="58" t="s">
        <v>179</v>
      </c>
      <c r="I1468">
        <v>38000</v>
      </c>
      <c r="J1468">
        <v>38000</v>
      </c>
      <c r="K1468" s="58" t="s">
        <v>185</v>
      </c>
      <c r="L1468" s="74">
        <v>8.73</v>
      </c>
      <c r="M1468" s="85">
        <v>9</v>
      </c>
      <c r="N1468" s="74">
        <v>9.0999999999999998E-2</v>
      </c>
      <c r="O1468">
        <v>3</v>
      </c>
      <c r="P1468" s="84">
        <v>9.0999999999999998E-2</v>
      </c>
      <c r="Q1468" s="86">
        <v>4.2</v>
      </c>
      <c r="R1468" s="85">
        <v>4.2</v>
      </c>
      <c r="S1468" s="87">
        <v>1334440</v>
      </c>
      <c r="T1468" s="1">
        <v>1</v>
      </c>
      <c r="U1468" s="88">
        <v>317723.80952380953</v>
      </c>
      <c r="V1468" s="59">
        <v>3.1473876682353645</v>
      </c>
      <c r="X1468" s="98">
        <v>4.2</v>
      </c>
      <c r="Y1468" s="97">
        <v>462.73095238095237</v>
      </c>
    </row>
    <row r="1469" spans="1:25">
      <c r="A1469" s="58">
        <v>1471</v>
      </c>
      <c r="B1469" s="58">
        <v>1471</v>
      </c>
      <c r="C1469" s="58" t="s">
        <v>2224</v>
      </c>
      <c r="D1469" s="58" t="s">
        <v>207</v>
      </c>
      <c r="E1469" s="58" t="s">
        <v>207</v>
      </c>
      <c r="F1469" s="58" t="s">
        <v>389</v>
      </c>
      <c r="G1469" s="58" t="s">
        <v>390</v>
      </c>
      <c r="H1469" s="58" t="s">
        <v>199</v>
      </c>
      <c r="I1469">
        <v>110000</v>
      </c>
      <c r="J1469">
        <v>110000</v>
      </c>
      <c r="K1469">
        <v>38000</v>
      </c>
      <c r="L1469" s="74">
        <v>11.428000000000001</v>
      </c>
      <c r="M1469" s="85">
        <v>12</v>
      </c>
      <c r="N1469" s="74">
        <v>0.64600000000000002</v>
      </c>
      <c r="O1469">
        <v>3</v>
      </c>
      <c r="P1469" s="84">
        <v>0.64600000000000002</v>
      </c>
      <c r="Q1469" s="86">
        <v>4.2</v>
      </c>
      <c r="R1469" s="85">
        <v>4.2</v>
      </c>
      <c r="S1469" s="87">
        <v>2048870</v>
      </c>
      <c r="T1469" s="1">
        <v>7</v>
      </c>
      <c r="U1469" s="88">
        <v>487826.19047619047</v>
      </c>
      <c r="V1469" s="59">
        <v>2.0499104384367968</v>
      </c>
      <c r="X1469" s="98">
        <v>4.2</v>
      </c>
      <c r="Y1469" s="97">
        <v>317.72380952380951</v>
      </c>
    </row>
    <row r="1470" spans="1:25">
      <c r="A1470" s="58">
        <v>1472</v>
      </c>
      <c r="B1470" s="58">
        <v>1472</v>
      </c>
      <c r="C1470" s="58" t="s">
        <v>2225</v>
      </c>
      <c r="D1470" s="58" t="s">
        <v>207</v>
      </c>
      <c r="E1470" s="58" t="s">
        <v>207</v>
      </c>
      <c r="F1470" s="58" t="s">
        <v>242</v>
      </c>
      <c r="G1470" s="58" t="s">
        <v>243</v>
      </c>
      <c r="H1470" s="58" t="s">
        <v>179</v>
      </c>
      <c r="I1470">
        <v>38000</v>
      </c>
      <c r="J1470">
        <v>38000</v>
      </c>
      <c r="K1470">
        <v>20000</v>
      </c>
      <c r="L1470" s="74">
        <v>9.4290000000000003</v>
      </c>
      <c r="M1470" s="85">
        <v>10</v>
      </c>
      <c r="N1470" s="74">
        <v>0.55500000000000005</v>
      </c>
      <c r="O1470">
        <v>3</v>
      </c>
      <c r="P1470" s="84">
        <v>0.55500000000000005</v>
      </c>
      <c r="Q1470" s="86">
        <v>4.2</v>
      </c>
      <c r="R1470" s="85">
        <v>4.2</v>
      </c>
      <c r="S1470" s="87">
        <v>1387140</v>
      </c>
      <c r="T1470" s="1">
        <v>1</v>
      </c>
      <c r="U1470" s="88">
        <v>330271.42857142858</v>
      </c>
      <c r="V1470" s="59">
        <v>3.0278126216531858</v>
      </c>
      <c r="X1470" s="98">
        <v>4.2</v>
      </c>
      <c r="Y1470" s="97">
        <v>487.82619047619045</v>
      </c>
    </row>
    <row r="1471" spans="1:25">
      <c r="A1471" s="58">
        <v>1473</v>
      </c>
      <c r="B1471" s="58">
        <v>1473</v>
      </c>
      <c r="C1471" s="58" t="s">
        <v>2226</v>
      </c>
      <c r="D1471" s="58" t="s">
        <v>207</v>
      </c>
      <c r="E1471" s="58" t="s">
        <v>207</v>
      </c>
      <c r="F1471" s="58" t="s">
        <v>502</v>
      </c>
      <c r="G1471" s="58" t="s">
        <v>503</v>
      </c>
      <c r="H1471" s="58" t="s">
        <v>179</v>
      </c>
      <c r="I1471">
        <v>38000</v>
      </c>
      <c r="J1471">
        <v>38000</v>
      </c>
      <c r="K1471" s="58" t="s">
        <v>185</v>
      </c>
      <c r="L1471" s="74">
        <v>13.644</v>
      </c>
      <c r="M1471" s="85">
        <v>14</v>
      </c>
      <c r="N1471" s="74">
        <v>0.34599999999999997</v>
      </c>
      <c r="O1471">
        <v>3</v>
      </c>
      <c r="P1471" s="84">
        <v>0.34599999999999997</v>
      </c>
      <c r="Q1471" s="86">
        <v>4.2</v>
      </c>
      <c r="R1471" s="85">
        <v>4.2</v>
      </c>
      <c r="S1471" s="87">
        <v>1597940</v>
      </c>
      <c r="T1471" s="1">
        <v>1</v>
      </c>
      <c r="U1471" s="88">
        <v>380461.90476190473</v>
      </c>
      <c r="V1471" s="59">
        <v>2.6283840444572388</v>
      </c>
      <c r="X1471" s="98">
        <v>4.2</v>
      </c>
      <c r="Y1471" s="97">
        <v>330.2714285714286</v>
      </c>
    </row>
    <row r="1472" spans="1:25">
      <c r="A1472" s="58">
        <v>1474</v>
      </c>
      <c r="B1472" s="58">
        <v>1474</v>
      </c>
      <c r="C1472" s="58" t="s">
        <v>2227</v>
      </c>
      <c r="D1472" s="58" t="s">
        <v>384</v>
      </c>
      <c r="E1472" s="58" t="s">
        <v>207</v>
      </c>
      <c r="F1472" s="58" t="s">
        <v>476</v>
      </c>
      <c r="G1472" s="58" t="s">
        <v>477</v>
      </c>
      <c r="H1472" s="58" t="s">
        <v>179</v>
      </c>
      <c r="I1472">
        <v>38000</v>
      </c>
      <c r="J1472">
        <v>20000</v>
      </c>
      <c r="K1472">
        <v>38000</v>
      </c>
      <c r="L1472" s="74">
        <v>3.7549999999999999</v>
      </c>
      <c r="M1472" s="85">
        <v>4</v>
      </c>
      <c r="N1472" s="74">
        <v>0.126</v>
      </c>
      <c r="O1472">
        <v>3</v>
      </c>
      <c r="P1472" s="84">
        <v>0.126</v>
      </c>
      <c r="Q1472" s="86">
        <v>4.2</v>
      </c>
      <c r="R1472" s="85">
        <v>4.2</v>
      </c>
      <c r="S1472" s="87">
        <v>628870</v>
      </c>
      <c r="T1472" s="1">
        <v>4</v>
      </c>
      <c r="U1472" s="88">
        <v>149730.95238095237</v>
      </c>
      <c r="V1472" s="59">
        <v>6.6786458250512828</v>
      </c>
      <c r="X1472" s="98">
        <v>4.2</v>
      </c>
      <c r="Y1472" s="97">
        <v>380.46190476190475</v>
      </c>
    </row>
    <row r="1473" spans="1:25">
      <c r="A1473" s="58">
        <v>1475</v>
      </c>
      <c r="B1473" s="58">
        <v>1475</v>
      </c>
      <c r="C1473" s="58" t="s">
        <v>2228</v>
      </c>
      <c r="D1473" s="58" t="s">
        <v>176</v>
      </c>
      <c r="E1473" s="58" t="s">
        <v>176</v>
      </c>
      <c r="F1473" s="58" t="s">
        <v>713</v>
      </c>
      <c r="G1473" s="58" t="s">
        <v>714</v>
      </c>
      <c r="H1473" s="58" t="s">
        <v>199</v>
      </c>
      <c r="I1473">
        <v>110000</v>
      </c>
      <c r="J1473" s="58" t="s">
        <v>185</v>
      </c>
      <c r="K1473">
        <v>110000</v>
      </c>
      <c r="L1473" s="74">
        <v>3.9329999999999998</v>
      </c>
      <c r="M1473" s="85">
        <v>4</v>
      </c>
      <c r="N1473" s="74">
        <v>0.316</v>
      </c>
      <c r="O1473">
        <v>3</v>
      </c>
      <c r="P1473" s="84">
        <v>0.316</v>
      </c>
      <c r="Q1473" s="86">
        <v>4.2</v>
      </c>
      <c r="R1473" s="85">
        <v>4.2</v>
      </c>
      <c r="S1473" s="87">
        <v>1627270</v>
      </c>
      <c r="T1473" s="1">
        <v>7</v>
      </c>
      <c r="U1473" s="88">
        <v>387445.23809523811</v>
      </c>
      <c r="V1473" s="59">
        <v>2.5810099123071155</v>
      </c>
      <c r="X1473" s="98">
        <v>4.2</v>
      </c>
      <c r="Y1473" s="97">
        <v>149.73095238095235</v>
      </c>
    </row>
    <row r="1474" spans="1:25">
      <c r="A1474" s="58">
        <v>1476</v>
      </c>
      <c r="B1474" s="58">
        <v>1476</v>
      </c>
      <c r="C1474" s="58" t="s">
        <v>2229</v>
      </c>
      <c r="D1474" s="58" t="s">
        <v>215</v>
      </c>
      <c r="E1474" s="58" t="s">
        <v>215</v>
      </c>
      <c r="F1474" s="58" t="s">
        <v>713</v>
      </c>
      <c r="G1474" s="58" t="s">
        <v>714</v>
      </c>
      <c r="H1474" s="58" t="s">
        <v>199</v>
      </c>
      <c r="I1474">
        <v>110000</v>
      </c>
      <c r="J1474" s="58" t="s">
        <v>185</v>
      </c>
      <c r="K1474">
        <v>110000</v>
      </c>
      <c r="L1474" s="74">
        <v>2.7890000000000001</v>
      </c>
      <c r="M1474" s="85">
        <v>3</v>
      </c>
      <c r="N1474" s="74">
        <v>0.23400000000000001</v>
      </c>
      <c r="O1474">
        <v>3</v>
      </c>
      <c r="P1474" s="84">
        <v>0.23400000000000001</v>
      </c>
      <c r="Q1474" s="86">
        <v>4.2</v>
      </c>
      <c r="R1474" s="85">
        <v>4.2</v>
      </c>
      <c r="S1474" s="87">
        <v>1574570</v>
      </c>
      <c r="T1474" s="1">
        <v>7</v>
      </c>
      <c r="U1474" s="88">
        <v>374897.61904761905</v>
      </c>
      <c r="V1474" s="59">
        <v>2.6673949078161021</v>
      </c>
      <c r="X1474" s="98">
        <v>4.2</v>
      </c>
      <c r="Y1474" s="97">
        <v>387.4452380952381</v>
      </c>
    </row>
    <row r="1475" spans="1:25">
      <c r="A1475" s="58">
        <v>1477</v>
      </c>
      <c r="B1475" s="58">
        <v>1477</v>
      </c>
      <c r="C1475" s="58" t="s">
        <v>2230</v>
      </c>
      <c r="D1475" s="58" t="s">
        <v>215</v>
      </c>
      <c r="E1475" s="58" t="s">
        <v>215</v>
      </c>
      <c r="F1475" s="58" t="s">
        <v>406</v>
      </c>
      <c r="G1475" s="58" t="s">
        <v>407</v>
      </c>
      <c r="H1475" s="58" t="s">
        <v>179</v>
      </c>
      <c r="I1475">
        <v>38000</v>
      </c>
      <c r="J1475" s="58" t="s">
        <v>185</v>
      </c>
      <c r="K1475">
        <v>38000</v>
      </c>
      <c r="L1475" s="74">
        <v>2.5179999999999998</v>
      </c>
      <c r="M1475" s="85">
        <v>3</v>
      </c>
      <c r="N1475" s="74">
        <v>0.17</v>
      </c>
      <c r="O1475">
        <v>3</v>
      </c>
      <c r="P1475" s="84">
        <v>0.17</v>
      </c>
      <c r="Q1475" s="86">
        <v>4.2</v>
      </c>
      <c r="R1475" s="85">
        <v>4.2</v>
      </c>
      <c r="S1475" s="87">
        <v>558600</v>
      </c>
      <c r="T1475" s="1">
        <v>4</v>
      </c>
      <c r="U1475" s="88">
        <v>133000</v>
      </c>
      <c r="V1475" s="59">
        <v>7.518796992481203</v>
      </c>
      <c r="X1475" s="98">
        <v>4.2</v>
      </c>
      <c r="Y1475" s="97">
        <v>374.89761904761906</v>
      </c>
    </row>
    <row r="1476" spans="1:25">
      <c r="A1476" s="58">
        <v>1478</v>
      </c>
      <c r="B1476" s="58">
        <v>1478</v>
      </c>
      <c r="C1476" s="58" t="s">
        <v>2231</v>
      </c>
      <c r="D1476" s="58" t="s">
        <v>215</v>
      </c>
      <c r="E1476" s="58" t="s">
        <v>215</v>
      </c>
      <c r="F1476" s="58" t="s">
        <v>406</v>
      </c>
      <c r="G1476" s="58" t="s">
        <v>407</v>
      </c>
      <c r="H1476" s="58" t="s">
        <v>179</v>
      </c>
      <c r="I1476">
        <v>38000</v>
      </c>
      <c r="J1476" s="58" t="s">
        <v>185</v>
      </c>
      <c r="K1476">
        <v>38000</v>
      </c>
      <c r="L1476" s="74">
        <v>3.9329999999999998</v>
      </c>
      <c r="M1476" s="85">
        <v>4</v>
      </c>
      <c r="N1476" s="74">
        <v>0.224</v>
      </c>
      <c r="O1476">
        <v>3</v>
      </c>
      <c r="P1476" s="84">
        <v>0.224</v>
      </c>
      <c r="Q1476" s="86">
        <v>4.2</v>
      </c>
      <c r="R1476" s="85">
        <v>4.2</v>
      </c>
      <c r="S1476" s="87">
        <v>628870</v>
      </c>
      <c r="T1476" s="1">
        <v>4</v>
      </c>
      <c r="U1476" s="88">
        <v>149730.95238095237</v>
      </c>
      <c r="V1476" s="59">
        <v>6.6786458250512828</v>
      </c>
      <c r="X1476" s="98">
        <v>4.2</v>
      </c>
      <c r="Y1476" s="97">
        <v>133</v>
      </c>
    </row>
    <row r="1477" spans="1:25">
      <c r="A1477" s="58">
        <v>1479</v>
      </c>
      <c r="B1477" s="58">
        <v>1479</v>
      </c>
      <c r="C1477" s="58" t="s">
        <v>2232</v>
      </c>
      <c r="D1477" s="58" t="s">
        <v>215</v>
      </c>
      <c r="E1477" s="58" t="s">
        <v>215</v>
      </c>
      <c r="F1477" s="58" t="s">
        <v>406</v>
      </c>
      <c r="G1477" s="58" t="s">
        <v>407</v>
      </c>
      <c r="H1477" s="58" t="s">
        <v>179</v>
      </c>
      <c r="I1477">
        <v>38000</v>
      </c>
      <c r="J1477" s="58" t="s">
        <v>185</v>
      </c>
      <c r="K1477">
        <v>38000</v>
      </c>
      <c r="L1477" s="74">
        <v>3.8050000000000002</v>
      </c>
      <c r="M1477" s="85">
        <v>4</v>
      </c>
      <c r="N1477" s="74">
        <v>0.11899999999999999</v>
      </c>
      <c r="O1477">
        <v>3</v>
      </c>
      <c r="P1477" s="84">
        <v>0.11899999999999999</v>
      </c>
      <c r="Q1477" s="86">
        <v>4.2</v>
      </c>
      <c r="R1477" s="85">
        <v>4.2</v>
      </c>
      <c r="S1477" s="87">
        <v>628870</v>
      </c>
      <c r="T1477" s="1">
        <v>4</v>
      </c>
      <c r="U1477" s="88">
        <v>149730.95238095237</v>
      </c>
      <c r="V1477" s="59">
        <v>6.6786458250512828</v>
      </c>
      <c r="X1477" s="98">
        <v>4.2</v>
      </c>
      <c r="Y1477" s="97">
        <v>149.73095238095235</v>
      </c>
    </row>
    <row r="1478" spans="1:25">
      <c r="A1478" s="58">
        <v>1480</v>
      </c>
      <c r="B1478" s="58">
        <v>1480</v>
      </c>
      <c r="C1478" s="58" t="s">
        <v>2233</v>
      </c>
      <c r="D1478" s="58" t="s">
        <v>176</v>
      </c>
      <c r="E1478" s="58" t="s">
        <v>176</v>
      </c>
      <c r="F1478" s="58" t="s">
        <v>1523</v>
      </c>
      <c r="G1478" s="58" t="s">
        <v>1524</v>
      </c>
      <c r="H1478" s="58" t="s">
        <v>199</v>
      </c>
      <c r="I1478">
        <v>110000</v>
      </c>
      <c r="J1478" s="58" t="s">
        <v>1525</v>
      </c>
      <c r="K1478">
        <v>110000</v>
      </c>
      <c r="L1478" s="74">
        <v>1.825</v>
      </c>
      <c r="M1478" s="85">
        <v>2</v>
      </c>
      <c r="N1478" s="74">
        <v>0.58499999999999996</v>
      </c>
      <c r="O1478">
        <v>3</v>
      </c>
      <c r="P1478" s="84">
        <v>0.58499999999999996</v>
      </c>
      <c r="Q1478" s="86">
        <v>4.2</v>
      </c>
      <c r="R1478" s="85">
        <v>4.2</v>
      </c>
      <c r="S1478" s="87">
        <v>1340080</v>
      </c>
      <c r="T1478" s="1">
        <v>11</v>
      </c>
      <c r="U1478" s="88">
        <v>319066.66666666663</v>
      </c>
      <c r="V1478" s="59">
        <v>3.134141245298788</v>
      </c>
      <c r="X1478" s="98">
        <v>4.2</v>
      </c>
      <c r="Y1478" s="97">
        <v>149.73095238095235</v>
      </c>
    </row>
    <row r="1479" spans="1:25">
      <c r="A1479" s="58">
        <v>1481</v>
      </c>
      <c r="B1479" s="58">
        <v>1481</v>
      </c>
      <c r="C1479" s="58" t="s">
        <v>2234</v>
      </c>
      <c r="D1479" s="58" t="s">
        <v>176</v>
      </c>
      <c r="E1479" s="58" t="s">
        <v>176</v>
      </c>
      <c r="F1479" s="58" t="s">
        <v>840</v>
      </c>
      <c r="G1479" s="58" t="s">
        <v>841</v>
      </c>
      <c r="H1479" s="58" t="s">
        <v>199</v>
      </c>
      <c r="I1479">
        <v>110000</v>
      </c>
      <c r="J1479" s="58" t="s">
        <v>185</v>
      </c>
      <c r="K1479">
        <v>110000</v>
      </c>
      <c r="L1479" s="74">
        <v>4.0990000000000002</v>
      </c>
      <c r="M1479" s="85">
        <v>5</v>
      </c>
      <c r="N1479" s="74">
        <v>0.371</v>
      </c>
      <c r="O1479">
        <v>3</v>
      </c>
      <c r="P1479" s="84">
        <v>0.371</v>
      </c>
      <c r="Q1479" s="86">
        <v>4.2</v>
      </c>
      <c r="R1479" s="85">
        <v>4.2</v>
      </c>
      <c r="S1479" s="87">
        <v>1679970</v>
      </c>
      <c r="T1479" s="1">
        <v>7</v>
      </c>
      <c r="U1479" s="88">
        <v>399992.8571428571</v>
      </c>
      <c r="V1479" s="59">
        <v>2.5000446436543511</v>
      </c>
      <c r="X1479" s="98">
        <v>4.2</v>
      </c>
      <c r="Y1479" s="97">
        <v>319.06666666666661</v>
      </c>
    </row>
    <row r="1480" spans="1:25">
      <c r="A1480" s="58">
        <v>1482</v>
      </c>
      <c r="B1480" s="58">
        <v>1482</v>
      </c>
      <c r="C1480" s="58" t="s">
        <v>2235</v>
      </c>
      <c r="D1480" s="58" t="s">
        <v>215</v>
      </c>
      <c r="E1480" s="58" t="s">
        <v>215</v>
      </c>
      <c r="F1480" s="58" t="s">
        <v>840</v>
      </c>
      <c r="G1480" s="58" t="s">
        <v>841</v>
      </c>
      <c r="H1480" s="58" t="s">
        <v>199</v>
      </c>
      <c r="I1480">
        <v>110000</v>
      </c>
      <c r="J1480" s="58" t="s">
        <v>185</v>
      </c>
      <c r="K1480">
        <v>110000</v>
      </c>
      <c r="L1480" s="74">
        <v>4.1550000000000002</v>
      </c>
      <c r="M1480" s="85">
        <v>5</v>
      </c>
      <c r="N1480" s="74">
        <v>0.09</v>
      </c>
      <c r="O1480">
        <v>3</v>
      </c>
      <c r="P1480" s="84">
        <v>0.09</v>
      </c>
      <c r="Q1480" s="86">
        <v>4.2</v>
      </c>
      <c r="R1480" s="85">
        <v>4.2</v>
      </c>
      <c r="S1480" s="87">
        <v>1679970</v>
      </c>
      <c r="T1480" s="1">
        <v>7</v>
      </c>
      <c r="U1480" s="88">
        <v>399992.8571428571</v>
      </c>
      <c r="V1480" s="59">
        <v>2.5000446436543511</v>
      </c>
      <c r="X1480" s="98">
        <v>4.2</v>
      </c>
      <c r="Y1480" s="97">
        <v>399.99285714285708</v>
      </c>
    </row>
    <row r="1481" spans="1:25">
      <c r="A1481" s="58">
        <v>1483</v>
      </c>
      <c r="B1481" s="58">
        <v>1483</v>
      </c>
      <c r="C1481" s="58" t="s">
        <v>2236</v>
      </c>
      <c r="D1481" s="58" t="s">
        <v>215</v>
      </c>
      <c r="E1481" s="58" t="s">
        <v>215</v>
      </c>
      <c r="F1481" s="58" t="s">
        <v>727</v>
      </c>
      <c r="G1481" s="58" t="s">
        <v>728</v>
      </c>
      <c r="H1481" s="58" t="s">
        <v>199</v>
      </c>
      <c r="I1481">
        <v>110000</v>
      </c>
      <c r="L1481" s="74">
        <v>3.355</v>
      </c>
      <c r="M1481" s="85">
        <v>4</v>
      </c>
      <c r="N1481" s="74">
        <v>0.14399999999999999</v>
      </c>
      <c r="O1481">
        <v>3</v>
      </c>
      <c r="P1481" s="84">
        <v>0.14399999999999999</v>
      </c>
      <c r="Q1481" s="86">
        <v>4.2</v>
      </c>
      <c r="R1481" s="85">
        <v>4.2</v>
      </c>
      <c r="S1481" s="87">
        <v>1627270</v>
      </c>
      <c r="T1481" s="1">
        <v>7</v>
      </c>
      <c r="U1481" s="88">
        <v>387445.23809523811</v>
      </c>
      <c r="V1481" s="59">
        <v>2.5810099123071155</v>
      </c>
      <c r="X1481" s="98">
        <v>4.2</v>
      </c>
      <c r="Y1481" s="97">
        <v>399.99285714285708</v>
      </c>
    </row>
    <row r="1482" spans="1:25">
      <c r="A1482" s="58">
        <v>1484</v>
      </c>
      <c r="B1482" s="58">
        <v>1484</v>
      </c>
      <c r="C1482" s="58" t="s">
        <v>2237</v>
      </c>
      <c r="D1482" s="58" t="s">
        <v>215</v>
      </c>
      <c r="E1482" s="58" t="s">
        <v>215</v>
      </c>
      <c r="F1482" s="58" t="s">
        <v>727</v>
      </c>
      <c r="G1482" s="58" t="s">
        <v>728</v>
      </c>
      <c r="H1482" s="58" t="s">
        <v>199</v>
      </c>
      <c r="I1482">
        <v>110000</v>
      </c>
      <c r="L1482" s="74">
        <v>2.2240000000000002</v>
      </c>
      <c r="M1482" s="85">
        <v>3</v>
      </c>
      <c r="N1482" s="74">
        <v>0.11899999999999999</v>
      </c>
      <c r="O1482">
        <v>3</v>
      </c>
      <c r="P1482" s="84">
        <v>0.11899999999999999</v>
      </c>
      <c r="Q1482" s="86">
        <v>4.2</v>
      </c>
      <c r="R1482" s="85">
        <v>4.2</v>
      </c>
      <c r="S1482" s="87">
        <v>1574570</v>
      </c>
      <c r="T1482" s="1">
        <v>7</v>
      </c>
      <c r="U1482" s="88">
        <v>374897.61904761905</v>
      </c>
      <c r="V1482" s="59">
        <v>2.6673949078161021</v>
      </c>
      <c r="X1482" s="98">
        <v>4.2</v>
      </c>
      <c r="Y1482" s="97">
        <v>387.4452380952381</v>
      </c>
    </row>
    <row r="1483" spans="1:25">
      <c r="A1483" s="58">
        <v>1485</v>
      </c>
      <c r="B1483" s="58">
        <v>1485</v>
      </c>
      <c r="C1483" s="58" t="s">
        <v>2238</v>
      </c>
      <c r="D1483" s="58" t="s">
        <v>215</v>
      </c>
      <c r="E1483" s="58" t="s">
        <v>215</v>
      </c>
      <c r="F1483" s="58" t="s">
        <v>845</v>
      </c>
      <c r="G1483" s="58" t="s">
        <v>846</v>
      </c>
      <c r="H1483" s="58" t="s">
        <v>199</v>
      </c>
      <c r="I1483">
        <v>110000</v>
      </c>
      <c r="L1483" s="74">
        <v>3.6739999999999999</v>
      </c>
      <c r="M1483" s="85">
        <v>4</v>
      </c>
      <c r="N1483" s="74">
        <v>0.13300000000000001</v>
      </c>
      <c r="O1483">
        <v>3</v>
      </c>
      <c r="P1483" s="84">
        <v>0.13300000000000001</v>
      </c>
      <c r="Q1483" s="86">
        <v>4.2</v>
      </c>
      <c r="R1483" s="85">
        <v>4.2</v>
      </c>
      <c r="S1483" s="87">
        <v>1627270</v>
      </c>
      <c r="T1483" s="1">
        <v>7</v>
      </c>
      <c r="U1483" s="88">
        <v>387445.23809523811</v>
      </c>
      <c r="V1483" s="59">
        <v>2.5810099123071155</v>
      </c>
      <c r="X1483" s="98">
        <v>4.2</v>
      </c>
      <c r="Y1483" s="97">
        <v>374.89761904761906</v>
      </c>
    </row>
    <row r="1484" spans="1:25">
      <c r="A1484" s="58">
        <v>1486</v>
      </c>
      <c r="B1484" s="58">
        <v>1486</v>
      </c>
      <c r="C1484" s="58" t="s">
        <v>2239</v>
      </c>
      <c r="D1484" s="58" t="s">
        <v>489</v>
      </c>
      <c r="E1484" s="58" t="s">
        <v>489</v>
      </c>
      <c r="F1484" s="58" t="s">
        <v>1104</v>
      </c>
      <c r="G1484" s="58" t="s">
        <v>1105</v>
      </c>
      <c r="H1484" s="58" t="s">
        <v>179</v>
      </c>
      <c r="I1484">
        <v>38000</v>
      </c>
      <c r="J1484">
        <v>38000</v>
      </c>
      <c r="K1484" s="58" t="s">
        <v>185</v>
      </c>
      <c r="L1484" s="74">
        <v>10.603</v>
      </c>
      <c r="M1484" s="85">
        <v>11</v>
      </c>
      <c r="N1484" s="74">
        <v>0.14799999999999999</v>
      </c>
      <c r="O1484">
        <v>3</v>
      </c>
      <c r="P1484" s="84">
        <v>0.14799999999999999</v>
      </c>
      <c r="Q1484" s="86">
        <v>4.2</v>
      </c>
      <c r="R1484" s="85">
        <v>4.2</v>
      </c>
      <c r="S1484" s="87">
        <v>1439840</v>
      </c>
      <c r="T1484" s="1">
        <v>1</v>
      </c>
      <c r="U1484" s="88">
        <v>342819.04761904763</v>
      </c>
      <c r="V1484" s="59">
        <v>2.9169907767529724</v>
      </c>
      <c r="X1484" s="98">
        <v>4.2</v>
      </c>
      <c r="Y1484" s="97">
        <v>387.4452380952381</v>
      </c>
    </row>
    <row r="1485" spans="1:25">
      <c r="A1485" s="58">
        <v>1487</v>
      </c>
      <c r="B1485" s="58">
        <v>1487</v>
      </c>
      <c r="C1485" s="58" t="s">
        <v>2240</v>
      </c>
      <c r="D1485" s="58" t="s">
        <v>410</v>
      </c>
      <c r="E1485" s="58" t="s">
        <v>410</v>
      </c>
      <c r="F1485" s="58" t="s">
        <v>1113</v>
      </c>
      <c r="G1485" s="58" t="s">
        <v>1114</v>
      </c>
      <c r="H1485" s="58" t="s">
        <v>179</v>
      </c>
      <c r="I1485">
        <v>38000</v>
      </c>
      <c r="J1485">
        <v>38000</v>
      </c>
      <c r="K1485">
        <v>10000</v>
      </c>
      <c r="L1485" s="74">
        <v>8.6649999999999991</v>
      </c>
      <c r="M1485" s="85">
        <v>9</v>
      </c>
      <c r="N1485" s="74">
        <v>0.185</v>
      </c>
      <c r="O1485">
        <v>3</v>
      </c>
      <c r="P1485" s="84">
        <v>0.185</v>
      </c>
      <c r="Q1485" s="86">
        <v>4.2</v>
      </c>
      <c r="R1485" s="85">
        <v>4.2</v>
      </c>
      <c r="S1485" s="87">
        <v>1334440</v>
      </c>
      <c r="T1485" s="1">
        <v>1</v>
      </c>
      <c r="U1485" s="88">
        <v>317723.80952380953</v>
      </c>
      <c r="V1485" s="59">
        <v>3.1473876682353645</v>
      </c>
      <c r="X1485" s="98">
        <v>4.2</v>
      </c>
      <c r="Y1485" s="97">
        <v>342.81904761904764</v>
      </c>
    </row>
    <row r="1486" spans="1:25">
      <c r="A1486" s="58">
        <v>1488</v>
      </c>
      <c r="B1486" s="58">
        <v>1488</v>
      </c>
      <c r="C1486" s="58" t="s">
        <v>2241</v>
      </c>
      <c r="D1486" s="58" t="s">
        <v>410</v>
      </c>
      <c r="E1486" s="58" t="s">
        <v>410</v>
      </c>
      <c r="F1486" s="58" t="s">
        <v>1113</v>
      </c>
      <c r="G1486" s="58" t="s">
        <v>1114</v>
      </c>
      <c r="H1486" s="58" t="s">
        <v>179</v>
      </c>
      <c r="I1486">
        <v>38000</v>
      </c>
      <c r="J1486">
        <v>38000</v>
      </c>
      <c r="K1486">
        <v>10000</v>
      </c>
      <c r="L1486" s="74">
        <v>7.7279999999999998</v>
      </c>
      <c r="M1486" s="85">
        <v>8</v>
      </c>
      <c r="N1486" s="74">
        <v>0.28000000000000003</v>
      </c>
      <c r="O1486">
        <v>3</v>
      </c>
      <c r="P1486" s="84">
        <v>0.28000000000000003</v>
      </c>
      <c r="Q1486" s="86">
        <v>4.2</v>
      </c>
      <c r="R1486" s="85">
        <v>4.2</v>
      </c>
      <c r="S1486" s="87">
        <v>909950</v>
      </c>
      <c r="T1486" s="1">
        <v>4</v>
      </c>
      <c r="U1486" s="88">
        <v>216654.76190476189</v>
      </c>
      <c r="V1486" s="59">
        <v>4.6156382218803227</v>
      </c>
      <c r="X1486" s="98">
        <v>4.2</v>
      </c>
      <c r="Y1486" s="97">
        <v>317.72380952380951</v>
      </c>
    </row>
    <row r="1487" spans="1:25">
      <c r="A1487" s="58">
        <v>1489</v>
      </c>
      <c r="B1487" s="58">
        <v>1489</v>
      </c>
      <c r="C1487" s="58" t="s">
        <v>2242</v>
      </c>
      <c r="D1487" s="58" t="s">
        <v>882</v>
      </c>
      <c r="E1487" s="58" t="s">
        <v>882</v>
      </c>
      <c r="F1487" s="58" t="s">
        <v>1822</v>
      </c>
      <c r="G1487" s="58" t="s">
        <v>1823</v>
      </c>
      <c r="H1487" s="58" t="s">
        <v>199</v>
      </c>
      <c r="I1487">
        <v>110000</v>
      </c>
      <c r="L1487" s="74">
        <v>6.0709999999999997</v>
      </c>
      <c r="M1487" s="85">
        <v>7</v>
      </c>
      <c r="N1487" s="74">
        <v>0.53600000000000003</v>
      </c>
      <c r="O1487">
        <v>3</v>
      </c>
      <c r="P1487" s="84">
        <v>0.53600000000000003</v>
      </c>
      <c r="Q1487" s="86">
        <v>4.2</v>
      </c>
      <c r="R1487" s="85">
        <v>4.2</v>
      </c>
      <c r="S1487" s="87">
        <v>1785370</v>
      </c>
      <c r="T1487" s="1">
        <v>7</v>
      </c>
      <c r="U1487" s="88">
        <v>425088.09523809521</v>
      </c>
      <c r="V1487" s="59">
        <v>2.3524535530450272</v>
      </c>
      <c r="X1487" s="98">
        <v>4.2</v>
      </c>
      <c r="Y1487" s="97">
        <v>216.6547619047619</v>
      </c>
    </row>
    <row r="1488" spans="1:25">
      <c r="A1488" s="58">
        <v>1490</v>
      </c>
      <c r="B1488" s="58">
        <v>1490</v>
      </c>
      <c r="C1488" s="58" t="s">
        <v>2243</v>
      </c>
      <c r="D1488" s="58" t="s">
        <v>197</v>
      </c>
      <c r="E1488" s="58" t="s">
        <v>197</v>
      </c>
      <c r="F1488" s="58" t="s">
        <v>198</v>
      </c>
      <c r="H1488" s="58" t="s">
        <v>199</v>
      </c>
      <c r="I1488">
        <v>110000</v>
      </c>
      <c r="J1488" s="58" t="s">
        <v>200</v>
      </c>
      <c r="K1488">
        <v>110000</v>
      </c>
      <c r="L1488" s="74">
        <v>3.0670000000000002</v>
      </c>
      <c r="M1488" s="85">
        <v>4</v>
      </c>
      <c r="N1488" s="74">
        <v>0.216</v>
      </c>
      <c r="O1488">
        <v>3</v>
      </c>
      <c r="P1488" s="84">
        <v>0.216</v>
      </c>
      <c r="Q1488" s="86">
        <v>4.2</v>
      </c>
      <c r="R1488" s="85">
        <v>4.2</v>
      </c>
      <c r="S1488" s="87">
        <v>1627270</v>
      </c>
      <c r="T1488" s="1">
        <v>7</v>
      </c>
      <c r="U1488" s="88">
        <v>387445.23809523811</v>
      </c>
      <c r="V1488" s="59">
        <v>2.5810099123071155</v>
      </c>
      <c r="X1488" s="98">
        <v>4.2</v>
      </c>
      <c r="Y1488" s="97">
        <v>425.08809523809521</v>
      </c>
    </row>
    <row r="1489" spans="1:25">
      <c r="A1489" s="58">
        <v>1491</v>
      </c>
      <c r="B1489" s="58">
        <v>1491</v>
      </c>
      <c r="C1489" s="58" t="s">
        <v>2244</v>
      </c>
      <c r="D1489" s="58" t="s">
        <v>187</v>
      </c>
      <c r="E1489" s="58" t="s">
        <v>187</v>
      </c>
      <c r="F1489" s="58" t="s">
        <v>415</v>
      </c>
      <c r="G1489" s="58" t="s">
        <v>416</v>
      </c>
      <c r="H1489" s="58" t="s">
        <v>179</v>
      </c>
      <c r="I1489">
        <v>38000</v>
      </c>
      <c r="J1489">
        <v>38000</v>
      </c>
      <c r="K1489" s="58" t="s">
        <v>185</v>
      </c>
      <c r="L1489" s="74">
        <v>12.182</v>
      </c>
      <c r="M1489" s="85">
        <v>13</v>
      </c>
      <c r="N1489" s="74">
        <v>0.113</v>
      </c>
      <c r="O1489">
        <v>3</v>
      </c>
      <c r="P1489" s="84">
        <v>0.113</v>
      </c>
      <c r="Q1489" s="86">
        <v>4.2</v>
      </c>
      <c r="R1489" s="85">
        <v>4.2</v>
      </c>
      <c r="S1489" s="87">
        <v>1545240</v>
      </c>
      <c r="T1489" s="1">
        <v>1</v>
      </c>
      <c r="U1489" s="88">
        <v>367914.28571428568</v>
      </c>
      <c r="V1489" s="59">
        <v>2.7180243845616214</v>
      </c>
      <c r="X1489" s="98">
        <v>4.2</v>
      </c>
      <c r="Y1489" s="97">
        <v>387.4452380952381</v>
      </c>
    </row>
    <row r="1490" spans="1:25">
      <c r="A1490" s="58">
        <v>1492</v>
      </c>
      <c r="B1490" s="58">
        <v>1492</v>
      </c>
      <c r="C1490" s="58" t="s">
        <v>2245</v>
      </c>
      <c r="D1490" s="58" t="s">
        <v>187</v>
      </c>
      <c r="E1490" s="58" t="s">
        <v>187</v>
      </c>
      <c r="F1490" s="58" t="s">
        <v>368</v>
      </c>
      <c r="G1490" s="58" t="s">
        <v>369</v>
      </c>
      <c r="H1490" s="58" t="s">
        <v>199</v>
      </c>
      <c r="I1490">
        <v>110000</v>
      </c>
      <c r="J1490">
        <v>110000</v>
      </c>
      <c r="K1490">
        <v>38000</v>
      </c>
      <c r="L1490" s="74">
        <v>11.803000000000001</v>
      </c>
      <c r="M1490" s="85">
        <v>12</v>
      </c>
      <c r="N1490" s="74">
        <v>0.09</v>
      </c>
      <c r="O1490">
        <v>3</v>
      </c>
      <c r="P1490" s="84">
        <v>0.09</v>
      </c>
      <c r="Q1490" s="86">
        <v>4.2</v>
      </c>
      <c r="R1490" s="85">
        <v>4.2</v>
      </c>
      <c r="S1490" s="87">
        <v>2048870</v>
      </c>
      <c r="T1490" s="1">
        <v>7</v>
      </c>
      <c r="U1490" s="88">
        <v>487826.19047619047</v>
      </c>
      <c r="V1490" s="59">
        <v>2.0499104384367968</v>
      </c>
      <c r="X1490" s="98">
        <v>4.2</v>
      </c>
      <c r="Y1490" s="97">
        <v>367.91428571428571</v>
      </c>
    </row>
    <row r="1491" spans="1:25">
      <c r="A1491" s="58">
        <v>1493</v>
      </c>
      <c r="B1491" s="58">
        <v>1493</v>
      </c>
      <c r="C1491" s="58" t="s">
        <v>2246</v>
      </c>
      <c r="D1491" s="58" t="s">
        <v>249</v>
      </c>
      <c r="E1491" s="58" t="s">
        <v>249</v>
      </c>
      <c r="F1491" s="58" t="s">
        <v>1119</v>
      </c>
      <c r="G1491" s="58" t="s">
        <v>1120</v>
      </c>
      <c r="H1491" s="58" t="s">
        <v>199</v>
      </c>
      <c r="I1491">
        <v>110000</v>
      </c>
      <c r="L1491" s="74">
        <v>13.683</v>
      </c>
      <c r="M1491" s="85">
        <v>14</v>
      </c>
      <c r="N1491" s="74">
        <v>0.218</v>
      </c>
      <c r="O1491">
        <v>3</v>
      </c>
      <c r="P1491" s="84">
        <v>0.218</v>
      </c>
      <c r="Q1491" s="86">
        <v>4.2</v>
      </c>
      <c r="R1491" s="85">
        <v>4.2</v>
      </c>
      <c r="S1491" s="87">
        <v>2154270</v>
      </c>
      <c r="T1491" s="1">
        <v>7</v>
      </c>
      <c r="U1491" s="88">
        <v>512921.42857142852</v>
      </c>
      <c r="V1491" s="59">
        <v>1.9496163433552898</v>
      </c>
      <c r="X1491" s="98">
        <v>4.2</v>
      </c>
      <c r="Y1491" s="97">
        <v>487.82619047619045</v>
      </c>
    </row>
    <row r="1492" spans="1:25">
      <c r="A1492" s="58">
        <v>1494</v>
      </c>
      <c r="B1492" s="58">
        <v>1494</v>
      </c>
      <c r="C1492" s="58" t="s">
        <v>2247</v>
      </c>
      <c r="D1492" s="58" t="s">
        <v>351</v>
      </c>
      <c r="E1492" s="58" t="s">
        <v>351</v>
      </c>
      <c r="F1492" s="58" t="s">
        <v>1119</v>
      </c>
      <c r="G1492" s="58" t="s">
        <v>1120</v>
      </c>
      <c r="H1492" s="58" t="s">
        <v>199</v>
      </c>
      <c r="I1492">
        <v>110000</v>
      </c>
      <c r="L1492" s="74">
        <v>8.5869999999999997</v>
      </c>
      <c r="M1492" s="85">
        <v>9</v>
      </c>
      <c r="N1492" s="74">
        <v>0.21</v>
      </c>
      <c r="O1492">
        <v>3</v>
      </c>
      <c r="P1492" s="84">
        <v>0.21</v>
      </c>
      <c r="Q1492" s="86">
        <v>4.2</v>
      </c>
      <c r="R1492" s="85">
        <v>4.2</v>
      </c>
      <c r="S1492" s="87">
        <v>1890770</v>
      </c>
      <c r="T1492" s="1">
        <v>7</v>
      </c>
      <c r="U1492" s="88">
        <v>450183.33333333331</v>
      </c>
      <c r="V1492" s="59">
        <v>2.2213172411239865</v>
      </c>
      <c r="X1492" s="98">
        <v>4.2</v>
      </c>
      <c r="Y1492" s="97">
        <v>512.92142857142858</v>
      </c>
    </row>
    <row r="1493" spans="1:25">
      <c r="A1493" s="58">
        <v>1495</v>
      </c>
      <c r="B1493" s="58">
        <v>1495</v>
      </c>
      <c r="C1493" s="58" t="s">
        <v>2248</v>
      </c>
      <c r="D1493" s="58" t="s">
        <v>249</v>
      </c>
      <c r="E1493" s="58" t="s">
        <v>249</v>
      </c>
      <c r="F1493" s="58" t="s">
        <v>250</v>
      </c>
      <c r="G1493" s="58" t="s">
        <v>251</v>
      </c>
      <c r="H1493" s="58" t="s">
        <v>199</v>
      </c>
      <c r="I1493">
        <v>110000</v>
      </c>
      <c r="L1493" s="74">
        <v>7.8120000000000003</v>
      </c>
      <c r="M1493" s="85">
        <v>8</v>
      </c>
      <c r="N1493" s="74">
        <v>0.28899999999999998</v>
      </c>
      <c r="O1493">
        <v>3</v>
      </c>
      <c r="P1493" s="84">
        <v>0.28899999999999998</v>
      </c>
      <c r="Q1493" s="86">
        <v>4.2</v>
      </c>
      <c r="R1493" s="85">
        <v>4.2</v>
      </c>
      <c r="S1493" s="87">
        <v>1838070</v>
      </c>
      <c r="T1493" s="1">
        <v>7</v>
      </c>
      <c r="U1493" s="88">
        <v>437635.71428571426</v>
      </c>
      <c r="V1493" s="59">
        <v>2.2850054676916547</v>
      </c>
      <c r="X1493" s="98">
        <v>4.2</v>
      </c>
      <c r="Y1493" s="97">
        <v>450.18333333333334</v>
      </c>
    </row>
    <row r="1494" spans="1:25">
      <c r="A1494" s="58">
        <v>1496</v>
      </c>
      <c r="B1494" s="58">
        <v>1496</v>
      </c>
      <c r="C1494" s="58" t="s">
        <v>2249</v>
      </c>
      <c r="D1494" s="58" t="s">
        <v>351</v>
      </c>
      <c r="E1494" s="58" t="s">
        <v>351</v>
      </c>
      <c r="F1494" s="58" t="s">
        <v>422</v>
      </c>
      <c r="G1494" s="58" t="s">
        <v>423</v>
      </c>
      <c r="H1494" s="58" t="s">
        <v>199</v>
      </c>
      <c r="I1494">
        <v>110000</v>
      </c>
      <c r="J1494">
        <v>110000</v>
      </c>
      <c r="K1494">
        <v>20000</v>
      </c>
      <c r="L1494" s="74">
        <v>10.843</v>
      </c>
      <c r="M1494" s="85">
        <v>11</v>
      </c>
      <c r="N1494" s="74">
        <v>0.26400000000000001</v>
      </c>
      <c r="O1494">
        <v>3</v>
      </c>
      <c r="P1494" s="84">
        <v>0.26400000000000001</v>
      </c>
      <c r="Q1494" s="86">
        <v>4.2</v>
      </c>
      <c r="R1494" s="85">
        <v>4.2</v>
      </c>
      <c r="S1494" s="87">
        <v>1996170</v>
      </c>
      <c r="T1494" s="1">
        <v>7</v>
      </c>
      <c r="U1494" s="88">
        <v>475278.57142857142</v>
      </c>
      <c r="V1494" s="59">
        <v>2.1040292159485414</v>
      </c>
      <c r="X1494" s="98">
        <v>4.2</v>
      </c>
      <c r="Y1494" s="97">
        <v>437.63571428571424</v>
      </c>
    </row>
    <row r="1495" spans="1:25">
      <c r="A1495" s="58">
        <v>1497</v>
      </c>
      <c r="B1495" s="58">
        <v>1497</v>
      </c>
      <c r="C1495" s="58" t="s">
        <v>2250</v>
      </c>
      <c r="D1495" s="58" t="s">
        <v>249</v>
      </c>
      <c r="E1495" s="58" t="s">
        <v>249</v>
      </c>
      <c r="F1495" s="58" t="s">
        <v>250</v>
      </c>
      <c r="G1495" s="58" t="s">
        <v>251</v>
      </c>
      <c r="H1495" s="58" t="s">
        <v>199</v>
      </c>
      <c r="I1495">
        <v>110000</v>
      </c>
      <c r="L1495" s="74">
        <v>4.1689999999999996</v>
      </c>
      <c r="M1495" s="85">
        <v>5</v>
      </c>
      <c r="N1495" s="74">
        <v>0.23599999999999999</v>
      </c>
      <c r="O1495">
        <v>3</v>
      </c>
      <c r="P1495" s="84">
        <v>0.23599999999999999</v>
      </c>
      <c r="Q1495" s="86">
        <v>4.2</v>
      </c>
      <c r="R1495" s="85">
        <v>4.2</v>
      </c>
      <c r="S1495" s="87">
        <v>1679970</v>
      </c>
      <c r="T1495" s="1">
        <v>7</v>
      </c>
      <c r="U1495" s="88">
        <v>399992.8571428571</v>
      </c>
      <c r="V1495" s="59">
        <v>2.5000446436543511</v>
      </c>
      <c r="X1495" s="98">
        <v>4.2</v>
      </c>
      <c r="Y1495" s="97">
        <v>475.27857142857147</v>
      </c>
    </row>
    <row r="1496" spans="1:25">
      <c r="A1496" s="58">
        <v>1498</v>
      </c>
      <c r="B1496" s="58">
        <v>1498</v>
      </c>
      <c r="C1496" s="58" t="s">
        <v>2251</v>
      </c>
      <c r="D1496" s="58" t="s">
        <v>187</v>
      </c>
      <c r="E1496" s="58" t="s">
        <v>187</v>
      </c>
      <c r="F1496" s="58" t="s">
        <v>2252</v>
      </c>
      <c r="G1496" s="58" t="s">
        <v>2253</v>
      </c>
      <c r="H1496" s="58" t="s">
        <v>199</v>
      </c>
      <c r="I1496">
        <v>110000</v>
      </c>
      <c r="J1496" s="58" t="s">
        <v>185</v>
      </c>
      <c r="K1496">
        <v>110000</v>
      </c>
      <c r="L1496" s="74">
        <v>2.6749999999999998</v>
      </c>
      <c r="M1496" s="85">
        <v>3</v>
      </c>
      <c r="N1496" s="74">
        <v>0.40300000000000002</v>
      </c>
      <c r="O1496">
        <v>3</v>
      </c>
      <c r="P1496" s="84">
        <v>0.40300000000000002</v>
      </c>
      <c r="Q1496" s="86">
        <v>4.2</v>
      </c>
      <c r="R1496" s="85">
        <v>4.2</v>
      </c>
      <c r="S1496" s="87">
        <v>1574570</v>
      </c>
      <c r="T1496" s="1">
        <v>7</v>
      </c>
      <c r="U1496" s="88">
        <v>374897.61904761905</v>
      </c>
      <c r="V1496" s="59">
        <v>2.6673949078161021</v>
      </c>
      <c r="X1496" s="98">
        <v>4.2</v>
      </c>
      <c r="Y1496" s="97">
        <v>399.99285714285708</v>
      </c>
    </row>
    <row r="1497" spans="1:25">
      <c r="A1497" s="58">
        <v>1499</v>
      </c>
      <c r="B1497" s="58">
        <v>1499</v>
      </c>
      <c r="C1497" s="58" t="s">
        <v>2254</v>
      </c>
      <c r="D1497" s="58" t="s">
        <v>187</v>
      </c>
      <c r="E1497" s="58" t="s">
        <v>187</v>
      </c>
      <c r="F1497" s="58" t="s">
        <v>368</v>
      </c>
      <c r="G1497" s="58" t="s">
        <v>369</v>
      </c>
      <c r="H1497" s="58" t="s">
        <v>199</v>
      </c>
      <c r="I1497">
        <v>110000</v>
      </c>
      <c r="J1497">
        <v>110000</v>
      </c>
      <c r="K1497">
        <v>38000</v>
      </c>
      <c r="L1497" s="74">
        <v>12.127000000000001</v>
      </c>
      <c r="M1497" s="85">
        <v>13</v>
      </c>
      <c r="N1497" s="74">
        <v>0.16800000000000001</v>
      </c>
      <c r="O1497">
        <v>3</v>
      </c>
      <c r="P1497" s="84">
        <v>0.16800000000000001</v>
      </c>
      <c r="Q1497" s="86">
        <v>4.2</v>
      </c>
      <c r="R1497" s="85">
        <v>4.2</v>
      </c>
      <c r="S1497" s="87">
        <v>2101570</v>
      </c>
      <c r="T1497" s="1">
        <v>7</v>
      </c>
      <c r="U1497" s="88">
        <v>500373.80952380953</v>
      </c>
      <c r="V1497" s="59">
        <v>1.9985058789381271</v>
      </c>
      <c r="X1497" s="98">
        <v>4.2</v>
      </c>
      <c r="Y1497" s="97">
        <v>374.89761904761906</v>
      </c>
    </row>
    <row r="1498" spans="1:25">
      <c r="A1498" s="58">
        <v>1500</v>
      </c>
      <c r="B1498" s="58">
        <v>1500</v>
      </c>
      <c r="C1498" s="58" t="s">
        <v>2255</v>
      </c>
      <c r="D1498" s="58" t="s">
        <v>187</v>
      </c>
      <c r="E1498" s="58" t="s">
        <v>187</v>
      </c>
      <c r="F1498" s="58" t="s">
        <v>859</v>
      </c>
      <c r="G1498" s="58" t="s">
        <v>860</v>
      </c>
      <c r="H1498" s="58" t="s">
        <v>179</v>
      </c>
      <c r="I1498">
        <v>38000</v>
      </c>
      <c r="J1498">
        <v>38000</v>
      </c>
      <c r="K1498" s="58" t="s">
        <v>185</v>
      </c>
      <c r="L1498" s="74">
        <v>8.6259999999999994</v>
      </c>
      <c r="M1498" s="85">
        <v>9</v>
      </c>
      <c r="N1498" s="74">
        <v>9.1999999999999998E-2</v>
      </c>
      <c r="O1498">
        <v>3</v>
      </c>
      <c r="P1498" s="84">
        <v>9.1999999999999998E-2</v>
      </c>
      <c r="Q1498" s="86">
        <v>4.2</v>
      </c>
      <c r="R1498" s="85">
        <v>4.2</v>
      </c>
      <c r="S1498" s="87">
        <v>1334440</v>
      </c>
      <c r="T1498" s="1">
        <v>1</v>
      </c>
      <c r="U1498" s="88">
        <v>317723.80952380953</v>
      </c>
      <c r="V1498" s="59">
        <v>3.1473876682353645</v>
      </c>
      <c r="X1498" s="98">
        <v>4.2</v>
      </c>
      <c r="Y1498" s="97">
        <v>500.37380952380948</v>
      </c>
    </row>
    <row r="1499" spans="1:25">
      <c r="A1499" s="58">
        <v>1501</v>
      </c>
      <c r="B1499" s="58">
        <v>1501</v>
      </c>
      <c r="C1499" s="58" t="s">
        <v>2256</v>
      </c>
      <c r="D1499" s="58" t="s">
        <v>187</v>
      </c>
      <c r="E1499" s="58" t="s">
        <v>187</v>
      </c>
      <c r="F1499" s="58" t="s">
        <v>368</v>
      </c>
      <c r="G1499" s="58" t="s">
        <v>369</v>
      </c>
      <c r="H1499" s="58" t="s">
        <v>199</v>
      </c>
      <c r="I1499">
        <v>110000</v>
      </c>
      <c r="J1499">
        <v>110000</v>
      </c>
      <c r="K1499">
        <v>38000</v>
      </c>
      <c r="L1499" s="74">
        <v>10.273999999999999</v>
      </c>
      <c r="M1499" s="85">
        <v>11</v>
      </c>
      <c r="N1499" s="74">
        <v>0.33400000000000002</v>
      </c>
      <c r="O1499">
        <v>3</v>
      </c>
      <c r="P1499" s="84">
        <v>0.33400000000000002</v>
      </c>
      <c r="Q1499" s="86">
        <v>4.2</v>
      </c>
      <c r="R1499" s="85">
        <v>4.2</v>
      </c>
      <c r="S1499" s="87">
        <v>1996170</v>
      </c>
      <c r="T1499" s="1">
        <v>7</v>
      </c>
      <c r="U1499" s="88">
        <v>475278.57142857142</v>
      </c>
      <c r="V1499" s="59">
        <v>2.1040292159485414</v>
      </c>
      <c r="X1499" s="98">
        <v>4.2</v>
      </c>
      <c r="Y1499" s="97">
        <v>317.72380952380951</v>
      </c>
    </row>
    <row r="1500" spans="1:25">
      <c r="A1500" s="58">
        <v>1502</v>
      </c>
      <c r="B1500" s="58">
        <v>1502</v>
      </c>
      <c r="C1500" s="58" t="s">
        <v>2257</v>
      </c>
      <c r="D1500" s="58" t="s">
        <v>187</v>
      </c>
      <c r="E1500" s="58" t="s">
        <v>187</v>
      </c>
      <c r="F1500" s="58" t="s">
        <v>746</v>
      </c>
      <c r="G1500" s="58" t="s">
        <v>747</v>
      </c>
      <c r="H1500" s="58" t="s">
        <v>199</v>
      </c>
      <c r="I1500">
        <v>110000</v>
      </c>
      <c r="J1500">
        <v>110000</v>
      </c>
      <c r="K1500">
        <v>38000</v>
      </c>
      <c r="L1500" s="74">
        <v>3.8580000000000001</v>
      </c>
      <c r="M1500" s="85">
        <v>4</v>
      </c>
      <c r="N1500" s="74">
        <v>0.44600000000000001</v>
      </c>
      <c r="O1500">
        <v>3</v>
      </c>
      <c r="P1500" s="84">
        <v>0.44600000000000001</v>
      </c>
      <c r="Q1500" s="86">
        <v>4.2</v>
      </c>
      <c r="R1500" s="85">
        <v>4.2</v>
      </c>
      <c r="S1500" s="87">
        <v>1627270</v>
      </c>
      <c r="T1500" s="1">
        <v>7</v>
      </c>
      <c r="U1500" s="88">
        <v>387445.23809523811</v>
      </c>
      <c r="V1500" s="59">
        <v>2.5810099123071155</v>
      </c>
      <c r="X1500" s="98">
        <v>4.2</v>
      </c>
      <c r="Y1500" s="97">
        <v>475.27857142857147</v>
      </c>
    </row>
    <row r="1501" spans="1:25">
      <c r="A1501" s="58">
        <v>1503</v>
      </c>
      <c r="B1501" s="58">
        <v>1503</v>
      </c>
      <c r="C1501" s="58" t="s">
        <v>2258</v>
      </c>
      <c r="D1501" s="58" t="s">
        <v>182</v>
      </c>
      <c r="E1501" s="58" t="s">
        <v>182</v>
      </c>
      <c r="F1501" s="58" t="s">
        <v>446</v>
      </c>
      <c r="G1501" s="58" t="s">
        <v>447</v>
      </c>
      <c r="H1501" s="58" t="s">
        <v>199</v>
      </c>
      <c r="I1501">
        <v>110000</v>
      </c>
      <c r="J1501">
        <v>33000</v>
      </c>
      <c r="K1501">
        <v>110000</v>
      </c>
      <c r="L1501" s="74">
        <v>1.45</v>
      </c>
      <c r="M1501" s="85">
        <v>2</v>
      </c>
      <c r="N1501" s="74">
        <v>0.22</v>
      </c>
      <c r="O1501">
        <v>3</v>
      </c>
      <c r="P1501" s="84">
        <v>0.22</v>
      </c>
      <c r="Q1501" s="86">
        <v>4.2</v>
      </c>
      <c r="R1501" s="85">
        <v>4.2</v>
      </c>
      <c r="S1501" s="87">
        <v>1340080</v>
      </c>
      <c r="T1501" s="1">
        <v>11</v>
      </c>
      <c r="U1501" s="88">
        <v>319066.66666666663</v>
      </c>
      <c r="V1501" s="59">
        <v>3.134141245298788</v>
      </c>
      <c r="X1501" s="98">
        <v>4.2</v>
      </c>
      <c r="Y1501" s="97">
        <v>387.4452380952381</v>
      </c>
    </row>
    <row r="1502" spans="1:25">
      <c r="A1502" s="58">
        <v>1504</v>
      </c>
      <c r="B1502" s="58">
        <v>1504</v>
      </c>
      <c r="C1502" s="58" t="s">
        <v>2259</v>
      </c>
      <c r="D1502" s="58" t="s">
        <v>450</v>
      </c>
      <c r="E1502" s="58" t="s">
        <v>450</v>
      </c>
      <c r="F1502" s="58" t="s">
        <v>451</v>
      </c>
      <c r="G1502" s="58" t="s">
        <v>452</v>
      </c>
      <c r="H1502" s="58" t="s">
        <v>179</v>
      </c>
      <c r="I1502">
        <v>38000</v>
      </c>
      <c r="J1502">
        <v>38000</v>
      </c>
      <c r="K1502" s="58" t="s">
        <v>185</v>
      </c>
      <c r="L1502" s="74">
        <v>10.521000000000001</v>
      </c>
      <c r="M1502" s="85">
        <v>11</v>
      </c>
      <c r="N1502" s="74">
        <v>0.502</v>
      </c>
      <c r="O1502">
        <v>3</v>
      </c>
      <c r="P1502" s="84">
        <v>0.502</v>
      </c>
      <c r="Q1502" s="86">
        <v>4.2</v>
      </c>
      <c r="R1502" s="85">
        <v>4.2</v>
      </c>
      <c r="S1502" s="87">
        <v>1439840</v>
      </c>
      <c r="T1502" s="1">
        <v>1</v>
      </c>
      <c r="U1502" s="88">
        <v>342819.04761904763</v>
      </c>
      <c r="V1502" s="59">
        <v>2.9169907767529724</v>
      </c>
      <c r="X1502" s="98">
        <v>4.2</v>
      </c>
      <c r="Y1502" s="97">
        <v>319.06666666666661</v>
      </c>
    </row>
    <row r="1503" spans="1:25">
      <c r="A1503" s="58">
        <v>1505</v>
      </c>
      <c r="B1503" s="58">
        <v>1505</v>
      </c>
      <c r="C1503" s="58" t="s">
        <v>2260</v>
      </c>
      <c r="D1503" s="58" t="s">
        <v>450</v>
      </c>
      <c r="E1503" s="58" t="s">
        <v>450</v>
      </c>
      <c r="F1503" s="58" t="s">
        <v>454</v>
      </c>
      <c r="G1503" s="58" t="s">
        <v>455</v>
      </c>
      <c r="H1503" s="58" t="s">
        <v>179</v>
      </c>
      <c r="I1503">
        <v>38000</v>
      </c>
      <c r="J1503">
        <v>38000</v>
      </c>
      <c r="K1503">
        <v>10000</v>
      </c>
      <c r="L1503" s="74">
        <v>5.23</v>
      </c>
      <c r="M1503" s="85">
        <v>6</v>
      </c>
      <c r="N1503" s="74">
        <v>0.14599999999999999</v>
      </c>
      <c r="O1503">
        <v>3</v>
      </c>
      <c r="P1503" s="84">
        <v>0.14599999999999999</v>
      </c>
      <c r="Q1503" s="86">
        <v>4.2</v>
      </c>
      <c r="R1503" s="85">
        <v>4.2</v>
      </c>
      <c r="S1503" s="87">
        <v>769410</v>
      </c>
      <c r="T1503" s="1">
        <v>4</v>
      </c>
      <c r="U1503" s="88">
        <v>183192.85714285713</v>
      </c>
      <c r="V1503" s="59">
        <v>5.4587281163488903</v>
      </c>
      <c r="X1503" s="98">
        <v>4.2</v>
      </c>
      <c r="Y1503" s="97">
        <v>342.81904761904764</v>
      </c>
    </row>
    <row r="1504" spans="1:25">
      <c r="A1504" s="58">
        <v>1506</v>
      </c>
      <c r="B1504" s="58">
        <v>1506</v>
      </c>
      <c r="C1504" s="58" t="s">
        <v>2261</v>
      </c>
      <c r="D1504" s="58" t="s">
        <v>450</v>
      </c>
      <c r="E1504" s="58" t="s">
        <v>450</v>
      </c>
      <c r="F1504" s="58" t="s">
        <v>782</v>
      </c>
      <c r="G1504" s="58" t="s">
        <v>783</v>
      </c>
      <c r="H1504" s="58" t="s">
        <v>199</v>
      </c>
      <c r="I1504">
        <v>110000</v>
      </c>
      <c r="J1504">
        <v>110000</v>
      </c>
      <c r="K1504">
        <v>38000</v>
      </c>
      <c r="L1504" s="74">
        <v>9.3010000000000002</v>
      </c>
      <c r="M1504" s="85">
        <v>10</v>
      </c>
      <c r="N1504" s="74">
        <v>0.29899999999999999</v>
      </c>
      <c r="O1504">
        <v>3</v>
      </c>
      <c r="P1504" s="84">
        <v>0.29899999999999999</v>
      </c>
      <c r="Q1504" s="86">
        <v>4.2</v>
      </c>
      <c r="R1504" s="85">
        <v>4.2</v>
      </c>
      <c r="S1504" s="87">
        <v>1943470</v>
      </c>
      <c r="T1504" s="1">
        <v>7</v>
      </c>
      <c r="U1504" s="88">
        <v>462730.95238095237</v>
      </c>
      <c r="V1504" s="59">
        <v>2.1610830113148132</v>
      </c>
      <c r="X1504" s="98">
        <v>4.2</v>
      </c>
      <c r="Y1504" s="97">
        <v>183.19285714285712</v>
      </c>
    </row>
    <row r="1505" spans="1:25">
      <c r="A1505" s="58">
        <v>1507</v>
      </c>
      <c r="B1505" s="58">
        <v>1507</v>
      </c>
      <c r="C1505" s="58" t="s">
        <v>2262</v>
      </c>
      <c r="D1505" s="58" t="s">
        <v>450</v>
      </c>
      <c r="E1505" s="58" t="s">
        <v>450</v>
      </c>
      <c r="F1505" s="58" t="s">
        <v>782</v>
      </c>
      <c r="G1505" s="58" t="s">
        <v>783</v>
      </c>
      <c r="H1505" s="58" t="s">
        <v>199</v>
      </c>
      <c r="I1505">
        <v>110000</v>
      </c>
      <c r="J1505">
        <v>110000</v>
      </c>
      <c r="K1505">
        <v>38000</v>
      </c>
      <c r="L1505" s="74">
        <v>8.5909999999999993</v>
      </c>
      <c r="M1505" s="85">
        <v>9</v>
      </c>
      <c r="N1505" s="74">
        <v>0.13300000000000001</v>
      </c>
      <c r="O1505">
        <v>3</v>
      </c>
      <c r="P1505" s="84">
        <v>0.13300000000000001</v>
      </c>
      <c r="Q1505" s="86">
        <v>4.2</v>
      </c>
      <c r="R1505" s="85">
        <v>4.2</v>
      </c>
      <c r="S1505" s="87">
        <v>1890770</v>
      </c>
      <c r="T1505" s="1">
        <v>7</v>
      </c>
      <c r="U1505" s="88">
        <v>450183.33333333331</v>
      </c>
      <c r="V1505" s="59">
        <v>2.2213172411239865</v>
      </c>
      <c r="X1505" s="98">
        <v>4.2</v>
      </c>
      <c r="Y1505" s="97">
        <v>462.73095238095237</v>
      </c>
    </row>
    <row r="1506" spans="1:25">
      <c r="A1506" s="58">
        <v>1508</v>
      </c>
      <c r="B1506" s="58">
        <v>1508</v>
      </c>
      <c r="C1506" s="58" t="s">
        <v>2263</v>
      </c>
      <c r="D1506" s="58" t="s">
        <v>450</v>
      </c>
      <c r="E1506" s="58" t="s">
        <v>450</v>
      </c>
      <c r="F1506" s="58" t="s">
        <v>782</v>
      </c>
      <c r="G1506" s="58" t="s">
        <v>783</v>
      </c>
      <c r="H1506" s="58" t="s">
        <v>199</v>
      </c>
      <c r="I1506">
        <v>110000</v>
      </c>
      <c r="J1506">
        <v>110000</v>
      </c>
      <c r="K1506">
        <v>38000</v>
      </c>
      <c r="L1506" s="74">
        <v>9.7479999999999993</v>
      </c>
      <c r="M1506" s="85">
        <v>10</v>
      </c>
      <c r="N1506" s="74">
        <v>0.36399999999999999</v>
      </c>
      <c r="O1506">
        <v>3</v>
      </c>
      <c r="P1506" s="84">
        <v>0.36399999999999999</v>
      </c>
      <c r="Q1506" s="86">
        <v>4.2</v>
      </c>
      <c r="R1506" s="85">
        <v>4.2</v>
      </c>
      <c r="S1506" s="87">
        <v>1943470</v>
      </c>
      <c r="T1506" s="1">
        <v>7</v>
      </c>
      <c r="U1506" s="88">
        <v>462730.95238095237</v>
      </c>
      <c r="V1506" s="59">
        <v>2.1610830113148132</v>
      </c>
      <c r="X1506" s="98">
        <v>4.2</v>
      </c>
      <c r="Y1506" s="97">
        <v>450.18333333333334</v>
      </c>
    </row>
    <row r="1507" spans="1:25">
      <c r="A1507" s="58">
        <v>1509</v>
      </c>
      <c r="B1507" s="58">
        <v>1509</v>
      </c>
      <c r="C1507" s="58" t="s">
        <v>2264</v>
      </c>
      <c r="D1507" s="58" t="s">
        <v>450</v>
      </c>
      <c r="E1507" s="58" t="s">
        <v>450</v>
      </c>
      <c r="F1507" s="58" t="s">
        <v>457</v>
      </c>
      <c r="G1507" s="58" t="s">
        <v>458</v>
      </c>
      <c r="H1507" s="58" t="s">
        <v>199</v>
      </c>
      <c r="I1507">
        <v>110000</v>
      </c>
      <c r="J1507">
        <v>110000</v>
      </c>
      <c r="K1507">
        <v>38000</v>
      </c>
      <c r="L1507" s="74">
        <v>8.2680000000000007</v>
      </c>
      <c r="M1507" s="85">
        <v>9</v>
      </c>
      <c r="N1507" s="74">
        <v>0.51</v>
      </c>
      <c r="O1507">
        <v>3</v>
      </c>
      <c r="P1507" s="84">
        <v>0.51</v>
      </c>
      <c r="Q1507" s="86">
        <v>4.2</v>
      </c>
      <c r="R1507" s="85">
        <v>4.2</v>
      </c>
      <c r="S1507" s="87">
        <v>1890770</v>
      </c>
      <c r="T1507" s="1">
        <v>7</v>
      </c>
      <c r="U1507" s="88">
        <v>450183.33333333331</v>
      </c>
      <c r="V1507" s="59">
        <v>2.2213172411239865</v>
      </c>
      <c r="X1507" s="98">
        <v>4.2</v>
      </c>
      <c r="Y1507" s="97">
        <v>462.73095238095237</v>
      </c>
    </row>
    <row r="1508" spans="1:25">
      <c r="A1508" s="58">
        <v>1510</v>
      </c>
      <c r="B1508" s="58">
        <v>1510</v>
      </c>
      <c r="C1508" s="58" t="s">
        <v>2265</v>
      </c>
      <c r="D1508" s="58" t="s">
        <v>450</v>
      </c>
      <c r="E1508" s="58" t="s">
        <v>450</v>
      </c>
      <c r="F1508" s="58" t="s">
        <v>454</v>
      </c>
      <c r="G1508" s="58" t="s">
        <v>455</v>
      </c>
      <c r="H1508" s="58" t="s">
        <v>179</v>
      </c>
      <c r="I1508">
        <v>38000</v>
      </c>
      <c r="J1508">
        <v>38000</v>
      </c>
      <c r="K1508">
        <v>10000</v>
      </c>
      <c r="L1508" s="74">
        <v>12.407999999999999</v>
      </c>
      <c r="M1508" s="85">
        <v>13</v>
      </c>
      <c r="N1508" s="74">
        <v>0.16700000000000001</v>
      </c>
      <c r="O1508">
        <v>3</v>
      </c>
      <c r="P1508" s="84">
        <v>0.16700000000000001</v>
      </c>
      <c r="Q1508" s="86">
        <v>4.2</v>
      </c>
      <c r="R1508" s="85">
        <v>4.2</v>
      </c>
      <c r="S1508" s="87">
        <v>1545240</v>
      </c>
      <c r="T1508" s="1">
        <v>1</v>
      </c>
      <c r="U1508" s="88">
        <v>367914.28571428568</v>
      </c>
      <c r="V1508" s="59">
        <v>2.7180243845616214</v>
      </c>
      <c r="X1508" s="98">
        <v>4.2</v>
      </c>
      <c r="Y1508" s="97">
        <v>450.18333333333334</v>
      </c>
    </row>
    <row r="1509" spans="1:25">
      <c r="A1509" s="58">
        <v>1511</v>
      </c>
      <c r="B1509" s="58">
        <v>1511</v>
      </c>
      <c r="C1509" s="58" t="s">
        <v>2266</v>
      </c>
      <c r="D1509" s="58" t="s">
        <v>450</v>
      </c>
      <c r="E1509" s="58" t="s">
        <v>450</v>
      </c>
      <c r="F1509" s="58" t="s">
        <v>454</v>
      </c>
      <c r="G1509" s="58" t="s">
        <v>455</v>
      </c>
      <c r="H1509" s="58" t="s">
        <v>179</v>
      </c>
      <c r="I1509">
        <v>38000</v>
      </c>
      <c r="J1509">
        <v>38000</v>
      </c>
      <c r="K1509">
        <v>10000</v>
      </c>
      <c r="L1509" s="74">
        <v>11.468999999999999</v>
      </c>
      <c r="M1509" s="85">
        <v>12</v>
      </c>
      <c r="N1509" s="74">
        <v>0.13300000000000001</v>
      </c>
      <c r="O1509">
        <v>3</v>
      </c>
      <c r="P1509" s="84">
        <v>0.13300000000000001</v>
      </c>
      <c r="Q1509" s="86">
        <v>4.2</v>
      </c>
      <c r="R1509" s="85">
        <v>4.2</v>
      </c>
      <c r="S1509" s="87">
        <v>1492540</v>
      </c>
      <c r="T1509" s="1">
        <v>1</v>
      </c>
      <c r="U1509" s="88">
        <v>355366.66666666663</v>
      </c>
      <c r="V1509" s="59">
        <v>2.8139949348091173</v>
      </c>
      <c r="X1509" s="98">
        <v>4.2</v>
      </c>
      <c r="Y1509" s="97">
        <v>367.91428571428571</v>
      </c>
    </row>
    <row r="1510" spans="1:25">
      <c r="A1510" s="58">
        <v>1512</v>
      </c>
      <c r="B1510" s="58">
        <v>1512</v>
      </c>
      <c r="C1510" s="58" t="s">
        <v>2267</v>
      </c>
      <c r="D1510" s="58" t="s">
        <v>450</v>
      </c>
      <c r="E1510" s="58" t="s">
        <v>450</v>
      </c>
      <c r="F1510" s="58" t="s">
        <v>772</v>
      </c>
      <c r="G1510" s="58" t="s">
        <v>773</v>
      </c>
      <c r="H1510" s="58" t="s">
        <v>179</v>
      </c>
      <c r="I1510">
        <v>38000</v>
      </c>
      <c r="J1510">
        <v>38000</v>
      </c>
      <c r="K1510" s="58" t="s">
        <v>185</v>
      </c>
      <c r="L1510" s="74">
        <v>9.4359999999999999</v>
      </c>
      <c r="M1510" s="85">
        <v>10</v>
      </c>
      <c r="N1510" s="74">
        <v>0.217</v>
      </c>
      <c r="O1510">
        <v>3</v>
      </c>
      <c r="P1510" s="84">
        <v>0.217</v>
      </c>
      <c r="Q1510" s="86">
        <v>4.2</v>
      </c>
      <c r="R1510" s="85">
        <v>4.2</v>
      </c>
      <c r="S1510" s="87">
        <v>1387140</v>
      </c>
      <c r="T1510" s="1">
        <v>1</v>
      </c>
      <c r="U1510" s="88">
        <v>330271.42857142858</v>
      </c>
      <c r="V1510" s="59">
        <v>3.0278126216531858</v>
      </c>
      <c r="X1510" s="98">
        <v>4.2</v>
      </c>
      <c r="Y1510" s="97">
        <v>355.36666666666662</v>
      </c>
    </row>
    <row r="1511" spans="1:25">
      <c r="A1511" s="58">
        <v>1513</v>
      </c>
      <c r="B1511" s="58">
        <v>1513</v>
      </c>
      <c r="C1511" s="58" t="s">
        <v>2268</v>
      </c>
      <c r="D1511" s="58" t="s">
        <v>450</v>
      </c>
      <c r="E1511" s="58" t="s">
        <v>450</v>
      </c>
      <c r="F1511" s="58" t="s">
        <v>782</v>
      </c>
      <c r="G1511" s="58" t="s">
        <v>783</v>
      </c>
      <c r="H1511" s="58" t="s">
        <v>199</v>
      </c>
      <c r="I1511">
        <v>110000</v>
      </c>
      <c r="J1511">
        <v>110000</v>
      </c>
      <c r="K1511">
        <v>38000</v>
      </c>
      <c r="L1511" s="74">
        <v>5.4480000000000004</v>
      </c>
      <c r="M1511" s="85">
        <v>6</v>
      </c>
      <c r="N1511" s="74">
        <v>0.28199999999999997</v>
      </c>
      <c r="O1511">
        <v>3</v>
      </c>
      <c r="P1511" s="84">
        <v>0.28199999999999997</v>
      </c>
      <c r="Q1511" s="86">
        <v>4.2</v>
      </c>
      <c r="R1511" s="85">
        <v>4.2</v>
      </c>
      <c r="S1511" s="87">
        <v>1732670</v>
      </c>
      <c r="T1511" s="1">
        <v>7</v>
      </c>
      <c r="U1511" s="88">
        <v>412540.47619047615</v>
      </c>
      <c r="V1511" s="59">
        <v>2.4240045709800482</v>
      </c>
      <c r="X1511" s="98">
        <v>4.2</v>
      </c>
      <c r="Y1511" s="97">
        <v>330.2714285714286</v>
      </c>
    </row>
    <row r="1512" spans="1:25">
      <c r="A1512" s="58">
        <v>1514</v>
      </c>
      <c r="B1512" s="58">
        <v>1514</v>
      </c>
      <c r="C1512" s="58" t="s">
        <v>2269</v>
      </c>
      <c r="D1512" s="58" t="s">
        <v>450</v>
      </c>
      <c r="E1512" s="58" t="s">
        <v>450</v>
      </c>
      <c r="F1512" s="58" t="s">
        <v>457</v>
      </c>
      <c r="G1512" s="58" t="s">
        <v>458</v>
      </c>
      <c r="H1512" s="58" t="s">
        <v>199</v>
      </c>
      <c r="I1512">
        <v>110000</v>
      </c>
      <c r="J1512">
        <v>110000</v>
      </c>
      <c r="K1512">
        <v>38000</v>
      </c>
      <c r="L1512" s="74">
        <v>4.7549999999999999</v>
      </c>
      <c r="M1512" s="85">
        <v>5</v>
      </c>
      <c r="N1512" s="74">
        <v>0.16</v>
      </c>
      <c r="O1512">
        <v>3</v>
      </c>
      <c r="P1512" s="84">
        <v>0.16</v>
      </c>
      <c r="Q1512" s="86">
        <v>4.2</v>
      </c>
      <c r="R1512" s="85">
        <v>4.2</v>
      </c>
      <c r="S1512" s="87">
        <v>1679970</v>
      </c>
      <c r="T1512" s="1">
        <v>7</v>
      </c>
      <c r="U1512" s="88">
        <v>399992.8571428571</v>
      </c>
      <c r="V1512" s="59">
        <v>2.5000446436543511</v>
      </c>
      <c r="X1512" s="98">
        <v>4.2</v>
      </c>
      <c r="Y1512" s="97">
        <v>412.54047619047617</v>
      </c>
    </row>
    <row r="1513" spans="1:25">
      <c r="A1513" s="58">
        <v>1515</v>
      </c>
      <c r="B1513" s="58">
        <v>1515</v>
      </c>
      <c r="C1513" s="58" t="s">
        <v>2270</v>
      </c>
      <c r="D1513" s="58" t="s">
        <v>215</v>
      </c>
      <c r="E1513" s="58" t="s">
        <v>775</v>
      </c>
      <c r="F1513" s="58" t="s">
        <v>776</v>
      </c>
      <c r="G1513" s="58" t="s">
        <v>777</v>
      </c>
      <c r="H1513" s="58" t="s">
        <v>179</v>
      </c>
      <c r="I1513">
        <v>38000</v>
      </c>
      <c r="J1513">
        <v>20000</v>
      </c>
      <c r="K1513">
        <v>38000</v>
      </c>
      <c r="L1513" s="74">
        <v>2.4319999999999999</v>
      </c>
      <c r="M1513" s="85">
        <v>3</v>
      </c>
      <c r="N1513" s="74">
        <v>0.21299999999999999</v>
      </c>
      <c r="O1513">
        <v>3</v>
      </c>
      <c r="P1513" s="84">
        <v>0.21299999999999999</v>
      </c>
      <c r="Q1513" s="86">
        <v>4.2</v>
      </c>
      <c r="R1513" s="85">
        <v>4.2</v>
      </c>
      <c r="S1513" s="87">
        <v>558600</v>
      </c>
      <c r="T1513" s="1">
        <v>4</v>
      </c>
      <c r="U1513" s="88">
        <v>133000</v>
      </c>
      <c r="V1513" s="59">
        <v>7.518796992481203</v>
      </c>
      <c r="X1513" s="98">
        <v>4.2</v>
      </c>
      <c r="Y1513" s="97">
        <v>399.99285714285708</v>
      </c>
    </row>
    <row r="1514" spans="1:25">
      <c r="A1514" s="58">
        <v>1516</v>
      </c>
      <c r="B1514" s="58">
        <v>1516</v>
      </c>
      <c r="C1514" s="58" t="s">
        <v>2271</v>
      </c>
      <c r="D1514" s="58" t="s">
        <v>775</v>
      </c>
      <c r="E1514" s="58" t="s">
        <v>775</v>
      </c>
      <c r="F1514" s="58" t="s">
        <v>460</v>
      </c>
      <c r="G1514" s="58" t="s">
        <v>461</v>
      </c>
      <c r="H1514" s="58" t="s">
        <v>179</v>
      </c>
      <c r="I1514">
        <v>38000</v>
      </c>
      <c r="J1514">
        <v>38000</v>
      </c>
      <c r="K1514" s="58" t="s">
        <v>185</v>
      </c>
      <c r="L1514" s="74">
        <v>11.122</v>
      </c>
      <c r="M1514" s="85">
        <v>12</v>
      </c>
      <c r="N1514" s="74">
        <v>0.20699999999999999</v>
      </c>
      <c r="O1514">
        <v>3</v>
      </c>
      <c r="P1514" s="84">
        <v>0.20699999999999999</v>
      </c>
      <c r="Q1514" s="86">
        <v>4.2</v>
      </c>
      <c r="R1514" s="85">
        <v>4.2</v>
      </c>
      <c r="S1514" s="87">
        <v>1492540</v>
      </c>
      <c r="T1514" s="1">
        <v>1</v>
      </c>
      <c r="U1514" s="88">
        <v>355366.66666666663</v>
      </c>
      <c r="V1514" s="59">
        <v>2.8139949348091173</v>
      </c>
      <c r="X1514" s="98">
        <v>4.2</v>
      </c>
      <c r="Y1514" s="97">
        <v>133</v>
      </c>
    </row>
    <row r="1515" spans="1:25">
      <c r="A1515" s="58">
        <v>1517</v>
      </c>
      <c r="B1515" s="58">
        <v>1517</v>
      </c>
      <c r="C1515" s="58" t="s">
        <v>2272</v>
      </c>
      <c r="D1515" s="58" t="s">
        <v>410</v>
      </c>
      <c r="E1515" s="58" t="s">
        <v>775</v>
      </c>
      <c r="F1515" s="58" t="s">
        <v>466</v>
      </c>
      <c r="G1515" s="58" t="s">
        <v>467</v>
      </c>
      <c r="H1515" s="58" t="s">
        <v>179</v>
      </c>
      <c r="I1515">
        <v>38000</v>
      </c>
      <c r="J1515">
        <v>38000</v>
      </c>
      <c r="K1515" s="58" t="s">
        <v>185</v>
      </c>
      <c r="L1515" s="74">
        <v>10.536</v>
      </c>
      <c r="M1515" s="85">
        <v>11</v>
      </c>
      <c r="N1515" s="74">
        <v>0.186</v>
      </c>
      <c r="O1515">
        <v>3</v>
      </c>
      <c r="P1515" s="84">
        <v>0.186</v>
      </c>
      <c r="Q1515" s="86">
        <v>4.2</v>
      </c>
      <c r="R1515" s="85">
        <v>4.2</v>
      </c>
      <c r="S1515" s="87">
        <v>1439840</v>
      </c>
      <c r="T1515" s="1">
        <v>1</v>
      </c>
      <c r="U1515" s="88">
        <v>342819.04761904763</v>
      </c>
      <c r="V1515" s="59">
        <v>2.9169907767529724</v>
      </c>
      <c r="X1515" s="98">
        <v>4.2</v>
      </c>
      <c r="Y1515" s="97">
        <v>355.36666666666662</v>
      </c>
    </row>
    <row r="1516" spans="1:25">
      <c r="A1516" s="58">
        <v>1518</v>
      </c>
      <c r="B1516" s="58">
        <v>1518</v>
      </c>
      <c r="C1516" s="58" t="s">
        <v>2273</v>
      </c>
      <c r="D1516" s="58" t="s">
        <v>410</v>
      </c>
      <c r="E1516" s="58" t="s">
        <v>410</v>
      </c>
      <c r="F1516" s="58" t="s">
        <v>463</v>
      </c>
      <c r="G1516" s="58" t="s">
        <v>464</v>
      </c>
      <c r="H1516" s="58" t="s">
        <v>179</v>
      </c>
      <c r="I1516">
        <v>38000</v>
      </c>
      <c r="J1516">
        <v>38000</v>
      </c>
      <c r="K1516">
        <v>10000</v>
      </c>
      <c r="L1516" s="74">
        <v>4.593</v>
      </c>
      <c r="M1516" s="85">
        <v>5</v>
      </c>
      <c r="N1516" s="74">
        <v>0.439</v>
      </c>
      <c r="O1516">
        <v>3</v>
      </c>
      <c r="P1516" s="84">
        <v>0.439</v>
      </c>
      <c r="Q1516" s="86">
        <v>4.2</v>
      </c>
      <c r="R1516" s="85">
        <v>4.2</v>
      </c>
      <c r="S1516" s="87">
        <v>699140</v>
      </c>
      <c r="T1516" s="1">
        <v>4</v>
      </c>
      <c r="U1516" s="88">
        <v>166461.90476190476</v>
      </c>
      <c r="V1516" s="59">
        <v>6.0073804960379897</v>
      </c>
      <c r="X1516" s="98">
        <v>4.2</v>
      </c>
      <c r="Y1516" s="97">
        <v>342.81904761904764</v>
      </c>
    </row>
    <row r="1517" spans="1:25">
      <c r="A1517" s="58">
        <v>1519</v>
      </c>
      <c r="B1517" s="58">
        <v>1519</v>
      </c>
      <c r="C1517" s="58" t="s">
        <v>2274</v>
      </c>
      <c r="D1517" s="58" t="s">
        <v>410</v>
      </c>
      <c r="E1517" s="58" t="s">
        <v>410</v>
      </c>
      <c r="F1517" s="58" t="s">
        <v>460</v>
      </c>
      <c r="G1517" s="58" t="s">
        <v>461</v>
      </c>
      <c r="H1517" s="58" t="s">
        <v>179</v>
      </c>
      <c r="I1517">
        <v>38000</v>
      </c>
      <c r="J1517">
        <v>38000</v>
      </c>
      <c r="K1517" s="58" t="s">
        <v>185</v>
      </c>
      <c r="L1517" s="74">
        <v>9.7530000000000001</v>
      </c>
      <c r="M1517" s="85">
        <v>10</v>
      </c>
      <c r="N1517" s="74">
        <v>0.20599999999999999</v>
      </c>
      <c r="O1517">
        <v>3</v>
      </c>
      <c r="P1517" s="84">
        <v>0.20599999999999999</v>
      </c>
      <c r="Q1517" s="86">
        <v>4.2</v>
      </c>
      <c r="R1517" s="85">
        <v>4.2</v>
      </c>
      <c r="S1517" s="87">
        <v>1387140</v>
      </c>
      <c r="T1517" s="1">
        <v>1</v>
      </c>
      <c r="U1517" s="88">
        <v>330271.42857142858</v>
      </c>
      <c r="V1517" s="59">
        <v>3.0278126216531858</v>
      </c>
      <c r="X1517" s="98">
        <v>4.2</v>
      </c>
      <c r="Y1517" s="97">
        <v>166.46190476190475</v>
      </c>
    </row>
    <row r="1518" spans="1:25">
      <c r="A1518" s="58">
        <v>1520</v>
      </c>
      <c r="B1518" s="58">
        <v>1520</v>
      </c>
      <c r="C1518" s="58" t="s">
        <v>2275</v>
      </c>
      <c r="D1518" s="58" t="s">
        <v>215</v>
      </c>
      <c r="E1518" s="58" t="s">
        <v>215</v>
      </c>
      <c r="F1518" s="58" t="s">
        <v>1644</v>
      </c>
      <c r="G1518" s="58" t="s">
        <v>1645</v>
      </c>
      <c r="H1518" s="58" t="s">
        <v>179</v>
      </c>
      <c r="I1518">
        <v>38000</v>
      </c>
      <c r="J1518">
        <v>38000</v>
      </c>
      <c r="K1518" s="58" t="s">
        <v>185</v>
      </c>
      <c r="L1518" s="74">
        <v>4.6909999999999998</v>
      </c>
      <c r="M1518" s="85">
        <v>5</v>
      </c>
      <c r="N1518" s="74">
        <v>0.35899999999999999</v>
      </c>
      <c r="O1518">
        <v>3</v>
      </c>
      <c r="P1518" s="84">
        <v>0.35899999999999999</v>
      </c>
      <c r="Q1518" s="86">
        <v>4.2</v>
      </c>
      <c r="R1518" s="85">
        <v>4.2</v>
      </c>
      <c r="S1518" s="87">
        <v>699140</v>
      </c>
      <c r="T1518" s="1">
        <v>4</v>
      </c>
      <c r="U1518" s="88">
        <v>166461.90476190476</v>
      </c>
      <c r="V1518" s="59">
        <v>6.0073804960379897</v>
      </c>
      <c r="X1518" s="98">
        <v>4.2</v>
      </c>
      <c r="Y1518" s="97">
        <v>330.2714285714286</v>
      </c>
    </row>
    <row r="1519" spans="1:25">
      <c r="A1519" s="58">
        <v>1521</v>
      </c>
      <c r="B1519" s="58">
        <v>1521</v>
      </c>
      <c r="C1519" s="58" t="s">
        <v>2276</v>
      </c>
      <c r="D1519" s="58" t="s">
        <v>215</v>
      </c>
      <c r="E1519" s="58" t="s">
        <v>215</v>
      </c>
      <c r="F1519" s="58" t="s">
        <v>1644</v>
      </c>
      <c r="G1519" s="58" t="s">
        <v>1645</v>
      </c>
      <c r="H1519" s="58" t="s">
        <v>179</v>
      </c>
      <c r="I1519">
        <v>38000</v>
      </c>
      <c r="J1519">
        <v>38000</v>
      </c>
      <c r="K1519" s="58" t="s">
        <v>185</v>
      </c>
      <c r="L1519" s="74">
        <v>3.8410000000000002</v>
      </c>
      <c r="M1519" s="85">
        <v>4</v>
      </c>
      <c r="N1519" s="74">
        <v>0.1</v>
      </c>
      <c r="O1519">
        <v>3</v>
      </c>
      <c r="P1519" s="84">
        <v>0.1</v>
      </c>
      <c r="Q1519" s="86">
        <v>4.2</v>
      </c>
      <c r="R1519" s="85">
        <v>4.2</v>
      </c>
      <c r="S1519" s="87">
        <v>628870</v>
      </c>
      <c r="T1519" s="1">
        <v>4</v>
      </c>
      <c r="U1519" s="88">
        <v>149730.95238095237</v>
      </c>
      <c r="V1519" s="59">
        <v>6.6786458250512828</v>
      </c>
      <c r="X1519" s="98">
        <v>4.2</v>
      </c>
      <c r="Y1519" s="97">
        <v>166.46190476190475</v>
      </c>
    </row>
    <row r="1520" spans="1:25">
      <c r="A1520" s="58">
        <v>1522</v>
      </c>
      <c r="B1520" s="58">
        <v>1522</v>
      </c>
      <c r="C1520" s="58" t="s">
        <v>2277</v>
      </c>
      <c r="D1520" s="58" t="s">
        <v>380</v>
      </c>
      <c r="E1520" s="58" t="s">
        <v>380</v>
      </c>
      <c r="F1520" s="58" t="s">
        <v>469</v>
      </c>
      <c r="G1520" s="58" t="s">
        <v>470</v>
      </c>
      <c r="H1520" s="58" t="s">
        <v>179</v>
      </c>
      <c r="I1520">
        <v>38000</v>
      </c>
      <c r="J1520">
        <v>38000</v>
      </c>
      <c r="K1520" s="58" t="s">
        <v>185</v>
      </c>
      <c r="L1520" s="74">
        <v>8.9580000000000002</v>
      </c>
      <c r="M1520" s="85">
        <v>9</v>
      </c>
      <c r="N1520" s="74">
        <v>0.187</v>
      </c>
      <c r="O1520">
        <v>3</v>
      </c>
      <c r="P1520" s="84">
        <v>0.187</v>
      </c>
      <c r="Q1520" s="86">
        <v>4.2</v>
      </c>
      <c r="R1520" s="85">
        <v>4.2</v>
      </c>
      <c r="S1520" s="87">
        <v>1334440</v>
      </c>
      <c r="T1520" s="1">
        <v>1</v>
      </c>
      <c r="U1520" s="88">
        <v>317723.80952380953</v>
      </c>
      <c r="V1520" s="59">
        <v>3.1473876682353645</v>
      </c>
      <c r="X1520" s="98">
        <v>4.2</v>
      </c>
      <c r="Y1520" s="97">
        <v>149.73095238095235</v>
      </c>
    </row>
    <row r="1521" spans="1:25">
      <c r="A1521" s="58">
        <v>1523</v>
      </c>
      <c r="B1521" s="58">
        <v>1523</v>
      </c>
      <c r="C1521" s="58" t="s">
        <v>2278</v>
      </c>
      <c r="D1521" s="58" t="s">
        <v>380</v>
      </c>
      <c r="E1521" s="58" t="s">
        <v>380</v>
      </c>
      <c r="F1521" s="58" t="s">
        <v>469</v>
      </c>
      <c r="G1521" s="58" t="s">
        <v>470</v>
      </c>
      <c r="H1521" s="58" t="s">
        <v>179</v>
      </c>
      <c r="I1521">
        <v>38000</v>
      </c>
      <c r="J1521">
        <v>38000</v>
      </c>
      <c r="K1521" s="58" t="s">
        <v>185</v>
      </c>
      <c r="L1521" s="74">
        <v>8.859</v>
      </c>
      <c r="M1521" s="85">
        <v>9</v>
      </c>
      <c r="N1521" s="74">
        <v>0.11600000000000001</v>
      </c>
      <c r="O1521">
        <v>3</v>
      </c>
      <c r="P1521" s="84">
        <v>0.11600000000000001</v>
      </c>
      <c r="Q1521" s="86">
        <v>4.2</v>
      </c>
      <c r="R1521" s="85">
        <v>4.2</v>
      </c>
      <c r="S1521" s="87">
        <v>1334440</v>
      </c>
      <c r="T1521" s="1">
        <v>1</v>
      </c>
      <c r="U1521" s="88">
        <v>317723.80952380953</v>
      </c>
      <c r="V1521" s="59">
        <v>3.1473876682353645</v>
      </c>
      <c r="X1521" s="98">
        <v>4.2</v>
      </c>
      <c r="Y1521" s="97">
        <v>317.72380952380951</v>
      </c>
    </row>
    <row r="1522" spans="1:25">
      <c r="A1522" s="58">
        <v>1524</v>
      </c>
      <c r="B1522" s="58">
        <v>1524</v>
      </c>
      <c r="C1522" s="58" t="s">
        <v>2279</v>
      </c>
      <c r="D1522" s="58" t="s">
        <v>384</v>
      </c>
      <c r="E1522" s="58" t="s">
        <v>384</v>
      </c>
      <c r="F1522" s="58" t="s">
        <v>469</v>
      </c>
      <c r="G1522" s="58" t="s">
        <v>470</v>
      </c>
      <c r="H1522" s="58" t="s">
        <v>179</v>
      </c>
      <c r="I1522">
        <v>38000</v>
      </c>
      <c r="J1522">
        <v>38000</v>
      </c>
      <c r="K1522" s="58" t="s">
        <v>185</v>
      </c>
      <c r="L1522" s="74">
        <v>9.9130000000000003</v>
      </c>
      <c r="M1522" s="85">
        <v>10</v>
      </c>
      <c r="N1522" s="74">
        <v>0.115</v>
      </c>
      <c r="O1522">
        <v>3</v>
      </c>
      <c r="P1522" s="84">
        <v>0.115</v>
      </c>
      <c r="Q1522" s="86">
        <v>4.2</v>
      </c>
      <c r="R1522" s="85">
        <v>4.2</v>
      </c>
      <c r="S1522" s="87">
        <v>1387140</v>
      </c>
      <c r="T1522" s="1">
        <v>1</v>
      </c>
      <c r="U1522" s="88">
        <v>330271.42857142858</v>
      </c>
      <c r="V1522" s="59">
        <v>3.0278126216531858</v>
      </c>
      <c r="X1522" s="98">
        <v>4.2</v>
      </c>
      <c r="Y1522" s="97">
        <v>317.72380952380951</v>
      </c>
    </row>
    <row r="1523" spans="1:25">
      <c r="A1523" s="58">
        <v>1525</v>
      </c>
      <c r="B1523" s="58">
        <v>1525</v>
      </c>
      <c r="C1523" s="58" t="s">
        <v>2280</v>
      </c>
      <c r="D1523" s="58" t="s">
        <v>410</v>
      </c>
      <c r="E1523" s="58" t="s">
        <v>410</v>
      </c>
      <c r="F1523" s="58" t="s">
        <v>1143</v>
      </c>
      <c r="G1523" s="58" t="s">
        <v>1144</v>
      </c>
      <c r="H1523" s="58" t="s">
        <v>179</v>
      </c>
      <c r="I1523">
        <v>38000</v>
      </c>
      <c r="J1523" s="58" t="s">
        <v>185</v>
      </c>
      <c r="K1523">
        <v>38000</v>
      </c>
      <c r="L1523" s="74">
        <v>1.806</v>
      </c>
      <c r="M1523" s="85">
        <v>2</v>
      </c>
      <c r="N1523" s="74">
        <v>0.182</v>
      </c>
      <c r="O1523">
        <v>3</v>
      </c>
      <c r="P1523" s="84">
        <v>0.182</v>
      </c>
      <c r="Q1523" s="86">
        <v>4.2</v>
      </c>
      <c r="R1523" s="85">
        <v>4.2</v>
      </c>
      <c r="S1523" s="87">
        <v>488330</v>
      </c>
      <c r="T1523" s="1">
        <v>4</v>
      </c>
      <c r="U1523" s="88">
        <v>116269.04761904762</v>
      </c>
      <c r="V1523" s="59">
        <v>8.6007413019884087</v>
      </c>
      <c r="X1523" s="98">
        <v>4.2</v>
      </c>
      <c r="Y1523" s="97">
        <v>330.2714285714286</v>
      </c>
    </row>
    <row r="1524" spans="1:25">
      <c r="A1524" s="58">
        <v>1526</v>
      </c>
      <c r="B1524" s="58">
        <v>1526</v>
      </c>
      <c r="C1524" s="58" t="s">
        <v>2281</v>
      </c>
      <c r="D1524" s="58" t="s">
        <v>410</v>
      </c>
      <c r="E1524" s="58" t="s">
        <v>410</v>
      </c>
      <c r="F1524" s="58" t="s">
        <v>1143</v>
      </c>
      <c r="G1524" s="58" t="s">
        <v>1144</v>
      </c>
      <c r="H1524" s="58" t="s">
        <v>179</v>
      </c>
      <c r="I1524">
        <v>38000</v>
      </c>
      <c r="J1524" s="58" t="s">
        <v>185</v>
      </c>
      <c r="K1524">
        <v>38000</v>
      </c>
      <c r="L1524" s="74">
        <v>2.8479999999999999</v>
      </c>
      <c r="M1524" s="85">
        <v>3</v>
      </c>
      <c r="N1524" s="74">
        <v>0.497</v>
      </c>
      <c r="O1524">
        <v>3</v>
      </c>
      <c r="P1524" s="84">
        <v>0.497</v>
      </c>
      <c r="Q1524" s="86">
        <v>4.2</v>
      </c>
      <c r="R1524" s="85">
        <v>4.2</v>
      </c>
      <c r="S1524" s="87">
        <v>558600</v>
      </c>
      <c r="T1524" s="1">
        <v>4</v>
      </c>
      <c r="U1524" s="88">
        <v>133000</v>
      </c>
      <c r="V1524" s="59">
        <v>7.518796992481203</v>
      </c>
      <c r="X1524" s="98">
        <v>4.2</v>
      </c>
      <c r="Y1524" s="97">
        <v>116.26904761904763</v>
      </c>
    </row>
    <row r="1525" spans="1:25">
      <c r="A1525" s="58">
        <v>1527</v>
      </c>
      <c r="B1525" s="58">
        <v>1527</v>
      </c>
      <c r="C1525" s="58" t="s">
        <v>2282</v>
      </c>
      <c r="D1525" s="58" t="s">
        <v>410</v>
      </c>
      <c r="E1525" s="58" t="s">
        <v>410</v>
      </c>
      <c r="F1525" s="58" t="s">
        <v>1143</v>
      </c>
      <c r="G1525" s="58" t="s">
        <v>1144</v>
      </c>
      <c r="H1525" s="58" t="s">
        <v>179</v>
      </c>
      <c r="I1525">
        <v>38000</v>
      </c>
      <c r="J1525" s="58" t="s">
        <v>185</v>
      </c>
      <c r="K1525">
        <v>38000</v>
      </c>
      <c r="L1525" s="74">
        <v>2.9289999999999998</v>
      </c>
      <c r="M1525" s="85">
        <v>3</v>
      </c>
      <c r="N1525" s="74">
        <v>0.109</v>
      </c>
      <c r="O1525">
        <v>3</v>
      </c>
      <c r="P1525" s="84">
        <v>0.109</v>
      </c>
      <c r="Q1525" s="86">
        <v>4.2</v>
      </c>
      <c r="R1525" s="85">
        <v>4.2</v>
      </c>
      <c r="S1525" s="87">
        <v>558600</v>
      </c>
      <c r="T1525" s="1">
        <v>4</v>
      </c>
      <c r="U1525" s="88">
        <v>133000</v>
      </c>
      <c r="V1525" s="59">
        <v>7.518796992481203</v>
      </c>
      <c r="X1525" s="98">
        <v>4.2</v>
      </c>
      <c r="Y1525" s="97">
        <v>133</v>
      </c>
    </row>
    <row r="1526" spans="1:25">
      <c r="A1526" s="58">
        <v>1528</v>
      </c>
      <c r="B1526" s="58">
        <v>1528</v>
      </c>
      <c r="C1526" s="58" t="s">
        <v>2283</v>
      </c>
      <c r="D1526" s="58" t="s">
        <v>197</v>
      </c>
      <c r="E1526" s="58" t="s">
        <v>197</v>
      </c>
      <c r="F1526" s="58" t="s">
        <v>2284</v>
      </c>
      <c r="G1526" s="58" t="s">
        <v>2285</v>
      </c>
      <c r="H1526" s="58" t="s">
        <v>179</v>
      </c>
      <c r="I1526">
        <v>38000</v>
      </c>
      <c r="J1526">
        <v>38000</v>
      </c>
      <c r="K1526">
        <v>10000</v>
      </c>
      <c r="L1526" s="74">
        <v>2.6520000000000001</v>
      </c>
      <c r="M1526" s="85">
        <v>3</v>
      </c>
      <c r="N1526" s="74">
        <v>0.55300000000000005</v>
      </c>
      <c r="O1526">
        <v>3</v>
      </c>
      <c r="P1526" s="84">
        <v>0.55300000000000005</v>
      </c>
      <c r="Q1526" s="86">
        <v>4.2</v>
      </c>
      <c r="R1526" s="85">
        <v>4.2</v>
      </c>
      <c r="S1526" s="87">
        <v>558600</v>
      </c>
      <c r="T1526" s="1">
        <v>4</v>
      </c>
      <c r="U1526" s="88">
        <v>133000</v>
      </c>
      <c r="V1526" s="59">
        <v>7.518796992481203</v>
      </c>
      <c r="X1526" s="98">
        <v>4.2</v>
      </c>
      <c r="Y1526" s="97">
        <v>133</v>
      </c>
    </row>
    <row r="1527" spans="1:25">
      <c r="A1527" s="58">
        <v>1529</v>
      </c>
      <c r="B1527" s="58">
        <v>1529</v>
      </c>
      <c r="C1527" s="58" t="s">
        <v>2286</v>
      </c>
      <c r="D1527" s="58" t="s">
        <v>410</v>
      </c>
      <c r="E1527" s="58" t="s">
        <v>410</v>
      </c>
      <c r="F1527" s="58" t="s">
        <v>1850</v>
      </c>
      <c r="G1527" s="58" t="s">
        <v>1851</v>
      </c>
      <c r="H1527" s="58" t="s">
        <v>199</v>
      </c>
      <c r="I1527">
        <v>110000</v>
      </c>
      <c r="J1527">
        <v>110000</v>
      </c>
      <c r="K1527">
        <v>38000</v>
      </c>
      <c r="L1527" s="74">
        <v>3.5950000000000002</v>
      </c>
      <c r="M1527" s="85">
        <v>4</v>
      </c>
      <c r="N1527" s="74">
        <v>0.41399999999999998</v>
      </c>
      <c r="O1527">
        <v>3</v>
      </c>
      <c r="P1527" s="84">
        <v>0.41399999999999998</v>
      </c>
      <c r="Q1527" s="86">
        <v>4.2</v>
      </c>
      <c r="R1527" s="85">
        <v>4.2</v>
      </c>
      <c r="S1527" s="87">
        <v>1627270</v>
      </c>
      <c r="T1527" s="1">
        <v>7</v>
      </c>
      <c r="U1527" s="88">
        <v>387445.23809523811</v>
      </c>
      <c r="V1527" s="59">
        <v>2.5810099123071155</v>
      </c>
      <c r="X1527" s="98">
        <v>4.2</v>
      </c>
      <c r="Y1527" s="97">
        <v>133</v>
      </c>
    </row>
    <row r="1528" spans="1:25">
      <c r="A1528" s="58">
        <v>1530</v>
      </c>
      <c r="B1528" s="58">
        <v>1530</v>
      </c>
      <c r="C1528" s="58" t="s">
        <v>2287</v>
      </c>
      <c r="D1528" s="58" t="s">
        <v>489</v>
      </c>
      <c r="E1528" s="58" t="s">
        <v>489</v>
      </c>
      <c r="F1528" s="58" t="s">
        <v>1140</v>
      </c>
      <c r="G1528" s="58" t="s">
        <v>1141</v>
      </c>
      <c r="H1528" s="58" t="s">
        <v>179</v>
      </c>
      <c r="I1528">
        <v>38000</v>
      </c>
      <c r="J1528">
        <v>38000</v>
      </c>
      <c r="K1528" s="58" t="s">
        <v>185</v>
      </c>
      <c r="L1528" s="74">
        <v>8.6359999999999992</v>
      </c>
      <c r="M1528" s="85">
        <v>9</v>
      </c>
      <c r="N1528" s="74">
        <v>0.11700000000000001</v>
      </c>
      <c r="O1528">
        <v>3</v>
      </c>
      <c r="P1528" s="84">
        <v>0.11700000000000001</v>
      </c>
      <c r="Q1528" s="86">
        <v>4.2</v>
      </c>
      <c r="R1528" s="85">
        <v>4.2</v>
      </c>
      <c r="S1528" s="87">
        <v>1334440</v>
      </c>
      <c r="T1528" s="1">
        <v>1</v>
      </c>
      <c r="U1528" s="88">
        <v>317723.80952380953</v>
      </c>
      <c r="V1528" s="59">
        <v>3.1473876682353645</v>
      </c>
      <c r="X1528" s="98">
        <v>4.2</v>
      </c>
      <c r="Y1528" s="97">
        <v>387.4452380952381</v>
      </c>
    </row>
    <row r="1529" spans="1:25">
      <c r="A1529" s="58">
        <v>1531</v>
      </c>
      <c r="B1529" s="58">
        <v>1531</v>
      </c>
      <c r="C1529" s="58" t="s">
        <v>2288</v>
      </c>
      <c r="D1529" s="58" t="s">
        <v>410</v>
      </c>
      <c r="E1529" s="58" t="s">
        <v>410</v>
      </c>
      <c r="F1529" s="58" t="s">
        <v>1654</v>
      </c>
      <c r="G1529" s="58" t="s">
        <v>1655</v>
      </c>
      <c r="H1529" s="58" t="s">
        <v>199</v>
      </c>
      <c r="I1529">
        <v>110000</v>
      </c>
      <c r="J1529">
        <v>110000</v>
      </c>
      <c r="K1529">
        <v>38000</v>
      </c>
      <c r="L1529" s="74">
        <v>5.1349999999999998</v>
      </c>
      <c r="M1529" s="85">
        <v>6</v>
      </c>
      <c r="N1529" s="74">
        <v>0.30299999999999999</v>
      </c>
      <c r="O1529">
        <v>3</v>
      </c>
      <c r="P1529" s="84">
        <v>0.30299999999999999</v>
      </c>
      <c r="Q1529" s="86">
        <v>4.2</v>
      </c>
      <c r="R1529" s="85">
        <v>4.2</v>
      </c>
      <c r="S1529" s="87">
        <v>1732670</v>
      </c>
      <c r="T1529" s="1">
        <v>7</v>
      </c>
      <c r="U1529" s="88">
        <v>412540.47619047615</v>
      </c>
      <c r="V1529" s="59">
        <v>2.4240045709800482</v>
      </c>
      <c r="X1529" s="98">
        <v>4.2</v>
      </c>
      <c r="Y1529" s="97">
        <v>317.72380952380951</v>
      </c>
    </row>
    <row r="1530" spans="1:25">
      <c r="A1530" s="58">
        <v>1532</v>
      </c>
      <c r="B1530" s="58">
        <v>1532</v>
      </c>
      <c r="C1530" s="58" t="s">
        <v>2289</v>
      </c>
      <c r="D1530" s="58" t="s">
        <v>410</v>
      </c>
      <c r="E1530" s="58" t="s">
        <v>410</v>
      </c>
      <c r="F1530" s="58" t="s">
        <v>1654</v>
      </c>
      <c r="G1530" s="58" t="s">
        <v>1655</v>
      </c>
      <c r="H1530" s="58" t="s">
        <v>199</v>
      </c>
      <c r="I1530">
        <v>110000</v>
      </c>
      <c r="J1530">
        <v>110000</v>
      </c>
      <c r="K1530">
        <v>38000</v>
      </c>
      <c r="L1530" s="74">
        <v>9.3629999999999995</v>
      </c>
      <c r="M1530" s="85">
        <v>10</v>
      </c>
      <c r="N1530" s="74">
        <v>0.14299999999999999</v>
      </c>
      <c r="O1530">
        <v>3</v>
      </c>
      <c r="P1530" s="84">
        <v>0.14299999999999999</v>
      </c>
      <c r="Q1530" s="86">
        <v>4.2</v>
      </c>
      <c r="R1530" s="85">
        <v>4.2</v>
      </c>
      <c r="S1530" s="87">
        <v>1943470</v>
      </c>
      <c r="T1530" s="1">
        <v>7</v>
      </c>
      <c r="U1530" s="88">
        <v>462730.95238095237</v>
      </c>
      <c r="V1530" s="59">
        <v>2.1610830113148132</v>
      </c>
      <c r="X1530" s="98">
        <v>4.2</v>
      </c>
      <c r="Y1530" s="97">
        <v>412.54047619047617</v>
      </c>
    </row>
    <row r="1531" spans="1:25">
      <c r="A1531" s="58">
        <v>1533</v>
      </c>
      <c r="B1531" s="58">
        <v>1533</v>
      </c>
      <c r="C1531" s="58" t="s">
        <v>2290</v>
      </c>
      <c r="D1531" s="58" t="s">
        <v>410</v>
      </c>
      <c r="E1531" s="58" t="s">
        <v>410</v>
      </c>
      <c r="F1531" s="58" t="s">
        <v>1654</v>
      </c>
      <c r="G1531" s="58" t="s">
        <v>1655</v>
      </c>
      <c r="H1531" s="58" t="s">
        <v>199</v>
      </c>
      <c r="I1531">
        <v>110000</v>
      </c>
      <c r="J1531">
        <v>110000</v>
      </c>
      <c r="K1531">
        <v>38000</v>
      </c>
      <c r="L1531" s="74">
        <v>10.211</v>
      </c>
      <c r="M1531" s="85">
        <v>11</v>
      </c>
      <c r="N1531" s="74">
        <v>0.127</v>
      </c>
      <c r="O1531">
        <v>3</v>
      </c>
      <c r="P1531" s="84">
        <v>0.127</v>
      </c>
      <c r="Q1531" s="86">
        <v>4.2</v>
      </c>
      <c r="R1531" s="85">
        <v>4.2</v>
      </c>
      <c r="S1531" s="87">
        <v>1996170</v>
      </c>
      <c r="T1531" s="1">
        <v>7</v>
      </c>
      <c r="U1531" s="88">
        <v>475278.57142857142</v>
      </c>
      <c r="V1531" s="59">
        <v>2.1040292159485414</v>
      </c>
      <c r="X1531" s="98">
        <v>4.2</v>
      </c>
      <c r="Y1531" s="97">
        <v>462.73095238095237</v>
      </c>
    </row>
    <row r="1532" spans="1:25">
      <c r="A1532" s="58">
        <v>1534</v>
      </c>
      <c r="B1532" s="58">
        <v>1534</v>
      </c>
      <c r="C1532" s="58" t="s">
        <v>2291</v>
      </c>
      <c r="D1532" s="58" t="s">
        <v>410</v>
      </c>
      <c r="E1532" s="58" t="s">
        <v>410</v>
      </c>
      <c r="F1532" s="58" t="s">
        <v>1866</v>
      </c>
      <c r="G1532" s="58" t="s">
        <v>1867</v>
      </c>
      <c r="H1532" s="58" t="s">
        <v>179</v>
      </c>
      <c r="I1532">
        <v>38000</v>
      </c>
      <c r="J1532">
        <v>38000</v>
      </c>
      <c r="K1532" s="58" t="s">
        <v>185</v>
      </c>
      <c r="L1532" s="74">
        <v>8.2789999999999999</v>
      </c>
      <c r="M1532" s="85">
        <v>9</v>
      </c>
      <c r="N1532" s="74">
        <v>0.53500000000000003</v>
      </c>
      <c r="O1532">
        <v>3</v>
      </c>
      <c r="P1532" s="84">
        <v>0.53500000000000003</v>
      </c>
      <c r="Q1532" s="86">
        <v>4.2</v>
      </c>
      <c r="R1532" s="85">
        <v>4.2</v>
      </c>
      <c r="S1532" s="87">
        <v>1334440</v>
      </c>
      <c r="T1532" s="1">
        <v>1</v>
      </c>
      <c r="U1532" s="88">
        <v>317723.80952380953</v>
      </c>
      <c r="V1532" s="59">
        <v>3.1473876682353645</v>
      </c>
      <c r="X1532" s="98">
        <v>4.2</v>
      </c>
      <c r="Y1532" s="97">
        <v>475.27857142857147</v>
      </c>
    </row>
    <row r="1533" spans="1:25">
      <c r="A1533" s="58">
        <v>1535</v>
      </c>
      <c r="B1533" s="58">
        <v>1535</v>
      </c>
      <c r="C1533" s="58" t="s">
        <v>2292</v>
      </c>
      <c r="D1533" s="58" t="s">
        <v>1169</v>
      </c>
      <c r="E1533" s="58" t="s">
        <v>1169</v>
      </c>
      <c r="F1533" s="58" t="s">
        <v>1976</v>
      </c>
      <c r="G1533" s="58" t="s">
        <v>1977</v>
      </c>
      <c r="H1533" s="58" t="s">
        <v>179</v>
      </c>
      <c r="I1533">
        <v>38000</v>
      </c>
      <c r="J1533">
        <v>38000</v>
      </c>
      <c r="K1533" s="58" t="s">
        <v>185</v>
      </c>
      <c r="L1533" s="74">
        <v>9.5960000000000001</v>
      </c>
      <c r="M1533" s="85">
        <v>10</v>
      </c>
      <c r="N1533" s="74">
        <v>0.26600000000000001</v>
      </c>
      <c r="O1533">
        <v>3</v>
      </c>
      <c r="P1533" s="84">
        <v>0.26600000000000001</v>
      </c>
      <c r="Q1533" s="86">
        <v>4.2</v>
      </c>
      <c r="R1533" s="85">
        <v>4.2</v>
      </c>
      <c r="S1533" s="87">
        <v>1387140</v>
      </c>
      <c r="T1533" s="1">
        <v>1</v>
      </c>
      <c r="U1533" s="88">
        <v>330271.42857142858</v>
      </c>
      <c r="V1533" s="59">
        <v>3.0278126216531858</v>
      </c>
      <c r="X1533" s="98">
        <v>4.2</v>
      </c>
      <c r="Y1533" s="97">
        <v>317.72380952380951</v>
      </c>
    </row>
    <row r="1534" spans="1:25">
      <c r="A1534" s="58">
        <v>1536</v>
      </c>
      <c r="B1534" s="58">
        <v>1536</v>
      </c>
      <c r="C1534" s="58" t="s">
        <v>2293</v>
      </c>
      <c r="D1534" s="58" t="s">
        <v>1169</v>
      </c>
      <c r="E1534" s="58" t="s">
        <v>1169</v>
      </c>
      <c r="F1534" s="58" t="s">
        <v>1976</v>
      </c>
      <c r="G1534" s="58" t="s">
        <v>1977</v>
      </c>
      <c r="H1534" s="58" t="s">
        <v>179</v>
      </c>
      <c r="I1534">
        <v>38000</v>
      </c>
      <c r="J1534">
        <v>38000</v>
      </c>
      <c r="K1534" s="58" t="s">
        <v>185</v>
      </c>
      <c r="L1534" s="74">
        <v>11.076000000000001</v>
      </c>
      <c r="M1534" s="85">
        <v>12</v>
      </c>
      <c r="N1534" s="74">
        <v>0.32100000000000001</v>
      </c>
      <c r="O1534">
        <v>3</v>
      </c>
      <c r="P1534" s="84">
        <v>0.32100000000000001</v>
      </c>
      <c r="Q1534" s="86">
        <v>4.2</v>
      </c>
      <c r="R1534" s="85">
        <v>4.2</v>
      </c>
      <c r="S1534" s="87">
        <v>1492540</v>
      </c>
      <c r="T1534" s="1">
        <v>1</v>
      </c>
      <c r="U1534" s="88">
        <v>355366.66666666663</v>
      </c>
      <c r="V1534" s="59">
        <v>2.8139949348091173</v>
      </c>
      <c r="X1534" s="98">
        <v>4.2</v>
      </c>
      <c r="Y1534" s="97">
        <v>330.2714285714286</v>
      </c>
    </row>
    <row r="1535" spans="1:25">
      <c r="A1535" s="58">
        <v>1537</v>
      </c>
      <c r="B1535" s="58">
        <v>1537</v>
      </c>
      <c r="C1535" s="58" t="s">
        <v>2294</v>
      </c>
      <c r="D1535" s="58" t="s">
        <v>882</v>
      </c>
      <c r="E1535" s="58" t="s">
        <v>882</v>
      </c>
      <c r="F1535" s="58" t="s">
        <v>1149</v>
      </c>
      <c r="G1535" s="58" t="s">
        <v>1150</v>
      </c>
      <c r="H1535" s="58" t="s">
        <v>179</v>
      </c>
      <c r="I1535">
        <v>38000</v>
      </c>
      <c r="J1535">
        <v>38000</v>
      </c>
      <c r="K1535" s="58" t="s">
        <v>185</v>
      </c>
      <c r="L1535" s="74">
        <v>11.522</v>
      </c>
      <c r="M1535" s="85">
        <v>12</v>
      </c>
      <c r="N1535" s="74">
        <v>0.10299999999999999</v>
      </c>
      <c r="O1535">
        <v>3</v>
      </c>
      <c r="P1535" s="84">
        <v>0.10299999999999999</v>
      </c>
      <c r="Q1535" s="86">
        <v>4.2</v>
      </c>
      <c r="R1535" s="85">
        <v>4.2</v>
      </c>
      <c r="S1535" s="87">
        <v>1492540</v>
      </c>
      <c r="T1535" s="1">
        <v>1</v>
      </c>
      <c r="U1535" s="88">
        <v>355366.66666666663</v>
      </c>
      <c r="V1535" s="59">
        <v>2.8139949348091173</v>
      </c>
      <c r="X1535" s="98">
        <v>4.2</v>
      </c>
      <c r="Y1535" s="97">
        <v>355.36666666666662</v>
      </c>
    </row>
    <row r="1536" spans="1:25">
      <c r="A1536" s="58">
        <v>1538</v>
      </c>
      <c r="B1536" s="58">
        <v>1538</v>
      </c>
      <c r="C1536" s="58" t="s">
        <v>2295</v>
      </c>
      <c r="D1536" s="58" t="s">
        <v>182</v>
      </c>
      <c r="E1536" s="58" t="s">
        <v>182</v>
      </c>
      <c r="F1536" s="58" t="s">
        <v>1839</v>
      </c>
      <c r="G1536" s="58" t="s">
        <v>1840</v>
      </c>
      <c r="H1536" s="58" t="s">
        <v>179</v>
      </c>
      <c r="I1536">
        <v>38000</v>
      </c>
      <c r="J1536">
        <v>38000</v>
      </c>
      <c r="K1536" s="58" t="s">
        <v>185</v>
      </c>
      <c r="L1536" s="74">
        <v>10.087999999999999</v>
      </c>
      <c r="M1536" s="85">
        <v>11</v>
      </c>
      <c r="N1536" s="74">
        <v>0.115</v>
      </c>
      <c r="O1536">
        <v>3</v>
      </c>
      <c r="P1536" s="84">
        <v>0.115</v>
      </c>
      <c r="Q1536" s="86">
        <v>4.2</v>
      </c>
      <c r="R1536" s="85">
        <v>4.2</v>
      </c>
      <c r="S1536" s="87">
        <v>1439840</v>
      </c>
      <c r="T1536" s="1">
        <v>1</v>
      </c>
      <c r="U1536" s="88">
        <v>342819.04761904763</v>
      </c>
      <c r="V1536" s="59">
        <v>2.9169907767529724</v>
      </c>
      <c r="X1536" s="98">
        <v>4.2</v>
      </c>
      <c r="Y1536" s="97">
        <v>355.36666666666662</v>
      </c>
    </row>
    <row r="1537" spans="1:25">
      <c r="A1537" s="58">
        <v>1539</v>
      </c>
      <c r="B1537" s="58">
        <v>1539</v>
      </c>
      <c r="C1537" s="58" t="s">
        <v>2296</v>
      </c>
      <c r="D1537" s="58" t="s">
        <v>182</v>
      </c>
      <c r="E1537" s="58" t="s">
        <v>182</v>
      </c>
      <c r="F1537" s="58" t="s">
        <v>1839</v>
      </c>
      <c r="G1537" s="58" t="s">
        <v>1840</v>
      </c>
      <c r="H1537" s="58" t="s">
        <v>179</v>
      </c>
      <c r="I1537">
        <v>38000</v>
      </c>
      <c r="J1537">
        <v>38000</v>
      </c>
      <c r="K1537" s="58" t="s">
        <v>185</v>
      </c>
      <c r="L1537" s="74">
        <v>7.87</v>
      </c>
      <c r="M1537" s="85">
        <v>8</v>
      </c>
      <c r="N1537" s="74">
        <v>0.43</v>
      </c>
      <c r="O1537">
        <v>3</v>
      </c>
      <c r="P1537" s="84">
        <v>0.43</v>
      </c>
      <c r="Q1537" s="86">
        <v>4.2</v>
      </c>
      <c r="R1537" s="85">
        <v>4.2</v>
      </c>
      <c r="S1537" s="87">
        <v>909950</v>
      </c>
      <c r="T1537" s="1">
        <v>4</v>
      </c>
      <c r="U1537" s="88">
        <v>216654.76190476189</v>
      </c>
      <c r="V1537" s="59">
        <v>4.6156382218803227</v>
      </c>
      <c r="X1537" s="98">
        <v>4.2</v>
      </c>
      <c r="Y1537" s="97">
        <v>342.81904761904764</v>
      </c>
    </row>
    <row r="1538" spans="1:25">
      <c r="A1538" s="58">
        <v>1540</v>
      </c>
      <c r="B1538" s="58">
        <v>1540</v>
      </c>
      <c r="C1538" s="58" t="s">
        <v>2297</v>
      </c>
      <c r="D1538" s="58" t="s">
        <v>215</v>
      </c>
      <c r="E1538" s="58" t="s">
        <v>215</v>
      </c>
      <c r="F1538" s="58" t="s">
        <v>713</v>
      </c>
      <c r="G1538" s="58" t="s">
        <v>714</v>
      </c>
      <c r="H1538" s="58" t="s">
        <v>199</v>
      </c>
      <c r="I1538">
        <v>110000</v>
      </c>
      <c r="J1538" s="58" t="s">
        <v>185</v>
      </c>
      <c r="K1538">
        <v>110000</v>
      </c>
      <c r="L1538" s="74">
        <v>11.217000000000001</v>
      </c>
      <c r="M1538" s="85">
        <v>12</v>
      </c>
      <c r="N1538" s="74">
        <v>0.109</v>
      </c>
      <c r="O1538">
        <v>3</v>
      </c>
      <c r="P1538" s="84">
        <v>0.109</v>
      </c>
      <c r="Q1538" s="86">
        <v>4.2</v>
      </c>
      <c r="R1538" s="85">
        <v>4.2</v>
      </c>
      <c r="S1538" s="87">
        <v>2048870</v>
      </c>
      <c r="T1538" s="1">
        <v>7</v>
      </c>
      <c r="U1538" s="88">
        <v>487826.19047619047</v>
      </c>
      <c r="V1538" s="59">
        <v>2.0499104384367968</v>
      </c>
      <c r="X1538" s="98">
        <v>4.2</v>
      </c>
      <c r="Y1538" s="97">
        <v>216.6547619047619</v>
      </c>
    </row>
    <row r="1539" spans="1:25">
      <c r="A1539" s="58">
        <v>1541</v>
      </c>
      <c r="B1539" s="58">
        <v>1541</v>
      </c>
      <c r="C1539" s="58" t="s">
        <v>2298</v>
      </c>
      <c r="D1539" s="58" t="s">
        <v>489</v>
      </c>
      <c r="E1539" s="58" t="s">
        <v>489</v>
      </c>
      <c r="F1539" s="58" t="s">
        <v>1664</v>
      </c>
      <c r="G1539" s="58" t="s">
        <v>1665</v>
      </c>
      <c r="H1539" s="58" t="s">
        <v>179</v>
      </c>
      <c r="I1539">
        <v>38000</v>
      </c>
      <c r="J1539">
        <v>38000</v>
      </c>
      <c r="K1539" s="58" t="s">
        <v>185</v>
      </c>
      <c r="L1539" s="74">
        <v>10.085000000000001</v>
      </c>
      <c r="M1539" s="85">
        <v>11</v>
      </c>
      <c r="N1539" s="74">
        <v>0.38800000000000001</v>
      </c>
      <c r="O1539">
        <v>3</v>
      </c>
      <c r="P1539" s="84">
        <v>0.38800000000000001</v>
      </c>
      <c r="Q1539" s="86">
        <v>4.2</v>
      </c>
      <c r="R1539" s="85">
        <v>4.2</v>
      </c>
      <c r="S1539" s="87">
        <v>1439840</v>
      </c>
      <c r="T1539" s="1">
        <v>1</v>
      </c>
      <c r="U1539" s="88">
        <v>342819.04761904763</v>
      </c>
      <c r="V1539" s="59">
        <v>2.9169907767529724</v>
      </c>
      <c r="X1539" s="98">
        <v>4.2</v>
      </c>
      <c r="Y1539" s="97">
        <v>487.82619047619045</v>
      </c>
    </row>
    <row r="1540" spans="1:25">
      <c r="A1540" s="58">
        <v>1542</v>
      </c>
      <c r="B1540" s="58">
        <v>1542</v>
      </c>
      <c r="C1540" s="58" t="s">
        <v>2299</v>
      </c>
      <c r="D1540" s="58" t="s">
        <v>775</v>
      </c>
      <c r="E1540" s="58" t="s">
        <v>775</v>
      </c>
      <c r="F1540" s="58" t="s">
        <v>1107</v>
      </c>
      <c r="G1540" s="58" t="s">
        <v>1108</v>
      </c>
      <c r="H1540" s="58" t="s">
        <v>179</v>
      </c>
      <c r="I1540">
        <v>38000</v>
      </c>
      <c r="J1540">
        <v>38000</v>
      </c>
      <c r="K1540" s="58" t="s">
        <v>185</v>
      </c>
      <c r="L1540" s="74">
        <v>7.9219999999999997</v>
      </c>
      <c r="M1540" s="85">
        <v>8</v>
      </c>
      <c r="N1540" s="74">
        <v>0.255</v>
      </c>
      <c r="O1540">
        <v>3</v>
      </c>
      <c r="P1540" s="84">
        <v>0.255</v>
      </c>
      <c r="Q1540" s="86">
        <v>4.2</v>
      </c>
      <c r="R1540" s="85">
        <v>4.2</v>
      </c>
      <c r="S1540" s="87">
        <v>909950</v>
      </c>
      <c r="T1540" s="1">
        <v>4</v>
      </c>
      <c r="U1540" s="88">
        <v>216654.76190476189</v>
      </c>
      <c r="V1540" s="59">
        <v>4.6156382218803227</v>
      </c>
      <c r="X1540" s="98">
        <v>4.2</v>
      </c>
      <c r="Y1540" s="97">
        <v>342.81904761904764</v>
      </c>
    </row>
    <row r="1541" spans="1:25">
      <c r="A1541" s="58">
        <v>1543</v>
      </c>
      <c r="B1541" s="58">
        <v>1543</v>
      </c>
      <c r="C1541" s="58" t="s">
        <v>2300</v>
      </c>
      <c r="D1541" s="58" t="s">
        <v>1169</v>
      </c>
      <c r="E1541" s="58" t="s">
        <v>1169</v>
      </c>
      <c r="F1541" s="58" t="s">
        <v>2301</v>
      </c>
      <c r="G1541" s="58" t="s">
        <v>2302</v>
      </c>
      <c r="H1541" s="58" t="s">
        <v>179</v>
      </c>
      <c r="I1541">
        <v>38000</v>
      </c>
      <c r="J1541">
        <v>38000</v>
      </c>
      <c r="K1541" s="58" t="s">
        <v>185</v>
      </c>
      <c r="L1541" s="74">
        <v>5.0190000000000001</v>
      </c>
      <c r="M1541" s="85">
        <v>6</v>
      </c>
      <c r="N1541" s="74">
        <v>0.29199999999999998</v>
      </c>
      <c r="O1541">
        <v>3</v>
      </c>
      <c r="P1541" s="84">
        <v>0.29199999999999998</v>
      </c>
      <c r="Q1541" s="86">
        <v>4.2</v>
      </c>
      <c r="R1541" s="85">
        <v>4.2</v>
      </c>
      <c r="S1541" s="87">
        <v>769410</v>
      </c>
      <c r="T1541" s="1">
        <v>4</v>
      </c>
      <c r="U1541" s="88">
        <v>183192.85714285713</v>
      </c>
      <c r="V1541" s="59">
        <v>5.4587281163488903</v>
      </c>
      <c r="X1541" s="98">
        <v>4.2</v>
      </c>
      <c r="Y1541" s="97">
        <v>216.6547619047619</v>
      </c>
    </row>
    <row r="1542" spans="1:25">
      <c r="A1542" s="58">
        <v>1544</v>
      </c>
      <c r="B1542" s="58">
        <v>1544</v>
      </c>
      <c r="C1542" s="58" t="s">
        <v>2303</v>
      </c>
      <c r="D1542" s="58" t="s">
        <v>1811</v>
      </c>
      <c r="E1542" s="58" t="s">
        <v>1811</v>
      </c>
      <c r="F1542" s="58" t="s">
        <v>1812</v>
      </c>
      <c r="G1542" s="58" t="s">
        <v>1813</v>
      </c>
      <c r="H1542" s="58" t="s">
        <v>179</v>
      </c>
      <c r="I1542">
        <v>38000</v>
      </c>
      <c r="J1542">
        <v>38000</v>
      </c>
      <c r="K1542" s="58" t="s">
        <v>185</v>
      </c>
      <c r="L1542" s="74">
        <v>4.0970000000000004</v>
      </c>
      <c r="M1542" s="85">
        <v>5</v>
      </c>
      <c r="N1542" s="74">
        <v>0.41699999999999998</v>
      </c>
      <c r="O1542">
        <v>3</v>
      </c>
      <c r="P1542" s="84">
        <v>0.41699999999999998</v>
      </c>
      <c r="Q1542" s="86">
        <v>4.2</v>
      </c>
      <c r="R1542" s="85">
        <v>4.2</v>
      </c>
      <c r="S1542" s="87">
        <v>699140</v>
      </c>
      <c r="T1542" s="1">
        <v>4</v>
      </c>
      <c r="U1542" s="88">
        <v>166461.90476190476</v>
      </c>
      <c r="V1542" s="59">
        <v>6.0073804960379897</v>
      </c>
      <c r="X1542" s="98">
        <v>4.2</v>
      </c>
      <c r="Y1542" s="97">
        <v>183.19285714285712</v>
      </c>
    </row>
    <row r="1543" spans="1:25">
      <c r="A1543" s="58">
        <v>1545</v>
      </c>
      <c r="B1543" s="58">
        <v>1545</v>
      </c>
      <c r="C1543" s="58" t="s">
        <v>2304</v>
      </c>
      <c r="D1543" s="58" t="s">
        <v>384</v>
      </c>
      <c r="E1543" s="58" t="s">
        <v>384</v>
      </c>
      <c r="F1543" s="58" t="s">
        <v>476</v>
      </c>
      <c r="G1543" s="58" t="s">
        <v>477</v>
      </c>
      <c r="H1543" s="58" t="s">
        <v>179</v>
      </c>
      <c r="I1543">
        <v>38000</v>
      </c>
      <c r="J1543">
        <v>20000</v>
      </c>
      <c r="K1543">
        <v>38000</v>
      </c>
      <c r="L1543" s="74">
        <v>7.4290000000000003</v>
      </c>
      <c r="M1543" s="85">
        <v>8</v>
      </c>
      <c r="N1543" s="74">
        <v>0.20499999999999999</v>
      </c>
      <c r="O1543">
        <v>3</v>
      </c>
      <c r="P1543" s="84">
        <v>0.20499999999999999</v>
      </c>
      <c r="Q1543" s="86">
        <v>4.2</v>
      </c>
      <c r="R1543" s="85">
        <v>4.2</v>
      </c>
      <c r="S1543" s="87">
        <v>909950</v>
      </c>
      <c r="T1543" s="1">
        <v>4</v>
      </c>
      <c r="U1543" s="88">
        <v>216654.76190476189</v>
      </c>
      <c r="V1543" s="59">
        <v>4.6156382218803227</v>
      </c>
      <c r="X1543" s="98">
        <v>4.2</v>
      </c>
      <c r="Y1543" s="97">
        <v>166.46190476190475</v>
      </c>
    </row>
    <row r="1544" spans="1:25">
      <c r="A1544" s="58">
        <v>1546</v>
      </c>
      <c r="B1544" s="58">
        <v>1546</v>
      </c>
      <c r="C1544" s="58" t="s">
        <v>2305</v>
      </c>
      <c r="D1544" s="58" t="s">
        <v>215</v>
      </c>
      <c r="E1544" s="58" t="s">
        <v>215</v>
      </c>
      <c r="F1544" s="58" t="s">
        <v>1157</v>
      </c>
      <c r="G1544" s="58" t="s">
        <v>1158</v>
      </c>
      <c r="H1544" s="58" t="s">
        <v>199</v>
      </c>
      <c r="I1544">
        <v>110000</v>
      </c>
      <c r="J1544">
        <v>110000</v>
      </c>
      <c r="K1544">
        <v>38000</v>
      </c>
      <c r="L1544" s="74">
        <v>8.157</v>
      </c>
      <c r="M1544" s="85">
        <v>9</v>
      </c>
      <c r="N1544" s="74">
        <v>0.27900000000000003</v>
      </c>
      <c r="O1544">
        <v>3</v>
      </c>
      <c r="P1544" s="84">
        <v>0.27900000000000003</v>
      </c>
      <c r="Q1544" s="86">
        <v>4.2</v>
      </c>
      <c r="R1544" s="85">
        <v>4.2</v>
      </c>
      <c r="S1544" s="87">
        <v>1890770</v>
      </c>
      <c r="T1544" s="1">
        <v>7</v>
      </c>
      <c r="U1544" s="88">
        <v>450183.33333333331</v>
      </c>
      <c r="V1544" s="59">
        <v>2.2213172411239865</v>
      </c>
      <c r="X1544" s="98">
        <v>4.2</v>
      </c>
      <c r="Y1544" s="97">
        <v>216.6547619047619</v>
      </c>
    </row>
    <row r="1545" spans="1:25">
      <c r="A1545" s="58">
        <v>1547</v>
      </c>
      <c r="B1545" s="58">
        <v>1547</v>
      </c>
      <c r="C1545" s="58" t="s">
        <v>2306</v>
      </c>
      <c r="D1545" s="58" t="s">
        <v>197</v>
      </c>
      <c r="E1545" s="58" t="s">
        <v>197</v>
      </c>
      <c r="F1545" s="58" t="s">
        <v>486</v>
      </c>
      <c r="G1545" s="58" t="s">
        <v>487</v>
      </c>
      <c r="H1545" s="58" t="s">
        <v>179</v>
      </c>
      <c r="I1545">
        <v>38000</v>
      </c>
      <c r="J1545">
        <v>38000</v>
      </c>
      <c r="K1545" s="58" t="s">
        <v>185</v>
      </c>
      <c r="L1545" s="74">
        <v>10.397</v>
      </c>
      <c r="M1545" s="85">
        <v>11</v>
      </c>
      <c r="N1545" s="74">
        <v>0.51500000000000001</v>
      </c>
      <c r="O1545">
        <v>3</v>
      </c>
      <c r="P1545" s="84">
        <v>0.51500000000000001</v>
      </c>
      <c r="Q1545" s="86">
        <v>4.2</v>
      </c>
      <c r="R1545" s="85">
        <v>4.2</v>
      </c>
      <c r="S1545" s="87">
        <v>1439840</v>
      </c>
      <c r="T1545" s="1">
        <v>1</v>
      </c>
      <c r="U1545" s="88">
        <v>342819.04761904763</v>
      </c>
      <c r="V1545" s="59">
        <v>2.9169907767529724</v>
      </c>
      <c r="X1545" s="98">
        <v>4.2</v>
      </c>
      <c r="Y1545" s="97">
        <v>450.18333333333334</v>
      </c>
    </row>
    <row r="1546" spans="1:25">
      <c r="A1546" s="58">
        <v>1548</v>
      </c>
      <c r="B1546" s="58">
        <v>1548</v>
      </c>
      <c r="C1546" s="58" t="s">
        <v>2307</v>
      </c>
      <c r="D1546" s="58" t="s">
        <v>197</v>
      </c>
      <c r="E1546" s="58" t="s">
        <v>197</v>
      </c>
      <c r="F1546" s="58" t="s">
        <v>486</v>
      </c>
      <c r="G1546" s="58" t="s">
        <v>487</v>
      </c>
      <c r="H1546" s="58" t="s">
        <v>179</v>
      </c>
      <c r="I1546">
        <v>38000</v>
      </c>
      <c r="J1546">
        <v>38000</v>
      </c>
      <c r="K1546" s="58" t="s">
        <v>185</v>
      </c>
      <c r="L1546" s="74">
        <v>11.042</v>
      </c>
      <c r="M1546" s="85">
        <v>12</v>
      </c>
      <c r="N1546" s="74">
        <v>0.22</v>
      </c>
      <c r="O1546">
        <v>3</v>
      </c>
      <c r="P1546" s="84">
        <v>0.22</v>
      </c>
      <c r="Q1546" s="86">
        <v>4.2</v>
      </c>
      <c r="R1546" s="85">
        <v>4.2</v>
      </c>
      <c r="S1546" s="87">
        <v>1492540</v>
      </c>
      <c r="T1546" s="1">
        <v>1</v>
      </c>
      <c r="U1546" s="88">
        <v>355366.66666666663</v>
      </c>
      <c r="V1546" s="59">
        <v>2.8139949348091173</v>
      </c>
      <c r="X1546" s="98">
        <v>4.2</v>
      </c>
      <c r="Y1546" s="97">
        <v>342.81904761904764</v>
      </c>
    </row>
    <row r="1547" spans="1:25">
      <c r="A1547" s="58">
        <v>1549</v>
      </c>
      <c r="B1547" s="58">
        <v>1549</v>
      </c>
      <c r="C1547" s="58" t="s">
        <v>2308</v>
      </c>
      <c r="D1547" s="58" t="s">
        <v>450</v>
      </c>
      <c r="E1547" s="58" t="s">
        <v>450</v>
      </c>
      <c r="F1547" s="58" t="s">
        <v>769</v>
      </c>
      <c r="G1547" s="58" t="s">
        <v>770</v>
      </c>
      <c r="H1547" s="58" t="s">
        <v>179</v>
      </c>
      <c r="I1547">
        <v>38000</v>
      </c>
      <c r="J1547" s="58" t="s">
        <v>185</v>
      </c>
      <c r="K1547">
        <v>38000</v>
      </c>
      <c r="L1547" s="74">
        <v>4.9969999999999999</v>
      </c>
      <c r="M1547" s="85">
        <v>5</v>
      </c>
      <c r="N1547" s="74">
        <v>0.14499999999999999</v>
      </c>
      <c r="O1547">
        <v>3</v>
      </c>
      <c r="P1547" s="84">
        <v>0.14499999999999999</v>
      </c>
      <c r="Q1547" s="86">
        <v>4.2</v>
      </c>
      <c r="R1547" s="85">
        <v>4.2</v>
      </c>
      <c r="S1547" s="87">
        <v>699140</v>
      </c>
      <c r="T1547" s="1">
        <v>4</v>
      </c>
      <c r="U1547" s="88">
        <v>166461.90476190476</v>
      </c>
      <c r="V1547" s="59">
        <v>6.0073804960379897</v>
      </c>
      <c r="X1547" s="98">
        <v>4.2</v>
      </c>
      <c r="Y1547" s="97">
        <v>355.36666666666662</v>
      </c>
    </row>
    <row r="1548" spans="1:25">
      <c r="A1548" s="58">
        <v>1550</v>
      </c>
      <c r="B1548" s="58">
        <v>1550</v>
      </c>
      <c r="C1548" s="58" t="s">
        <v>2309</v>
      </c>
      <c r="D1548" s="58" t="s">
        <v>489</v>
      </c>
      <c r="E1548" s="58" t="s">
        <v>489</v>
      </c>
      <c r="F1548" s="58" t="s">
        <v>2310</v>
      </c>
      <c r="G1548" s="58" t="s">
        <v>2311</v>
      </c>
      <c r="H1548" s="58" t="s">
        <v>179</v>
      </c>
      <c r="I1548">
        <v>38000</v>
      </c>
      <c r="J1548">
        <v>38000</v>
      </c>
      <c r="K1548" s="58" t="s">
        <v>185</v>
      </c>
      <c r="L1548" s="74">
        <v>10.551</v>
      </c>
      <c r="M1548" s="85">
        <v>11</v>
      </c>
      <c r="N1548" s="74">
        <v>0.222</v>
      </c>
      <c r="O1548">
        <v>3</v>
      </c>
      <c r="P1548" s="84">
        <v>0.222</v>
      </c>
      <c r="Q1548" s="86">
        <v>4.2</v>
      </c>
      <c r="R1548" s="85">
        <v>4.2</v>
      </c>
      <c r="S1548" s="87">
        <v>1439840</v>
      </c>
      <c r="T1548" s="1">
        <v>1</v>
      </c>
      <c r="U1548" s="88">
        <v>342819.04761904763</v>
      </c>
      <c r="V1548" s="59">
        <v>2.9169907767529724</v>
      </c>
      <c r="X1548" s="98">
        <v>4.2</v>
      </c>
      <c r="Y1548" s="97">
        <v>166.46190476190475</v>
      </c>
    </row>
    <row r="1549" spans="1:25">
      <c r="A1549" s="58">
        <v>1551</v>
      </c>
      <c r="B1549" s="58">
        <v>1551</v>
      </c>
      <c r="C1549" s="58" t="s">
        <v>2312</v>
      </c>
      <c r="D1549" s="58" t="s">
        <v>489</v>
      </c>
      <c r="E1549" s="58" t="s">
        <v>489</v>
      </c>
      <c r="F1549" s="58" t="s">
        <v>1161</v>
      </c>
      <c r="G1549" s="58" t="s">
        <v>1162</v>
      </c>
      <c r="H1549" s="58" t="s">
        <v>179</v>
      </c>
      <c r="I1549">
        <v>38000</v>
      </c>
      <c r="J1549">
        <v>38000</v>
      </c>
      <c r="K1549" s="58" t="s">
        <v>185</v>
      </c>
      <c r="L1549" s="74">
        <v>2.2570000000000001</v>
      </c>
      <c r="M1549" s="85">
        <v>3</v>
      </c>
      <c r="N1549" s="74">
        <v>0.38</v>
      </c>
      <c r="O1549">
        <v>3</v>
      </c>
      <c r="P1549" s="84">
        <v>0.38</v>
      </c>
      <c r="Q1549" s="86">
        <v>4.2</v>
      </c>
      <c r="R1549" s="85">
        <v>4.2</v>
      </c>
      <c r="S1549" s="87">
        <v>558600</v>
      </c>
      <c r="T1549" s="1">
        <v>4</v>
      </c>
      <c r="U1549" s="88">
        <v>133000</v>
      </c>
      <c r="V1549" s="59">
        <v>7.518796992481203</v>
      </c>
      <c r="X1549" s="98">
        <v>4.2</v>
      </c>
      <c r="Y1549" s="97">
        <v>342.81904761904764</v>
      </c>
    </row>
    <row r="1550" spans="1:25">
      <c r="A1550" s="58">
        <v>1552</v>
      </c>
      <c r="B1550" s="58">
        <v>1552</v>
      </c>
      <c r="C1550" s="58" t="s">
        <v>2313</v>
      </c>
      <c r="D1550" s="58" t="s">
        <v>489</v>
      </c>
      <c r="E1550" s="58" t="s">
        <v>489</v>
      </c>
      <c r="F1550" s="58" t="s">
        <v>1161</v>
      </c>
      <c r="G1550" s="58" t="s">
        <v>1162</v>
      </c>
      <c r="H1550" s="58" t="s">
        <v>179</v>
      </c>
      <c r="I1550">
        <v>38000</v>
      </c>
      <c r="J1550">
        <v>38000</v>
      </c>
      <c r="K1550" s="58" t="s">
        <v>185</v>
      </c>
      <c r="L1550" s="74">
        <v>7.835</v>
      </c>
      <c r="M1550" s="85">
        <v>8</v>
      </c>
      <c r="N1550" s="74">
        <v>0.156</v>
      </c>
      <c r="O1550">
        <v>3</v>
      </c>
      <c r="P1550" s="84">
        <v>0.156</v>
      </c>
      <c r="Q1550" s="86">
        <v>4.2</v>
      </c>
      <c r="R1550" s="85">
        <v>4.2</v>
      </c>
      <c r="S1550" s="87">
        <v>909950</v>
      </c>
      <c r="T1550" s="1">
        <v>4</v>
      </c>
      <c r="U1550" s="88">
        <v>216654.76190476189</v>
      </c>
      <c r="V1550" s="59">
        <v>4.6156382218803227</v>
      </c>
      <c r="X1550" s="98">
        <v>4.2</v>
      </c>
      <c r="Y1550" s="97">
        <v>133</v>
      </c>
    </row>
    <row r="1551" spans="1:25">
      <c r="A1551" s="58">
        <v>1553</v>
      </c>
      <c r="B1551" s="58">
        <v>1553</v>
      </c>
      <c r="C1551" s="58" t="s">
        <v>2314</v>
      </c>
      <c r="D1551" s="58" t="s">
        <v>182</v>
      </c>
      <c r="E1551" s="58" t="s">
        <v>182</v>
      </c>
      <c r="F1551" s="58" t="s">
        <v>1866</v>
      </c>
      <c r="G1551" s="58" t="s">
        <v>1867</v>
      </c>
      <c r="H1551" s="58" t="s">
        <v>179</v>
      </c>
      <c r="I1551">
        <v>38000</v>
      </c>
      <c r="J1551">
        <v>38000</v>
      </c>
      <c r="K1551" s="58" t="s">
        <v>185</v>
      </c>
      <c r="L1551" s="74">
        <v>4.617</v>
      </c>
      <c r="M1551" s="85">
        <v>5</v>
      </c>
      <c r="N1551" s="74">
        <v>0.35899999999999999</v>
      </c>
      <c r="O1551">
        <v>3</v>
      </c>
      <c r="P1551" s="84">
        <v>0.35899999999999999</v>
      </c>
      <c r="Q1551" s="86">
        <v>4.2</v>
      </c>
      <c r="R1551" s="85">
        <v>4.2</v>
      </c>
      <c r="S1551" s="87">
        <v>699140</v>
      </c>
      <c r="T1551" s="1">
        <v>4</v>
      </c>
      <c r="U1551" s="88">
        <v>166461.90476190476</v>
      </c>
      <c r="V1551" s="59">
        <v>6.0073804960379897</v>
      </c>
      <c r="X1551" s="98">
        <v>4.2</v>
      </c>
      <c r="Y1551" s="97">
        <v>216.6547619047619</v>
      </c>
    </row>
    <row r="1552" spans="1:25">
      <c r="A1552" s="58">
        <v>1554</v>
      </c>
      <c r="B1552" s="58">
        <v>1554</v>
      </c>
      <c r="C1552" s="58" t="s">
        <v>2315</v>
      </c>
      <c r="D1552" s="58" t="s">
        <v>197</v>
      </c>
      <c r="E1552" s="58" t="s">
        <v>197</v>
      </c>
      <c r="F1552" s="58" t="s">
        <v>494</v>
      </c>
      <c r="G1552" s="58" t="s">
        <v>495</v>
      </c>
      <c r="H1552" s="58" t="s">
        <v>179</v>
      </c>
      <c r="I1552">
        <v>38000</v>
      </c>
      <c r="J1552">
        <v>38000</v>
      </c>
      <c r="K1552">
        <v>10000</v>
      </c>
      <c r="L1552" s="74">
        <v>4.9889999999999999</v>
      </c>
      <c r="M1552" s="85">
        <v>5</v>
      </c>
      <c r="N1552" s="74">
        <v>0.72499999999999998</v>
      </c>
      <c r="O1552">
        <v>3</v>
      </c>
      <c r="P1552" s="84">
        <v>0.72499999999999998</v>
      </c>
      <c r="Q1552" s="86">
        <v>4.2</v>
      </c>
      <c r="R1552" s="85">
        <v>4.2</v>
      </c>
      <c r="S1552" s="87">
        <v>699140</v>
      </c>
      <c r="T1552" s="1">
        <v>4</v>
      </c>
      <c r="U1552" s="88">
        <v>166461.90476190476</v>
      </c>
      <c r="V1552" s="59">
        <v>6.0073804960379897</v>
      </c>
      <c r="X1552" s="98">
        <v>4.2</v>
      </c>
      <c r="Y1552" s="97">
        <v>166.46190476190475</v>
      </c>
    </row>
    <row r="1553" spans="1:25">
      <c r="A1553" s="58">
        <v>1555</v>
      </c>
      <c r="B1553" s="58">
        <v>1555</v>
      </c>
      <c r="C1553" s="58" t="s">
        <v>2316</v>
      </c>
      <c r="D1553" s="58" t="s">
        <v>197</v>
      </c>
      <c r="E1553" s="58" t="s">
        <v>197</v>
      </c>
      <c r="F1553" s="58" t="s">
        <v>494</v>
      </c>
      <c r="G1553" s="58" t="s">
        <v>495</v>
      </c>
      <c r="H1553" s="58" t="s">
        <v>179</v>
      </c>
      <c r="I1553">
        <v>38000</v>
      </c>
      <c r="J1553">
        <v>38000</v>
      </c>
      <c r="K1553">
        <v>10000</v>
      </c>
      <c r="L1553" s="74">
        <v>7.306</v>
      </c>
      <c r="M1553" s="85">
        <v>8</v>
      </c>
      <c r="N1553" s="74">
        <v>0.26500000000000001</v>
      </c>
      <c r="O1553">
        <v>3</v>
      </c>
      <c r="P1553" s="84">
        <v>0.26500000000000001</v>
      </c>
      <c r="Q1553" s="86">
        <v>4.2</v>
      </c>
      <c r="R1553" s="85">
        <v>4.2</v>
      </c>
      <c r="S1553" s="87">
        <v>909950</v>
      </c>
      <c r="T1553" s="1">
        <v>4</v>
      </c>
      <c r="U1553" s="88">
        <v>216654.76190476189</v>
      </c>
      <c r="V1553" s="59">
        <v>4.6156382218803227</v>
      </c>
      <c r="X1553" s="98">
        <v>4.2</v>
      </c>
      <c r="Y1553" s="97">
        <v>166.46190476190475</v>
      </c>
    </row>
    <row r="1554" spans="1:25">
      <c r="A1554" s="58">
        <v>1556</v>
      </c>
      <c r="B1554" s="58">
        <v>1556</v>
      </c>
      <c r="C1554" s="58" t="s">
        <v>2317</v>
      </c>
      <c r="D1554" s="58" t="s">
        <v>197</v>
      </c>
      <c r="E1554" s="58" t="s">
        <v>197</v>
      </c>
      <c r="F1554" s="58" t="s">
        <v>1701</v>
      </c>
      <c r="G1554" s="58" t="s">
        <v>1702</v>
      </c>
      <c r="H1554" s="58" t="s">
        <v>179</v>
      </c>
      <c r="I1554">
        <v>38000</v>
      </c>
      <c r="J1554">
        <v>38000</v>
      </c>
      <c r="K1554" s="58" t="s">
        <v>185</v>
      </c>
      <c r="L1554" s="74">
        <v>7.14</v>
      </c>
      <c r="M1554" s="85">
        <v>8</v>
      </c>
      <c r="N1554" s="74">
        <v>0.23899999999999999</v>
      </c>
      <c r="O1554">
        <v>3</v>
      </c>
      <c r="P1554" s="84">
        <v>0.23899999999999999</v>
      </c>
      <c r="Q1554" s="86">
        <v>4.2</v>
      </c>
      <c r="R1554" s="85">
        <v>4.2</v>
      </c>
      <c r="S1554" s="87">
        <v>909950</v>
      </c>
      <c r="T1554" s="1">
        <v>4</v>
      </c>
      <c r="U1554" s="88">
        <v>216654.76190476189</v>
      </c>
      <c r="V1554" s="59">
        <v>4.6156382218803227</v>
      </c>
      <c r="X1554" s="98">
        <v>4.2</v>
      </c>
      <c r="Y1554" s="97">
        <v>216.6547619047619</v>
      </c>
    </row>
    <row r="1555" spans="1:25">
      <c r="A1555" s="58">
        <v>1557</v>
      </c>
      <c r="B1555" s="58">
        <v>1557</v>
      </c>
      <c r="C1555" s="58" t="s">
        <v>2318</v>
      </c>
      <c r="D1555" s="58" t="s">
        <v>410</v>
      </c>
      <c r="E1555" s="58" t="s">
        <v>775</v>
      </c>
      <c r="F1555" s="58" t="s">
        <v>466</v>
      </c>
      <c r="G1555" s="58" t="s">
        <v>467</v>
      </c>
      <c r="H1555" s="58" t="s">
        <v>179</v>
      </c>
      <c r="I1555">
        <v>38000</v>
      </c>
      <c r="J1555">
        <v>38000</v>
      </c>
      <c r="K1555" s="58" t="s">
        <v>185</v>
      </c>
      <c r="L1555" s="74">
        <v>9.5120000000000005</v>
      </c>
      <c r="M1555" s="85">
        <v>10</v>
      </c>
      <c r="N1555" s="74">
        <v>0.215</v>
      </c>
      <c r="O1555">
        <v>3</v>
      </c>
      <c r="P1555" s="84">
        <v>0.215</v>
      </c>
      <c r="Q1555" s="86">
        <v>4.2</v>
      </c>
      <c r="R1555" s="85">
        <v>4.2</v>
      </c>
      <c r="S1555" s="87">
        <v>1387140</v>
      </c>
      <c r="T1555" s="1">
        <v>1</v>
      </c>
      <c r="U1555" s="88">
        <v>330271.42857142858</v>
      </c>
      <c r="V1555" s="59">
        <v>3.0278126216531858</v>
      </c>
      <c r="X1555" s="98">
        <v>4.2</v>
      </c>
      <c r="Y1555" s="97">
        <v>216.6547619047619</v>
      </c>
    </row>
    <row r="1556" spans="1:25">
      <c r="A1556" s="58">
        <v>1558</v>
      </c>
      <c r="B1556" s="58">
        <v>1558</v>
      </c>
      <c r="C1556" s="58" t="s">
        <v>2319</v>
      </c>
      <c r="D1556" s="58" t="s">
        <v>1169</v>
      </c>
      <c r="E1556" s="58" t="s">
        <v>1169</v>
      </c>
      <c r="F1556" s="58" t="s">
        <v>1698</v>
      </c>
      <c r="G1556" s="58" t="s">
        <v>1699</v>
      </c>
      <c r="H1556" s="58" t="s">
        <v>199</v>
      </c>
      <c r="I1556">
        <v>110000</v>
      </c>
      <c r="J1556">
        <v>110000</v>
      </c>
      <c r="K1556">
        <v>38000</v>
      </c>
      <c r="L1556" s="74">
        <v>12.085000000000001</v>
      </c>
      <c r="M1556" s="85">
        <v>13</v>
      </c>
      <c r="N1556" s="74">
        <v>0.214</v>
      </c>
      <c r="O1556">
        <v>3</v>
      </c>
      <c r="P1556" s="84">
        <v>0.214</v>
      </c>
      <c r="Q1556" s="86">
        <v>4.2</v>
      </c>
      <c r="R1556" s="85">
        <v>4.2</v>
      </c>
      <c r="S1556" s="87">
        <v>2101570</v>
      </c>
      <c r="T1556" s="1">
        <v>7</v>
      </c>
      <c r="U1556" s="88">
        <v>500373.80952380953</v>
      </c>
      <c r="V1556" s="59">
        <v>1.9985058789381271</v>
      </c>
      <c r="X1556" s="98">
        <v>4.2</v>
      </c>
      <c r="Y1556" s="97">
        <v>330.2714285714286</v>
      </c>
    </row>
    <row r="1557" spans="1:25">
      <c r="A1557" s="58">
        <v>1559</v>
      </c>
      <c r="B1557" s="58">
        <v>1559</v>
      </c>
      <c r="C1557" s="58" t="s">
        <v>2320</v>
      </c>
      <c r="D1557" s="58" t="s">
        <v>1190</v>
      </c>
      <c r="E1557" s="58" t="s">
        <v>1190</v>
      </c>
      <c r="F1557" s="58" t="s">
        <v>2321</v>
      </c>
      <c r="G1557" s="58" t="s">
        <v>1926</v>
      </c>
      <c r="H1557" s="58" t="s">
        <v>179</v>
      </c>
      <c r="I1557">
        <v>38000</v>
      </c>
      <c r="J1557">
        <v>38000</v>
      </c>
      <c r="K1557" s="58" t="s">
        <v>2322</v>
      </c>
      <c r="L1557" s="74">
        <v>6.2190000000000003</v>
      </c>
      <c r="M1557" s="85">
        <v>7</v>
      </c>
      <c r="N1557" s="74">
        <v>0.54900000000000004</v>
      </c>
      <c r="O1557">
        <v>3</v>
      </c>
      <c r="P1557" s="84">
        <v>0.54900000000000004</v>
      </c>
      <c r="Q1557" s="86">
        <v>4.2</v>
      </c>
      <c r="R1557" s="85">
        <v>4.2</v>
      </c>
      <c r="S1557" s="87">
        <v>839680</v>
      </c>
      <c r="T1557" s="1">
        <v>4</v>
      </c>
      <c r="U1557" s="88">
        <v>199923.80952380953</v>
      </c>
      <c r="V1557" s="59">
        <v>5.0019054878048781</v>
      </c>
      <c r="X1557" s="98">
        <v>4.2</v>
      </c>
      <c r="Y1557" s="97">
        <v>500.37380952380948</v>
      </c>
    </row>
    <row r="1558" spans="1:25">
      <c r="A1558" s="58">
        <v>1560</v>
      </c>
      <c r="B1558" s="58">
        <v>1560</v>
      </c>
      <c r="C1558" s="58" t="s">
        <v>2323</v>
      </c>
      <c r="D1558" s="58" t="s">
        <v>1811</v>
      </c>
      <c r="E1558" s="58" t="s">
        <v>1811</v>
      </c>
      <c r="F1558" s="58" t="s">
        <v>1830</v>
      </c>
      <c r="G1558" s="58" t="s">
        <v>1831</v>
      </c>
      <c r="H1558" s="58" t="s">
        <v>199</v>
      </c>
      <c r="I1558">
        <v>110000</v>
      </c>
      <c r="J1558">
        <v>110000</v>
      </c>
      <c r="K1558">
        <v>20000</v>
      </c>
      <c r="L1558" s="74">
        <v>7.8120000000000003</v>
      </c>
      <c r="M1558" s="85">
        <v>8</v>
      </c>
      <c r="N1558" s="74">
        <v>0.26200000000000001</v>
      </c>
      <c r="O1558">
        <v>3</v>
      </c>
      <c r="P1558" s="84">
        <v>0.26200000000000001</v>
      </c>
      <c r="Q1558" s="86">
        <v>4.2</v>
      </c>
      <c r="R1558" s="85">
        <v>4.2</v>
      </c>
      <c r="S1558" s="87">
        <v>1838070</v>
      </c>
      <c r="T1558" s="1">
        <v>7</v>
      </c>
      <c r="U1558" s="88">
        <v>437635.71428571426</v>
      </c>
      <c r="V1558" s="59">
        <v>2.2850054676916547</v>
      </c>
      <c r="X1558" s="98">
        <v>4.2</v>
      </c>
      <c r="Y1558" s="97">
        <v>199.92380952380952</v>
      </c>
    </row>
    <row r="1559" spans="1:25">
      <c r="A1559" s="58">
        <v>1561</v>
      </c>
      <c r="B1559" s="58">
        <v>1561</v>
      </c>
      <c r="C1559" s="58" t="s">
        <v>2324</v>
      </c>
      <c r="D1559" s="58" t="s">
        <v>234</v>
      </c>
      <c r="E1559" s="58" t="s">
        <v>234</v>
      </c>
      <c r="F1559" s="58" t="s">
        <v>595</v>
      </c>
      <c r="G1559" s="58" t="s">
        <v>596</v>
      </c>
      <c r="H1559" s="58" t="s">
        <v>179</v>
      </c>
      <c r="I1559">
        <v>38000</v>
      </c>
      <c r="J1559">
        <v>38000</v>
      </c>
      <c r="K1559" s="58" t="s">
        <v>185</v>
      </c>
      <c r="L1559" s="74">
        <v>12.217000000000001</v>
      </c>
      <c r="M1559" s="85">
        <v>13</v>
      </c>
      <c r="N1559" s="74">
        <v>9.0999999999999998E-2</v>
      </c>
      <c r="O1559">
        <v>3</v>
      </c>
      <c r="P1559" s="84">
        <v>9.0999999999999998E-2</v>
      </c>
      <c r="Q1559" s="86">
        <v>4.2</v>
      </c>
      <c r="R1559" s="85">
        <v>4.2</v>
      </c>
      <c r="S1559" s="87">
        <v>1545240</v>
      </c>
      <c r="T1559" s="1">
        <v>1</v>
      </c>
      <c r="U1559" s="88">
        <v>367914.28571428568</v>
      </c>
      <c r="V1559" s="59">
        <v>2.7180243845616214</v>
      </c>
      <c r="X1559" s="98">
        <v>4.2</v>
      </c>
      <c r="Y1559" s="97">
        <v>437.63571428571424</v>
      </c>
    </row>
    <row r="1560" spans="1:25">
      <c r="A1560" s="58">
        <v>1562</v>
      </c>
      <c r="B1560" s="58">
        <v>1562</v>
      </c>
      <c r="C1560" s="58" t="s">
        <v>2325</v>
      </c>
      <c r="D1560" s="58" t="s">
        <v>346</v>
      </c>
      <c r="E1560" s="58" t="s">
        <v>346</v>
      </c>
      <c r="F1560" s="58" t="s">
        <v>1417</v>
      </c>
      <c r="G1560" s="58" t="s">
        <v>1418</v>
      </c>
      <c r="H1560" s="58" t="s">
        <v>179</v>
      </c>
      <c r="I1560">
        <v>38000</v>
      </c>
      <c r="J1560">
        <v>38000</v>
      </c>
      <c r="K1560" s="58" t="s">
        <v>185</v>
      </c>
      <c r="L1560" s="74">
        <v>5.5019999999999998</v>
      </c>
      <c r="M1560" s="85">
        <v>6</v>
      </c>
      <c r="N1560" s="74">
        <v>0.42399999999999999</v>
      </c>
      <c r="O1560">
        <v>3</v>
      </c>
      <c r="P1560" s="84">
        <v>0.42399999999999999</v>
      </c>
      <c r="Q1560" s="86">
        <v>4.2</v>
      </c>
      <c r="R1560" s="85">
        <v>4.2</v>
      </c>
      <c r="S1560" s="87">
        <v>769410</v>
      </c>
      <c r="T1560" s="1">
        <v>4</v>
      </c>
      <c r="U1560" s="88">
        <v>183192.85714285713</v>
      </c>
      <c r="V1560" s="59">
        <v>5.4587281163488903</v>
      </c>
      <c r="X1560" s="98">
        <v>4.2</v>
      </c>
      <c r="Y1560" s="97">
        <v>367.91428571428571</v>
      </c>
    </row>
    <row r="1561" spans="1:25">
      <c r="A1561" s="58">
        <v>1563</v>
      </c>
      <c r="B1561" s="58">
        <v>1563</v>
      </c>
      <c r="C1561" s="58" t="s">
        <v>2326</v>
      </c>
      <c r="D1561" s="58" t="s">
        <v>351</v>
      </c>
      <c r="E1561" s="58" t="s">
        <v>351</v>
      </c>
      <c r="F1561" s="58" t="s">
        <v>514</v>
      </c>
      <c r="G1561" s="58" t="s">
        <v>515</v>
      </c>
      <c r="H1561" s="58" t="s">
        <v>179</v>
      </c>
      <c r="I1561">
        <v>38000</v>
      </c>
      <c r="J1561">
        <v>38000</v>
      </c>
      <c r="K1561">
        <v>20000</v>
      </c>
      <c r="L1561" s="74">
        <v>5.8109999999999999</v>
      </c>
      <c r="M1561" s="85">
        <v>6</v>
      </c>
      <c r="N1561" s="74">
        <v>9.7000000000000003E-2</v>
      </c>
      <c r="O1561">
        <v>3</v>
      </c>
      <c r="P1561" s="84">
        <v>9.7000000000000003E-2</v>
      </c>
      <c r="Q1561" s="86">
        <v>4.2</v>
      </c>
      <c r="R1561" s="85">
        <v>4.2</v>
      </c>
      <c r="S1561" s="87">
        <v>769410</v>
      </c>
      <c r="T1561" s="1">
        <v>4</v>
      </c>
      <c r="U1561" s="88">
        <v>183192.85714285713</v>
      </c>
      <c r="V1561" s="59">
        <v>5.4587281163488903</v>
      </c>
      <c r="X1561" s="98">
        <v>4.2</v>
      </c>
      <c r="Y1561" s="97">
        <v>183.19285714285712</v>
      </c>
    </row>
    <row r="1562" spans="1:25">
      <c r="A1562" s="58">
        <v>1564</v>
      </c>
      <c r="B1562" s="58">
        <v>1564</v>
      </c>
      <c r="C1562" s="58" t="s">
        <v>2327</v>
      </c>
      <c r="D1562" s="58" t="s">
        <v>182</v>
      </c>
      <c r="E1562" s="58" t="s">
        <v>182</v>
      </c>
      <c r="F1562" s="58" t="s">
        <v>1839</v>
      </c>
      <c r="G1562" s="58" t="s">
        <v>1840</v>
      </c>
      <c r="H1562" s="58" t="s">
        <v>179</v>
      </c>
      <c r="I1562">
        <v>38000</v>
      </c>
      <c r="J1562">
        <v>38000</v>
      </c>
      <c r="K1562" s="58" t="s">
        <v>185</v>
      </c>
      <c r="L1562" s="74">
        <v>8.4930000000000003</v>
      </c>
      <c r="M1562" s="85">
        <v>9</v>
      </c>
      <c r="N1562" s="74">
        <v>0.21099999999999999</v>
      </c>
      <c r="O1562">
        <v>3</v>
      </c>
      <c r="P1562" s="84">
        <v>0.21099999999999999</v>
      </c>
      <c r="Q1562" s="86">
        <v>4.2</v>
      </c>
      <c r="R1562" s="85">
        <v>4.2</v>
      </c>
      <c r="S1562" s="87">
        <v>1334440</v>
      </c>
      <c r="T1562" s="1">
        <v>1</v>
      </c>
      <c r="U1562" s="88">
        <v>317723.80952380953</v>
      </c>
      <c r="V1562" s="59">
        <v>3.1473876682353645</v>
      </c>
      <c r="X1562" s="98">
        <v>4.2</v>
      </c>
      <c r="Y1562" s="97">
        <v>183.19285714285712</v>
      </c>
    </row>
    <row r="1563" spans="1:25">
      <c r="A1563" s="58">
        <v>1565</v>
      </c>
      <c r="B1563" s="58">
        <v>1565</v>
      </c>
      <c r="C1563" s="58" t="s">
        <v>2328</v>
      </c>
      <c r="D1563" s="58" t="s">
        <v>1190</v>
      </c>
      <c r="E1563" s="58" t="s">
        <v>1190</v>
      </c>
      <c r="F1563" s="58" t="s">
        <v>1191</v>
      </c>
      <c r="G1563" s="58" t="s">
        <v>1192</v>
      </c>
      <c r="H1563" s="58" t="s">
        <v>179</v>
      </c>
      <c r="I1563">
        <v>38000</v>
      </c>
      <c r="J1563">
        <v>38000</v>
      </c>
      <c r="K1563">
        <v>10000</v>
      </c>
      <c r="L1563" s="74">
        <v>5.8280000000000003</v>
      </c>
      <c r="M1563" s="85">
        <v>6</v>
      </c>
      <c r="N1563" s="74">
        <v>0.105</v>
      </c>
      <c r="O1563">
        <v>3</v>
      </c>
      <c r="P1563" s="84">
        <v>0.105</v>
      </c>
      <c r="Q1563" s="86">
        <v>4.2</v>
      </c>
      <c r="R1563" s="85">
        <v>4.2</v>
      </c>
      <c r="S1563" s="87">
        <v>769410</v>
      </c>
      <c r="T1563" s="1">
        <v>4</v>
      </c>
      <c r="U1563" s="88">
        <v>183192.85714285713</v>
      </c>
      <c r="V1563" s="59">
        <v>5.4587281163488903</v>
      </c>
      <c r="X1563" s="98">
        <v>4.2</v>
      </c>
      <c r="Y1563" s="97">
        <v>317.72380952380951</v>
      </c>
    </row>
    <row r="1564" spans="1:25">
      <c r="A1564" s="58">
        <v>1566</v>
      </c>
      <c r="B1564" s="58">
        <v>1566</v>
      </c>
      <c r="C1564" s="58" t="s">
        <v>2329</v>
      </c>
      <c r="D1564" s="58" t="s">
        <v>249</v>
      </c>
      <c r="E1564" s="58" t="s">
        <v>249</v>
      </c>
      <c r="F1564" s="58" t="s">
        <v>2065</v>
      </c>
      <c r="G1564" s="58" t="s">
        <v>2066</v>
      </c>
      <c r="H1564" s="58" t="s">
        <v>179</v>
      </c>
      <c r="I1564">
        <v>38000</v>
      </c>
      <c r="J1564">
        <v>38000</v>
      </c>
      <c r="K1564" s="58" t="s">
        <v>185</v>
      </c>
      <c r="L1564" s="74">
        <v>3.7</v>
      </c>
      <c r="M1564" s="85">
        <v>4</v>
      </c>
      <c r="N1564" s="74">
        <v>0.307</v>
      </c>
      <c r="O1564">
        <v>3</v>
      </c>
      <c r="P1564" s="84">
        <v>0.307</v>
      </c>
      <c r="Q1564" s="86">
        <v>4.2</v>
      </c>
      <c r="R1564" s="85">
        <v>4.2</v>
      </c>
      <c r="S1564" s="87">
        <v>628870</v>
      </c>
      <c r="T1564" s="1">
        <v>4</v>
      </c>
      <c r="U1564" s="88">
        <v>149730.95238095237</v>
      </c>
      <c r="V1564" s="59">
        <v>6.6786458250512828</v>
      </c>
      <c r="X1564" s="98">
        <v>4.2</v>
      </c>
      <c r="Y1564" s="97">
        <v>183.19285714285712</v>
      </c>
    </row>
    <row r="1565" spans="1:25">
      <c r="A1565" s="58">
        <v>1567</v>
      </c>
      <c r="B1565" s="58">
        <v>1567</v>
      </c>
      <c r="C1565" s="58" t="s">
        <v>2330</v>
      </c>
      <c r="D1565" s="58" t="s">
        <v>249</v>
      </c>
      <c r="E1565" s="58" t="s">
        <v>249</v>
      </c>
      <c r="F1565" s="58" t="s">
        <v>2065</v>
      </c>
      <c r="G1565" s="58" t="s">
        <v>2066</v>
      </c>
      <c r="H1565" s="58" t="s">
        <v>179</v>
      </c>
      <c r="I1565">
        <v>38000</v>
      </c>
      <c r="J1565">
        <v>38000</v>
      </c>
      <c r="K1565" s="58" t="s">
        <v>185</v>
      </c>
      <c r="L1565" s="74">
        <v>4.5270000000000001</v>
      </c>
      <c r="M1565" s="85">
        <v>5</v>
      </c>
      <c r="N1565" s="74">
        <v>0.28299999999999997</v>
      </c>
      <c r="O1565">
        <v>3</v>
      </c>
      <c r="P1565" s="84">
        <v>0.28299999999999997</v>
      </c>
      <c r="Q1565" s="86">
        <v>4.2</v>
      </c>
      <c r="R1565" s="85">
        <v>4.2</v>
      </c>
      <c r="S1565" s="87">
        <v>699140</v>
      </c>
      <c r="T1565" s="1">
        <v>4</v>
      </c>
      <c r="U1565" s="88">
        <v>166461.90476190476</v>
      </c>
      <c r="V1565" s="59">
        <v>6.0073804960379897</v>
      </c>
      <c r="X1565" s="98">
        <v>4.2</v>
      </c>
      <c r="Y1565" s="97">
        <v>149.73095238095235</v>
      </c>
    </row>
    <row r="1566" spans="1:25">
      <c r="A1566" s="58">
        <v>1568</v>
      </c>
      <c r="B1566" s="58">
        <v>1568</v>
      </c>
      <c r="C1566" s="58" t="s">
        <v>2331</v>
      </c>
      <c r="D1566" s="58" t="s">
        <v>536</v>
      </c>
      <c r="E1566" s="58" t="s">
        <v>536</v>
      </c>
      <c r="F1566" s="58" t="s">
        <v>2332</v>
      </c>
      <c r="G1566" s="58" t="s">
        <v>2333</v>
      </c>
      <c r="H1566" s="58" t="s">
        <v>199</v>
      </c>
      <c r="I1566">
        <v>110000</v>
      </c>
      <c r="L1566" s="74">
        <v>8.0020000000000007</v>
      </c>
      <c r="M1566" s="85">
        <v>9</v>
      </c>
      <c r="N1566" s="74">
        <v>0.14199999999999999</v>
      </c>
      <c r="O1566">
        <v>3</v>
      </c>
      <c r="P1566" s="84">
        <v>0.14199999999999999</v>
      </c>
      <c r="Q1566" s="86">
        <v>4.2</v>
      </c>
      <c r="R1566" s="85">
        <v>4.2</v>
      </c>
      <c r="S1566" s="87">
        <v>1890770</v>
      </c>
      <c r="T1566" s="1">
        <v>7</v>
      </c>
      <c r="U1566" s="88">
        <v>450183.33333333331</v>
      </c>
      <c r="V1566" s="59">
        <v>2.2213172411239865</v>
      </c>
      <c r="X1566" s="98">
        <v>4.2</v>
      </c>
      <c r="Y1566" s="97">
        <v>166.46190476190475</v>
      </c>
    </row>
    <row r="1567" spans="1:25">
      <c r="A1567" s="58">
        <v>1569</v>
      </c>
      <c r="B1567" s="58">
        <v>1569</v>
      </c>
      <c r="C1567" s="58" t="s">
        <v>2334</v>
      </c>
      <c r="D1567" s="58" t="s">
        <v>852</v>
      </c>
      <c r="E1567" s="58" t="s">
        <v>852</v>
      </c>
      <c r="F1567" s="58" t="s">
        <v>2335</v>
      </c>
      <c r="G1567" s="58" t="s">
        <v>2336</v>
      </c>
      <c r="H1567" s="58" t="s">
        <v>179</v>
      </c>
      <c r="I1567">
        <v>38000</v>
      </c>
      <c r="J1567">
        <v>38000</v>
      </c>
      <c r="K1567" s="58" t="s">
        <v>185</v>
      </c>
      <c r="L1567" s="74">
        <v>2.0649999999999999</v>
      </c>
      <c r="M1567" s="85">
        <v>3</v>
      </c>
      <c r="N1567" s="74">
        <v>0.497</v>
      </c>
      <c r="O1567">
        <v>3</v>
      </c>
      <c r="P1567" s="84">
        <v>0.497</v>
      </c>
      <c r="Q1567" s="86">
        <v>4.2</v>
      </c>
      <c r="R1567" s="85">
        <v>4.2</v>
      </c>
      <c r="S1567" s="87">
        <v>558600</v>
      </c>
      <c r="T1567" s="1">
        <v>4</v>
      </c>
      <c r="U1567" s="88">
        <v>133000</v>
      </c>
      <c r="V1567" s="59">
        <v>7.518796992481203</v>
      </c>
      <c r="X1567" s="98">
        <v>4.2</v>
      </c>
      <c r="Y1567" s="97">
        <v>450.18333333333334</v>
      </c>
    </row>
    <row r="1568" spans="1:25">
      <c r="A1568" s="58">
        <v>1570</v>
      </c>
      <c r="B1568" s="58">
        <v>1570</v>
      </c>
      <c r="C1568" s="58" t="s">
        <v>2337</v>
      </c>
      <c r="D1568" s="58" t="s">
        <v>1190</v>
      </c>
      <c r="E1568" s="58" t="s">
        <v>1190</v>
      </c>
      <c r="F1568" s="58" t="s">
        <v>2120</v>
      </c>
      <c r="G1568" s="58" t="s">
        <v>2121</v>
      </c>
      <c r="H1568" s="58" t="s">
        <v>179</v>
      </c>
      <c r="I1568">
        <v>38000</v>
      </c>
      <c r="J1568">
        <v>38000</v>
      </c>
      <c r="K1568" s="58" t="s">
        <v>185</v>
      </c>
      <c r="L1568" s="74">
        <v>9.0429999999999993</v>
      </c>
      <c r="M1568" s="85">
        <v>10</v>
      </c>
      <c r="N1568" s="74">
        <v>0.53600000000000003</v>
      </c>
      <c r="O1568">
        <v>3</v>
      </c>
      <c r="P1568" s="84">
        <v>0.53600000000000003</v>
      </c>
      <c r="Q1568" s="86">
        <v>4.2</v>
      </c>
      <c r="R1568" s="85">
        <v>4.2</v>
      </c>
      <c r="S1568" s="87">
        <v>1387140</v>
      </c>
      <c r="T1568" s="1">
        <v>1</v>
      </c>
      <c r="U1568" s="88">
        <v>330271.42857142858</v>
      </c>
      <c r="V1568" s="59">
        <v>3.0278126216531858</v>
      </c>
      <c r="X1568" s="98">
        <v>4.2</v>
      </c>
      <c r="Y1568" s="97">
        <v>133</v>
      </c>
    </row>
    <row r="1569" spans="1:25">
      <c r="A1569" s="58">
        <v>1571</v>
      </c>
      <c r="B1569" s="58">
        <v>1571</v>
      </c>
      <c r="C1569" s="58" t="s">
        <v>2338</v>
      </c>
      <c r="D1569" s="58" t="s">
        <v>187</v>
      </c>
      <c r="E1569" s="58" t="s">
        <v>187</v>
      </c>
      <c r="F1569" s="58" t="s">
        <v>800</v>
      </c>
      <c r="G1569" s="58" t="s">
        <v>801</v>
      </c>
      <c r="H1569" s="58" t="s">
        <v>199</v>
      </c>
      <c r="I1569">
        <v>110000</v>
      </c>
      <c r="J1569">
        <v>20000</v>
      </c>
      <c r="K1569">
        <v>110000</v>
      </c>
      <c r="L1569" s="74">
        <v>3.4860000000000002</v>
      </c>
      <c r="M1569" s="85">
        <v>4</v>
      </c>
      <c r="N1569" s="74">
        <v>3.6589999999999998</v>
      </c>
      <c r="O1569">
        <v>3</v>
      </c>
      <c r="P1569" s="84">
        <v>2.7442500000000001</v>
      </c>
      <c r="Q1569" s="86">
        <v>16.8</v>
      </c>
      <c r="R1569" s="85">
        <v>16.8</v>
      </c>
      <c r="S1569" s="87">
        <v>1875790</v>
      </c>
      <c r="T1569" s="1">
        <v>8</v>
      </c>
      <c r="U1569" s="88">
        <v>111654.16666666666</v>
      </c>
      <c r="V1569" s="59">
        <v>8.9562264432585739</v>
      </c>
      <c r="X1569" s="98">
        <v>4.2</v>
      </c>
      <c r="Y1569" s="97">
        <v>330.2714285714286</v>
      </c>
    </row>
    <row r="1570" spans="1:25">
      <c r="A1570" s="58">
        <v>1572</v>
      </c>
      <c r="B1570" s="58">
        <v>1572</v>
      </c>
      <c r="C1570" s="58" t="s">
        <v>2339</v>
      </c>
      <c r="D1570" s="58" t="s">
        <v>187</v>
      </c>
      <c r="E1570" s="58" t="s">
        <v>187</v>
      </c>
      <c r="F1570" s="58" t="s">
        <v>859</v>
      </c>
      <c r="G1570" s="58" t="s">
        <v>860</v>
      </c>
      <c r="H1570" s="58" t="s">
        <v>179</v>
      </c>
      <c r="I1570">
        <v>38000</v>
      </c>
      <c r="J1570">
        <v>38000</v>
      </c>
      <c r="K1570" s="58" t="s">
        <v>185</v>
      </c>
      <c r="L1570" s="74">
        <v>8.9450000000000003</v>
      </c>
      <c r="M1570" s="85">
        <v>9</v>
      </c>
      <c r="N1570" s="74">
        <v>1.018</v>
      </c>
      <c r="O1570">
        <v>3</v>
      </c>
      <c r="P1570" s="84">
        <v>1.018</v>
      </c>
      <c r="Q1570" s="86">
        <v>4.2</v>
      </c>
      <c r="R1570" s="85">
        <v>4.2</v>
      </c>
      <c r="S1570" s="87">
        <v>1334440</v>
      </c>
      <c r="T1570" s="1">
        <v>1</v>
      </c>
      <c r="U1570" s="88">
        <v>317723.80952380953</v>
      </c>
      <c r="V1570" s="59">
        <v>3.1473876682353645</v>
      </c>
      <c r="X1570" s="98">
        <v>16.8</v>
      </c>
      <c r="Y1570" s="97">
        <v>111.65416666666665</v>
      </c>
    </row>
    <row r="1571" spans="1:25">
      <c r="A1571" s="58">
        <v>1573</v>
      </c>
      <c r="B1571" s="58">
        <v>1573</v>
      </c>
      <c r="C1571" s="58" t="s">
        <v>2340</v>
      </c>
      <c r="D1571" s="58" t="s">
        <v>187</v>
      </c>
      <c r="E1571" s="58" t="s">
        <v>187</v>
      </c>
      <c r="F1571" s="58" t="s">
        <v>859</v>
      </c>
      <c r="G1571" s="58" t="s">
        <v>860</v>
      </c>
      <c r="H1571" s="58" t="s">
        <v>179</v>
      </c>
      <c r="I1571">
        <v>38000</v>
      </c>
      <c r="J1571">
        <v>38000</v>
      </c>
      <c r="K1571" s="58" t="s">
        <v>185</v>
      </c>
      <c r="L1571" s="74">
        <v>8.7680000000000007</v>
      </c>
      <c r="M1571" s="85">
        <v>9</v>
      </c>
      <c r="N1571" s="74">
        <v>0.48499999999999999</v>
      </c>
      <c r="O1571">
        <v>3</v>
      </c>
      <c r="P1571" s="84">
        <v>0.48499999999999999</v>
      </c>
      <c r="Q1571" s="86">
        <v>4.2</v>
      </c>
      <c r="R1571" s="85">
        <v>4.2</v>
      </c>
      <c r="S1571" s="87">
        <v>1334440</v>
      </c>
      <c r="T1571" s="1">
        <v>1</v>
      </c>
      <c r="U1571" s="88">
        <v>317723.80952380953</v>
      </c>
      <c r="V1571" s="59">
        <v>3.1473876682353645</v>
      </c>
      <c r="X1571" s="98">
        <v>4.2</v>
      </c>
      <c r="Y1571" s="97">
        <v>317.72380952380951</v>
      </c>
    </row>
    <row r="1572" spans="1:25">
      <c r="A1572" s="58">
        <v>1574</v>
      </c>
      <c r="B1572" s="58">
        <v>1574</v>
      </c>
      <c r="C1572" s="58" t="s">
        <v>2341</v>
      </c>
      <c r="D1572" s="58" t="s">
        <v>187</v>
      </c>
      <c r="E1572" s="58" t="s">
        <v>187</v>
      </c>
      <c r="F1572" s="58" t="s">
        <v>435</v>
      </c>
      <c r="G1572" s="58" t="s">
        <v>436</v>
      </c>
      <c r="H1572" s="58" t="s">
        <v>199</v>
      </c>
      <c r="I1572">
        <v>110000</v>
      </c>
      <c r="J1572">
        <v>38000</v>
      </c>
      <c r="K1572">
        <v>110000</v>
      </c>
      <c r="L1572" s="74">
        <v>6.6139999999999999</v>
      </c>
      <c r="M1572" s="85">
        <v>7</v>
      </c>
      <c r="N1572" s="74">
        <v>0.73699999999999999</v>
      </c>
      <c r="O1572">
        <v>3</v>
      </c>
      <c r="P1572" s="84">
        <v>0.73699999999999999</v>
      </c>
      <c r="Q1572" s="86">
        <v>4.2</v>
      </c>
      <c r="R1572" s="85">
        <v>4.2</v>
      </c>
      <c r="S1572" s="87">
        <v>1785370</v>
      </c>
      <c r="T1572" s="1">
        <v>7</v>
      </c>
      <c r="U1572" s="88">
        <v>425088.09523809521</v>
      </c>
      <c r="V1572" s="59">
        <v>2.3524535530450272</v>
      </c>
      <c r="X1572" s="98">
        <v>4.2</v>
      </c>
      <c r="Y1572" s="97">
        <v>317.72380952380951</v>
      </c>
    </row>
    <row r="1573" spans="1:25">
      <c r="A1573" s="58">
        <v>1575</v>
      </c>
      <c r="B1573" s="58">
        <v>1575</v>
      </c>
      <c r="C1573" s="58" t="s">
        <v>2342</v>
      </c>
      <c r="D1573" s="58" t="s">
        <v>187</v>
      </c>
      <c r="E1573" s="58" t="s">
        <v>187</v>
      </c>
      <c r="F1573" s="58" t="s">
        <v>435</v>
      </c>
      <c r="G1573" s="58" t="s">
        <v>436</v>
      </c>
      <c r="H1573" s="58" t="s">
        <v>199</v>
      </c>
      <c r="I1573">
        <v>110000</v>
      </c>
      <c r="J1573">
        <v>38000</v>
      </c>
      <c r="K1573">
        <v>110000</v>
      </c>
      <c r="L1573" s="74">
        <v>4.88</v>
      </c>
      <c r="M1573" s="85">
        <v>5</v>
      </c>
      <c r="N1573" s="74">
        <v>0.60299999999999998</v>
      </c>
      <c r="O1573">
        <v>3</v>
      </c>
      <c r="P1573" s="84">
        <v>0.60299999999999998</v>
      </c>
      <c r="Q1573" s="86">
        <v>4.2</v>
      </c>
      <c r="R1573" s="85">
        <v>4.2</v>
      </c>
      <c r="S1573" s="87">
        <v>1679970</v>
      </c>
      <c r="T1573" s="1">
        <v>7</v>
      </c>
      <c r="U1573" s="88">
        <v>399992.8571428571</v>
      </c>
      <c r="V1573" s="59">
        <v>2.5000446436543511</v>
      </c>
      <c r="X1573" s="98">
        <v>4.2</v>
      </c>
      <c r="Y1573" s="97">
        <v>425.08809523809521</v>
      </c>
    </row>
    <row r="1574" spans="1:25">
      <c r="A1574" s="58">
        <v>1576</v>
      </c>
      <c r="B1574" s="58">
        <v>1576</v>
      </c>
      <c r="C1574" s="58" t="s">
        <v>2343</v>
      </c>
      <c r="D1574" s="58" t="s">
        <v>187</v>
      </c>
      <c r="E1574" s="58" t="s">
        <v>187</v>
      </c>
      <c r="F1574" s="58" t="s">
        <v>246</v>
      </c>
      <c r="G1574" s="58" t="s">
        <v>247</v>
      </c>
      <c r="H1574" s="58" t="s">
        <v>199</v>
      </c>
      <c r="I1574">
        <v>110000</v>
      </c>
      <c r="J1574">
        <v>33000</v>
      </c>
      <c r="K1574">
        <v>110000</v>
      </c>
      <c r="L1574" s="74">
        <v>6.7569999999999997</v>
      </c>
      <c r="M1574" s="85">
        <v>7</v>
      </c>
      <c r="N1574" s="74">
        <v>4.484</v>
      </c>
      <c r="O1574">
        <v>3</v>
      </c>
      <c r="P1574" s="84">
        <v>3.363</v>
      </c>
      <c r="Q1574" s="86">
        <v>21</v>
      </c>
      <c r="R1574" s="85">
        <v>21</v>
      </c>
      <c r="S1574" s="87">
        <v>2086600</v>
      </c>
      <c r="T1574" s="1">
        <v>8</v>
      </c>
      <c r="U1574" s="88">
        <v>99361.904761904763</v>
      </c>
      <c r="V1574" s="59">
        <v>10.064219304131122</v>
      </c>
      <c r="X1574" s="98">
        <v>4.2</v>
      </c>
      <c r="Y1574" s="97">
        <v>399.99285714285708</v>
      </c>
    </row>
    <row r="1575" spans="1:25">
      <c r="A1575" s="58">
        <v>1577</v>
      </c>
      <c r="B1575" s="58">
        <v>1577</v>
      </c>
      <c r="C1575" s="58" t="s">
        <v>2344</v>
      </c>
      <c r="D1575" s="58" t="s">
        <v>187</v>
      </c>
      <c r="E1575" s="58" t="s">
        <v>187</v>
      </c>
      <c r="F1575" s="58" t="s">
        <v>246</v>
      </c>
      <c r="G1575" s="58" t="s">
        <v>247</v>
      </c>
      <c r="H1575" s="58" t="s">
        <v>199</v>
      </c>
      <c r="I1575">
        <v>110000</v>
      </c>
      <c r="J1575">
        <v>33000</v>
      </c>
      <c r="K1575">
        <v>110000</v>
      </c>
      <c r="L1575" s="74">
        <v>11.409000000000001</v>
      </c>
      <c r="M1575" s="85">
        <v>12</v>
      </c>
      <c r="N1575" s="74">
        <v>2.52</v>
      </c>
      <c r="O1575">
        <v>3</v>
      </c>
      <c r="P1575" s="84">
        <v>1.8900000000000001</v>
      </c>
      <c r="Q1575" s="86">
        <v>12.600000000000001</v>
      </c>
      <c r="R1575" s="85">
        <v>12.600000000000001</v>
      </c>
      <c r="S1575" s="87">
        <v>2048870</v>
      </c>
      <c r="T1575" s="1">
        <v>7</v>
      </c>
      <c r="U1575" s="88">
        <v>162608.73015873015</v>
      </c>
      <c r="V1575" s="59">
        <v>6.1497313153103912</v>
      </c>
      <c r="X1575" s="98">
        <v>21</v>
      </c>
      <c r="Y1575" s="97">
        <v>99.361904761904768</v>
      </c>
    </row>
    <row r="1576" spans="1:25">
      <c r="A1576" s="58">
        <v>1578</v>
      </c>
      <c r="B1576" s="58">
        <v>1578</v>
      </c>
      <c r="C1576" s="58" t="s">
        <v>2345</v>
      </c>
      <c r="D1576" s="58" t="s">
        <v>187</v>
      </c>
      <c r="E1576" s="58" t="s">
        <v>187</v>
      </c>
      <c r="F1576" s="58" t="s">
        <v>1213</v>
      </c>
      <c r="G1576" s="58" t="s">
        <v>1214</v>
      </c>
      <c r="H1576" s="58" t="s">
        <v>199</v>
      </c>
      <c r="I1576">
        <v>110000</v>
      </c>
      <c r="J1576" s="58" t="s">
        <v>185</v>
      </c>
      <c r="K1576">
        <v>110000</v>
      </c>
      <c r="L1576" s="74">
        <v>3.306</v>
      </c>
      <c r="M1576" s="85">
        <v>4</v>
      </c>
      <c r="N1576" s="74">
        <v>1.921</v>
      </c>
      <c r="O1576">
        <v>3</v>
      </c>
      <c r="P1576" s="84">
        <v>1.44075</v>
      </c>
      <c r="Q1576" s="86">
        <v>8.4</v>
      </c>
      <c r="R1576" s="85">
        <v>8.4</v>
      </c>
      <c r="S1576" s="87">
        <v>1627270</v>
      </c>
      <c r="T1576" s="1">
        <v>7</v>
      </c>
      <c r="U1576" s="88">
        <v>193722.61904761905</v>
      </c>
      <c r="V1576" s="59">
        <v>5.162019824614231</v>
      </c>
      <c r="X1576" s="98">
        <v>12.600000000000001</v>
      </c>
      <c r="Y1576" s="97">
        <v>162.60873015873014</v>
      </c>
    </row>
    <row r="1577" spans="1:25">
      <c r="A1577" s="58">
        <v>1579</v>
      </c>
      <c r="B1577" s="58">
        <v>1579</v>
      </c>
      <c r="C1577" s="58" t="s">
        <v>2346</v>
      </c>
      <c r="D1577" s="58" t="s">
        <v>249</v>
      </c>
      <c r="E1577" s="58" t="s">
        <v>249</v>
      </c>
      <c r="F1577" s="58" t="s">
        <v>250</v>
      </c>
      <c r="G1577" s="58" t="s">
        <v>251</v>
      </c>
      <c r="H1577" s="58" t="s">
        <v>199</v>
      </c>
      <c r="I1577">
        <v>110000</v>
      </c>
      <c r="L1577" s="74">
        <v>4.6109999999999998</v>
      </c>
      <c r="M1577" s="85">
        <v>5</v>
      </c>
      <c r="N1577" s="74">
        <v>2.859</v>
      </c>
      <c r="O1577">
        <v>3</v>
      </c>
      <c r="P1577" s="84">
        <v>2.14425</v>
      </c>
      <c r="Q1577" s="86">
        <v>12.600000000000001</v>
      </c>
      <c r="R1577" s="85">
        <v>12.600000000000001</v>
      </c>
      <c r="S1577" s="87">
        <v>1679970</v>
      </c>
      <c r="T1577" s="1">
        <v>7</v>
      </c>
      <c r="U1577" s="88">
        <v>133330.95238095237</v>
      </c>
      <c r="V1577" s="59">
        <v>7.5001339309630541</v>
      </c>
      <c r="X1577" s="98">
        <v>8.4</v>
      </c>
      <c r="Y1577" s="97">
        <v>193.72261904761905</v>
      </c>
    </row>
    <row r="1578" spans="1:25">
      <c r="A1578" s="58">
        <v>1580</v>
      </c>
      <c r="B1578" s="58">
        <v>1580</v>
      </c>
      <c r="C1578" s="58" t="s">
        <v>2347</v>
      </c>
      <c r="D1578" s="58" t="s">
        <v>249</v>
      </c>
      <c r="E1578" s="58" t="s">
        <v>249</v>
      </c>
      <c r="F1578" s="58" t="s">
        <v>250</v>
      </c>
      <c r="G1578" s="58" t="s">
        <v>251</v>
      </c>
      <c r="H1578" s="58" t="s">
        <v>199</v>
      </c>
      <c r="I1578">
        <v>110000</v>
      </c>
      <c r="L1578" s="74">
        <v>8.7430000000000003</v>
      </c>
      <c r="M1578" s="85">
        <v>9</v>
      </c>
      <c r="N1578" s="74">
        <v>2.3959999999999999</v>
      </c>
      <c r="O1578">
        <v>3</v>
      </c>
      <c r="P1578" s="84">
        <v>1.7969999999999999</v>
      </c>
      <c r="Q1578" s="86">
        <v>12.600000000000001</v>
      </c>
      <c r="R1578" s="85">
        <v>12.600000000000001</v>
      </c>
      <c r="S1578" s="87">
        <v>1890770</v>
      </c>
      <c r="T1578" s="1">
        <v>7</v>
      </c>
      <c r="U1578" s="88">
        <v>150061.11111111109</v>
      </c>
      <c r="V1578" s="59">
        <v>6.6639517233719605</v>
      </c>
      <c r="X1578" s="98">
        <v>12.600000000000001</v>
      </c>
      <c r="Y1578" s="97">
        <v>133.33095238095237</v>
      </c>
    </row>
    <row r="1579" spans="1:25">
      <c r="A1579" s="58">
        <v>1581</v>
      </c>
      <c r="B1579" s="58">
        <v>1581</v>
      </c>
      <c r="C1579" s="58" t="s">
        <v>2348</v>
      </c>
      <c r="D1579" s="58" t="s">
        <v>249</v>
      </c>
      <c r="E1579" s="58" t="s">
        <v>249</v>
      </c>
      <c r="F1579" s="58" t="s">
        <v>1223</v>
      </c>
      <c r="G1579" s="58" t="s">
        <v>1224</v>
      </c>
      <c r="H1579" s="58" t="s">
        <v>199</v>
      </c>
      <c r="I1579">
        <v>110000</v>
      </c>
      <c r="J1579">
        <v>110000</v>
      </c>
      <c r="K1579" s="58" t="s">
        <v>185</v>
      </c>
      <c r="L1579" s="74">
        <v>3.4540000000000002</v>
      </c>
      <c r="M1579" s="85">
        <v>4</v>
      </c>
      <c r="N1579" s="74">
        <v>0.96799999999999997</v>
      </c>
      <c r="O1579">
        <v>3</v>
      </c>
      <c r="P1579" s="84">
        <v>0.96799999999999997</v>
      </c>
      <c r="Q1579" s="86">
        <v>4.2</v>
      </c>
      <c r="R1579" s="85">
        <v>4.2</v>
      </c>
      <c r="S1579" s="87">
        <v>1627270</v>
      </c>
      <c r="T1579" s="1">
        <v>7</v>
      </c>
      <c r="U1579" s="88">
        <v>387445.23809523811</v>
      </c>
      <c r="V1579" s="59">
        <v>2.5810099123071155</v>
      </c>
      <c r="X1579" s="98">
        <v>12.600000000000001</v>
      </c>
      <c r="Y1579" s="97">
        <v>150.0611111111111</v>
      </c>
    </row>
    <row r="1580" spans="1:25">
      <c r="A1580" s="58">
        <v>1582</v>
      </c>
      <c r="B1580" s="58">
        <v>1582</v>
      </c>
      <c r="C1580" s="58" t="s">
        <v>2349</v>
      </c>
      <c r="D1580" s="58" t="s">
        <v>249</v>
      </c>
      <c r="E1580" s="58" t="s">
        <v>249</v>
      </c>
      <c r="F1580" s="58" t="s">
        <v>250</v>
      </c>
      <c r="G1580" s="58" t="s">
        <v>251</v>
      </c>
      <c r="H1580" s="58" t="s">
        <v>199</v>
      </c>
      <c r="I1580">
        <v>110000</v>
      </c>
      <c r="L1580" s="74">
        <v>5.2249999999999996</v>
      </c>
      <c r="M1580" s="85">
        <v>6</v>
      </c>
      <c r="N1580" s="74">
        <v>3.9359999999999999</v>
      </c>
      <c r="O1580">
        <v>3</v>
      </c>
      <c r="P1580" s="84">
        <v>2.952</v>
      </c>
      <c r="Q1580" s="86">
        <v>21</v>
      </c>
      <c r="R1580" s="85">
        <v>21</v>
      </c>
      <c r="S1580" s="87">
        <v>2016330</v>
      </c>
      <c r="T1580" s="1">
        <v>8</v>
      </c>
      <c r="U1580" s="88">
        <v>96015.71428571429</v>
      </c>
      <c r="V1580" s="59">
        <v>10.414961836604128</v>
      </c>
      <c r="X1580" s="98">
        <v>4.2</v>
      </c>
      <c r="Y1580" s="97">
        <v>387.4452380952381</v>
      </c>
    </row>
    <row r="1581" spans="1:25">
      <c r="A1581" s="58">
        <v>1583</v>
      </c>
      <c r="B1581" s="58">
        <v>1583</v>
      </c>
      <c r="C1581" s="58" t="s">
        <v>2350</v>
      </c>
      <c r="D1581" s="58" t="s">
        <v>253</v>
      </c>
      <c r="E1581" s="58" t="s">
        <v>253</v>
      </c>
      <c r="F1581" s="58" t="s">
        <v>254</v>
      </c>
      <c r="G1581" s="58" t="s">
        <v>255</v>
      </c>
      <c r="H1581" s="58" t="s">
        <v>179</v>
      </c>
      <c r="I1581">
        <v>38000</v>
      </c>
      <c r="J1581">
        <v>38000</v>
      </c>
      <c r="K1581" s="58" t="s">
        <v>185</v>
      </c>
      <c r="L1581" s="74">
        <v>4.3840000000000003</v>
      </c>
      <c r="M1581" s="85">
        <v>5</v>
      </c>
      <c r="N1581" s="74">
        <v>1.3360000000000001</v>
      </c>
      <c r="O1581">
        <v>3</v>
      </c>
      <c r="P1581" s="84">
        <v>1.002</v>
      </c>
      <c r="Q1581" s="86">
        <v>4.2</v>
      </c>
      <c r="R1581" s="85">
        <v>4.2</v>
      </c>
      <c r="S1581" s="87">
        <v>699140</v>
      </c>
      <c r="T1581" s="1">
        <v>4</v>
      </c>
      <c r="U1581" s="88">
        <v>166461.90476190476</v>
      </c>
      <c r="V1581" s="59">
        <v>6.0073804960379897</v>
      </c>
      <c r="X1581" s="98">
        <v>21</v>
      </c>
      <c r="Y1581" s="97">
        <v>96.015714285714282</v>
      </c>
    </row>
    <row r="1582" spans="1:25">
      <c r="A1582" s="58">
        <v>1584</v>
      </c>
      <c r="B1582" s="58">
        <v>1584</v>
      </c>
      <c r="C1582" s="58" t="s">
        <v>2351</v>
      </c>
      <c r="D1582" s="58" t="s">
        <v>176</v>
      </c>
      <c r="E1582" s="58" t="s">
        <v>176</v>
      </c>
      <c r="F1582" s="58" t="s">
        <v>257</v>
      </c>
      <c r="G1582" s="58" t="s">
        <v>258</v>
      </c>
      <c r="H1582" s="58" t="s">
        <v>179</v>
      </c>
      <c r="I1582">
        <v>38000</v>
      </c>
      <c r="J1582">
        <v>38000</v>
      </c>
      <c r="K1582">
        <v>20000</v>
      </c>
      <c r="L1582" s="74">
        <v>12.561</v>
      </c>
      <c r="M1582" s="85">
        <v>13</v>
      </c>
      <c r="N1582" s="74">
        <v>3.33</v>
      </c>
      <c r="O1582">
        <v>3</v>
      </c>
      <c r="P1582" s="84">
        <v>2.4975000000000001</v>
      </c>
      <c r="Q1582" s="86">
        <v>16.8</v>
      </c>
      <c r="R1582" s="85">
        <v>16.8</v>
      </c>
      <c r="S1582" s="87">
        <v>1261300</v>
      </c>
      <c r="T1582" s="1">
        <v>4</v>
      </c>
      <c r="U1582" s="88">
        <v>75077.380952380947</v>
      </c>
      <c r="V1582" s="59">
        <v>13.319590898279554</v>
      </c>
      <c r="X1582" s="98">
        <v>4.2</v>
      </c>
      <c r="Y1582" s="97">
        <v>166.46190476190475</v>
      </c>
    </row>
    <row r="1583" spans="1:25">
      <c r="A1583" s="58">
        <v>1585</v>
      </c>
      <c r="B1583" s="58">
        <v>1585</v>
      </c>
      <c r="C1583" s="58" t="s">
        <v>2352</v>
      </c>
      <c r="D1583" s="58" t="s">
        <v>176</v>
      </c>
      <c r="E1583" s="58" t="s">
        <v>176</v>
      </c>
      <c r="F1583" s="58" t="s">
        <v>257</v>
      </c>
      <c r="G1583" s="58" t="s">
        <v>258</v>
      </c>
      <c r="H1583" s="58" t="s">
        <v>179</v>
      </c>
      <c r="I1583">
        <v>38000</v>
      </c>
      <c r="J1583">
        <v>38000</v>
      </c>
      <c r="K1583">
        <v>20000</v>
      </c>
      <c r="L1583" s="74">
        <v>12.401999999999999</v>
      </c>
      <c r="M1583" s="85">
        <v>13</v>
      </c>
      <c r="N1583" s="74">
        <v>2.1960000000000002</v>
      </c>
      <c r="O1583">
        <v>3</v>
      </c>
      <c r="P1583" s="84">
        <v>1.6470000000000002</v>
      </c>
      <c r="Q1583" s="86">
        <v>8.4</v>
      </c>
      <c r="R1583" s="85">
        <v>8.4</v>
      </c>
      <c r="S1583" s="87">
        <v>1590600</v>
      </c>
      <c r="T1583" s="1">
        <v>2</v>
      </c>
      <c r="U1583" s="88">
        <v>189357.14285714284</v>
      </c>
      <c r="V1583" s="59">
        <v>5.2810260279139944</v>
      </c>
      <c r="X1583" s="98">
        <v>16.8</v>
      </c>
      <c r="Y1583" s="97">
        <v>75.077380952380949</v>
      </c>
    </row>
    <row r="1584" spans="1:25">
      <c r="A1584" s="58">
        <v>1586</v>
      </c>
      <c r="B1584" s="58">
        <v>1586</v>
      </c>
      <c r="C1584" s="58" t="s">
        <v>2353</v>
      </c>
      <c r="D1584" s="58" t="s">
        <v>176</v>
      </c>
      <c r="E1584" s="58" t="s">
        <v>176</v>
      </c>
      <c r="F1584" s="58" t="s">
        <v>257</v>
      </c>
      <c r="G1584" s="58" t="s">
        <v>258</v>
      </c>
      <c r="H1584" s="58" t="s">
        <v>179</v>
      </c>
      <c r="I1584">
        <v>38000</v>
      </c>
      <c r="J1584">
        <v>38000</v>
      </c>
      <c r="K1584">
        <v>20000</v>
      </c>
      <c r="L1584" s="74">
        <v>13.715</v>
      </c>
      <c r="M1584" s="85">
        <v>14</v>
      </c>
      <c r="N1584" s="74">
        <v>0.98299999999999998</v>
      </c>
      <c r="O1584">
        <v>3</v>
      </c>
      <c r="P1584" s="84">
        <v>0.98299999999999998</v>
      </c>
      <c r="Q1584" s="86">
        <v>4.2</v>
      </c>
      <c r="R1584" s="85">
        <v>4.2</v>
      </c>
      <c r="S1584" s="87">
        <v>1597940</v>
      </c>
      <c r="T1584" s="1">
        <v>1</v>
      </c>
      <c r="U1584" s="88">
        <v>380461.90476190473</v>
      </c>
      <c r="V1584" s="59">
        <v>2.6283840444572388</v>
      </c>
      <c r="X1584" s="98">
        <v>8.4</v>
      </c>
      <c r="Y1584" s="97">
        <v>189.35714285714283</v>
      </c>
    </row>
    <row r="1585" spans="1:25">
      <c r="A1585" s="58">
        <v>1587</v>
      </c>
      <c r="B1585" s="58">
        <v>1587</v>
      </c>
      <c r="C1585" s="58" t="s">
        <v>2354</v>
      </c>
      <c r="D1585" s="58" t="s">
        <v>176</v>
      </c>
      <c r="E1585" s="58" t="s">
        <v>176</v>
      </c>
      <c r="F1585" s="58" t="s">
        <v>257</v>
      </c>
      <c r="G1585" s="58" t="s">
        <v>258</v>
      </c>
      <c r="H1585" s="58" t="s">
        <v>179</v>
      </c>
      <c r="I1585">
        <v>38000</v>
      </c>
      <c r="J1585">
        <v>38000</v>
      </c>
      <c r="K1585">
        <v>20000</v>
      </c>
      <c r="L1585" s="74">
        <v>10.518000000000001</v>
      </c>
      <c r="M1585" s="85">
        <v>11</v>
      </c>
      <c r="N1585" s="74">
        <v>0.94099999999999995</v>
      </c>
      <c r="O1585">
        <v>3</v>
      </c>
      <c r="P1585" s="84">
        <v>0.94099999999999995</v>
      </c>
      <c r="Q1585" s="86">
        <v>4.2</v>
      </c>
      <c r="R1585" s="85">
        <v>4.2</v>
      </c>
      <c r="S1585" s="87">
        <v>1439840</v>
      </c>
      <c r="T1585" s="1">
        <v>1</v>
      </c>
      <c r="U1585" s="88">
        <v>342819.04761904763</v>
      </c>
      <c r="V1585" s="59">
        <v>2.9169907767529724</v>
      </c>
      <c r="X1585" s="98">
        <v>4.2</v>
      </c>
      <c r="Y1585" s="97">
        <v>380.46190476190475</v>
      </c>
    </row>
    <row r="1586" spans="1:25">
      <c r="A1586" s="58">
        <v>1588</v>
      </c>
      <c r="B1586" s="58">
        <v>1588</v>
      </c>
      <c r="C1586" s="58" t="s">
        <v>2355</v>
      </c>
      <c r="D1586" s="58" t="s">
        <v>176</v>
      </c>
      <c r="E1586" s="58" t="s">
        <v>176</v>
      </c>
      <c r="F1586" s="58" t="s">
        <v>257</v>
      </c>
      <c r="G1586" s="58" t="s">
        <v>258</v>
      </c>
      <c r="H1586" s="58" t="s">
        <v>179</v>
      </c>
      <c r="I1586">
        <v>38000</v>
      </c>
      <c r="J1586">
        <v>38000</v>
      </c>
      <c r="K1586">
        <v>20000</v>
      </c>
      <c r="L1586" s="74">
        <v>10.278</v>
      </c>
      <c r="M1586" s="85">
        <v>11</v>
      </c>
      <c r="N1586" s="74">
        <v>0.33200000000000002</v>
      </c>
      <c r="O1586">
        <v>3</v>
      </c>
      <c r="P1586" s="84">
        <v>0.33200000000000002</v>
      </c>
      <c r="Q1586" s="86">
        <v>4.2</v>
      </c>
      <c r="R1586" s="85">
        <v>4.2</v>
      </c>
      <c r="S1586" s="87">
        <v>1439840</v>
      </c>
      <c r="T1586" s="1">
        <v>1</v>
      </c>
      <c r="U1586" s="88">
        <v>342819.04761904763</v>
      </c>
      <c r="V1586" s="59">
        <v>2.9169907767529724</v>
      </c>
      <c r="X1586" s="98">
        <v>4.2</v>
      </c>
      <c r="Y1586" s="97">
        <v>342.81904761904764</v>
      </c>
    </row>
    <row r="1587" spans="1:25">
      <c r="A1587" s="58">
        <v>1589</v>
      </c>
      <c r="B1587" s="58">
        <v>1589</v>
      </c>
      <c r="C1587" s="58" t="s">
        <v>2356</v>
      </c>
      <c r="D1587" s="58" t="s">
        <v>176</v>
      </c>
      <c r="E1587" s="58" t="s">
        <v>176</v>
      </c>
      <c r="F1587" s="58" t="s">
        <v>257</v>
      </c>
      <c r="G1587" s="58" t="s">
        <v>258</v>
      </c>
      <c r="H1587" s="58" t="s">
        <v>179</v>
      </c>
      <c r="I1587">
        <v>38000</v>
      </c>
      <c r="J1587">
        <v>38000</v>
      </c>
      <c r="K1587">
        <v>20000</v>
      </c>
      <c r="L1587" s="74">
        <v>7.0179999999999998</v>
      </c>
      <c r="M1587" s="85">
        <v>8</v>
      </c>
      <c r="N1587" s="74">
        <v>0.57999999999999996</v>
      </c>
      <c r="O1587">
        <v>3</v>
      </c>
      <c r="P1587" s="84">
        <v>0.57999999999999996</v>
      </c>
      <c r="Q1587" s="86">
        <v>4.2</v>
      </c>
      <c r="R1587" s="85">
        <v>4.2</v>
      </c>
      <c r="S1587" s="87">
        <v>909950</v>
      </c>
      <c r="T1587" s="1">
        <v>4</v>
      </c>
      <c r="U1587" s="88">
        <v>216654.76190476189</v>
      </c>
      <c r="V1587" s="59">
        <v>4.6156382218803227</v>
      </c>
      <c r="X1587" s="98">
        <v>4.2</v>
      </c>
      <c r="Y1587" s="97">
        <v>342.81904761904764</v>
      </c>
    </row>
    <row r="1588" spans="1:25">
      <c r="A1588" s="58">
        <v>1590</v>
      </c>
      <c r="B1588" s="58">
        <v>1590</v>
      </c>
      <c r="C1588" s="58" t="s">
        <v>2357</v>
      </c>
      <c r="D1588" s="58" t="s">
        <v>176</v>
      </c>
      <c r="E1588" s="58" t="s">
        <v>176</v>
      </c>
      <c r="F1588" s="58" t="s">
        <v>257</v>
      </c>
      <c r="G1588" s="58" t="s">
        <v>258</v>
      </c>
      <c r="H1588" s="58" t="s">
        <v>179</v>
      </c>
      <c r="I1588">
        <v>38000</v>
      </c>
      <c r="J1588">
        <v>38000</v>
      </c>
      <c r="K1588">
        <v>20000</v>
      </c>
      <c r="L1588" s="74">
        <v>8.8510000000000009</v>
      </c>
      <c r="M1588" s="85">
        <v>9</v>
      </c>
      <c r="N1588" s="74">
        <v>1.702</v>
      </c>
      <c r="O1588">
        <v>3</v>
      </c>
      <c r="P1588" s="84">
        <v>1.2765</v>
      </c>
      <c r="Q1588" s="86">
        <v>8.4</v>
      </c>
      <c r="R1588" s="85">
        <v>8.4</v>
      </c>
      <c r="S1588" s="87">
        <v>1379800</v>
      </c>
      <c r="T1588" s="1">
        <v>2</v>
      </c>
      <c r="U1588" s="88">
        <v>164261.90476190476</v>
      </c>
      <c r="V1588" s="59">
        <v>6.087838817219887</v>
      </c>
      <c r="X1588" s="98">
        <v>4.2</v>
      </c>
      <c r="Y1588" s="97">
        <v>216.6547619047619</v>
      </c>
    </row>
    <row r="1589" spans="1:25">
      <c r="A1589" s="58">
        <v>1591</v>
      </c>
      <c r="B1589" s="58">
        <v>1591</v>
      </c>
      <c r="C1589" s="58" t="s">
        <v>2358</v>
      </c>
      <c r="D1589" s="58" t="s">
        <v>215</v>
      </c>
      <c r="E1589" s="58" t="s">
        <v>215</v>
      </c>
      <c r="F1589" s="58" t="s">
        <v>257</v>
      </c>
      <c r="G1589" s="58" t="s">
        <v>258</v>
      </c>
      <c r="H1589" s="58" t="s">
        <v>179</v>
      </c>
      <c r="I1589">
        <v>38000</v>
      </c>
      <c r="J1589">
        <v>38000</v>
      </c>
      <c r="K1589">
        <v>20000</v>
      </c>
      <c r="L1589" s="74">
        <v>8.7110000000000003</v>
      </c>
      <c r="M1589" s="85">
        <v>9</v>
      </c>
      <c r="N1589" s="74">
        <v>1.1419999999999999</v>
      </c>
      <c r="O1589">
        <v>3</v>
      </c>
      <c r="P1589" s="84">
        <v>1.1419999999999999</v>
      </c>
      <c r="Q1589" s="86">
        <v>4.2</v>
      </c>
      <c r="R1589" s="85">
        <v>4.2</v>
      </c>
      <c r="S1589" s="87">
        <v>1334440</v>
      </c>
      <c r="T1589" s="1">
        <v>1</v>
      </c>
      <c r="U1589" s="88">
        <v>317723.80952380953</v>
      </c>
      <c r="V1589" s="59">
        <v>3.1473876682353645</v>
      </c>
      <c r="X1589" s="98">
        <v>8.4</v>
      </c>
      <c r="Y1589" s="97">
        <v>164.26190476190479</v>
      </c>
    </row>
    <row r="1590" spans="1:25">
      <c r="A1590" s="58">
        <v>1592</v>
      </c>
      <c r="B1590" s="58">
        <v>1592</v>
      </c>
      <c r="C1590" s="58" t="s">
        <v>2359</v>
      </c>
      <c r="D1590" s="58" t="s">
        <v>215</v>
      </c>
      <c r="E1590" s="58" t="s">
        <v>215</v>
      </c>
      <c r="F1590" s="58" t="s">
        <v>257</v>
      </c>
      <c r="G1590" s="58" t="s">
        <v>258</v>
      </c>
      <c r="H1590" s="58" t="s">
        <v>179</v>
      </c>
      <c r="I1590">
        <v>38000</v>
      </c>
      <c r="J1590">
        <v>38000</v>
      </c>
      <c r="K1590">
        <v>20000</v>
      </c>
      <c r="L1590" s="74">
        <v>7.0590000000000002</v>
      </c>
      <c r="M1590" s="85">
        <v>8</v>
      </c>
      <c r="N1590" s="74">
        <v>2.992</v>
      </c>
      <c r="O1590">
        <v>3</v>
      </c>
      <c r="P1590" s="84">
        <v>2.2439999999999998</v>
      </c>
      <c r="Q1590" s="86">
        <v>12.600000000000001</v>
      </c>
      <c r="R1590" s="85">
        <v>12.600000000000001</v>
      </c>
      <c r="S1590" s="87">
        <v>909950</v>
      </c>
      <c r="T1590" s="1">
        <v>4</v>
      </c>
      <c r="U1590" s="88">
        <v>72218.253968253965</v>
      </c>
      <c r="V1590" s="59">
        <v>13.846914665640972</v>
      </c>
      <c r="X1590" s="98">
        <v>4.2</v>
      </c>
      <c r="Y1590" s="97">
        <v>317.72380952380951</v>
      </c>
    </row>
    <row r="1591" spans="1:25">
      <c r="A1591" s="58">
        <v>1593</v>
      </c>
      <c r="B1591" s="58">
        <v>1593</v>
      </c>
      <c r="C1591" s="58" t="s">
        <v>2360</v>
      </c>
      <c r="D1591" s="58" t="s">
        <v>176</v>
      </c>
      <c r="E1591" s="58" t="s">
        <v>176</v>
      </c>
      <c r="F1591" s="58" t="s">
        <v>225</v>
      </c>
      <c r="G1591" s="58" t="s">
        <v>226</v>
      </c>
      <c r="H1591" s="58" t="s">
        <v>179</v>
      </c>
      <c r="I1591">
        <v>38000</v>
      </c>
      <c r="J1591">
        <v>38000</v>
      </c>
      <c r="K1591">
        <v>20000</v>
      </c>
      <c r="L1591" s="74">
        <v>9.3490000000000002</v>
      </c>
      <c r="M1591" s="85">
        <v>10</v>
      </c>
      <c r="N1591" s="74">
        <v>1.5580000000000001</v>
      </c>
      <c r="O1591">
        <v>3</v>
      </c>
      <c r="P1591" s="84">
        <v>1.1685000000000001</v>
      </c>
      <c r="Q1591" s="86">
        <v>4.2</v>
      </c>
      <c r="R1591" s="85">
        <v>4.2</v>
      </c>
      <c r="S1591" s="87">
        <v>1387140</v>
      </c>
      <c r="T1591" s="1">
        <v>1</v>
      </c>
      <c r="U1591" s="88">
        <v>330271.42857142858</v>
      </c>
      <c r="V1591" s="59">
        <v>3.0278126216531858</v>
      </c>
      <c r="X1591" s="98">
        <v>12.600000000000001</v>
      </c>
      <c r="Y1591" s="97">
        <v>72.218253968253961</v>
      </c>
    </row>
    <row r="1592" spans="1:25">
      <c r="A1592" s="58">
        <v>1594</v>
      </c>
      <c r="B1592" s="58">
        <v>1594</v>
      </c>
      <c r="C1592" s="58" t="s">
        <v>2361</v>
      </c>
      <c r="D1592" s="58" t="s">
        <v>215</v>
      </c>
      <c r="E1592" s="58" t="s">
        <v>215</v>
      </c>
      <c r="F1592" s="58" t="s">
        <v>225</v>
      </c>
      <c r="G1592" s="58" t="s">
        <v>226</v>
      </c>
      <c r="H1592" s="58" t="s">
        <v>179</v>
      </c>
      <c r="I1592">
        <v>38000</v>
      </c>
      <c r="J1592">
        <v>38000</v>
      </c>
      <c r="K1592">
        <v>20000</v>
      </c>
      <c r="L1592" s="74">
        <v>12.241</v>
      </c>
      <c r="M1592" s="85">
        <v>13</v>
      </c>
      <c r="N1592" s="74">
        <v>0.76800000000000002</v>
      </c>
      <c r="O1592">
        <v>3</v>
      </c>
      <c r="P1592" s="84">
        <v>0.76800000000000002</v>
      </c>
      <c r="Q1592" s="86">
        <v>4.2</v>
      </c>
      <c r="R1592" s="85">
        <v>4.2</v>
      </c>
      <c r="S1592" s="87">
        <v>1545240</v>
      </c>
      <c r="T1592" s="1">
        <v>1</v>
      </c>
      <c r="U1592" s="88">
        <v>367914.28571428568</v>
      </c>
      <c r="V1592" s="59">
        <v>2.7180243845616214</v>
      </c>
      <c r="X1592" s="98">
        <v>4.2</v>
      </c>
      <c r="Y1592" s="97">
        <v>330.2714285714286</v>
      </c>
    </row>
    <row r="1593" spans="1:25">
      <c r="A1593" s="58">
        <v>1595</v>
      </c>
      <c r="B1593" s="58">
        <v>1595</v>
      </c>
      <c r="C1593" s="58" t="s">
        <v>2362</v>
      </c>
      <c r="D1593" s="58" t="s">
        <v>215</v>
      </c>
      <c r="E1593" s="58" t="s">
        <v>215</v>
      </c>
      <c r="F1593" s="58" t="s">
        <v>225</v>
      </c>
      <c r="G1593" s="58" t="s">
        <v>226</v>
      </c>
      <c r="H1593" s="58" t="s">
        <v>179</v>
      </c>
      <c r="I1593">
        <v>38000</v>
      </c>
      <c r="J1593">
        <v>38000</v>
      </c>
      <c r="K1593">
        <v>20000</v>
      </c>
      <c r="L1593" s="74">
        <v>4.1989999999999998</v>
      </c>
      <c r="M1593" s="85">
        <v>5</v>
      </c>
      <c r="N1593" s="74">
        <v>0.79100000000000004</v>
      </c>
      <c r="O1593">
        <v>3</v>
      </c>
      <c r="P1593" s="84">
        <v>0.79100000000000004</v>
      </c>
      <c r="Q1593" s="86">
        <v>4.2</v>
      </c>
      <c r="R1593" s="85">
        <v>4.2</v>
      </c>
      <c r="S1593" s="87">
        <v>699140</v>
      </c>
      <c r="T1593" s="1">
        <v>4</v>
      </c>
      <c r="U1593" s="88">
        <v>166461.90476190476</v>
      </c>
      <c r="V1593" s="59">
        <v>6.0073804960379897</v>
      </c>
      <c r="X1593" s="98">
        <v>4.2</v>
      </c>
      <c r="Y1593" s="97">
        <v>367.91428571428571</v>
      </c>
    </row>
    <row r="1594" spans="1:25">
      <c r="A1594" s="58">
        <v>1596</v>
      </c>
      <c r="B1594" s="58">
        <v>1596</v>
      </c>
      <c r="C1594" s="58" t="s">
        <v>2363</v>
      </c>
      <c r="D1594" s="58" t="s">
        <v>215</v>
      </c>
      <c r="E1594" s="58" t="s">
        <v>215</v>
      </c>
      <c r="F1594" s="58" t="s">
        <v>225</v>
      </c>
      <c r="G1594" s="58" t="s">
        <v>226</v>
      </c>
      <c r="H1594" s="58" t="s">
        <v>179</v>
      </c>
      <c r="I1594">
        <v>38000</v>
      </c>
      <c r="J1594">
        <v>38000</v>
      </c>
      <c r="K1594">
        <v>20000</v>
      </c>
      <c r="L1594" s="74">
        <v>3.9969999999999999</v>
      </c>
      <c r="M1594" s="85">
        <v>4</v>
      </c>
      <c r="N1594" s="74">
        <v>0.61199999999999999</v>
      </c>
      <c r="O1594">
        <v>3</v>
      </c>
      <c r="P1594" s="84">
        <v>0.61199999999999999</v>
      </c>
      <c r="Q1594" s="86">
        <v>4.2</v>
      </c>
      <c r="R1594" s="85">
        <v>4.2</v>
      </c>
      <c r="S1594" s="87">
        <v>628870</v>
      </c>
      <c r="T1594" s="1">
        <v>4</v>
      </c>
      <c r="U1594" s="88">
        <v>149730.95238095237</v>
      </c>
      <c r="V1594" s="59">
        <v>6.6786458250512828</v>
      </c>
      <c r="X1594" s="98">
        <v>4.2</v>
      </c>
      <c r="Y1594" s="97">
        <v>166.46190476190475</v>
      </c>
    </row>
    <row r="1595" spans="1:25">
      <c r="A1595" s="58">
        <v>1597</v>
      </c>
      <c r="B1595" s="58">
        <v>1597</v>
      </c>
      <c r="C1595" s="58" t="s">
        <v>2364</v>
      </c>
      <c r="D1595" s="58" t="s">
        <v>215</v>
      </c>
      <c r="E1595" s="58" t="s">
        <v>215</v>
      </c>
      <c r="F1595" s="58" t="s">
        <v>225</v>
      </c>
      <c r="G1595" s="58" t="s">
        <v>226</v>
      </c>
      <c r="H1595" s="58" t="s">
        <v>179</v>
      </c>
      <c r="I1595">
        <v>38000</v>
      </c>
      <c r="J1595">
        <v>38000</v>
      </c>
      <c r="K1595">
        <v>20000</v>
      </c>
      <c r="L1595" s="74">
        <v>6.65</v>
      </c>
      <c r="M1595" s="85">
        <v>7</v>
      </c>
      <c r="N1595" s="74">
        <v>0.92200000000000004</v>
      </c>
      <c r="O1595">
        <v>3</v>
      </c>
      <c r="P1595" s="84">
        <v>0.92200000000000004</v>
      </c>
      <c r="Q1595" s="86">
        <v>4.2</v>
      </c>
      <c r="R1595" s="85">
        <v>4.2</v>
      </c>
      <c r="S1595" s="87">
        <v>839680</v>
      </c>
      <c r="T1595" s="1">
        <v>4</v>
      </c>
      <c r="U1595" s="88">
        <v>199923.80952380953</v>
      </c>
      <c r="V1595" s="59">
        <v>5.0019054878048781</v>
      </c>
      <c r="X1595" s="98">
        <v>4.2</v>
      </c>
      <c r="Y1595" s="97">
        <v>149.73095238095235</v>
      </c>
    </row>
    <row r="1596" spans="1:25">
      <c r="A1596" s="58">
        <v>1598</v>
      </c>
      <c r="B1596" s="58">
        <v>1598</v>
      </c>
      <c r="C1596" s="58" t="s">
        <v>2365</v>
      </c>
      <c r="D1596" s="58" t="s">
        <v>176</v>
      </c>
      <c r="E1596" s="58" t="s">
        <v>176</v>
      </c>
      <c r="F1596" s="58" t="s">
        <v>262</v>
      </c>
      <c r="G1596" s="58" t="s">
        <v>263</v>
      </c>
      <c r="H1596" s="58" t="s">
        <v>179</v>
      </c>
      <c r="I1596">
        <v>38000</v>
      </c>
      <c r="J1596" s="58" t="s">
        <v>185</v>
      </c>
      <c r="K1596">
        <v>38000</v>
      </c>
      <c r="L1596" s="74">
        <v>9.9079999999999995</v>
      </c>
      <c r="M1596" s="85">
        <v>10</v>
      </c>
      <c r="N1596" s="74">
        <v>1.1970000000000001</v>
      </c>
      <c r="O1596">
        <v>3</v>
      </c>
      <c r="P1596" s="84">
        <v>1.1970000000000001</v>
      </c>
      <c r="Q1596" s="86">
        <v>4.2</v>
      </c>
      <c r="R1596" s="85">
        <v>4.2</v>
      </c>
      <c r="S1596" s="87">
        <v>1387140</v>
      </c>
      <c r="T1596" s="1">
        <v>1</v>
      </c>
      <c r="U1596" s="88">
        <v>330271.42857142858</v>
      </c>
      <c r="V1596" s="59">
        <v>3.0278126216531858</v>
      </c>
      <c r="X1596" s="98">
        <v>4.2</v>
      </c>
      <c r="Y1596" s="97">
        <v>199.92380952380952</v>
      </c>
    </row>
    <row r="1597" spans="1:25">
      <c r="A1597" s="58">
        <v>1599</v>
      </c>
      <c r="B1597" s="58">
        <v>1599</v>
      </c>
      <c r="C1597" s="58" t="s">
        <v>2366</v>
      </c>
      <c r="D1597" s="58" t="s">
        <v>176</v>
      </c>
      <c r="E1597" s="58" t="s">
        <v>176</v>
      </c>
      <c r="F1597" s="58" t="s">
        <v>262</v>
      </c>
      <c r="G1597" s="58" t="s">
        <v>263</v>
      </c>
      <c r="H1597" s="58" t="s">
        <v>179</v>
      </c>
      <c r="I1597">
        <v>38000</v>
      </c>
      <c r="J1597" s="58" t="s">
        <v>185</v>
      </c>
      <c r="K1597">
        <v>38000</v>
      </c>
      <c r="L1597" s="74">
        <v>13.387</v>
      </c>
      <c r="M1597" s="85">
        <v>14</v>
      </c>
      <c r="N1597" s="74">
        <v>4.1079999999999997</v>
      </c>
      <c r="O1597">
        <v>3</v>
      </c>
      <c r="P1597" s="84">
        <v>3.0809999999999995</v>
      </c>
      <c r="Q1597" s="86">
        <v>21</v>
      </c>
      <c r="R1597" s="85">
        <v>21</v>
      </c>
      <c r="S1597" s="87">
        <v>1331570</v>
      </c>
      <c r="T1597" s="1">
        <v>4</v>
      </c>
      <c r="U1597" s="88">
        <v>63408.095238095237</v>
      </c>
      <c r="V1597" s="59">
        <v>15.770856958327387</v>
      </c>
      <c r="X1597" s="98">
        <v>4.2</v>
      </c>
      <c r="Y1597" s="97">
        <v>330.2714285714286</v>
      </c>
    </row>
    <row r="1598" spans="1:25">
      <c r="A1598" s="58">
        <v>1600</v>
      </c>
      <c r="B1598" s="58">
        <v>1600</v>
      </c>
      <c r="C1598" s="58" t="s">
        <v>2367</v>
      </c>
      <c r="D1598" s="58" t="s">
        <v>176</v>
      </c>
      <c r="E1598" s="58" t="s">
        <v>176</v>
      </c>
      <c r="F1598" s="58" t="s">
        <v>262</v>
      </c>
      <c r="G1598" s="58" t="s">
        <v>263</v>
      </c>
      <c r="H1598" s="58" t="s">
        <v>179</v>
      </c>
      <c r="I1598">
        <v>38000</v>
      </c>
      <c r="J1598" s="58" t="s">
        <v>185</v>
      </c>
      <c r="K1598">
        <v>38000</v>
      </c>
      <c r="L1598" s="74">
        <v>18.146000000000001</v>
      </c>
      <c r="M1598" s="85">
        <v>19</v>
      </c>
      <c r="N1598" s="74">
        <v>1.9930000000000001</v>
      </c>
      <c r="O1598">
        <v>3</v>
      </c>
      <c r="P1598" s="84">
        <v>1.49475</v>
      </c>
      <c r="Q1598" s="86">
        <v>8.4</v>
      </c>
      <c r="R1598" s="85">
        <v>8.4</v>
      </c>
      <c r="S1598" s="87">
        <v>1906800</v>
      </c>
      <c r="T1598" s="1">
        <v>2</v>
      </c>
      <c r="U1598" s="88">
        <v>227000</v>
      </c>
      <c r="V1598" s="59">
        <v>4.4052863436123344</v>
      </c>
      <c r="X1598" s="98">
        <v>21</v>
      </c>
      <c r="Y1598" s="97">
        <v>63.408095238095235</v>
      </c>
    </row>
    <row r="1599" spans="1:25">
      <c r="A1599" s="58">
        <v>1601</v>
      </c>
      <c r="B1599" s="58">
        <v>1601</v>
      </c>
      <c r="C1599" s="58" t="s">
        <v>2368</v>
      </c>
      <c r="D1599" s="58" t="s">
        <v>176</v>
      </c>
      <c r="E1599" s="58" t="s">
        <v>176</v>
      </c>
      <c r="F1599" s="58" t="s">
        <v>265</v>
      </c>
      <c r="G1599" s="58" t="s">
        <v>266</v>
      </c>
      <c r="H1599" s="58" t="s">
        <v>179</v>
      </c>
      <c r="I1599">
        <v>38000</v>
      </c>
      <c r="J1599">
        <v>38000</v>
      </c>
      <c r="K1599" s="58" t="s">
        <v>185</v>
      </c>
      <c r="L1599" s="74">
        <v>15.718</v>
      </c>
      <c r="M1599" s="85">
        <v>16</v>
      </c>
      <c r="N1599" s="74">
        <v>3.601</v>
      </c>
      <c r="O1599">
        <v>3</v>
      </c>
      <c r="P1599" s="84">
        <v>2.7007500000000002</v>
      </c>
      <c r="Q1599" s="86">
        <v>16.8</v>
      </c>
      <c r="R1599" s="85">
        <v>16.8</v>
      </c>
      <c r="S1599" s="87">
        <v>1472110</v>
      </c>
      <c r="T1599" s="1">
        <v>4</v>
      </c>
      <c r="U1599" s="88">
        <v>87625.595238095237</v>
      </c>
      <c r="V1599" s="59">
        <v>11.412190665099756</v>
      </c>
      <c r="X1599" s="98">
        <v>8.4</v>
      </c>
      <c r="Y1599" s="97">
        <v>227</v>
      </c>
    </row>
    <row r="1600" spans="1:25">
      <c r="A1600" s="58">
        <v>1602</v>
      </c>
      <c r="B1600" s="58">
        <v>1602</v>
      </c>
      <c r="C1600" s="58" t="s">
        <v>2369</v>
      </c>
      <c r="D1600" s="58" t="s">
        <v>176</v>
      </c>
      <c r="E1600" s="58" t="s">
        <v>176</v>
      </c>
      <c r="F1600" s="58" t="s">
        <v>269</v>
      </c>
      <c r="G1600" s="58" t="s">
        <v>270</v>
      </c>
      <c r="H1600" s="58" t="s">
        <v>179</v>
      </c>
      <c r="I1600">
        <v>38000</v>
      </c>
      <c r="J1600">
        <v>38000</v>
      </c>
      <c r="K1600">
        <v>20000</v>
      </c>
      <c r="L1600" s="74">
        <v>17.503</v>
      </c>
      <c r="M1600" s="85">
        <v>18</v>
      </c>
      <c r="N1600" s="74">
        <v>1.262</v>
      </c>
      <c r="O1600">
        <v>3</v>
      </c>
      <c r="P1600" s="84">
        <v>0.94650000000000001</v>
      </c>
      <c r="Q1600" s="86">
        <v>4.2</v>
      </c>
      <c r="R1600" s="85">
        <v>4.2</v>
      </c>
      <c r="S1600" s="87">
        <v>1808740</v>
      </c>
      <c r="T1600" s="1">
        <v>1</v>
      </c>
      <c r="U1600" s="88">
        <v>430652.38095238095</v>
      </c>
      <c r="V1600" s="59">
        <v>2.3220584495284009</v>
      </c>
      <c r="X1600" s="98">
        <v>16.8</v>
      </c>
      <c r="Y1600" s="97">
        <v>87.625595238095244</v>
      </c>
    </row>
    <row r="1601" spans="1:25">
      <c r="A1601" s="58">
        <v>1603</v>
      </c>
      <c r="B1601" s="58">
        <v>1603</v>
      </c>
      <c r="C1601" s="58" t="s">
        <v>2370</v>
      </c>
      <c r="D1601" s="58" t="s">
        <v>176</v>
      </c>
      <c r="E1601" s="58" t="s">
        <v>176</v>
      </c>
      <c r="F1601" s="58" t="s">
        <v>269</v>
      </c>
      <c r="G1601" s="58" t="s">
        <v>270</v>
      </c>
      <c r="H1601" s="58" t="s">
        <v>179</v>
      </c>
      <c r="I1601">
        <v>38000</v>
      </c>
      <c r="J1601">
        <v>38000</v>
      </c>
      <c r="K1601">
        <v>20000</v>
      </c>
      <c r="L1601" s="74">
        <v>17.597000000000001</v>
      </c>
      <c r="M1601" s="85">
        <v>18</v>
      </c>
      <c r="N1601" s="74">
        <v>1.0960000000000001</v>
      </c>
      <c r="O1601">
        <v>3</v>
      </c>
      <c r="P1601" s="84">
        <v>1.0960000000000001</v>
      </c>
      <c r="Q1601" s="86">
        <v>4.2</v>
      </c>
      <c r="R1601" s="85">
        <v>4.2</v>
      </c>
      <c r="S1601" s="87">
        <v>1808740</v>
      </c>
      <c r="T1601" s="1">
        <v>1</v>
      </c>
      <c r="U1601" s="88">
        <v>430652.38095238095</v>
      </c>
      <c r="V1601" s="59">
        <v>2.3220584495284009</v>
      </c>
      <c r="X1601" s="98">
        <v>4.2</v>
      </c>
      <c r="Y1601" s="97">
        <v>430.65238095238095</v>
      </c>
    </row>
    <row r="1602" spans="1:25">
      <c r="A1602" s="58">
        <v>1604</v>
      </c>
      <c r="B1602" s="58">
        <v>1604</v>
      </c>
      <c r="C1602" s="58" t="s">
        <v>2371</v>
      </c>
      <c r="D1602" s="58" t="s">
        <v>176</v>
      </c>
      <c r="E1602" s="58" t="s">
        <v>176</v>
      </c>
      <c r="F1602" s="58" t="s">
        <v>272</v>
      </c>
      <c r="G1602" s="58" t="s">
        <v>273</v>
      </c>
      <c r="H1602" s="58" t="s">
        <v>179</v>
      </c>
      <c r="I1602">
        <v>38000</v>
      </c>
      <c r="J1602">
        <v>38000</v>
      </c>
      <c r="K1602" s="58" t="s">
        <v>185</v>
      </c>
      <c r="L1602" s="74">
        <v>11.51</v>
      </c>
      <c r="M1602" s="85">
        <v>12</v>
      </c>
      <c r="N1602" s="74">
        <v>1.123</v>
      </c>
      <c r="O1602">
        <v>3</v>
      </c>
      <c r="P1602" s="84">
        <v>1.123</v>
      </c>
      <c r="Q1602" s="86">
        <v>4.2</v>
      </c>
      <c r="R1602" s="85">
        <v>4.2</v>
      </c>
      <c r="S1602" s="87">
        <v>1492540</v>
      </c>
      <c r="T1602" s="1">
        <v>1</v>
      </c>
      <c r="U1602" s="88">
        <v>355366.66666666663</v>
      </c>
      <c r="V1602" s="59">
        <v>2.8139949348091173</v>
      </c>
      <c r="X1602" s="98">
        <v>4.2</v>
      </c>
      <c r="Y1602" s="97">
        <v>430.65238095238095</v>
      </c>
    </row>
    <row r="1603" spans="1:25">
      <c r="A1603" s="58">
        <v>1605</v>
      </c>
      <c r="B1603" s="58">
        <v>1605</v>
      </c>
      <c r="C1603" s="58" t="s">
        <v>2372</v>
      </c>
      <c r="D1603" s="58" t="s">
        <v>176</v>
      </c>
      <c r="E1603" s="58" t="s">
        <v>176</v>
      </c>
      <c r="F1603" s="58" t="s">
        <v>265</v>
      </c>
      <c r="G1603" s="58" t="s">
        <v>266</v>
      </c>
      <c r="H1603" s="58" t="s">
        <v>179</v>
      </c>
      <c r="I1603">
        <v>38000</v>
      </c>
      <c r="J1603">
        <v>38000</v>
      </c>
      <c r="K1603" s="58" t="s">
        <v>185</v>
      </c>
      <c r="L1603" s="74">
        <v>13.58</v>
      </c>
      <c r="M1603" s="85">
        <v>14</v>
      </c>
      <c r="N1603" s="74">
        <v>0.76700000000000002</v>
      </c>
      <c r="O1603">
        <v>3</v>
      </c>
      <c r="P1603" s="84">
        <v>0.76700000000000002</v>
      </c>
      <c r="Q1603" s="86">
        <v>4.2</v>
      </c>
      <c r="R1603" s="85">
        <v>4.2</v>
      </c>
      <c r="S1603" s="87">
        <v>1597940</v>
      </c>
      <c r="T1603" s="1">
        <v>1</v>
      </c>
      <c r="U1603" s="88">
        <v>380461.90476190473</v>
      </c>
      <c r="V1603" s="59">
        <v>2.6283840444572388</v>
      </c>
      <c r="X1603" s="98">
        <v>4.2</v>
      </c>
      <c r="Y1603" s="97">
        <v>355.36666666666662</v>
      </c>
    </row>
    <row r="1604" spans="1:25">
      <c r="A1604" s="58">
        <v>1606</v>
      </c>
      <c r="B1604" s="58">
        <v>1606</v>
      </c>
      <c r="C1604" s="58" t="s">
        <v>2373</v>
      </c>
      <c r="D1604" s="58" t="s">
        <v>176</v>
      </c>
      <c r="E1604" s="58" t="s">
        <v>176</v>
      </c>
      <c r="F1604" s="58" t="s">
        <v>265</v>
      </c>
      <c r="G1604" s="58" t="s">
        <v>266</v>
      </c>
      <c r="H1604" s="58" t="s">
        <v>179</v>
      </c>
      <c r="I1604">
        <v>38000</v>
      </c>
      <c r="J1604">
        <v>38000</v>
      </c>
      <c r="K1604" s="58" t="s">
        <v>185</v>
      </c>
      <c r="L1604" s="74">
        <v>13.536</v>
      </c>
      <c r="M1604" s="85">
        <v>14</v>
      </c>
      <c r="N1604" s="74">
        <v>0.504</v>
      </c>
      <c r="O1604">
        <v>3</v>
      </c>
      <c r="P1604" s="84">
        <v>0.504</v>
      </c>
      <c r="Q1604" s="86">
        <v>4.2</v>
      </c>
      <c r="R1604" s="85">
        <v>4.2</v>
      </c>
      <c r="S1604" s="87">
        <v>1597940</v>
      </c>
      <c r="T1604" s="1">
        <v>1</v>
      </c>
      <c r="U1604" s="88">
        <v>380461.90476190473</v>
      </c>
      <c r="V1604" s="59">
        <v>2.6283840444572388</v>
      </c>
      <c r="X1604" s="98">
        <v>4.2</v>
      </c>
      <c r="Y1604" s="97">
        <v>380.46190476190475</v>
      </c>
    </row>
    <row r="1605" spans="1:25">
      <c r="A1605" s="58">
        <v>1607</v>
      </c>
      <c r="B1605" s="58">
        <v>1607</v>
      </c>
      <c r="C1605" s="58" t="s">
        <v>2374</v>
      </c>
      <c r="D1605" s="58" t="s">
        <v>176</v>
      </c>
      <c r="E1605" s="58" t="s">
        <v>176</v>
      </c>
      <c r="F1605" s="58" t="s">
        <v>265</v>
      </c>
      <c r="G1605" s="58" t="s">
        <v>266</v>
      </c>
      <c r="H1605" s="58" t="s">
        <v>179</v>
      </c>
      <c r="I1605">
        <v>38000</v>
      </c>
      <c r="J1605">
        <v>38000</v>
      </c>
      <c r="K1605" s="58" t="s">
        <v>185</v>
      </c>
      <c r="L1605" s="74">
        <v>13.622</v>
      </c>
      <c r="M1605" s="85">
        <v>14</v>
      </c>
      <c r="N1605" s="74">
        <v>1.8839999999999999</v>
      </c>
      <c r="O1605">
        <v>3</v>
      </c>
      <c r="P1605" s="84">
        <v>1.4129999999999998</v>
      </c>
      <c r="Q1605" s="86">
        <v>8.4</v>
      </c>
      <c r="R1605" s="85">
        <v>8.4</v>
      </c>
      <c r="S1605" s="87">
        <v>1643300</v>
      </c>
      <c r="T1605" s="1">
        <v>2</v>
      </c>
      <c r="U1605" s="88">
        <v>195630.95238095237</v>
      </c>
      <c r="V1605" s="59">
        <v>5.1116655510253759</v>
      </c>
      <c r="X1605" s="98">
        <v>4.2</v>
      </c>
      <c r="Y1605" s="97">
        <v>380.46190476190475</v>
      </c>
    </row>
    <row r="1606" spans="1:25">
      <c r="A1606" s="58">
        <v>1608</v>
      </c>
      <c r="B1606" s="58">
        <v>1608</v>
      </c>
      <c r="C1606" s="58" t="s">
        <v>2375</v>
      </c>
      <c r="D1606" s="58" t="s">
        <v>176</v>
      </c>
      <c r="E1606" s="58" t="s">
        <v>176</v>
      </c>
      <c r="F1606" s="58" t="s">
        <v>265</v>
      </c>
      <c r="G1606" s="58" t="s">
        <v>266</v>
      </c>
      <c r="H1606" s="58" t="s">
        <v>179</v>
      </c>
      <c r="I1606">
        <v>38000</v>
      </c>
      <c r="J1606">
        <v>38000</v>
      </c>
      <c r="K1606" s="58" t="s">
        <v>185</v>
      </c>
      <c r="L1606" s="74">
        <v>9.4079999999999995</v>
      </c>
      <c r="M1606" s="85">
        <v>10</v>
      </c>
      <c r="N1606" s="74">
        <v>2.99</v>
      </c>
      <c r="O1606">
        <v>3</v>
      </c>
      <c r="P1606" s="84">
        <v>2.2425000000000002</v>
      </c>
      <c r="Q1606" s="86">
        <v>12.600000000000001</v>
      </c>
      <c r="R1606" s="85">
        <v>12.600000000000001</v>
      </c>
      <c r="S1606" s="87">
        <v>1469550</v>
      </c>
      <c r="T1606" s="1">
        <v>3</v>
      </c>
      <c r="U1606" s="88">
        <v>116630.95238095237</v>
      </c>
      <c r="V1606" s="59">
        <v>8.5740532816168233</v>
      </c>
      <c r="X1606" s="98">
        <v>8.4</v>
      </c>
      <c r="Y1606" s="97">
        <v>195.63095238095238</v>
      </c>
    </row>
    <row r="1607" spans="1:25">
      <c r="A1607" s="58">
        <v>1609</v>
      </c>
      <c r="B1607" s="58">
        <v>1609</v>
      </c>
      <c r="C1607" s="58" t="s">
        <v>2376</v>
      </c>
      <c r="D1607" s="58" t="s">
        <v>176</v>
      </c>
      <c r="E1607" s="58" t="s">
        <v>176</v>
      </c>
      <c r="F1607" s="58" t="s">
        <v>265</v>
      </c>
      <c r="G1607" s="58" t="s">
        <v>266</v>
      </c>
      <c r="H1607" s="58" t="s">
        <v>179</v>
      </c>
      <c r="I1607">
        <v>38000</v>
      </c>
      <c r="J1607">
        <v>38000</v>
      </c>
      <c r="K1607" s="58" t="s">
        <v>185</v>
      </c>
      <c r="L1607" s="74">
        <v>12.75</v>
      </c>
      <c r="M1607" s="85">
        <v>13</v>
      </c>
      <c r="N1607" s="74">
        <v>0.61499999999999999</v>
      </c>
      <c r="O1607">
        <v>3</v>
      </c>
      <c r="P1607" s="84">
        <v>0.61499999999999999</v>
      </c>
      <c r="Q1607" s="86">
        <v>4.2</v>
      </c>
      <c r="R1607" s="85">
        <v>4.2</v>
      </c>
      <c r="S1607" s="87">
        <v>1545240</v>
      </c>
      <c r="T1607" s="1">
        <v>1</v>
      </c>
      <c r="U1607" s="88">
        <v>367914.28571428568</v>
      </c>
      <c r="V1607" s="59">
        <v>2.7180243845616214</v>
      </c>
      <c r="X1607" s="98">
        <v>12.600000000000001</v>
      </c>
      <c r="Y1607" s="97">
        <v>116.63095238095237</v>
      </c>
    </row>
    <row r="1608" spans="1:25">
      <c r="A1608" s="58">
        <v>1610</v>
      </c>
      <c r="B1608" s="58">
        <v>1610</v>
      </c>
      <c r="C1608" s="58" t="s">
        <v>2377</v>
      </c>
      <c r="D1608" s="58" t="s">
        <v>176</v>
      </c>
      <c r="E1608" s="58" t="s">
        <v>176</v>
      </c>
      <c r="F1608" s="58" t="s">
        <v>265</v>
      </c>
      <c r="G1608" s="58" t="s">
        <v>266</v>
      </c>
      <c r="H1608" s="58" t="s">
        <v>179</v>
      </c>
      <c r="I1608">
        <v>38000</v>
      </c>
      <c r="J1608">
        <v>38000</v>
      </c>
      <c r="K1608" s="58" t="s">
        <v>185</v>
      </c>
      <c r="L1608" s="74">
        <v>9.8140000000000001</v>
      </c>
      <c r="M1608" s="85">
        <v>10</v>
      </c>
      <c r="N1608" s="74">
        <v>0.85799999999999998</v>
      </c>
      <c r="O1608">
        <v>3</v>
      </c>
      <c r="P1608" s="84">
        <v>0.85799999999999998</v>
      </c>
      <c r="Q1608" s="86">
        <v>4.2</v>
      </c>
      <c r="R1608" s="85">
        <v>4.2</v>
      </c>
      <c r="S1608" s="87">
        <v>1387140</v>
      </c>
      <c r="T1608" s="1">
        <v>1</v>
      </c>
      <c r="U1608" s="88">
        <v>330271.42857142858</v>
      </c>
      <c r="V1608" s="59">
        <v>3.0278126216531858</v>
      </c>
      <c r="X1608" s="98">
        <v>4.2</v>
      </c>
      <c r="Y1608" s="97">
        <v>367.91428571428571</v>
      </c>
    </row>
    <row r="1609" spans="1:25">
      <c r="A1609" s="58">
        <v>1611</v>
      </c>
      <c r="B1609" s="58">
        <v>1611</v>
      </c>
      <c r="C1609" s="58" t="s">
        <v>2378</v>
      </c>
      <c r="D1609" s="58" t="s">
        <v>176</v>
      </c>
      <c r="E1609" s="58" t="s">
        <v>176</v>
      </c>
      <c r="F1609" s="58" t="s">
        <v>265</v>
      </c>
      <c r="G1609" s="58" t="s">
        <v>266</v>
      </c>
      <c r="H1609" s="58" t="s">
        <v>179</v>
      </c>
      <c r="I1609">
        <v>38000</v>
      </c>
      <c r="J1609">
        <v>38000</v>
      </c>
      <c r="K1609" s="58" t="s">
        <v>185</v>
      </c>
      <c r="L1609" s="74">
        <v>12.334</v>
      </c>
      <c r="M1609" s="85">
        <v>13</v>
      </c>
      <c r="N1609" s="74">
        <v>0.33700000000000002</v>
      </c>
      <c r="O1609">
        <v>3</v>
      </c>
      <c r="P1609" s="84">
        <v>0.33700000000000002</v>
      </c>
      <c r="Q1609" s="86">
        <v>4.2</v>
      </c>
      <c r="R1609" s="85">
        <v>4.2</v>
      </c>
      <c r="S1609" s="87">
        <v>1545240</v>
      </c>
      <c r="T1609" s="1">
        <v>1</v>
      </c>
      <c r="U1609" s="88">
        <v>367914.28571428568</v>
      </c>
      <c r="V1609" s="59">
        <v>2.7180243845616214</v>
      </c>
      <c r="X1609" s="98">
        <v>4.2</v>
      </c>
      <c r="Y1609" s="97">
        <v>330.2714285714286</v>
      </c>
    </row>
    <row r="1610" spans="1:25">
      <c r="A1610" s="58">
        <v>1612</v>
      </c>
      <c r="B1610" s="58">
        <v>1612</v>
      </c>
      <c r="C1610" s="58" t="s">
        <v>2379</v>
      </c>
      <c r="D1610" s="58" t="s">
        <v>176</v>
      </c>
      <c r="E1610" s="58" t="s">
        <v>176</v>
      </c>
      <c r="F1610" s="58" t="s">
        <v>265</v>
      </c>
      <c r="G1610" s="58" t="s">
        <v>266</v>
      </c>
      <c r="H1610" s="58" t="s">
        <v>179</v>
      </c>
      <c r="I1610">
        <v>38000</v>
      </c>
      <c r="J1610">
        <v>38000</v>
      </c>
      <c r="K1610" s="58" t="s">
        <v>185</v>
      </c>
      <c r="L1610" s="74">
        <v>16.18</v>
      </c>
      <c r="M1610" s="85">
        <v>17</v>
      </c>
      <c r="N1610" s="74">
        <v>2.2770000000000001</v>
      </c>
      <c r="O1610">
        <v>3</v>
      </c>
      <c r="P1610" s="84">
        <v>1.7077500000000001</v>
      </c>
      <c r="Q1610" s="86">
        <v>8.4</v>
      </c>
      <c r="R1610" s="85">
        <v>8.4</v>
      </c>
      <c r="S1610" s="87">
        <v>1801400</v>
      </c>
      <c r="T1610" s="1">
        <v>2</v>
      </c>
      <c r="U1610" s="88">
        <v>214452.38095238095</v>
      </c>
      <c r="V1610" s="59">
        <v>4.6630398578883092</v>
      </c>
      <c r="X1610" s="98">
        <v>4.2</v>
      </c>
      <c r="Y1610" s="97">
        <v>367.91428571428571</v>
      </c>
    </row>
    <row r="1611" spans="1:25">
      <c r="A1611" s="58">
        <v>1613</v>
      </c>
      <c r="B1611" s="58">
        <v>1613</v>
      </c>
      <c r="C1611" s="58" t="s">
        <v>2380</v>
      </c>
      <c r="D1611" s="58" t="s">
        <v>176</v>
      </c>
      <c r="E1611" s="58" t="s">
        <v>176</v>
      </c>
      <c r="F1611" s="58" t="s">
        <v>262</v>
      </c>
      <c r="G1611" s="58" t="s">
        <v>263</v>
      </c>
      <c r="H1611" s="58" t="s">
        <v>179</v>
      </c>
      <c r="I1611">
        <v>38000</v>
      </c>
      <c r="J1611" s="58" t="s">
        <v>185</v>
      </c>
      <c r="K1611">
        <v>38000</v>
      </c>
      <c r="L1611" s="74">
        <v>17.927</v>
      </c>
      <c r="M1611" s="85">
        <v>18</v>
      </c>
      <c r="N1611" s="74">
        <v>1.7250000000000001</v>
      </c>
      <c r="O1611">
        <v>3</v>
      </c>
      <c r="P1611" s="84">
        <v>1.2937500000000002</v>
      </c>
      <c r="Q1611" s="86">
        <v>8.4</v>
      </c>
      <c r="R1611" s="85">
        <v>8.4</v>
      </c>
      <c r="S1611" s="87">
        <v>1854100</v>
      </c>
      <c r="T1611" s="1">
        <v>2</v>
      </c>
      <c r="U1611" s="88">
        <v>220726.19047619047</v>
      </c>
      <c r="V1611" s="59">
        <v>4.5304999730327387</v>
      </c>
      <c r="X1611" s="98">
        <v>8.4</v>
      </c>
      <c r="Y1611" s="97">
        <v>214.45238095238096</v>
      </c>
    </row>
    <row r="1612" spans="1:25">
      <c r="A1612" s="58">
        <v>1614</v>
      </c>
      <c r="B1612" s="58">
        <v>1614</v>
      </c>
      <c r="C1612" s="58" t="s">
        <v>2381</v>
      </c>
      <c r="D1612" s="58" t="s">
        <v>176</v>
      </c>
      <c r="E1612" s="58" t="s">
        <v>176</v>
      </c>
      <c r="F1612" s="58" t="s">
        <v>262</v>
      </c>
      <c r="G1612" s="58" t="s">
        <v>263</v>
      </c>
      <c r="H1612" s="58" t="s">
        <v>179</v>
      </c>
      <c r="I1612">
        <v>38000</v>
      </c>
      <c r="J1612" s="58" t="s">
        <v>185</v>
      </c>
      <c r="K1612">
        <v>38000</v>
      </c>
      <c r="L1612" s="74">
        <v>17.832000000000001</v>
      </c>
      <c r="M1612" s="85">
        <v>18</v>
      </c>
      <c r="N1612" s="74">
        <v>0.48199999999999998</v>
      </c>
      <c r="O1612">
        <v>3</v>
      </c>
      <c r="P1612" s="84">
        <v>0.48199999999999998</v>
      </c>
      <c r="Q1612" s="86">
        <v>4.2</v>
      </c>
      <c r="R1612" s="85">
        <v>4.2</v>
      </c>
      <c r="S1612" s="87">
        <v>1808740</v>
      </c>
      <c r="T1612" s="1">
        <v>1</v>
      </c>
      <c r="U1612" s="88">
        <v>430652.38095238095</v>
      </c>
      <c r="V1612" s="59">
        <v>2.3220584495284009</v>
      </c>
      <c r="X1612" s="98">
        <v>8.4</v>
      </c>
      <c r="Y1612" s="97">
        <v>220.72619047619045</v>
      </c>
    </row>
    <row r="1613" spans="1:25">
      <c r="A1613" s="58">
        <v>1615</v>
      </c>
      <c r="B1613" s="58">
        <v>1615</v>
      </c>
      <c r="C1613" s="58" t="s">
        <v>2382</v>
      </c>
      <c r="D1613" s="58" t="s">
        <v>176</v>
      </c>
      <c r="E1613" s="58" t="s">
        <v>176</v>
      </c>
      <c r="F1613" s="58" t="s">
        <v>265</v>
      </c>
      <c r="G1613" s="58" t="s">
        <v>266</v>
      </c>
      <c r="H1613" s="58" t="s">
        <v>179</v>
      </c>
      <c r="I1613">
        <v>38000</v>
      </c>
      <c r="J1613">
        <v>38000</v>
      </c>
      <c r="K1613" s="58" t="s">
        <v>185</v>
      </c>
      <c r="L1613" s="74">
        <v>16.210999999999999</v>
      </c>
      <c r="M1613" s="85">
        <v>17</v>
      </c>
      <c r="N1613" s="74">
        <v>0.97599999999999998</v>
      </c>
      <c r="O1613">
        <v>3</v>
      </c>
      <c r="P1613" s="84">
        <v>0.97599999999999998</v>
      </c>
      <c r="Q1613" s="86">
        <v>4.2</v>
      </c>
      <c r="R1613" s="85">
        <v>4.2</v>
      </c>
      <c r="S1613" s="87">
        <v>1756040</v>
      </c>
      <c r="T1613" s="1">
        <v>1</v>
      </c>
      <c r="U1613" s="88">
        <v>418104.76190476189</v>
      </c>
      <c r="V1613" s="59">
        <v>2.3917450627548349</v>
      </c>
      <c r="X1613" s="98">
        <v>4.2</v>
      </c>
      <c r="Y1613" s="97">
        <v>430.65238095238095</v>
      </c>
    </row>
    <row r="1614" spans="1:25">
      <c r="A1614" s="58">
        <v>1616</v>
      </c>
      <c r="B1614" s="58">
        <v>1616</v>
      </c>
      <c r="C1614" s="58" t="s">
        <v>2383</v>
      </c>
      <c r="D1614" s="58" t="s">
        <v>176</v>
      </c>
      <c r="E1614" s="58" t="s">
        <v>176</v>
      </c>
      <c r="F1614" s="58" t="s">
        <v>262</v>
      </c>
      <c r="G1614" s="58" t="s">
        <v>263</v>
      </c>
      <c r="H1614" s="58" t="s">
        <v>179</v>
      </c>
      <c r="I1614">
        <v>38000</v>
      </c>
      <c r="J1614" s="58" t="s">
        <v>185</v>
      </c>
      <c r="K1614">
        <v>38000</v>
      </c>
      <c r="L1614" s="74">
        <v>15.74</v>
      </c>
      <c r="M1614" s="85">
        <v>16</v>
      </c>
      <c r="N1614" s="74">
        <v>2.1560000000000001</v>
      </c>
      <c r="O1614">
        <v>3</v>
      </c>
      <c r="P1614" s="84">
        <v>1.617</v>
      </c>
      <c r="Q1614" s="86">
        <v>8.4</v>
      </c>
      <c r="R1614" s="85">
        <v>8.4</v>
      </c>
      <c r="S1614" s="87">
        <v>1748700</v>
      </c>
      <c r="T1614" s="1">
        <v>2</v>
      </c>
      <c r="U1614" s="88">
        <v>208178.57142857142</v>
      </c>
      <c r="V1614" s="59">
        <v>4.8035683650711958</v>
      </c>
      <c r="X1614" s="98">
        <v>4.2</v>
      </c>
      <c r="Y1614" s="97">
        <v>418.10476190476186</v>
      </c>
    </row>
    <row r="1615" spans="1:25">
      <c r="A1615" s="58">
        <v>1617</v>
      </c>
      <c r="B1615" s="58">
        <v>1617</v>
      </c>
      <c r="C1615" s="58" t="s">
        <v>2384</v>
      </c>
      <c r="D1615" s="58" t="s">
        <v>176</v>
      </c>
      <c r="E1615" s="58" t="s">
        <v>176</v>
      </c>
      <c r="F1615" s="58" t="s">
        <v>262</v>
      </c>
      <c r="G1615" s="58" t="s">
        <v>263</v>
      </c>
      <c r="H1615" s="58" t="s">
        <v>179</v>
      </c>
      <c r="I1615">
        <v>38000</v>
      </c>
      <c r="J1615" s="58" t="s">
        <v>185</v>
      </c>
      <c r="K1615">
        <v>38000</v>
      </c>
      <c r="L1615" s="74">
        <v>12.906000000000001</v>
      </c>
      <c r="M1615" s="85">
        <v>13</v>
      </c>
      <c r="N1615" s="74">
        <v>7.55</v>
      </c>
      <c r="O1615">
        <v>3</v>
      </c>
      <c r="P1615" s="84">
        <v>5.6624999999999996</v>
      </c>
      <c r="Q1615" s="86">
        <v>37.800000000000004</v>
      </c>
      <c r="R1615" s="85">
        <v>37.800000000000004</v>
      </c>
      <c r="S1615" s="87">
        <v>1794170</v>
      </c>
      <c r="T1615" s="1">
        <v>6</v>
      </c>
      <c r="U1615" s="88">
        <v>47464.81481481481</v>
      </c>
      <c r="V1615" s="59">
        <v>21.068237680933247</v>
      </c>
      <c r="X1615" s="98">
        <v>8.4</v>
      </c>
      <c r="Y1615" s="97">
        <v>208.17857142857142</v>
      </c>
    </row>
    <row r="1616" spans="1:25">
      <c r="A1616" s="58">
        <v>1618</v>
      </c>
      <c r="B1616" s="58">
        <v>1618</v>
      </c>
      <c r="C1616" s="58" t="s">
        <v>2385</v>
      </c>
      <c r="D1616" s="58" t="s">
        <v>176</v>
      </c>
      <c r="E1616" s="58" t="s">
        <v>176</v>
      </c>
      <c r="F1616" s="58" t="s">
        <v>262</v>
      </c>
      <c r="G1616" s="58" t="s">
        <v>263</v>
      </c>
      <c r="H1616" s="58" t="s">
        <v>179</v>
      </c>
      <c r="I1616">
        <v>38000</v>
      </c>
      <c r="J1616" s="58" t="s">
        <v>185</v>
      </c>
      <c r="K1616">
        <v>38000</v>
      </c>
      <c r="L1616" s="74">
        <v>12.709</v>
      </c>
      <c r="M1616" s="85">
        <v>13</v>
      </c>
      <c r="N1616" s="74">
        <v>1.7949999999999999</v>
      </c>
      <c r="O1616">
        <v>3</v>
      </c>
      <c r="P1616" s="84">
        <v>1.3462499999999999</v>
      </c>
      <c r="Q1616" s="86">
        <v>8.4</v>
      </c>
      <c r="R1616" s="85">
        <v>8.4</v>
      </c>
      <c r="S1616" s="87">
        <v>1590600</v>
      </c>
      <c r="T1616" s="1">
        <v>2</v>
      </c>
      <c r="U1616" s="88">
        <v>189357.14285714284</v>
      </c>
      <c r="V1616" s="59">
        <v>5.2810260279139944</v>
      </c>
      <c r="X1616" s="98">
        <v>37.800000000000004</v>
      </c>
      <c r="Y1616" s="97">
        <v>47.464814814814808</v>
      </c>
    </row>
    <row r="1617" spans="1:25">
      <c r="A1617" s="58">
        <v>1619</v>
      </c>
      <c r="B1617" s="58">
        <v>1619</v>
      </c>
      <c r="C1617" s="58" t="s">
        <v>2386</v>
      </c>
      <c r="D1617" s="58" t="s">
        <v>176</v>
      </c>
      <c r="E1617" s="58" t="s">
        <v>176</v>
      </c>
      <c r="F1617" s="58" t="s">
        <v>262</v>
      </c>
      <c r="G1617" s="58" t="s">
        <v>263</v>
      </c>
      <c r="H1617" s="58" t="s">
        <v>179</v>
      </c>
      <c r="I1617">
        <v>38000</v>
      </c>
      <c r="J1617" s="58" t="s">
        <v>185</v>
      </c>
      <c r="K1617">
        <v>38000</v>
      </c>
      <c r="L1617" s="74">
        <v>13.119</v>
      </c>
      <c r="M1617" s="85">
        <v>14</v>
      </c>
      <c r="N1617" s="74">
        <v>1.1020000000000001</v>
      </c>
      <c r="O1617">
        <v>3</v>
      </c>
      <c r="P1617" s="84">
        <v>1.1020000000000001</v>
      </c>
      <c r="Q1617" s="86">
        <v>4.2</v>
      </c>
      <c r="R1617" s="85">
        <v>4.2</v>
      </c>
      <c r="S1617" s="87">
        <v>1597940</v>
      </c>
      <c r="T1617" s="1">
        <v>1</v>
      </c>
      <c r="U1617" s="88">
        <v>380461.90476190473</v>
      </c>
      <c r="V1617" s="59">
        <v>2.6283840444572388</v>
      </c>
      <c r="X1617" s="98">
        <v>8.4</v>
      </c>
      <c r="Y1617" s="97">
        <v>189.35714285714283</v>
      </c>
    </row>
    <row r="1618" spans="1:25">
      <c r="A1618" s="58">
        <v>1620</v>
      </c>
      <c r="B1618" s="58">
        <v>1620</v>
      </c>
      <c r="C1618" s="58" t="s">
        <v>2387</v>
      </c>
      <c r="D1618" s="58" t="s">
        <v>176</v>
      </c>
      <c r="E1618" s="58" t="s">
        <v>176</v>
      </c>
      <c r="F1618" s="58" t="s">
        <v>269</v>
      </c>
      <c r="G1618" s="58" t="s">
        <v>270</v>
      </c>
      <c r="H1618" s="58" t="s">
        <v>179</v>
      </c>
      <c r="I1618">
        <v>38000</v>
      </c>
      <c r="J1618">
        <v>38000</v>
      </c>
      <c r="K1618">
        <v>20000</v>
      </c>
      <c r="L1618" s="74">
        <v>15.273999999999999</v>
      </c>
      <c r="M1618" s="85">
        <v>16</v>
      </c>
      <c r="N1618" s="74">
        <v>1.0349999999999999</v>
      </c>
      <c r="O1618">
        <v>3</v>
      </c>
      <c r="P1618" s="84">
        <v>1.0349999999999999</v>
      </c>
      <c r="Q1618" s="86">
        <v>4.2</v>
      </c>
      <c r="R1618" s="85">
        <v>4.2</v>
      </c>
      <c r="S1618" s="87">
        <v>1703340</v>
      </c>
      <c r="T1618" s="1">
        <v>1</v>
      </c>
      <c r="U1618" s="88">
        <v>405557.14285714284</v>
      </c>
      <c r="V1618" s="59">
        <v>2.4657437739969708</v>
      </c>
      <c r="X1618" s="98">
        <v>4.2</v>
      </c>
      <c r="Y1618" s="97">
        <v>380.46190476190475</v>
      </c>
    </row>
    <row r="1619" spans="1:25">
      <c r="A1619" s="58">
        <v>1621</v>
      </c>
      <c r="B1619" s="58">
        <v>1621</v>
      </c>
      <c r="C1619" s="58" t="s">
        <v>2388</v>
      </c>
      <c r="D1619" s="58" t="s">
        <v>176</v>
      </c>
      <c r="E1619" s="58" t="s">
        <v>176</v>
      </c>
      <c r="F1619" s="58" t="s">
        <v>1269</v>
      </c>
      <c r="G1619" s="58" t="s">
        <v>1270</v>
      </c>
      <c r="H1619" s="58" t="s">
        <v>199</v>
      </c>
      <c r="I1619">
        <v>110000</v>
      </c>
      <c r="J1619">
        <v>110000</v>
      </c>
      <c r="K1619">
        <v>38000</v>
      </c>
      <c r="L1619" s="74">
        <v>14.717000000000001</v>
      </c>
      <c r="M1619" s="85">
        <v>15</v>
      </c>
      <c r="N1619" s="74">
        <v>2.7949999999999999</v>
      </c>
      <c r="O1619">
        <v>3</v>
      </c>
      <c r="P1619" s="84">
        <v>2.0962499999999999</v>
      </c>
      <c r="Q1619" s="86">
        <v>12.600000000000001</v>
      </c>
      <c r="R1619" s="85">
        <v>12.600000000000001</v>
      </c>
      <c r="S1619" s="87">
        <v>2206970</v>
      </c>
      <c r="T1619" s="1">
        <v>7</v>
      </c>
      <c r="U1619" s="88">
        <v>175156.34920634917</v>
      </c>
      <c r="V1619" s="59">
        <v>5.7091849911870129</v>
      </c>
      <c r="X1619" s="98">
        <v>4.2</v>
      </c>
      <c r="Y1619" s="97">
        <v>405.55714285714282</v>
      </c>
    </row>
    <row r="1620" spans="1:25">
      <c r="A1620" s="58">
        <v>1622</v>
      </c>
      <c r="B1620" s="58">
        <v>1622</v>
      </c>
      <c r="C1620" s="58" t="s">
        <v>2389</v>
      </c>
      <c r="D1620" s="58" t="s">
        <v>176</v>
      </c>
      <c r="E1620" s="58" t="s">
        <v>176</v>
      </c>
      <c r="F1620" s="58" t="s">
        <v>262</v>
      </c>
      <c r="G1620" s="58" t="s">
        <v>263</v>
      </c>
      <c r="H1620" s="58" t="s">
        <v>179</v>
      </c>
      <c r="I1620">
        <v>38000</v>
      </c>
      <c r="J1620" s="58" t="s">
        <v>185</v>
      </c>
      <c r="K1620">
        <v>38000</v>
      </c>
      <c r="L1620" s="74">
        <v>13.176</v>
      </c>
      <c r="M1620" s="85">
        <v>14</v>
      </c>
      <c r="N1620" s="74">
        <v>0.502</v>
      </c>
      <c r="O1620">
        <v>3</v>
      </c>
      <c r="P1620" s="84">
        <v>0.502</v>
      </c>
      <c r="Q1620" s="86">
        <v>4.2</v>
      </c>
      <c r="R1620" s="85">
        <v>4.2</v>
      </c>
      <c r="S1620" s="87">
        <v>1597940</v>
      </c>
      <c r="T1620" s="1">
        <v>1</v>
      </c>
      <c r="U1620" s="88">
        <v>380461.90476190473</v>
      </c>
      <c r="V1620" s="59">
        <v>2.6283840444572388</v>
      </c>
      <c r="X1620" s="98">
        <v>12.600000000000001</v>
      </c>
      <c r="Y1620" s="97">
        <v>175.15634920634918</v>
      </c>
    </row>
    <row r="1621" spans="1:25">
      <c r="A1621" s="58">
        <v>1623</v>
      </c>
      <c r="B1621" s="58">
        <v>1623</v>
      </c>
      <c r="C1621" s="58" t="s">
        <v>2390</v>
      </c>
      <c r="D1621" s="58" t="s">
        <v>176</v>
      </c>
      <c r="E1621" s="58" t="s">
        <v>176</v>
      </c>
      <c r="F1621" s="58" t="s">
        <v>262</v>
      </c>
      <c r="G1621" s="58" t="s">
        <v>263</v>
      </c>
      <c r="H1621" s="58" t="s">
        <v>179</v>
      </c>
      <c r="I1621">
        <v>38000</v>
      </c>
      <c r="J1621" s="58" t="s">
        <v>185</v>
      </c>
      <c r="K1621">
        <v>38000</v>
      </c>
      <c r="L1621" s="74">
        <v>12.147</v>
      </c>
      <c r="M1621" s="85">
        <v>13</v>
      </c>
      <c r="N1621" s="74">
        <v>8.3629999999999995</v>
      </c>
      <c r="O1621">
        <v>3</v>
      </c>
      <c r="P1621" s="84">
        <v>6.2722499999999997</v>
      </c>
      <c r="Q1621" s="86">
        <v>42</v>
      </c>
      <c r="R1621" s="85">
        <v>42</v>
      </c>
      <c r="S1621" s="87">
        <v>1794170</v>
      </c>
      <c r="T1621" s="1">
        <v>6</v>
      </c>
      <c r="U1621" s="88">
        <v>42718.333333333336</v>
      </c>
      <c r="V1621" s="59">
        <v>23.409152978814717</v>
      </c>
      <c r="X1621" s="98">
        <v>4.2</v>
      </c>
      <c r="Y1621" s="97">
        <v>380.46190476190475</v>
      </c>
    </row>
    <row r="1622" spans="1:25">
      <c r="A1622" s="58">
        <v>1624</v>
      </c>
      <c r="B1622" s="58">
        <v>1624</v>
      </c>
      <c r="C1622" s="58" t="s">
        <v>2391</v>
      </c>
      <c r="D1622" s="58" t="s">
        <v>176</v>
      </c>
      <c r="E1622" s="58" t="s">
        <v>176</v>
      </c>
      <c r="F1622" s="58" t="s">
        <v>262</v>
      </c>
      <c r="G1622" s="58" t="s">
        <v>263</v>
      </c>
      <c r="H1622" s="58" t="s">
        <v>179</v>
      </c>
      <c r="I1622">
        <v>38000</v>
      </c>
      <c r="J1622" s="58" t="s">
        <v>185</v>
      </c>
      <c r="K1622">
        <v>38000</v>
      </c>
      <c r="L1622" s="74">
        <v>10.162000000000001</v>
      </c>
      <c r="M1622" s="85">
        <v>11</v>
      </c>
      <c r="N1622" s="74">
        <v>0.81200000000000006</v>
      </c>
      <c r="O1622">
        <v>3</v>
      </c>
      <c r="P1622" s="84">
        <v>0.81200000000000006</v>
      </c>
      <c r="Q1622" s="86">
        <v>4.2</v>
      </c>
      <c r="R1622" s="85">
        <v>4.2</v>
      </c>
      <c r="S1622" s="87">
        <v>1439840</v>
      </c>
      <c r="T1622" s="1">
        <v>1</v>
      </c>
      <c r="U1622" s="88">
        <v>342819.04761904763</v>
      </c>
      <c r="V1622" s="59">
        <v>2.9169907767529724</v>
      </c>
      <c r="X1622" s="98">
        <v>42</v>
      </c>
      <c r="Y1622" s="97">
        <v>42.718333333333341</v>
      </c>
    </row>
    <row r="1623" spans="1:25">
      <c r="A1623" s="58">
        <v>1625</v>
      </c>
      <c r="B1623" s="58">
        <v>1625</v>
      </c>
      <c r="C1623" s="58" t="s">
        <v>2392</v>
      </c>
      <c r="D1623" s="58" t="s">
        <v>176</v>
      </c>
      <c r="E1623" s="58" t="s">
        <v>176</v>
      </c>
      <c r="F1623" s="58" t="s">
        <v>262</v>
      </c>
      <c r="G1623" s="58" t="s">
        <v>263</v>
      </c>
      <c r="H1623" s="58" t="s">
        <v>179</v>
      </c>
      <c r="I1623">
        <v>38000</v>
      </c>
      <c r="J1623" s="58" t="s">
        <v>185</v>
      </c>
      <c r="K1623">
        <v>38000</v>
      </c>
      <c r="L1623" s="74">
        <v>9.9510000000000005</v>
      </c>
      <c r="M1623" s="85">
        <v>10</v>
      </c>
      <c r="N1623" s="74">
        <v>2.419</v>
      </c>
      <c r="O1623">
        <v>3</v>
      </c>
      <c r="P1623" s="84">
        <v>1.8142499999999999</v>
      </c>
      <c r="Q1623" s="86">
        <v>12.600000000000001</v>
      </c>
      <c r="R1623" s="85">
        <v>12.600000000000001</v>
      </c>
      <c r="S1623" s="87">
        <v>1469550</v>
      </c>
      <c r="T1623" s="1">
        <v>3</v>
      </c>
      <c r="U1623" s="88">
        <v>116630.95238095237</v>
      </c>
      <c r="V1623" s="59">
        <v>8.5740532816168233</v>
      </c>
      <c r="X1623" s="98">
        <v>4.2</v>
      </c>
      <c r="Y1623" s="97">
        <v>342.81904761904764</v>
      </c>
    </row>
    <row r="1624" spans="1:25">
      <c r="A1624" s="58">
        <v>1626</v>
      </c>
      <c r="B1624" s="58">
        <v>1626</v>
      </c>
      <c r="C1624" s="58" t="s">
        <v>2393</v>
      </c>
      <c r="D1624" s="58" t="s">
        <v>176</v>
      </c>
      <c r="E1624" s="58" t="s">
        <v>176</v>
      </c>
      <c r="F1624" s="58" t="s">
        <v>262</v>
      </c>
      <c r="G1624" s="58" t="s">
        <v>263</v>
      </c>
      <c r="H1624" s="58" t="s">
        <v>179</v>
      </c>
      <c r="I1624">
        <v>38000</v>
      </c>
      <c r="J1624" s="58" t="s">
        <v>185</v>
      </c>
      <c r="K1624">
        <v>38000</v>
      </c>
      <c r="L1624" s="74">
        <v>9.19</v>
      </c>
      <c r="M1624" s="85">
        <v>10</v>
      </c>
      <c r="N1624" s="74">
        <v>1.2190000000000001</v>
      </c>
      <c r="O1624">
        <v>3</v>
      </c>
      <c r="P1624" s="84">
        <v>0.91425000000000001</v>
      </c>
      <c r="Q1624" s="86">
        <v>4.2</v>
      </c>
      <c r="R1624" s="85">
        <v>4.2</v>
      </c>
      <c r="S1624" s="87">
        <v>1387140</v>
      </c>
      <c r="T1624" s="1">
        <v>1</v>
      </c>
      <c r="U1624" s="88">
        <v>330271.42857142858</v>
      </c>
      <c r="V1624" s="59">
        <v>3.0278126216531858</v>
      </c>
      <c r="X1624" s="98">
        <v>12.600000000000001</v>
      </c>
      <c r="Y1624" s="97">
        <v>116.63095238095237</v>
      </c>
    </row>
    <row r="1625" spans="1:25">
      <c r="A1625" s="58">
        <v>1627</v>
      </c>
      <c r="B1625" s="58">
        <v>1627</v>
      </c>
      <c r="C1625" s="58" t="s">
        <v>2394</v>
      </c>
      <c r="D1625" s="58" t="s">
        <v>176</v>
      </c>
      <c r="E1625" s="58" t="s">
        <v>176</v>
      </c>
      <c r="F1625" s="58" t="s">
        <v>262</v>
      </c>
      <c r="G1625" s="58" t="s">
        <v>263</v>
      </c>
      <c r="H1625" s="58" t="s">
        <v>179</v>
      </c>
      <c r="I1625">
        <v>38000</v>
      </c>
      <c r="J1625" s="58" t="s">
        <v>185</v>
      </c>
      <c r="K1625">
        <v>38000</v>
      </c>
      <c r="L1625" s="74">
        <v>10.49</v>
      </c>
      <c r="M1625" s="85">
        <v>11</v>
      </c>
      <c r="N1625" s="74">
        <v>5.2279999999999998</v>
      </c>
      <c r="O1625">
        <v>3</v>
      </c>
      <c r="P1625" s="84">
        <v>3.9209999999999998</v>
      </c>
      <c r="Q1625" s="86">
        <v>25.200000000000003</v>
      </c>
      <c r="R1625" s="85">
        <v>25.200000000000003</v>
      </c>
      <c r="S1625" s="87">
        <v>1324920</v>
      </c>
      <c r="T1625" s="1">
        <v>5</v>
      </c>
      <c r="U1625" s="88">
        <v>52576.190476190473</v>
      </c>
      <c r="V1625" s="59">
        <v>19.02001630287112</v>
      </c>
      <c r="X1625" s="98">
        <v>4.2</v>
      </c>
      <c r="Y1625" s="97">
        <v>330.2714285714286</v>
      </c>
    </row>
    <row r="1626" spans="1:25">
      <c r="A1626" s="58">
        <v>1628</v>
      </c>
      <c r="B1626" s="58">
        <v>1628</v>
      </c>
      <c r="C1626" s="58" t="s">
        <v>2395</v>
      </c>
      <c r="D1626" s="58" t="s">
        <v>176</v>
      </c>
      <c r="E1626" s="58" t="s">
        <v>176</v>
      </c>
      <c r="F1626" s="58" t="s">
        <v>564</v>
      </c>
      <c r="G1626" s="58" t="s">
        <v>565</v>
      </c>
      <c r="H1626" s="58" t="s">
        <v>199</v>
      </c>
      <c r="I1626">
        <v>110000</v>
      </c>
      <c r="L1626" s="74">
        <v>7.5579999999999998</v>
      </c>
      <c r="M1626" s="85">
        <v>8</v>
      </c>
      <c r="N1626" s="74">
        <v>2.8159999999999998</v>
      </c>
      <c r="O1626">
        <v>3</v>
      </c>
      <c r="P1626" s="84">
        <v>2.1120000000000001</v>
      </c>
      <c r="Q1626" s="86">
        <v>12.600000000000001</v>
      </c>
      <c r="R1626" s="85">
        <v>12.600000000000001</v>
      </c>
      <c r="S1626" s="87">
        <v>1838070</v>
      </c>
      <c r="T1626" s="1">
        <v>7</v>
      </c>
      <c r="U1626" s="88">
        <v>145878.57142857142</v>
      </c>
      <c r="V1626" s="59">
        <v>6.8550164030749654</v>
      </c>
      <c r="X1626" s="98">
        <v>25.200000000000003</v>
      </c>
      <c r="Y1626" s="97">
        <v>52.576190476190469</v>
      </c>
    </row>
    <row r="1627" spans="1:25">
      <c r="A1627" s="58">
        <v>1629</v>
      </c>
      <c r="B1627" s="58">
        <v>1629</v>
      </c>
      <c r="C1627" s="58" t="s">
        <v>2396</v>
      </c>
      <c r="D1627" s="58" t="s">
        <v>176</v>
      </c>
      <c r="E1627" s="58" t="s">
        <v>176</v>
      </c>
      <c r="F1627" s="58" t="s">
        <v>285</v>
      </c>
      <c r="G1627" s="58" t="s">
        <v>286</v>
      </c>
      <c r="H1627" s="58" t="s">
        <v>179</v>
      </c>
      <c r="I1627">
        <v>38000</v>
      </c>
      <c r="J1627">
        <v>38000</v>
      </c>
      <c r="K1627">
        <v>20000</v>
      </c>
      <c r="L1627" s="74">
        <v>6.399</v>
      </c>
      <c r="M1627" s="85">
        <v>7</v>
      </c>
      <c r="N1627" s="74">
        <v>1.865</v>
      </c>
      <c r="O1627">
        <v>3</v>
      </c>
      <c r="P1627" s="84">
        <v>1.3987499999999999</v>
      </c>
      <c r="Q1627" s="86">
        <v>8.4</v>
      </c>
      <c r="R1627" s="85">
        <v>8.4</v>
      </c>
      <c r="S1627" s="87">
        <v>839680</v>
      </c>
      <c r="T1627" s="1">
        <v>4</v>
      </c>
      <c r="U1627" s="88">
        <v>99961.904761904763</v>
      </c>
      <c r="V1627" s="59">
        <v>10.003810975609756</v>
      </c>
      <c r="X1627" s="98">
        <v>12.600000000000001</v>
      </c>
      <c r="Y1627" s="97">
        <v>145.87857142857141</v>
      </c>
    </row>
    <row r="1628" spans="1:25">
      <c r="A1628" s="58">
        <v>1630</v>
      </c>
      <c r="B1628" s="58">
        <v>1630</v>
      </c>
      <c r="C1628" s="58" t="s">
        <v>2397</v>
      </c>
      <c r="D1628" s="58" t="s">
        <v>176</v>
      </c>
      <c r="E1628" s="58" t="s">
        <v>176</v>
      </c>
      <c r="F1628" s="58" t="s">
        <v>285</v>
      </c>
      <c r="G1628" s="58" t="s">
        <v>286</v>
      </c>
      <c r="H1628" s="58" t="s">
        <v>179</v>
      </c>
      <c r="I1628">
        <v>38000</v>
      </c>
      <c r="J1628">
        <v>38000</v>
      </c>
      <c r="K1628">
        <v>20000</v>
      </c>
      <c r="L1628" s="74">
        <v>5.5910000000000002</v>
      </c>
      <c r="M1628" s="85">
        <v>6</v>
      </c>
      <c r="N1628" s="74">
        <v>0.91300000000000003</v>
      </c>
      <c r="O1628">
        <v>3</v>
      </c>
      <c r="P1628" s="84">
        <v>0.91300000000000003</v>
      </c>
      <c r="Q1628" s="86">
        <v>4.2</v>
      </c>
      <c r="R1628" s="85">
        <v>4.2</v>
      </c>
      <c r="S1628" s="87">
        <v>769410</v>
      </c>
      <c r="T1628" s="1">
        <v>4</v>
      </c>
      <c r="U1628" s="88">
        <v>183192.85714285713</v>
      </c>
      <c r="V1628" s="59">
        <v>5.4587281163488903</v>
      </c>
      <c r="X1628" s="98">
        <v>8.4</v>
      </c>
      <c r="Y1628" s="97">
        <v>99.961904761904762</v>
      </c>
    </row>
    <row r="1629" spans="1:25">
      <c r="A1629" s="58">
        <v>1631</v>
      </c>
      <c r="B1629" s="58">
        <v>1631</v>
      </c>
      <c r="C1629" s="58" t="s">
        <v>2398</v>
      </c>
      <c r="D1629" s="58" t="s">
        <v>176</v>
      </c>
      <c r="E1629" s="58" t="s">
        <v>176</v>
      </c>
      <c r="F1629" s="58" t="s">
        <v>285</v>
      </c>
      <c r="G1629" s="58" t="s">
        <v>286</v>
      </c>
      <c r="H1629" s="58" t="s">
        <v>179</v>
      </c>
      <c r="I1629">
        <v>38000</v>
      </c>
      <c r="J1629">
        <v>38000</v>
      </c>
      <c r="K1629">
        <v>20000</v>
      </c>
      <c r="L1629" s="74">
        <v>6.4269999999999996</v>
      </c>
      <c r="M1629" s="85">
        <v>7</v>
      </c>
      <c r="N1629" s="74">
        <v>2.819</v>
      </c>
      <c r="O1629">
        <v>3</v>
      </c>
      <c r="P1629" s="84">
        <v>2.1142500000000002</v>
      </c>
      <c r="Q1629" s="86">
        <v>12.600000000000001</v>
      </c>
      <c r="R1629" s="85">
        <v>12.600000000000001</v>
      </c>
      <c r="S1629" s="87">
        <v>839680</v>
      </c>
      <c r="T1629" s="1">
        <v>4</v>
      </c>
      <c r="U1629" s="88">
        <v>66641.269841269837</v>
      </c>
      <c r="V1629" s="59">
        <v>15.005716463414636</v>
      </c>
      <c r="X1629" s="98">
        <v>4.2</v>
      </c>
      <c r="Y1629" s="97">
        <v>183.19285714285712</v>
      </c>
    </row>
    <row r="1630" spans="1:25">
      <c r="A1630" s="58">
        <v>1632</v>
      </c>
      <c r="B1630" s="58">
        <v>1632</v>
      </c>
      <c r="C1630" s="58" t="s">
        <v>2399</v>
      </c>
      <c r="D1630" s="58" t="s">
        <v>176</v>
      </c>
      <c r="E1630" s="58" t="s">
        <v>176</v>
      </c>
      <c r="F1630" s="58" t="s">
        <v>265</v>
      </c>
      <c r="G1630" s="58" t="s">
        <v>266</v>
      </c>
      <c r="H1630" s="58" t="s">
        <v>179</v>
      </c>
      <c r="I1630">
        <v>38000</v>
      </c>
      <c r="J1630">
        <v>38000</v>
      </c>
      <c r="K1630" s="58" t="s">
        <v>185</v>
      </c>
      <c r="L1630" s="74">
        <v>4.4889999999999999</v>
      </c>
      <c r="M1630" s="85">
        <v>5</v>
      </c>
      <c r="N1630" s="74">
        <v>1.0660000000000001</v>
      </c>
      <c r="O1630">
        <v>3</v>
      </c>
      <c r="P1630" s="84">
        <v>1.0660000000000001</v>
      </c>
      <c r="Q1630" s="86">
        <v>4.2</v>
      </c>
      <c r="R1630" s="85">
        <v>4.2</v>
      </c>
      <c r="S1630" s="87">
        <v>699140</v>
      </c>
      <c r="T1630" s="1">
        <v>4</v>
      </c>
      <c r="U1630" s="88">
        <v>166461.90476190476</v>
      </c>
      <c r="V1630" s="59">
        <v>6.0073804960379897</v>
      </c>
      <c r="X1630" s="98">
        <v>12.600000000000001</v>
      </c>
      <c r="Y1630" s="97">
        <v>66.641269841269832</v>
      </c>
    </row>
    <row r="1631" spans="1:25">
      <c r="A1631" s="58">
        <v>1633</v>
      </c>
      <c r="B1631" s="58">
        <v>1633</v>
      </c>
      <c r="C1631" s="58" t="s">
        <v>2400</v>
      </c>
      <c r="D1631" s="58" t="s">
        <v>176</v>
      </c>
      <c r="E1631" s="58" t="s">
        <v>176</v>
      </c>
      <c r="F1631" s="58" t="s">
        <v>265</v>
      </c>
      <c r="G1631" s="58" t="s">
        <v>266</v>
      </c>
      <c r="H1631" s="58" t="s">
        <v>179</v>
      </c>
      <c r="I1631">
        <v>38000</v>
      </c>
      <c r="J1631">
        <v>38000</v>
      </c>
      <c r="K1631" s="58" t="s">
        <v>185</v>
      </c>
      <c r="L1631" s="74">
        <v>5.4580000000000002</v>
      </c>
      <c r="M1631" s="85">
        <v>6</v>
      </c>
      <c r="N1631" s="74">
        <v>1.827</v>
      </c>
      <c r="O1631">
        <v>3</v>
      </c>
      <c r="P1631" s="84">
        <v>1.37025</v>
      </c>
      <c r="Q1631" s="86">
        <v>8.4</v>
      </c>
      <c r="R1631" s="85">
        <v>8.4</v>
      </c>
      <c r="S1631" s="87">
        <v>769410</v>
      </c>
      <c r="T1631" s="1">
        <v>4</v>
      </c>
      <c r="U1631" s="88">
        <v>91596.428571428565</v>
      </c>
      <c r="V1631" s="59">
        <v>10.917456232697781</v>
      </c>
      <c r="X1631" s="98">
        <v>4.2</v>
      </c>
      <c r="Y1631" s="97">
        <v>166.46190476190475</v>
      </c>
    </row>
    <row r="1632" spans="1:25">
      <c r="A1632" s="58">
        <v>1634</v>
      </c>
      <c r="B1632" s="58">
        <v>1634</v>
      </c>
      <c r="C1632" s="58" t="s">
        <v>2401</v>
      </c>
      <c r="D1632" s="58" t="s">
        <v>176</v>
      </c>
      <c r="E1632" s="58" t="s">
        <v>176</v>
      </c>
      <c r="F1632" s="58" t="s">
        <v>2402</v>
      </c>
      <c r="G1632" s="58" t="s">
        <v>2403</v>
      </c>
      <c r="H1632" s="58" t="s">
        <v>179</v>
      </c>
      <c r="I1632">
        <v>38000</v>
      </c>
      <c r="J1632">
        <v>38000</v>
      </c>
      <c r="K1632">
        <v>10000</v>
      </c>
      <c r="L1632" s="74">
        <v>7.96</v>
      </c>
      <c r="M1632" s="85">
        <v>8</v>
      </c>
      <c r="N1632" s="74">
        <v>2.69</v>
      </c>
      <c r="O1632">
        <v>3</v>
      </c>
      <c r="P1632" s="84">
        <v>2.0175000000000001</v>
      </c>
      <c r="Q1632" s="86">
        <v>12.600000000000001</v>
      </c>
      <c r="R1632" s="85">
        <v>12.600000000000001</v>
      </c>
      <c r="S1632" s="87">
        <v>909950</v>
      </c>
      <c r="T1632" s="1">
        <v>4</v>
      </c>
      <c r="U1632" s="88">
        <v>72218.253968253965</v>
      </c>
      <c r="V1632" s="59">
        <v>13.846914665640972</v>
      </c>
      <c r="X1632" s="98">
        <v>8.4</v>
      </c>
      <c r="Y1632" s="97">
        <v>91.596428571428561</v>
      </c>
    </row>
    <row r="1633" spans="1:25">
      <c r="A1633" s="58">
        <v>1635</v>
      </c>
      <c r="B1633" s="58">
        <v>1635</v>
      </c>
      <c r="C1633" s="58" t="s">
        <v>2404</v>
      </c>
      <c r="D1633" s="58" t="s">
        <v>176</v>
      </c>
      <c r="E1633" s="58" t="s">
        <v>176</v>
      </c>
      <c r="F1633" s="58" t="s">
        <v>265</v>
      </c>
      <c r="G1633" s="58" t="s">
        <v>266</v>
      </c>
      <c r="H1633" s="58" t="s">
        <v>179</v>
      </c>
      <c r="I1633">
        <v>38000</v>
      </c>
      <c r="J1633">
        <v>38000</v>
      </c>
      <c r="K1633" s="58" t="s">
        <v>185</v>
      </c>
      <c r="L1633" s="74">
        <v>4.93</v>
      </c>
      <c r="M1633" s="85">
        <v>5</v>
      </c>
      <c r="N1633" s="74">
        <v>2.3039999999999998</v>
      </c>
      <c r="O1633">
        <v>3</v>
      </c>
      <c r="P1633" s="84">
        <v>1.7279999999999998</v>
      </c>
      <c r="Q1633" s="86">
        <v>8.4</v>
      </c>
      <c r="R1633" s="85">
        <v>8.4</v>
      </c>
      <c r="S1633" s="87">
        <v>699140</v>
      </c>
      <c r="T1633" s="1">
        <v>4</v>
      </c>
      <c r="U1633" s="88">
        <v>83230.952380952382</v>
      </c>
      <c r="V1633" s="59">
        <v>12.014760992075979</v>
      </c>
      <c r="X1633" s="98">
        <v>12.600000000000001</v>
      </c>
      <c r="Y1633" s="97">
        <v>72.218253968253961</v>
      </c>
    </row>
    <row r="1634" spans="1:25">
      <c r="A1634" s="58">
        <v>1636</v>
      </c>
      <c r="B1634" s="58">
        <v>1636</v>
      </c>
      <c r="C1634" s="58" t="s">
        <v>2405</v>
      </c>
      <c r="D1634" s="58" t="s">
        <v>176</v>
      </c>
      <c r="E1634" s="58" t="s">
        <v>176</v>
      </c>
      <c r="F1634" s="58" t="s">
        <v>265</v>
      </c>
      <c r="G1634" s="58" t="s">
        <v>266</v>
      </c>
      <c r="H1634" s="58" t="s">
        <v>179</v>
      </c>
      <c r="I1634">
        <v>38000</v>
      </c>
      <c r="J1634">
        <v>38000</v>
      </c>
      <c r="K1634" s="58" t="s">
        <v>185</v>
      </c>
      <c r="L1634" s="74">
        <v>14.023999999999999</v>
      </c>
      <c r="M1634" s="85">
        <v>15</v>
      </c>
      <c r="N1634" s="74">
        <v>1.44</v>
      </c>
      <c r="O1634">
        <v>3</v>
      </c>
      <c r="P1634" s="84">
        <v>1.08</v>
      </c>
      <c r="Q1634" s="86">
        <v>4.2</v>
      </c>
      <c r="R1634" s="85">
        <v>4.2</v>
      </c>
      <c r="S1634" s="87">
        <v>1650640</v>
      </c>
      <c r="T1634" s="1">
        <v>1</v>
      </c>
      <c r="U1634" s="88">
        <v>393009.52380952379</v>
      </c>
      <c r="V1634" s="59">
        <v>2.5444676004458877</v>
      </c>
      <c r="X1634" s="98">
        <v>8.4</v>
      </c>
      <c r="Y1634" s="97">
        <v>83.230952380952374</v>
      </c>
    </row>
    <row r="1635" spans="1:25">
      <c r="A1635" s="58">
        <v>1637</v>
      </c>
      <c r="B1635" s="58">
        <v>1637</v>
      </c>
      <c r="C1635" s="58" t="s">
        <v>2406</v>
      </c>
      <c r="D1635" s="58" t="s">
        <v>176</v>
      </c>
      <c r="E1635" s="58" t="s">
        <v>176</v>
      </c>
      <c r="F1635" s="58" t="s">
        <v>265</v>
      </c>
      <c r="G1635" s="58" t="s">
        <v>266</v>
      </c>
      <c r="H1635" s="58" t="s">
        <v>179</v>
      </c>
      <c r="I1635">
        <v>38000</v>
      </c>
      <c r="J1635">
        <v>38000</v>
      </c>
      <c r="K1635" s="58" t="s">
        <v>185</v>
      </c>
      <c r="L1635" s="74">
        <v>16.667999999999999</v>
      </c>
      <c r="M1635" s="85">
        <v>17</v>
      </c>
      <c r="N1635" s="74">
        <v>2.46</v>
      </c>
      <c r="O1635">
        <v>3</v>
      </c>
      <c r="P1635" s="84">
        <v>1.845</v>
      </c>
      <c r="Q1635" s="86">
        <v>12.600000000000001</v>
      </c>
      <c r="R1635" s="85">
        <v>12.600000000000001</v>
      </c>
      <c r="S1635" s="87">
        <v>1838450</v>
      </c>
      <c r="T1635" s="1">
        <v>3</v>
      </c>
      <c r="U1635" s="88">
        <v>145908.73015873015</v>
      </c>
      <c r="V1635" s="59">
        <v>6.8535994995784506</v>
      </c>
      <c r="X1635" s="98">
        <v>4.2</v>
      </c>
      <c r="Y1635" s="97">
        <v>393.00952380952378</v>
      </c>
    </row>
    <row r="1636" spans="1:25">
      <c r="A1636" s="58">
        <v>1638</v>
      </c>
      <c r="B1636" s="58">
        <v>1638</v>
      </c>
      <c r="C1636" s="58" t="s">
        <v>2407</v>
      </c>
      <c r="D1636" s="58" t="s">
        <v>176</v>
      </c>
      <c r="E1636" s="58" t="s">
        <v>176</v>
      </c>
      <c r="F1636" s="58" t="s">
        <v>262</v>
      </c>
      <c r="G1636" s="58" t="s">
        <v>263</v>
      </c>
      <c r="H1636" s="58" t="s">
        <v>179</v>
      </c>
      <c r="I1636">
        <v>38000</v>
      </c>
      <c r="J1636" s="58" t="s">
        <v>185</v>
      </c>
      <c r="K1636">
        <v>38000</v>
      </c>
      <c r="L1636" s="74">
        <v>15.478</v>
      </c>
      <c r="M1636" s="85">
        <v>16</v>
      </c>
      <c r="N1636" s="74">
        <v>1.1970000000000001</v>
      </c>
      <c r="O1636">
        <v>3</v>
      </c>
      <c r="P1636" s="84">
        <v>1.1970000000000001</v>
      </c>
      <c r="Q1636" s="86">
        <v>4.2</v>
      </c>
      <c r="R1636" s="85">
        <v>4.2</v>
      </c>
      <c r="S1636" s="87">
        <v>1703340</v>
      </c>
      <c r="T1636" s="1">
        <v>1</v>
      </c>
      <c r="U1636" s="88">
        <v>405557.14285714284</v>
      </c>
      <c r="V1636" s="59">
        <v>2.4657437739969708</v>
      </c>
      <c r="X1636" s="98">
        <v>12.600000000000001</v>
      </c>
      <c r="Y1636" s="97">
        <v>145.90873015873015</v>
      </c>
    </row>
    <row r="1637" spans="1:25">
      <c r="A1637" s="58">
        <v>1639</v>
      </c>
      <c r="B1637" s="58">
        <v>1639</v>
      </c>
      <c r="C1637" s="58" t="s">
        <v>2408</v>
      </c>
      <c r="D1637" s="58" t="s">
        <v>176</v>
      </c>
      <c r="E1637" s="58" t="s">
        <v>176</v>
      </c>
      <c r="F1637" s="58" t="s">
        <v>262</v>
      </c>
      <c r="G1637" s="58" t="s">
        <v>263</v>
      </c>
      <c r="H1637" s="58" t="s">
        <v>179</v>
      </c>
      <c r="I1637">
        <v>38000</v>
      </c>
      <c r="J1637" s="58" t="s">
        <v>185</v>
      </c>
      <c r="K1637">
        <v>38000</v>
      </c>
      <c r="L1637" s="74">
        <v>12.103999999999999</v>
      </c>
      <c r="M1637" s="85">
        <v>13</v>
      </c>
      <c r="N1637" s="74">
        <v>4.149</v>
      </c>
      <c r="O1637">
        <v>3</v>
      </c>
      <c r="P1637" s="84">
        <v>3.1117499999999998</v>
      </c>
      <c r="Q1637" s="86">
        <v>21</v>
      </c>
      <c r="R1637" s="85">
        <v>21</v>
      </c>
      <c r="S1637" s="87">
        <v>1261300</v>
      </c>
      <c r="T1637" s="1">
        <v>4</v>
      </c>
      <c r="U1637" s="88">
        <v>60061.904761904763</v>
      </c>
      <c r="V1637" s="59">
        <v>16.649488622849439</v>
      </c>
      <c r="X1637" s="98">
        <v>4.2</v>
      </c>
      <c r="Y1637" s="97">
        <v>405.55714285714282</v>
      </c>
    </row>
    <row r="1638" spans="1:25">
      <c r="A1638" s="58">
        <v>1640</v>
      </c>
      <c r="B1638" s="58">
        <v>1640</v>
      </c>
      <c r="C1638" s="58" t="s">
        <v>2409</v>
      </c>
      <c r="D1638" s="58" t="s">
        <v>176</v>
      </c>
      <c r="E1638" s="58" t="s">
        <v>176</v>
      </c>
      <c r="F1638" s="58" t="s">
        <v>262</v>
      </c>
      <c r="G1638" s="58" t="s">
        <v>263</v>
      </c>
      <c r="H1638" s="58" t="s">
        <v>179</v>
      </c>
      <c r="I1638">
        <v>38000</v>
      </c>
      <c r="J1638" s="58" t="s">
        <v>185</v>
      </c>
      <c r="K1638">
        <v>38000</v>
      </c>
      <c r="L1638" s="74">
        <v>8.3160000000000007</v>
      </c>
      <c r="M1638" s="85">
        <v>9</v>
      </c>
      <c r="N1638" s="74">
        <v>2.383</v>
      </c>
      <c r="O1638">
        <v>3</v>
      </c>
      <c r="P1638" s="84">
        <v>1.78725</v>
      </c>
      <c r="Q1638" s="86">
        <v>12.600000000000001</v>
      </c>
      <c r="R1638" s="85">
        <v>12.600000000000001</v>
      </c>
      <c r="S1638" s="87">
        <v>1416850</v>
      </c>
      <c r="T1638" s="1">
        <v>3</v>
      </c>
      <c r="U1638" s="88">
        <v>112448.41269841269</v>
      </c>
      <c r="V1638" s="59">
        <v>8.8929667925327323</v>
      </c>
      <c r="X1638" s="98">
        <v>21</v>
      </c>
      <c r="Y1638" s="97">
        <v>60.061904761904763</v>
      </c>
    </row>
    <row r="1639" spans="1:25">
      <c r="A1639" s="58">
        <v>1641</v>
      </c>
      <c r="B1639" s="58">
        <v>1641</v>
      </c>
      <c r="C1639" s="58" t="s">
        <v>2410</v>
      </c>
      <c r="D1639" s="58" t="s">
        <v>176</v>
      </c>
      <c r="E1639" s="58" t="s">
        <v>176</v>
      </c>
      <c r="F1639" s="58" t="s">
        <v>262</v>
      </c>
      <c r="G1639" s="58" t="s">
        <v>263</v>
      </c>
      <c r="H1639" s="58" t="s">
        <v>179</v>
      </c>
      <c r="I1639">
        <v>38000</v>
      </c>
      <c r="J1639" s="58" t="s">
        <v>185</v>
      </c>
      <c r="K1639">
        <v>38000</v>
      </c>
      <c r="L1639" s="74">
        <v>10.914999999999999</v>
      </c>
      <c r="M1639" s="85">
        <v>11</v>
      </c>
      <c r="N1639" s="74">
        <v>1.3939999999999999</v>
      </c>
      <c r="O1639">
        <v>3</v>
      </c>
      <c r="P1639" s="84">
        <v>1.0454999999999999</v>
      </c>
      <c r="Q1639" s="86">
        <v>4.2</v>
      </c>
      <c r="R1639" s="85">
        <v>4.2</v>
      </c>
      <c r="S1639" s="87">
        <v>1439840</v>
      </c>
      <c r="T1639" s="1">
        <v>1</v>
      </c>
      <c r="U1639" s="88">
        <v>342819.04761904763</v>
      </c>
      <c r="V1639" s="59">
        <v>2.9169907767529724</v>
      </c>
      <c r="X1639" s="98">
        <v>12.600000000000001</v>
      </c>
      <c r="Y1639" s="97">
        <v>112.44841269841268</v>
      </c>
    </row>
    <row r="1640" spans="1:25">
      <c r="A1640" s="58">
        <v>1642</v>
      </c>
      <c r="B1640" s="58">
        <v>1642</v>
      </c>
      <c r="C1640" s="58" t="s">
        <v>2411</v>
      </c>
      <c r="D1640" s="58" t="s">
        <v>176</v>
      </c>
      <c r="E1640" s="58" t="s">
        <v>176</v>
      </c>
      <c r="F1640" s="58" t="s">
        <v>262</v>
      </c>
      <c r="G1640" s="58" t="s">
        <v>263</v>
      </c>
      <c r="H1640" s="58" t="s">
        <v>179</v>
      </c>
      <c r="I1640">
        <v>38000</v>
      </c>
      <c r="J1640" s="58" t="s">
        <v>185</v>
      </c>
      <c r="K1640">
        <v>38000</v>
      </c>
      <c r="L1640" s="74">
        <v>9.1850000000000005</v>
      </c>
      <c r="M1640" s="85">
        <v>10</v>
      </c>
      <c r="N1640" s="74">
        <v>2.7810000000000001</v>
      </c>
      <c r="O1640">
        <v>3</v>
      </c>
      <c r="P1640" s="84">
        <v>2.08575</v>
      </c>
      <c r="Q1640" s="86">
        <v>12.600000000000001</v>
      </c>
      <c r="R1640" s="85">
        <v>12.600000000000001</v>
      </c>
      <c r="S1640" s="87">
        <v>1469550</v>
      </c>
      <c r="T1640" s="1">
        <v>3</v>
      </c>
      <c r="U1640" s="88">
        <v>116630.95238095237</v>
      </c>
      <c r="V1640" s="59">
        <v>8.5740532816168233</v>
      </c>
      <c r="X1640" s="98">
        <v>4.2</v>
      </c>
      <c r="Y1640" s="97">
        <v>342.81904761904764</v>
      </c>
    </row>
    <row r="1641" spans="1:25">
      <c r="A1641" s="58">
        <v>1643</v>
      </c>
      <c r="B1641" s="58">
        <v>1643</v>
      </c>
      <c r="C1641" s="58" t="s">
        <v>2412</v>
      </c>
      <c r="D1641" s="58" t="s">
        <v>176</v>
      </c>
      <c r="E1641" s="58" t="s">
        <v>176</v>
      </c>
      <c r="F1641" s="58" t="s">
        <v>262</v>
      </c>
      <c r="G1641" s="58" t="s">
        <v>263</v>
      </c>
      <c r="H1641" s="58" t="s">
        <v>179</v>
      </c>
      <c r="I1641">
        <v>38000</v>
      </c>
      <c r="J1641" s="58" t="s">
        <v>185</v>
      </c>
      <c r="K1641">
        <v>38000</v>
      </c>
      <c r="L1641" s="74">
        <v>9.8680000000000003</v>
      </c>
      <c r="M1641" s="85">
        <v>10</v>
      </c>
      <c r="N1641" s="74">
        <v>1.379</v>
      </c>
      <c r="O1641">
        <v>3</v>
      </c>
      <c r="P1641" s="84">
        <v>1.0342500000000001</v>
      </c>
      <c r="Q1641" s="86">
        <v>4.2</v>
      </c>
      <c r="R1641" s="85">
        <v>4.2</v>
      </c>
      <c r="S1641" s="87">
        <v>1387140</v>
      </c>
      <c r="T1641" s="1">
        <v>1</v>
      </c>
      <c r="U1641" s="88">
        <v>330271.42857142858</v>
      </c>
      <c r="V1641" s="59">
        <v>3.0278126216531858</v>
      </c>
      <c r="X1641" s="98">
        <v>12.600000000000001</v>
      </c>
      <c r="Y1641" s="97">
        <v>116.63095238095237</v>
      </c>
    </row>
    <row r="1642" spans="1:25">
      <c r="A1642" s="58">
        <v>1644</v>
      </c>
      <c r="B1642" s="58">
        <v>1644</v>
      </c>
      <c r="C1642" s="58" t="s">
        <v>2413</v>
      </c>
      <c r="D1642" s="58" t="s">
        <v>176</v>
      </c>
      <c r="E1642" s="58" t="s">
        <v>176</v>
      </c>
      <c r="F1642" s="58" t="s">
        <v>262</v>
      </c>
      <c r="G1642" s="58" t="s">
        <v>263</v>
      </c>
      <c r="H1642" s="58" t="s">
        <v>179</v>
      </c>
      <c r="I1642">
        <v>38000</v>
      </c>
      <c r="J1642" s="58" t="s">
        <v>185</v>
      </c>
      <c r="K1642">
        <v>38000</v>
      </c>
      <c r="L1642" s="74">
        <v>7.4539999999999997</v>
      </c>
      <c r="M1642" s="85">
        <v>8</v>
      </c>
      <c r="N1642" s="74">
        <v>0.45100000000000001</v>
      </c>
      <c r="O1642">
        <v>3</v>
      </c>
      <c r="P1642" s="84">
        <v>0.45100000000000001</v>
      </c>
      <c r="Q1642" s="86">
        <v>4.2</v>
      </c>
      <c r="R1642" s="85">
        <v>4.2</v>
      </c>
      <c r="S1642" s="87">
        <v>909950</v>
      </c>
      <c r="T1642" s="1">
        <v>4</v>
      </c>
      <c r="U1642" s="88">
        <v>216654.76190476189</v>
      </c>
      <c r="V1642" s="59">
        <v>4.6156382218803227</v>
      </c>
      <c r="X1642" s="98">
        <v>4.2</v>
      </c>
      <c r="Y1642" s="97">
        <v>330.2714285714286</v>
      </c>
    </row>
    <row r="1643" spans="1:25">
      <c r="A1643" s="58">
        <v>1645</v>
      </c>
      <c r="B1643" s="58">
        <v>1645</v>
      </c>
      <c r="C1643" s="58" t="s">
        <v>2414</v>
      </c>
      <c r="D1643" s="58" t="s">
        <v>176</v>
      </c>
      <c r="E1643" s="58" t="s">
        <v>176</v>
      </c>
      <c r="F1643" s="58" t="s">
        <v>262</v>
      </c>
      <c r="G1643" s="58" t="s">
        <v>263</v>
      </c>
      <c r="H1643" s="58" t="s">
        <v>179</v>
      </c>
      <c r="I1643">
        <v>38000</v>
      </c>
      <c r="J1643" s="58" t="s">
        <v>185</v>
      </c>
      <c r="K1643">
        <v>38000</v>
      </c>
      <c r="L1643" s="74">
        <v>6.4950000000000001</v>
      </c>
      <c r="M1643" s="85">
        <v>7</v>
      </c>
      <c r="N1643" s="74">
        <v>1.2669999999999999</v>
      </c>
      <c r="O1643">
        <v>3</v>
      </c>
      <c r="P1643" s="84">
        <v>0.95024999999999993</v>
      </c>
      <c r="Q1643" s="86">
        <v>4.2</v>
      </c>
      <c r="R1643" s="85">
        <v>4.2</v>
      </c>
      <c r="S1643" s="87">
        <v>839680</v>
      </c>
      <c r="T1643" s="1">
        <v>4</v>
      </c>
      <c r="U1643" s="88">
        <v>199923.80952380953</v>
      </c>
      <c r="V1643" s="59">
        <v>5.0019054878048781</v>
      </c>
      <c r="X1643" s="98">
        <v>4.2</v>
      </c>
      <c r="Y1643" s="97">
        <v>216.6547619047619</v>
      </c>
    </row>
    <row r="1644" spans="1:25">
      <c r="A1644" s="58">
        <v>1646</v>
      </c>
      <c r="B1644" s="58">
        <v>1646</v>
      </c>
      <c r="C1644" s="58" t="s">
        <v>2415</v>
      </c>
      <c r="D1644" s="58" t="s">
        <v>176</v>
      </c>
      <c r="E1644" s="58" t="s">
        <v>176</v>
      </c>
      <c r="F1644" s="58" t="s">
        <v>262</v>
      </c>
      <c r="G1644" s="58" t="s">
        <v>263</v>
      </c>
      <c r="H1644" s="58" t="s">
        <v>179</v>
      </c>
      <c r="I1644">
        <v>38000</v>
      </c>
      <c r="J1644" s="58" t="s">
        <v>185</v>
      </c>
      <c r="K1644">
        <v>38000</v>
      </c>
      <c r="L1644" s="74">
        <v>3.8239999999999998</v>
      </c>
      <c r="M1644" s="85">
        <v>4</v>
      </c>
      <c r="N1644" s="74">
        <v>2.0880000000000001</v>
      </c>
      <c r="O1644">
        <v>3</v>
      </c>
      <c r="P1644" s="84">
        <v>1.5660000000000001</v>
      </c>
      <c r="Q1644" s="86">
        <v>8.4</v>
      </c>
      <c r="R1644" s="85">
        <v>8.4</v>
      </c>
      <c r="S1644" s="87">
        <v>628870</v>
      </c>
      <c r="T1644" s="1">
        <v>4</v>
      </c>
      <c r="U1644" s="88">
        <v>74865.476190476184</v>
      </c>
      <c r="V1644" s="59">
        <v>13.357291650102566</v>
      </c>
      <c r="X1644" s="98">
        <v>4.2</v>
      </c>
      <c r="Y1644" s="97">
        <v>199.92380952380952</v>
      </c>
    </row>
    <row r="1645" spans="1:25">
      <c r="A1645" s="58">
        <v>1647</v>
      </c>
      <c r="B1645" s="58">
        <v>1647</v>
      </c>
      <c r="C1645" s="58" t="s">
        <v>2416</v>
      </c>
      <c r="D1645" s="58" t="s">
        <v>176</v>
      </c>
      <c r="E1645" s="58" t="s">
        <v>176</v>
      </c>
      <c r="F1645" s="58" t="s">
        <v>262</v>
      </c>
      <c r="G1645" s="58" t="s">
        <v>263</v>
      </c>
      <c r="H1645" s="58" t="s">
        <v>179</v>
      </c>
      <c r="I1645">
        <v>38000</v>
      </c>
      <c r="J1645" s="58" t="s">
        <v>185</v>
      </c>
      <c r="K1645">
        <v>38000</v>
      </c>
      <c r="L1645" s="74">
        <v>4.359</v>
      </c>
      <c r="M1645" s="85">
        <v>5</v>
      </c>
      <c r="N1645" s="74">
        <v>2.1190000000000002</v>
      </c>
      <c r="O1645">
        <v>3</v>
      </c>
      <c r="P1645" s="84">
        <v>1.5892500000000003</v>
      </c>
      <c r="Q1645" s="86">
        <v>8.4</v>
      </c>
      <c r="R1645" s="85">
        <v>8.4</v>
      </c>
      <c r="S1645" s="87">
        <v>699140</v>
      </c>
      <c r="T1645" s="1">
        <v>4</v>
      </c>
      <c r="U1645" s="88">
        <v>83230.952380952382</v>
      </c>
      <c r="V1645" s="59">
        <v>12.014760992075979</v>
      </c>
      <c r="X1645" s="98">
        <v>8.4</v>
      </c>
      <c r="Y1645" s="97">
        <v>74.865476190476173</v>
      </c>
    </row>
    <row r="1646" spans="1:25">
      <c r="A1646" s="58">
        <v>1648</v>
      </c>
      <c r="B1646" s="58">
        <v>1648</v>
      </c>
      <c r="C1646" s="58" t="s">
        <v>2417</v>
      </c>
      <c r="D1646" s="58" t="s">
        <v>176</v>
      </c>
      <c r="E1646" s="58" t="s">
        <v>176</v>
      </c>
      <c r="F1646" s="58" t="s">
        <v>262</v>
      </c>
      <c r="G1646" s="58" t="s">
        <v>263</v>
      </c>
      <c r="H1646" s="58" t="s">
        <v>179</v>
      </c>
      <c r="I1646">
        <v>38000</v>
      </c>
      <c r="J1646" s="58" t="s">
        <v>185</v>
      </c>
      <c r="K1646">
        <v>38000</v>
      </c>
      <c r="L1646" s="74">
        <v>1.577</v>
      </c>
      <c r="M1646" s="85">
        <v>2</v>
      </c>
      <c r="N1646" s="74">
        <v>1.2649999999999999</v>
      </c>
      <c r="O1646">
        <v>3</v>
      </c>
      <c r="P1646" s="84">
        <v>0.94874999999999998</v>
      </c>
      <c r="Q1646" s="86">
        <v>4.2</v>
      </c>
      <c r="R1646" s="85">
        <v>4.2</v>
      </c>
      <c r="S1646" s="87">
        <v>488330</v>
      </c>
      <c r="T1646" s="1">
        <v>4</v>
      </c>
      <c r="U1646" s="88">
        <v>116269.04761904762</v>
      </c>
      <c r="V1646" s="59">
        <v>8.6007413019884087</v>
      </c>
      <c r="X1646" s="98">
        <v>8.4</v>
      </c>
      <c r="Y1646" s="97">
        <v>83.230952380952374</v>
      </c>
    </row>
    <row r="1647" spans="1:25">
      <c r="A1647" s="58">
        <v>1649</v>
      </c>
      <c r="B1647" s="58">
        <v>1649</v>
      </c>
      <c r="C1647" s="58" t="s">
        <v>2418</v>
      </c>
      <c r="D1647" s="58" t="s">
        <v>215</v>
      </c>
      <c r="E1647" s="58" t="s">
        <v>215</v>
      </c>
      <c r="F1647" s="58" t="s">
        <v>406</v>
      </c>
      <c r="G1647" s="58" t="s">
        <v>407</v>
      </c>
      <c r="H1647" s="58" t="s">
        <v>179</v>
      </c>
      <c r="I1647">
        <v>38000</v>
      </c>
      <c r="J1647" s="58" t="s">
        <v>185</v>
      </c>
      <c r="K1647">
        <v>38000</v>
      </c>
      <c r="L1647" s="74">
        <v>7.1310000000000002</v>
      </c>
      <c r="M1647" s="85">
        <v>8</v>
      </c>
      <c r="N1647" s="74">
        <v>0.59499999999999997</v>
      </c>
      <c r="O1647">
        <v>3</v>
      </c>
      <c r="P1647" s="84">
        <v>0.59499999999999997</v>
      </c>
      <c r="Q1647" s="86">
        <v>4.2</v>
      </c>
      <c r="R1647" s="85">
        <v>4.2</v>
      </c>
      <c r="S1647" s="87">
        <v>909950</v>
      </c>
      <c r="T1647" s="1">
        <v>4</v>
      </c>
      <c r="U1647" s="88">
        <v>216654.76190476189</v>
      </c>
      <c r="V1647" s="59">
        <v>4.6156382218803227</v>
      </c>
      <c r="X1647" s="98">
        <v>4.2</v>
      </c>
      <c r="Y1647" s="97">
        <v>116.26904761904763</v>
      </c>
    </row>
    <row r="1648" spans="1:25">
      <c r="A1648" s="58">
        <v>1650</v>
      </c>
      <c r="B1648" s="58">
        <v>1650</v>
      </c>
      <c r="C1648" s="58" t="s">
        <v>2419</v>
      </c>
      <c r="D1648" s="58" t="s">
        <v>215</v>
      </c>
      <c r="E1648" s="58" t="s">
        <v>215</v>
      </c>
      <c r="F1648" s="58" t="s">
        <v>257</v>
      </c>
      <c r="G1648" s="58" t="s">
        <v>258</v>
      </c>
      <c r="H1648" s="58" t="s">
        <v>179</v>
      </c>
      <c r="I1648">
        <v>38000</v>
      </c>
      <c r="J1648">
        <v>38000</v>
      </c>
      <c r="K1648">
        <v>20000</v>
      </c>
      <c r="L1648" s="74">
        <v>4.1660000000000004</v>
      </c>
      <c r="M1648" s="85">
        <v>5</v>
      </c>
      <c r="N1648" s="74">
        <v>1.736</v>
      </c>
      <c r="O1648">
        <v>3</v>
      </c>
      <c r="P1648" s="84">
        <v>1.302</v>
      </c>
      <c r="Q1648" s="86">
        <v>8.4</v>
      </c>
      <c r="R1648" s="85">
        <v>8.4</v>
      </c>
      <c r="S1648" s="87">
        <v>699140</v>
      </c>
      <c r="T1648" s="1">
        <v>4</v>
      </c>
      <c r="U1648" s="88">
        <v>83230.952380952382</v>
      </c>
      <c r="V1648" s="59">
        <v>12.014760992075979</v>
      </c>
      <c r="X1648" s="98">
        <v>4.2</v>
      </c>
      <c r="Y1648" s="97">
        <v>216.6547619047619</v>
      </c>
    </row>
    <row r="1649" spans="1:25">
      <c r="A1649" s="58">
        <v>1651</v>
      </c>
      <c r="B1649" s="58">
        <v>1651</v>
      </c>
      <c r="C1649" s="58" t="s">
        <v>2420</v>
      </c>
      <c r="D1649" s="58" t="s">
        <v>215</v>
      </c>
      <c r="E1649" s="58" t="s">
        <v>215</v>
      </c>
      <c r="F1649" s="58" t="s">
        <v>257</v>
      </c>
      <c r="G1649" s="58" t="s">
        <v>258</v>
      </c>
      <c r="H1649" s="58" t="s">
        <v>179</v>
      </c>
      <c r="I1649">
        <v>38000</v>
      </c>
      <c r="J1649">
        <v>38000</v>
      </c>
      <c r="K1649">
        <v>20000</v>
      </c>
      <c r="L1649" s="74">
        <v>2.7829999999999999</v>
      </c>
      <c r="M1649" s="85">
        <v>3</v>
      </c>
      <c r="N1649" s="74">
        <v>1.0129999999999999</v>
      </c>
      <c r="O1649">
        <v>3</v>
      </c>
      <c r="P1649" s="84">
        <v>1.0129999999999999</v>
      </c>
      <c r="Q1649" s="86">
        <v>4.2</v>
      </c>
      <c r="R1649" s="85">
        <v>4.2</v>
      </c>
      <c r="S1649" s="87">
        <v>558600</v>
      </c>
      <c r="T1649" s="1">
        <v>4</v>
      </c>
      <c r="U1649" s="88">
        <v>133000</v>
      </c>
      <c r="V1649" s="59">
        <v>7.518796992481203</v>
      </c>
      <c r="X1649" s="98">
        <v>8.4</v>
      </c>
      <c r="Y1649" s="97">
        <v>83.230952380952374</v>
      </c>
    </row>
    <row r="1650" spans="1:25">
      <c r="A1650" s="58">
        <v>1652</v>
      </c>
      <c r="B1650" s="58">
        <v>1652</v>
      </c>
      <c r="C1650" s="58" t="s">
        <v>2421</v>
      </c>
      <c r="D1650" s="58" t="s">
        <v>176</v>
      </c>
      <c r="E1650" s="58" t="s">
        <v>176</v>
      </c>
      <c r="F1650" s="58" t="s">
        <v>257</v>
      </c>
      <c r="G1650" s="58" t="s">
        <v>258</v>
      </c>
      <c r="H1650" s="58" t="s">
        <v>179</v>
      </c>
      <c r="I1650">
        <v>38000</v>
      </c>
      <c r="J1650">
        <v>38000</v>
      </c>
      <c r="K1650">
        <v>20000</v>
      </c>
      <c r="L1650" s="74">
        <v>4.8490000000000002</v>
      </c>
      <c r="M1650" s="85">
        <v>5</v>
      </c>
      <c r="N1650" s="74">
        <v>1.5569999999999999</v>
      </c>
      <c r="O1650">
        <v>3</v>
      </c>
      <c r="P1650" s="84">
        <v>1.1677499999999998</v>
      </c>
      <c r="Q1650" s="86">
        <v>4.2</v>
      </c>
      <c r="R1650" s="85">
        <v>4.2</v>
      </c>
      <c r="S1650" s="87">
        <v>699140</v>
      </c>
      <c r="T1650" s="1">
        <v>4</v>
      </c>
      <c r="U1650" s="88">
        <v>166461.90476190476</v>
      </c>
      <c r="V1650" s="59">
        <v>6.0073804960379897</v>
      </c>
      <c r="X1650" s="98">
        <v>4.2</v>
      </c>
      <c r="Y1650" s="97">
        <v>133</v>
      </c>
    </row>
    <row r="1651" spans="1:25">
      <c r="A1651" s="58">
        <v>1653</v>
      </c>
      <c r="B1651" s="58">
        <v>1653</v>
      </c>
      <c r="C1651" s="58" t="s">
        <v>2422</v>
      </c>
      <c r="D1651" s="58" t="s">
        <v>176</v>
      </c>
      <c r="E1651" s="58" t="s">
        <v>176</v>
      </c>
      <c r="F1651" s="58" t="s">
        <v>257</v>
      </c>
      <c r="G1651" s="58" t="s">
        <v>258</v>
      </c>
      <c r="H1651" s="58" t="s">
        <v>179</v>
      </c>
      <c r="I1651">
        <v>38000</v>
      </c>
      <c r="J1651">
        <v>38000</v>
      </c>
      <c r="K1651">
        <v>20000</v>
      </c>
      <c r="L1651" s="74">
        <v>6.8710000000000004</v>
      </c>
      <c r="M1651" s="85">
        <v>7</v>
      </c>
      <c r="N1651" s="74">
        <v>1.5569999999999999</v>
      </c>
      <c r="O1651">
        <v>3</v>
      </c>
      <c r="P1651" s="84">
        <v>1.1677499999999998</v>
      </c>
      <c r="Q1651" s="86">
        <v>4.2</v>
      </c>
      <c r="R1651" s="85">
        <v>4.2</v>
      </c>
      <c r="S1651" s="87">
        <v>839680</v>
      </c>
      <c r="T1651" s="1">
        <v>4</v>
      </c>
      <c r="U1651" s="88">
        <v>199923.80952380953</v>
      </c>
      <c r="V1651" s="59">
        <v>5.0019054878048781</v>
      </c>
      <c r="X1651" s="98">
        <v>4.2</v>
      </c>
      <c r="Y1651" s="97">
        <v>166.46190476190475</v>
      </c>
    </row>
    <row r="1652" spans="1:25">
      <c r="A1652" s="58">
        <v>1654</v>
      </c>
      <c r="B1652" s="58">
        <v>1654</v>
      </c>
      <c r="C1652" s="58" t="s">
        <v>2423</v>
      </c>
      <c r="D1652" s="58" t="s">
        <v>176</v>
      </c>
      <c r="E1652" s="58" t="s">
        <v>176</v>
      </c>
      <c r="F1652" s="58" t="s">
        <v>285</v>
      </c>
      <c r="G1652" s="58" t="s">
        <v>286</v>
      </c>
      <c r="H1652" s="58" t="s">
        <v>179</v>
      </c>
      <c r="I1652">
        <v>38000</v>
      </c>
      <c r="J1652">
        <v>38000</v>
      </c>
      <c r="K1652">
        <v>20000</v>
      </c>
      <c r="L1652" s="74">
        <v>8.6370000000000005</v>
      </c>
      <c r="M1652" s="85">
        <v>9</v>
      </c>
      <c r="N1652" s="74">
        <v>0.89700000000000002</v>
      </c>
      <c r="O1652">
        <v>3</v>
      </c>
      <c r="P1652" s="84">
        <v>0.89700000000000002</v>
      </c>
      <c r="Q1652" s="86">
        <v>4.2</v>
      </c>
      <c r="R1652" s="85">
        <v>4.2</v>
      </c>
      <c r="S1652" s="87">
        <v>1334440</v>
      </c>
      <c r="T1652" s="1">
        <v>1</v>
      </c>
      <c r="U1652" s="88">
        <v>317723.80952380953</v>
      </c>
      <c r="V1652" s="59">
        <v>3.1473876682353645</v>
      </c>
      <c r="X1652" s="98">
        <v>4.2</v>
      </c>
      <c r="Y1652" s="97">
        <v>199.92380952380952</v>
      </c>
    </row>
    <row r="1653" spans="1:25">
      <c r="A1653" s="58">
        <v>1655</v>
      </c>
      <c r="B1653" s="58">
        <v>1655</v>
      </c>
      <c r="C1653" s="58" t="s">
        <v>2424</v>
      </c>
      <c r="D1653" s="58" t="s">
        <v>176</v>
      </c>
      <c r="E1653" s="58" t="s">
        <v>176</v>
      </c>
      <c r="F1653" s="58" t="s">
        <v>285</v>
      </c>
      <c r="G1653" s="58" t="s">
        <v>286</v>
      </c>
      <c r="H1653" s="58" t="s">
        <v>179</v>
      </c>
      <c r="I1653">
        <v>38000</v>
      </c>
      <c r="J1653">
        <v>38000</v>
      </c>
      <c r="K1653">
        <v>20000</v>
      </c>
      <c r="L1653" s="74">
        <v>7.0709999999999997</v>
      </c>
      <c r="M1653" s="85">
        <v>8</v>
      </c>
      <c r="N1653" s="74">
        <v>1.8029999999999999</v>
      </c>
      <c r="O1653">
        <v>3</v>
      </c>
      <c r="P1653" s="84">
        <v>1.35225</v>
      </c>
      <c r="Q1653" s="86">
        <v>8.4</v>
      </c>
      <c r="R1653" s="85">
        <v>8.4</v>
      </c>
      <c r="S1653" s="87">
        <v>909950</v>
      </c>
      <c r="T1653" s="1">
        <v>4</v>
      </c>
      <c r="U1653" s="88">
        <v>108327.38095238095</v>
      </c>
      <c r="V1653" s="59">
        <v>9.2312764437606454</v>
      </c>
      <c r="X1653" s="98">
        <v>4.2</v>
      </c>
      <c r="Y1653" s="97">
        <v>317.72380952380951</v>
      </c>
    </row>
    <row r="1654" spans="1:25">
      <c r="A1654" s="58">
        <v>1656</v>
      </c>
      <c r="B1654" s="58">
        <v>1656</v>
      </c>
      <c r="C1654" s="58" t="s">
        <v>2425</v>
      </c>
      <c r="D1654" s="58" t="s">
        <v>176</v>
      </c>
      <c r="E1654" s="58" t="s">
        <v>176</v>
      </c>
      <c r="F1654" s="58" t="s">
        <v>269</v>
      </c>
      <c r="G1654" s="58" t="s">
        <v>270</v>
      </c>
      <c r="H1654" s="58" t="s">
        <v>179</v>
      </c>
      <c r="I1654">
        <v>38000</v>
      </c>
      <c r="J1654">
        <v>38000</v>
      </c>
      <c r="K1654">
        <v>20000</v>
      </c>
      <c r="L1654" s="74">
        <v>3.149</v>
      </c>
      <c r="M1654" s="85">
        <v>4</v>
      </c>
      <c r="N1654" s="74">
        <v>0.57699999999999996</v>
      </c>
      <c r="O1654">
        <v>3</v>
      </c>
      <c r="P1654" s="84">
        <v>0.57699999999999996</v>
      </c>
      <c r="Q1654" s="86">
        <v>4.2</v>
      </c>
      <c r="R1654" s="85">
        <v>4.2</v>
      </c>
      <c r="S1654" s="87">
        <v>628870</v>
      </c>
      <c r="T1654" s="1">
        <v>4</v>
      </c>
      <c r="U1654" s="88">
        <v>149730.95238095237</v>
      </c>
      <c r="V1654" s="59">
        <v>6.6786458250512828</v>
      </c>
      <c r="X1654" s="98">
        <v>8.4</v>
      </c>
      <c r="Y1654" s="97">
        <v>108.32738095238095</v>
      </c>
    </row>
    <row r="1655" spans="1:25">
      <c r="A1655" s="58">
        <v>1657</v>
      </c>
      <c r="B1655" s="58">
        <v>1657</v>
      </c>
      <c r="C1655" s="58" t="s">
        <v>2426</v>
      </c>
      <c r="D1655" s="58" t="s">
        <v>176</v>
      </c>
      <c r="E1655" s="58" t="s">
        <v>176</v>
      </c>
      <c r="F1655" s="58" t="s">
        <v>222</v>
      </c>
      <c r="G1655" s="58" t="s">
        <v>223</v>
      </c>
      <c r="H1655" s="58" t="s">
        <v>179</v>
      </c>
      <c r="I1655">
        <v>38000</v>
      </c>
      <c r="J1655">
        <v>38000</v>
      </c>
      <c r="K1655">
        <v>20000</v>
      </c>
      <c r="L1655" s="74">
        <v>5.3079999999999998</v>
      </c>
      <c r="M1655" s="85">
        <v>6</v>
      </c>
      <c r="N1655" s="74">
        <v>3.9039999999999999</v>
      </c>
      <c r="O1655">
        <v>3</v>
      </c>
      <c r="P1655" s="84">
        <v>2.9279999999999999</v>
      </c>
      <c r="Q1655" s="86">
        <v>21</v>
      </c>
      <c r="R1655" s="85">
        <v>21</v>
      </c>
      <c r="S1655" s="87">
        <v>769410</v>
      </c>
      <c r="T1655" s="1">
        <v>4</v>
      </c>
      <c r="U1655" s="88">
        <v>36638.571428571428</v>
      </c>
      <c r="V1655" s="59">
        <v>27.293640581744455</v>
      </c>
      <c r="X1655" s="98">
        <v>4.2</v>
      </c>
      <c r="Y1655" s="97">
        <v>149.73095238095235</v>
      </c>
    </row>
    <row r="1656" spans="1:25">
      <c r="A1656" s="58">
        <v>1658</v>
      </c>
      <c r="B1656" s="58">
        <v>1658</v>
      </c>
      <c r="C1656" s="58" t="s">
        <v>2427</v>
      </c>
      <c r="D1656" s="58" t="s">
        <v>176</v>
      </c>
      <c r="E1656" s="58" t="s">
        <v>176</v>
      </c>
      <c r="F1656" s="58" t="s">
        <v>222</v>
      </c>
      <c r="G1656" s="58" t="s">
        <v>223</v>
      </c>
      <c r="H1656" s="58" t="s">
        <v>179</v>
      </c>
      <c r="I1656">
        <v>38000</v>
      </c>
      <c r="J1656">
        <v>38000</v>
      </c>
      <c r="K1656">
        <v>20000</v>
      </c>
      <c r="L1656" s="74">
        <v>7.1630000000000003</v>
      </c>
      <c r="M1656" s="85">
        <v>8</v>
      </c>
      <c r="N1656" s="74">
        <v>3.1139999999999999</v>
      </c>
      <c r="O1656">
        <v>3</v>
      </c>
      <c r="P1656" s="84">
        <v>2.3354999999999997</v>
      </c>
      <c r="Q1656" s="86">
        <v>16.8</v>
      </c>
      <c r="R1656" s="85">
        <v>16.8</v>
      </c>
      <c r="S1656" s="87">
        <v>909950</v>
      </c>
      <c r="T1656" s="1">
        <v>4</v>
      </c>
      <c r="U1656" s="88">
        <v>54163.690476190473</v>
      </c>
      <c r="V1656" s="59">
        <v>18.462552887521291</v>
      </c>
      <c r="X1656" s="98">
        <v>21</v>
      </c>
      <c r="Y1656" s="97">
        <v>36.638571428571431</v>
      </c>
    </row>
    <row r="1657" spans="1:25">
      <c r="A1657" s="58">
        <v>1659</v>
      </c>
      <c r="B1657" s="58">
        <v>1659</v>
      </c>
      <c r="C1657" s="58" t="s">
        <v>2428</v>
      </c>
      <c r="D1657" s="58" t="s">
        <v>176</v>
      </c>
      <c r="E1657" s="58" t="s">
        <v>176</v>
      </c>
      <c r="F1657" s="58" t="s">
        <v>222</v>
      </c>
      <c r="G1657" s="58" t="s">
        <v>223</v>
      </c>
      <c r="H1657" s="58" t="s">
        <v>179</v>
      </c>
      <c r="I1657">
        <v>38000</v>
      </c>
      <c r="J1657">
        <v>38000</v>
      </c>
      <c r="K1657">
        <v>20000</v>
      </c>
      <c r="L1657" s="74">
        <v>8.3209999999999997</v>
      </c>
      <c r="M1657" s="85">
        <v>9</v>
      </c>
      <c r="N1657" s="74">
        <v>3.456</v>
      </c>
      <c r="O1657">
        <v>3</v>
      </c>
      <c r="P1657" s="84">
        <v>2.5920000000000001</v>
      </c>
      <c r="Q1657" s="86">
        <v>16.8</v>
      </c>
      <c r="R1657" s="85">
        <v>16.8</v>
      </c>
      <c r="S1657" s="87">
        <v>980220</v>
      </c>
      <c r="T1657" s="1">
        <v>4</v>
      </c>
      <c r="U1657" s="88">
        <v>58346.428571428572</v>
      </c>
      <c r="V1657" s="59">
        <v>17.13900961008753</v>
      </c>
      <c r="X1657" s="98">
        <v>16.8</v>
      </c>
      <c r="Y1657" s="97">
        <v>54.163690476190474</v>
      </c>
    </row>
    <row r="1658" spans="1:25">
      <c r="A1658" s="58">
        <v>1660</v>
      </c>
      <c r="B1658" s="58">
        <v>1660</v>
      </c>
      <c r="C1658" s="58" t="s">
        <v>2429</v>
      </c>
      <c r="D1658" s="58" t="s">
        <v>176</v>
      </c>
      <c r="E1658" s="58" t="s">
        <v>176</v>
      </c>
      <c r="F1658" s="58" t="s">
        <v>290</v>
      </c>
      <c r="G1658" s="58" t="s">
        <v>291</v>
      </c>
      <c r="H1658" s="58" t="s">
        <v>179</v>
      </c>
      <c r="I1658">
        <v>38000</v>
      </c>
      <c r="J1658">
        <v>38000</v>
      </c>
      <c r="K1658">
        <v>20000</v>
      </c>
      <c r="L1658" s="74">
        <v>7.5170000000000003</v>
      </c>
      <c r="M1658" s="85">
        <v>8</v>
      </c>
      <c r="N1658" s="74">
        <v>0.88400000000000001</v>
      </c>
      <c r="O1658">
        <v>3</v>
      </c>
      <c r="P1658" s="84">
        <v>0.88400000000000001</v>
      </c>
      <c r="Q1658" s="86">
        <v>4.2</v>
      </c>
      <c r="R1658" s="85">
        <v>4.2</v>
      </c>
      <c r="S1658" s="87">
        <v>909950</v>
      </c>
      <c r="T1658" s="1">
        <v>4</v>
      </c>
      <c r="U1658" s="88">
        <v>216654.76190476189</v>
      </c>
      <c r="V1658" s="59">
        <v>4.6156382218803227</v>
      </c>
      <c r="X1658" s="98">
        <v>16.8</v>
      </c>
      <c r="Y1658" s="97">
        <v>58.346428571428568</v>
      </c>
    </row>
    <row r="1659" spans="1:25">
      <c r="A1659" s="58">
        <v>1661</v>
      </c>
      <c r="B1659" s="58">
        <v>1661</v>
      </c>
      <c r="C1659" s="58" t="s">
        <v>2430</v>
      </c>
      <c r="D1659" s="58" t="s">
        <v>176</v>
      </c>
      <c r="E1659" s="58" t="s">
        <v>176</v>
      </c>
      <c r="F1659" s="58" t="s">
        <v>222</v>
      </c>
      <c r="G1659" s="58" t="s">
        <v>223</v>
      </c>
      <c r="H1659" s="58" t="s">
        <v>179</v>
      </c>
      <c r="I1659">
        <v>38000</v>
      </c>
      <c r="J1659">
        <v>38000</v>
      </c>
      <c r="K1659">
        <v>20000</v>
      </c>
      <c r="L1659" s="74">
        <v>9.0210000000000008</v>
      </c>
      <c r="M1659" s="85">
        <v>10</v>
      </c>
      <c r="N1659" s="74">
        <v>1.764</v>
      </c>
      <c r="O1659">
        <v>3</v>
      </c>
      <c r="P1659" s="84">
        <v>1.323</v>
      </c>
      <c r="Q1659" s="86">
        <v>8.4</v>
      </c>
      <c r="R1659" s="85">
        <v>8.4</v>
      </c>
      <c r="S1659" s="87">
        <v>1432500</v>
      </c>
      <c r="T1659" s="1">
        <v>2</v>
      </c>
      <c r="U1659" s="88">
        <v>170535.71428571429</v>
      </c>
      <c r="V1659" s="59">
        <v>5.8638743455497382</v>
      </c>
      <c r="X1659" s="98">
        <v>4.2</v>
      </c>
      <c r="Y1659" s="97">
        <v>216.6547619047619</v>
      </c>
    </row>
    <row r="1660" spans="1:25">
      <c r="A1660" s="58">
        <v>1662</v>
      </c>
      <c r="B1660" s="58">
        <v>1662</v>
      </c>
      <c r="C1660" s="58" t="s">
        <v>2431</v>
      </c>
      <c r="D1660" s="58" t="s">
        <v>176</v>
      </c>
      <c r="E1660" s="58" t="s">
        <v>176</v>
      </c>
      <c r="F1660" s="58" t="s">
        <v>290</v>
      </c>
      <c r="G1660" s="58" t="s">
        <v>291</v>
      </c>
      <c r="H1660" s="58" t="s">
        <v>179</v>
      </c>
      <c r="I1660">
        <v>38000</v>
      </c>
      <c r="J1660">
        <v>38000</v>
      </c>
      <c r="K1660">
        <v>20000</v>
      </c>
      <c r="L1660" s="74">
        <v>5.1520000000000001</v>
      </c>
      <c r="M1660" s="85">
        <v>6</v>
      </c>
      <c r="N1660" s="74">
        <v>2.335</v>
      </c>
      <c r="O1660">
        <v>3</v>
      </c>
      <c r="P1660" s="84">
        <v>1.75125</v>
      </c>
      <c r="Q1660" s="86">
        <v>8.4</v>
      </c>
      <c r="R1660" s="85">
        <v>8.4</v>
      </c>
      <c r="S1660" s="87">
        <v>769410</v>
      </c>
      <c r="T1660" s="1">
        <v>4</v>
      </c>
      <c r="U1660" s="88">
        <v>91596.428571428565</v>
      </c>
      <c r="V1660" s="59">
        <v>10.917456232697781</v>
      </c>
      <c r="X1660" s="98">
        <v>8.4</v>
      </c>
      <c r="Y1660" s="97">
        <v>170.53571428571428</v>
      </c>
    </row>
    <row r="1661" spans="1:25">
      <c r="A1661" s="58">
        <v>1663</v>
      </c>
      <c r="B1661" s="58">
        <v>1663</v>
      </c>
      <c r="C1661" s="58" t="s">
        <v>2432</v>
      </c>
      <c r="D1661" s="58" t="s">
        <v>176</v>
      </c>
      <c r="E1661" s="58" t="s">
        <v>176</v>
      </c>
      <c r="F1661" s="58" t="s">
        <v>290</v>
      </c>
      <c r="G1661" s="58" t="s">
        <v>291</v>
      </c>
      <c r="H1661" s="58" t="s">
        <v>179</v>
      </c>
      <c r="I1661">
        <v>38000</v>
      </c>
      <c r="J1661">
        <v>38000</v>
      </c>
      <c r="K1661">
        <v>20000</v>
      </c>
      <c r="L1661" s="74">
        <v>9.8520000000000003</v>
      </c>
      <c r="M1661" s="85">
        <v>10</v>
      </c>
      <c r="N1661" s="74">
        <v>2.262</v>
      </c>
      <c r="O1661">
        <v>3</v>
      </c>
      <c r="P1661" s="84">
        <v>1.6964999999999999</v>
      </c>
      <c r="Q1661" s="86">
        <v>8.4</v>
      </c>
      <c r="R1661" s="85">
        <v>8.4</v>
      </c>
      <c r="S1661" s="87">
        <v>1432500</v>
      </c>
      <c r="T1661" s="1">
        <v>2</v>
      </c>
      <c r="U1661" s="88">
        <v>170535.71428571429</v>
      </c>
      <c r="V1661" s="59">
        <v>5.8638743455497382</v>
      </c>
      <c r="X1661" s="98">
        <v>8.4</v>
      </c>
      <c r="Y1661" s="97">
        <v>91.596428571428561</v>
      </c>
    </row>
    <row r="1662" spans="1:25">
      <c r="A1662" s="58">
        <v>1664</v>
      </c>
      <c r="B1662" s="58">
        <v>1664</v>
      </c>
      <c r="C1662" s="58" t="s">
        <v>2433</v>
      </c>
      <c r="D1662" s="58" t="s">
        <v>176</v>
      </c>
      <c r="E1662" s="58" t="s">
        <v>176</v>
      </c>
      <c r="F1662" s="58" t="s">
        <v>269</v>
      </c>
      <c r="G1662" s="58" t="s">
        <v>270</v>
      </c>
      <c r="H1662" s="58" t="s">
        <v>179</v>
      </c>
      <c r="I1662">
        <v>38000</v>
      </c>
      <c r="J1662">
        <v>38000</v>
      </c>
      <c r="K1662">
        <v>20000</v>
      </c>
      <c r="L1662" s="74">
        <v>8.1039999999999992</v>
      </c>
      <c r="M1662" s="85">
        <v>9</v>
      </c>
      <c r="N1662" s="74">
        <v>1.605</v>
      </c>
      <c r="O1662">
        <v>3</v>
      </c>
      <c r="P1662" s="84">
        <v>1.2037499999999999</v>
      </c>
      <c r="Q1662" s="86">
        <v>8.4</v>
      </c>
      <c r="R1662" s="85">
        <v>8.4</v>
      </c>
      <c r="S1662" s="87">
        <v>1379800</v>
      </c>
      <c r="T1662" s="1">
        <v>2</v>
      </c>
      <c r="U1662" s="88">
        <v>164261.90476190476</v>
      </c>
      <c r="V1662" s="59">
        <v>6.087838817219887</v>
      </c>
      <c r="X1662" s="98">
        <v>8.4</v>
      </c>
      <c r="Y1662" s="97">
        <v>170.53571428571428</v>
      </c>
    </row>
    <row r="1663" spans="1:25">
      <c r="A1663" s="58">
        <v>1665</v>
      </c>
      <c r="B1663" s="58">
        <v>1665</v>
      </c>
      <c r="C1663" s="58" t="s">
        <v>2434</v>
      </c>
      <c r="D1663" s="58" t="s">
        <v>176</v>
      </c>
      <c r="E1663" s="58" t="s">
        <v>176</v>
      </c>
      <c r="F1663" s="58" t="s">
        <v>269</v>
      </c>
      <c r="G1663" s="58" t="s">
        <v>270</v>
      </c>
      <c r="H1663" s="58" t="s">
        <v>179</v>
      </c>
      <c r="I1663">
        <v>38000</v>
      </c>
      <c r="J1663">
        <v>38000</v>
      </c>
      <c r="K1663">
        <v>20000</v>
      </c>
      <c r="L1663" s="74">
        <v>9.4879999999999995</v>
      </c>
      <c r="M1663" s="85">
        <v>10</v>
      </c>
      <c r="N1663" s="74">
        <v>0.871</v>
      </c>
      <c r="O1663">
        <v>3</v>
      </c>
      <c r="P1663" s="84">
        <v>0.871</v>
      </c>
      <c r="Q1663" s="86">
        <v>4.2</v>
      </c>
      <c r="R1663" s="85">
        <v>4.2</v>
      </c>
      <c r="S1663" s="87">
        <v>1387140</v>
      </c>
      <c r="T1663" s="1">
        <v>1</v>
      </c>
      <c r="U1663" s="88">
        <v>330271.42857142858</v>
      </c>
      <c r="V1663" s="59">
        <v>3.0278126216531858</v>
      </c>
      <c r="X1663" s="98">
        <v>8.4</v>
      </c>
      <c r="Y1663" s="97">
        <v>164.26190476190479</v>
      </c>
    </row>
    <row r="1664" spans="1:25">
      <c r="A1664" s="58">
        <v>1666</v>
      </c>
      <c r="B1664" s="58">
        <v>1666</v>
      </c>
      <c r="C1664" s="58" t="s">
        <v>2435</v>
      </c>
      <c r="D1664" s="58" t="s">
        <v>176</v>
      </c>
      <c r="E1664" s="58" t="s">
        <v>176</v>
      </c>
      <c r="F1664" s="58" t="s">
        <v>290</v>
      </c>
      <c r="G1664" s="58" t="s">
        <v>291</v>
      </c>
      <c r="H1664" s="58" t="s">
        <v>179</v>
      </c>
      <c r="I1664">
        <v>38000</v>
      </c>
      <c r="J1664">
        <v>38000</v>
      </c>
      <c r="K1664">
        <v>20000</v>
      </c>
      <c r="L1664" s="74">
        <v>8.9649999999999999</v>
      </c>
      <c r="M1664" s="85">
        <v>9</v>
      </c>
      <c r="N1664" s="74">
        <v>1.2330000000000001</v>
      </c>
      <c r="O1664">
        <v>3</v>
      </c>
      <c r="P1664" s="84">
        <v>0.92475000000000007</v>
      </c>
      <c r="Q1664" s="86">
        <v>4.2</v>
      </c>
      <c r="R1664" s="85">
        <v>4.2</v>
      </c>
      <c r="S1664" s="87">
        <v>1334440</v>
      </c>
      <c r="T1664" s="1">
        <v>1</v>
      </c>
      <c r="U1664" s="88">
        <v>317723.80952380953</v>
      </c>
      <c r="V1664" s="59">
        <v>3.1473876682353645</v>
      </c>
      <c r="X1664" s="98">
        <v>4.2</v>
      </c>
      <c r="Y1664" s="97">
        <v>330.2714285714286</v>
      </c>
    </row>
    <row r="1665" spans="1:25">
      <c r="A1665" s="58">
        <v>1667</v>
      </c>
      <c r="B1665" s="58">
        <v>1667</v>
      </c>
      <c r="C1665" s="58" t="s">
        <v>2436</v>
      </c>
      <c r="D1665" s="58" t="s">
        <v>176</v>
      </c>
      <c r="E1665" s="58" t="s">
        <v>176</v>
      </c>
      <c r="F1665" s="58" t="s">
        <v>290</v>
      </c>
      <c r="G1665" s="58" t="s">
        <v>291</v>
      </c>
      <c r="H1665" s="58" t="s">
        <v>179</v>
      </c>
      <c r="I1665">
        <v>38000</v>
      </c>
      <c r="J1665">
        <v>38000</v>
      </c>
      <c r="K1665">
        <v>20000</v>
      </c>
      <c r="L1665" s="74">
        <v>2.2770000000000001</v>
      </c>
      <c r="M1665" s="85">
        <v>3</v>
      </c>
      <c r="N1665" s="74">
        <v>0.622</v>
      </c>
      <c r="O1665">
        <v>3</v>
      </c>
      <c r="P1665" s="84">
        <v>0.622</v>
      </c>
      <c r="Q1665" s="86">
        <v>4.2</v>
      </c>
      <c r="R1665" s="85">
        <v>4.2</v>
      </c>
      <c r="S1665" s="87">
        <v>558600</v>
      </c>
      <c r="T1665" s="1">
        <v>4</v>
      </c>
      <c r="U1665" s="88">
        <v>133000</v>
      </c>
      <c r="V1665" s="59">
        <v>7.518796992481203</v>
      </c>
      <c r="X1665" s="98">
        <v>4.2</v>
      </c>
      <c r="Y1665" s="97">
        <v>317.72380952380951</v>
      </c>
    </row>
    <row r="1666" spans="1:25">
      <c r="A1666" s="58">
        <v>1668</v>
      </c>
      <c r="B1666" s="58">
        <v>1668</v>
      </c>
      <c r="C1666" s="58" t="s">
        <v>2437</v>
      </c>
      <c r="D1666" s="58" t="s">
        <v>176</v>
      </c>
      <c r="E1666" s="58" t="s">
        <v>176</v>
      </c>
      <c r="F1666" s="58" t="s">
        <v>290</v>
      </c>
      <c r="G1666" s="58" t="s">
        <v>291</v>
      </c>
      <c r="H1666" s="58" t="s">
        <v>179</v>
      </c>
      <c r="I1666">
        <v>38000</v>
      </c>
      <c r="J1666">
        <v>38000</v>
      </c>
      <c r="K1666">
        <v>20000</v>
      </c>
      <c r="L1666" s="74">
        <v>6.7779999999999996</v>
      </c>
      <c r="M1666" s="85">
        <v>7</v>
      </c>
      <c r="N1666" s="74">
        <v>0.25800000000000001</v>
      </c>
      <c r="O1666">
        <v>3</v>
      </c>
      <c r="P1666" s="84">
        <v>0.25800000000000001</v>
      </c>
      <c r="Q1666" s="86">
        <v>4.2</v>
      </c>
      <c r="R1666" s="85">
        <v>4.2</v>
      </c>
      <c r="S1666" s="87">
        <v>839680</v>
      </c>
      <c r="T1666" s="1">
        <v>4</v>
      </c>
      <c r="U1666" s="88">
        <v>199923.80952380953</v>
      </c>
      <c r="V1666" s="59">
        <v>5.0019054878048781</v>
      </c>
      <c r="X1666" s="98">
        <v>4.2</v>
      </c>
      <c r="Y1666" s="97">
        <v>133</v>
      </c>
    </row>
    <row r="1667" spans="1:25">
      <c r="A1667" s="58">
        <v>1669</v>
      </c>
      <c r="B1667" s="58">
        <v>1669</v>
      </c>
      <c r="C1667" s="58" t="s">
        <v>2438</v>
      </c>
      <c r="D1667" s="58" t="s">
        <v>775</v>
      </c>
      <c r="E1667" s="58" t="s">
        <v>775</v>
      </c>
      <c r="F1667" s="58" t="s">
        <v>848</v>
      </c>
      <c r="G1667" s="58" t="s">
        <v>849</v>
      </c>
      <c r="H1667" s="58" t="s">
        <v>179</v>
      </c>
      <c r="I1667">
        <v>38000</v>
      </c>
      <c r="J1667">
        <v>38000</v>
      </c>
      <c r="K1667" s="58" t="s">
        <v>185</v>
      </c>
      <c r="L1667" s="74">
        <v>1.9550000000000001</v>
      </c>
      <c r="M1667" s="85">
        <v>2</v>
      </c>
      <c r="N1667" s="74">
        <v>0.70299999999999996</v>
      </c>
      <c r="O1667">
        <v>3</v>
      </c>
      <c r="P1667" s="84">
        <v>0.70299999999999996</v>
      </c>
      <c r="Q1667" s="86">
        <v>4.2</v>
      </c>
      <c r="R1667" s="85">
        <v>4.2</v>
      </c>
      <c r="S1667" s="87">
        <v>488330</v>
      </c>
      <c r="T1667" s="1">
        <v>4</v>
      </c>
      <c r="U1667" s="88">
        <v>116269.04761904762</v>
      </c>
      <c r="V1667" s="59">
        <v>8.6007413019884087</v>
      </c>
      <c r="X1667" s="98">
        <v>4.2</v>
      </c>
      <c r="Y1667" s="97">
        <v>199.92380952380952</v>
      </c>
    </row>
    <row r="1668" spans="1:25">
      <c r="A1668" s="58">
        <v>1670</v>
      </c>
      <c r="B1668" s="58">
        <v>1670</v>
      </c>
      <c r="C1668" s="58" t="s">
        <v>2439</v>
      </c>
      <c r="D1668" s="58" t="s">
        <v>775</v>
      </c>
      <c r="E1668" s="58" t="s">
        <v>775</v>
      </c>
      <c r="F1668" s="58" t="s">
        <v>1764</v>
      </c>
      <c r="G1668" s="58" t="s">
        <v>1765</v>
      </c>
      <c r="H1668" s="58" t="s">
        <v>199</v>
      </c>
      <c r="I1668">
        <v>110000</v>
      </c>
      <c r="L1668" s="74">
        <v>6.6280000000000001</v>
      </c>
      <c r="M1668" s="85">
        <v>7</v>
      </c>
      <c r="N1668" s="74">
        <v>2.5670000000000002</v>
      </c>
      <c r="O1668">
        <v>3</v>
      </c>
      <c r="P1668" s="84">
        <v>1.9252500000000001</v>
      </c>
      <c r="Q1668" s="86">
        <v>12.600000000000001</v>
      </c>
      <c r="R1668" s="85">
        <v>12.600000000000001</v>
      </c>
      <c r="S1668" s="87">
        <v>1785370</v>
      </c>
      <c r="T1668" s="1">
        <v>7</v>
      </c>
      <c r="U1668" s="88">
        <v>141696.03174603172</v>
      </c>
      <c r="V1668" s="59">
        <v>7.0573606591350826</v>
      </c>
      <c r="X1668" s="98">
        <v>4.2</v>
      </c>
      <c r="Y1668" s="97">
        <v>116.26904761904763</v>
      </c>
    </row>
    <row r="1669" spans="1:25">
      <c r="A1669" s="58">
        <v>1671</v>
      </c>
      <c r="B1669" s="58">
        <v>1671</v>
      </c>
      <c r="C1669" s="58" t="s">
        <v>2440</v>
      </c>
      <c r="D1669" s="58" t="s">
        <v>775</v>
      </c>
      <c r="E1669" s="58" t="s">
        <v>775</v>
      </c>
      <c r="F1669" s="58" t="s">
        <v>2441</v>
      </c>
      <c r="G1669" s="58" t="s">
        <v>2442</v>
      </c>
      <c r="H1669" s="58" t="s">
        <v>199</v>
      </c>
      <c r="I1669">
        <v>110000</v>
      </c>
      <c r="J1669">
        <v>110000</v>
      </c>
      <c r="K1669" s="58" t="s">
        <v>185</v>
      </c>
      <c r="L1669" s="74">
        <v>2.492</v>
      </c>
      <c r="M1669" s="85">
        <v>3</v>
      </c>
      <c r="N1669" s="74">
        <v>1.214</v>
      </c>
      <c r="O1669">
        <v>3</v>
      </c>
      <c r="P1669" s="84">
        <v>0.91049999999999998</v>
      </c>
      <c r="Q1669" s="86">
        <v>4.2</v>
      </c>
      <c r="R1669" s="85">
        <v>4.2</v>
      </c>
      <c r="S1669" s="87">
        <v>1574570</v>
      </c>
      <c r="T1669" s="1">
        <v>7</v>
      </c>
      <c r="U1669" s="88">
        <v>374897.61904761905</v>
      </c>
      <c r="V1669" s="59">
        <v>2.6673949078161021</v>
      </c>
      <c r="X1669" s="98">
        <v>12.600000000000001</v>
      </c>
      <c r="Y1669" s="97">
        <v>141.69603174603171</v>
      </c>
    </row>
    <row r="1670" spans="1:25">
      <c r="A1670" s="58">
        <v>1672</v>
      </c>
      <c r="B1670" s="58">
        <v>1672</v>
      </c>
      <c r="C1670" s="58" t="s">
        <v>2443</v>
      </c>
      <c r="D1670" s="58" t="s">
        <v>197</v>
      </c>
      <c r="E1670" s="58" t="s">
        <v>197</v>
      </c>
      <c r="F1670" s="58" t="s">
        <v>1770</v>
      </c>
      <c r="G1670" s="58" t="s">
        <v>1771</v>
      </c>
      <c r="H1670" s="58" t="s">
        <v>179</v>
      </c>
      <c r="I1670">
        <v>38000</v>
      </c>
      <c r="J1670">
        <v>38000</v>
      </c>
      <c r="K1670">
        <v>10000</v>
      </c>
      <c r="L1670" s="74">
        <v>3.7229999999999999</v>
      </c>
      <c r="M1670" s="85">
        <v>4</v>
      </c>
      <c r="N1670" s="74">
        <v>0.60099999999999998</v>
      </c>
      <c r="O1670">
        <v>3</v>
      </c>
      <c r="P1670" s="84">
        <v>0.60099999999999998</v>
      </c>
      <c r="Q1670" s="86">
        <v>4.2</v>
      </c>
      <c r="R1670" s="85">
        <v>4.2</v>
      </c>
      <c r="S1670" s="87">
        <v>628870</v>
      </c>
      <c r="T1670" s="1">
        <v>4</v>
      </c>
      <c r="U1670" s="88">
        <v>149730.95238095237</v>
      </c>
      <c r="V1670" s="59">
        <v>6.6786458250512828</v>
      </c>
      <c r="X1670" s="98">
        <v>4.2</v>
      </c>
      <c r="Y1670" s="97">
        <v>374.89761904761906</v>
      </c>
    </row>
    <row r="1671" spans="1:25">
      <c r="A1671" s="58">
        <v>1673</v>
      </c>
      <c r="B1671" s="58">
        <v>1673</v>
      </c>
      <c r="C1671" s="58" t="s">
        <v>2444</v>
      </c>
      <c r="D1671" s="58" t="s">
        <v>197</v>
      </c>
      <c r="E1671" s="58" t="s">
        <v>197</v>
      </c>
      <c r="F1671" s="58" t="s">
        <v>1770</v>
      </c>
      <c r="G1671" s="58" t="s">
        <v>1771</v>
      </c>
      <c r="H1671" s="58" t="s">
        <v>179</v>
      </c>
      <c r="I1671">
        <v>38000</v>
      </c>
      <c r="J1671">
        <v>38000</v>
      </c>
      <c r="K1671">
        <v>10000</v>
      </c>
      <c r="L1671" s="74">
        <v>3.032</v>
      </c>
      <c r="M1671" s="85">
        <v>4</v>
      </c>
      <c r="N1671" s="74">
        <v>1.018</v>
      </c>
      <c r="O1671">
        <v>3</v>
      </c>
      <c r="P1671" s="84">
        <v>1.018</v>
      </c>
      <c r="Q1671" s="86">
        <v>4.2</v>
      </c>
      <c r="R1671" s="85">
        <v>4.2</v>
      </c>
      <c r="S1671" s="87">
        <v>628870</v>
      </c>
      <c r="T1671" s="1">
        <v>4</v>
      </c>
      <c r="U1671" s="88">
        <v>149730.95238095237</v>
      </c>
      <c r="V1671" s="59">
        <v>6.6786458250512828</v>
      </c>
      <c r="X1671" s="98">
        <v>4.2</v>
      </c>
      <c r="Y1671" s="97">
        <v>149.73095238095235</v>
      </c>
    </row>
    <row r="1672" spans="1:25">
      <c r="A1672" s="58">
        <v>1674</v>
      </c>
      <c r="B1672" s="58">
        <v>1674</v>
      </c>
      <c r="C1672" s="58" t="s">
        <v>2445</v>
      </c>
      <c r="D1672" s="58" t="s">
        <v>197</v>
      </c>
      <c r="E1672" s="58" t="s">
        <v>197</v>
      </c>
      <c r="F1672" s="58" t="s">
        <v>486</v>
      </c>
      <c r="G1672" s="58" t="s">
        <v>487</v>
      </c>
      <c r="H1672" s="58" t="s">
        <v>179</v>
      </c>
      <c r="I1672">
        <v>38000</v>
      </c>
      <c r="J1672">
        <v>38000</v>
      </c>
      <c r="K1672" s="58" t="s">
        <v>185</v>
      </c>
      <c r="L1672" s="74">
        <v>17.899999999999999</v>
      </c>
      <c r="M1672" s="85">
        <v>18</v>
      </c>
      <c r="N1672" s="74">
        <v>0.61199999999999999</v>
      </c>
      <c r="O1672">
        <v>3</v>
      </c>
      <c r="P1672" s="84">
        <v>0.61199999999999999</v>
      </c>
      <c r="Q1672" s="86">
        <v>4.2</v>
      </c>
      <c r="R1672" s="85">
        <v>4.2</v>
      </c>
      <c r="S1672" s="87">
        <v>1808740</v>
      </c>
      <c r="T1672" s="1">
        <v>1</v>
      </c>
      <c r="U1672" s="88">
        <v>430652.38095238095</v>
      </c>
      <c r="V1672" s="59">
        <v>2.3220584495284009</v>
      </c>
      <c r="X1672" s="98">
        <v>4.2</v>
      </c>
      <c r="Y1672" s="97">
        <v>149.73095238095235</v>
      </c>
    </row>
    <row r="1673" spans="1:25">
      <c r="A1673" s="58">
        <v>1675</v>
      </c>
      <c r="B1673" s="58">
        <v>1675</v>
      </c>
      <c r="C1673" s="58" t="s">
        <v>2446</v>
      </c>
      <c r="D1673" s="58" t="s">
        <v>197</v>
      </c>
      <c r="E1673" s="58" t="s">
        <v>197</v>
      </c>
      <c r="F1673" s="58" t="s">
        <v>1783</v>
      </c>
      <c r="G1673" s="58" t="s">
        <v>1784</v>
      </c>
      <c r="H1673" s="58" t="s">
        <v>179</v>
      </c>
      <c r="I1673">
        <v>38000</v>
      </c>
      <c r="J1673">
        <v>38000</v>
      </c>
      <c r="K1673">
        <v>10000</v>
      </c>
      <c r="L1673" s="74">
        <v>13.238</v>
      </c>
      <c r="M1673" s="85">
        <v>14</v>
      </c>
      <c r="N1673" s="74">
        <v>3.1070000000000002</v>
      </c>
      <c r="O1673">
        <v>3</v>
      </c>
      <c r="P1673" s="84">
        <v>2.3302500000000004</v>
      </c>
      <c r="Q1673" s="86">
        <v>16.8</v>
      </c>
      <c r="R1673" s="85">
        <v>16.8</v>
      </c>
      <c r="S1673" s="87">
        <v>1331570</v>
      </c>
      <c r="T1673" s="1">
        <v>4</v>
      </c>
      <c r="U1673" s="88">
        <v>79260.119047619039</v>
      </c>
      <c r="V1673" s="59">
        <v>12.616685566661911</v>
      </c>
      <c r="X1673" s="98">
        <v>4.2</v>
      </c>
      <c r="Y1673" s="97">
        <v>430.65238095238095</v>
      </c>
    </row>
    <row r="1674" spans="1:25">
      <c r="A1674" s="58">
        <v>1676</v>
      </c>
      <c r="B1674" s="58">
        <v>1676</v>
      </c>
      <c r="C1674" s="58" t="s">
        <v>2447</v>
      </c>
      <c r="D1674" s="58" t="s">
        <v>182</v>
      </c>
      <c r="E1674" s="58" t="s">
        <v>182</v>
      </c>
      <c r="F1674" s="58" t="s">
        <v>302</v>
      </c>
      <c r="G1674" s="58" t="s">
        <v>303</v>
      </c>
      <c r="H1674" s="58" t="s">
        <v>179</v>
      </c>
      <c r="I1674">
        <v>38000</v>
      </c>
      <c r="J1674">
        <v>38000</v>
      </c>
      <c r="K1674" s="58" t="s">
        <v>185</v>
      </c>
      <c r="L1674" s="74">
        <v>5.133</v>
      </c>
      <c r="M1674" s="85">
        <v>6</v>
      </c>
      <c r="N1674" s="74">
        <v>3.1909999999999998</v>
      </c>
      <c r="O1674">
        <v>3</v>
      </c>
      <c r="P1674" s="84">
        <v>2.3932500000000001</v>
      </c>
      <c r="Q1674" s="86">
        <v>16.8</v>
      </c>
      <c r="R1674" s="85">
        <v>16.8</v>
      </c>
      <c r="S1674" s="87">
        <v>769410</v>
      </c>
      <c r="T1674" s="1">
        <v>4</v>
      </c>
      <c r="U1674" s="88">
        <v>45798.214285714283</v>
      </c>
      <c r="V1674" s="59">
        <v>21.834912465395561</v>
      </c>
      <c r="X1674" s="98">
        <v>16.8</v>
      </c>
      <c r="Y1674" s="97">
        <v>79.260119047619042</v>
      </c>
    </row>
    <row r="1675" spans="1:25">
      <c r="A1675" s="58">
        <v>1677</v>
      </c>
      <c r="B1675" s="58">
        <v>1677</v>
      </c>
      <c r="C1675" s="58" t="s">
        <v>2448</v>
      </c>
      <c r="D1675" s="58" t="s">
        <v>182</v>
      </c>
      <c r="E1675" s="58" t="s">
        <v>182</v>
      </c>
      <c r="F1675" s="58" t="s">
        <v>302</v>
      </c>
      <c r="G1675" s="58" t="s">
        <v>303</v>
      </c>
      <c r="H1675" s="58" t="s">
        <v>179</v>
      </c>
      <c r="I1675">
        <v>38000</v>
      </c>
      <c r="J1675">
        <v>38000</v>
      </c>
      <c r="K1675" s="58" t="s">
        <v>185</v>
      </c>
      <c r="L1675" s="74">
        <v>7.4550000000000001</v>
      </c>
      <c r="M1675" s="85">
        <v>8</v>
      </c>
      <c r="N1675" s="74">
        <v>2.5409999999999999</v>
      </c>
      <c r="O1675">
        <v>3</v>
      </c>
      <c r="P1675" s="84">
        <v>1.9057499999999998</v>
      </c>
      <c r="Q1675" s="86">
        <v>12.600000000000001</v>
      </c>
      <c r="R1675" s="85">
        <v>12.600000000000001</v>
      </c>
      <c r="S1675" s="87">
        <v>909950</v>
      </c>
      <c r="T1675" s="1">
        <v>4</v>
      </c>
      <c r="U1675" s="88">
        <v>72218.253968253965</v>
      </c>
      <c r="V1675" s="59">
        <v>13.846914665640972</v>
      </c>
      <c r="X1675" s="98">
        <v>16.8</v>
      </c>
      <c r="Y1675" s="97">
        <v>45.79821428571428</v>
      </c>
    </row>
    <row r="1676" spans="1:25">
      <c r="A1676" s="89">
        <v>1678</v>
      </c>
      <c r="B1676" s="89">
        <v>1678</v>
      </c>
      <c r="C1676" s="89" t="s">
        <v>2449</v>
      </c>
      <c r="D1676" s="58" t="s">
        <v>182</v>
      </c>
      <c r="E1676" s="58" t="s">
        <v>182</v>
      </c>
      <c r="F1676" s="89" t="s">
        <v>302</v>
      </c>
      <c r="G1676" s="89" t="s">
        <v>303</v>
      </c>
      <c r="H1676" s="89" t="s">
        <v>179</v>
      </c>
      <c r="I1676" s="90">
        <v>38000</v>
      </c>
      <c r="J1676" s="90">
        <v>38000</v>
      </c>
      <c r="K1676" s="89" t="s">
        <v>185</v>
      </c>
      <c r="L1676" s="91">
        <v>5.9950000000000001</v>
      </c>
      <c r="M1676" s="92">
        <v>6</v>
      </c>
      <c r="N1676" s="91">
        <v>8.6950000000000003</v>
      </c>
      <c r="O1676" s="90">
        <v>3</v>
      </c>
      <c r="P1676" s="92">
        <v>6.5212500000000002</v>
      </c>
      <c r="Q1676" s="93">
        <v>46.2</v>
      </c>
      <c r="R1676" s="92">
        <v>46.2</v>
      </c>
      <c r="S1676" s="87">
        <v>2183320</v>
      </c>
      <c r="T1676" s="94">
        <v>11</v>
      </c>
      <c r="U1676" s="95">
        <v>47258.008658008657</v>
      </c>
      <c r="V1676" s="96">
        <v>21.160434567539344</v>
      </c>
      <c r="X1676" s="98">
        <v>12.600000000000001</v>
      </c>
      <c r="Y1676" s="97">
        <v>72.218253968253961</v>
      </c>
    </row>
    <row r="1677" spans="1:25">
      <c r="A1677" s="58">
        <v>1679</v>
      </c>
      <c r="B1677" s="58">
        <v>1679</v>
      </c>
      <c r="C1677" s="58" t="s">
        <v>2450</v>
      </c>
      <c r="D1677" s="58" t="s">
        <v>182</v>
      </c>
      <c r="E1677" s="58" t="s">
        <v>182</v>
      </c>
      <c r="F1677" s="58" t="s">
        <v>302</v>
      </c>
      <c r="G1677" s="58" t="s">
        <v>303</v>
      </c>
      <c r="H1677" s="58" t="s">
        <v>179</v>
      </c>
      <c r="I1677">
        <v>38000</v>
      </c>
      <c r="J1677">
        <v>38000</v>
      </c>
      <c r="K1677" s="58" t="s">
        <v>185</v>
      </c>
      <c r="L1677" s="74">
        <v>11.087</v>
      </c>
      <c r="M1677" s="85">
        <v>12</v>
      </c>
      <c r="N1677" s="74">
        <v>5.5190000000000001</v>
      </c>
      <c r="O1677">
        <v>3</v>
      </c>
      <c r="P1677" s="84">
        <v>4.1392500000000005</v>
      </c>
      <c r="Q1677" s="86">
        <v>29.400000000000006</v>
      </c>
      <c r="R1677" s="85">
        <v>29.400000000000006</v>
      </c>
      <c r="S1677" s="87">
        <v>1413750</v>
      </c>
      <c r="T1677" s="1">
        <v>5</v>
      </c>
      <c r="U1677" s="88">
        <v>48086.734693877544</v>
      </c>
      <c r="V1677" s="59">
        <v>20.795755968169768</v>
      </c>
      <c r="X1677" s="98">
        <v>46.2</v>
      </c>
      <c r="Y1677" s="97">
        <v>47.258008658008656</v>
      </c>
    </row>
    <row r="1678" spans="1:25">
      <c r="A1678" s="58">
        <v>1680</v>
      </c>
      <c r="B1678" s="58">
        <v>1680</v>
      </c>
      <c r="C1678" s="58" t="s">
        <v>2451</v>
      </c>
      <c r="D1678" s="58" t="s">
        <v>182</v>
      </c>
      <c r="E1678" s="58" t="s">
        <v>182</v>
      </c>
      <c r="F1678" s="58" t="s">
        <v>302</v>
      </c>
      <c r="G1678" s="58" t="s">
        <v>303</v>
      </c>
      <c r="H1678" s="58" t="s">
        <v>179</v>
      </c>
      <c r="I1678">
        <v>38000</v>
      </c>
      <c r="J1678">
        <v>38000</v>
      </c>
      <c r="K1678" s="58" t="s">
        <v>185</v>
      </c>
      <c r="L1678" s="74">
        <v>10.414</v>
      </c>
      <c r="M1678" s="85">
        <v>11</v>
      </c>
      <c r="N1678" s="74">
        <v>2.4980000000000002</v>
      </c>
      <c r="O1678">
        <v>3</v>
      </c>
      <c r="P1678" s="84">
        <v>1.8735000000000002</v>
      </c>
      <c r="Q1678" s="86">
        <v>12.600000000000001</v>
      </c>
      <c r="R1678" s="85">
        <v>12.600000000000001</v>
      </c>
      <c r="S1678" s="87">
        <v>1522250</v>
      </c>
      <c r="T1678" s="1">
        <v>3</v>
      </c>
      <c r="U1678" s="88">
        <v>120813.49206349206</v>
      </c>
      <c r="V1678" s="59">
        <v>8.2772212185909027</v>
      </c>
      <c r="X1678" s="98">
        <v>29.400000000000006</v>
      </c>
      <c r="Y1678" s="97">
        <v>48.086734693877546</v>
      </c>
    </row>
    <row r="1679" spans="1:25">
      <c r="A1679" s="58">
        <v>1681</v>
      </c>
      <c r="B1679" s="58">
        <v>1681</v>
      </c>
      <c r="C1679" s="58" t="s">
        <v>2452</v>
      </c>
      <c r="D1679" s="58" t="s">
        <v>182</v>
      </c>
      <c r="E1679" s="58" t="s">
        <v>182</v>
      </c>
      <c r="F1679" s="58" t="s">
        <v>440</v>
      </c>
      <c r="G1679" s="58" t="s">
        <v>441</v>
      </c>
      <c r="H1679" s="58" t="s">
        <v>199</v>
      </c>
      <c r="I1679">
        <v>110000</v>
      </c>
      <c r="L1679" s="74">
        <v>12.726000000000001</v>
      </c>
      <c r="M1679" s="85">
        <v>13</v>
      </c>
      <c r="N1679" s="74">
        <v>1.0940000000000001</v>
      </c>
      <c r="O1679">
        <v>3</v>
      </c>
      <c r="P1679" s="84">
        <v>1.0940000000000001</v>
      </c>
      <c r="Q1679" s="86">
        <v>4.2</v>
      </c>
      <c r="R1679" s="85">
        <v>4.2</v>
      </c>
      <c r="S1679" s="87">
        <v>2101570</v>
      </c>
      <c r="T1679" s="1">
        <v>7</v>
      </c>
      <c r="U1679" s="88">
        <v>500373.80952380953</v>
      </c>
      <c r="V1679" s="59">
        <v>1.9985058789381271</v>
      </c>
      <c r="X1679" s="98">
        <v>12.600000000000001</v>
      </c>
      <c r="Y1679" s="97">
        <v>120.81349206349205</v>
      </c>
    </row>
    <row r="1680" spans="1:25">
      <c r="A1680" s="58">
        <v>1682</v>
      </c>
      <c r="B1680" s="58">
        <v>1682</v>
      </c>
      <c r="C1680" s="58" t="s">
        <v>2453</v>
      </c>
      <c r="D1680" s="58" t="s">
        <v>182</v>
      </c>
      <c r="E1680" s="58" t="s">
        <v>182</v>
      </c>
      <c r="F1680" s="58" t="s">
        <v>302</v>
      </c>
      <c r="G1680" s="58" t="s">
        <v>303</v>
      </c>
      <c r="H1680" s="58" t="s">
        <v>179</v>
      </c>
      <c r="I1680">
        <v>38000</v>
      </c>
      <c r="J1680">
        <v>38000</v>
      </c>
      <c r="K1680" s="58" t="s">
        <v>185</v>
      </c>
      <c r="L1680" s="74">
        <v>10.096</v>
      </c>
      <c r="M1680" s="85">
        <v>11</v>
      </c>
      <c r="N1680" s="74">
        <v>1.141</v>
      </c>
      <c r="O1680">
        <v>3</v>
      </c>
      <c r="P1680" s="84">
        <v>1.141</v>
      </c>
      <c r="Q1680" s="86">
        <v>4.2</v>
      </c>
      <c r="R1680" s="85">
        <v>4.2</v>
      </c>
      <c r="S1680" s="87">
        <v>1439840</v>
      </c>
      <c r="T1680" s="1">
        <v>1</v>
      </c>
      <c r="U1680" s="88">
        <v>342819.04761904763</v>
      </c>
      <c r="V1680" s="59">
        <v>2.9169907767529724</v>
      </c>
      <c r="X1680" s="98">
        <v>4.2</v>
      </c>
      <c r="Y1680" s="97">
        <v>500.37380952380948</v>
      </c>
    </row>
    <row r="1681" spans="1:25">
      <c r="A1681" s="58">
        <v>1683</v>
      </c>
      <c r="B1681" s="58">
        <v>1683</v>
      </c>
      <c r="C1681" s="58" t="s">
        <v>2454</v>
      </c>
      <c r="D1681" s="58" t="s">
        <v>182</v>
      </c>
      <c r="E1681" s="58" t="s">
        <v>182</v>
      </c>
      <c r="F1681" s="58" t="s">
        <v>302</v>
      </c>
      <c r="G1681" s="58" t="s">
        <v>303</v>
      </c>
      <c r="H1681" s="58" t="s">
        <v>179</v>
      </c>
      <c r="I1681">
        <v>38000</v>
      </c>
      <c r="J1681">
        <v>38000</v>
      </c>
      <c r="K1681" s="58" t="s">
        <v>185</v>
      </c>
      <c r="L1681" s="74">
        <v>6.72</v>
      </c>
      <c r="M1681" s="85">
        <v>7</v>
      </c>
      <c r="N1681" s="74">
        <v>3.5289999999999999</v>
      </c>
      <c r="O1681">
        <v>3</v>
      </c>
      <c r="P1681" s="84">
        <v>2.6467499999999999</v>
      </c>
      <c r="Q1681" s="86">
        <v>16.8</v>
      </c>
      <c r="R1681" s="85">
        <v>16.8</v>
      </c>
      <c r="S1681" s="87">
        <v>839680</v>
      </c>
      <c r="T1681" s="1">
        <v>4</v>
      </c>
      <c r="U1681" s="88">
        <v>49980.952380952382</v>
      </c>
      <c r="V1681" s="59">
        <v>20.007621951219512</v>
      </c>
      <c r="X1681" s="98">
        <v>4.2</v>
      </c>
      <c r="Y1681" s="97">
        <v>342.81904761904764</v>
      </c>
    </row>
    <row r="1682" spans="1:25">
      <c r="A1682" s="58">
        <v>1684</v>
      </c>
      <c r="B1682" s="58">
        <v>1684</v>
      </c>
      <c r="C1682" s="58" t="s">
        <v>2455</v>
      </c>
      <c r="D1682" s="58" t="s">
        <v>182</v>
      </c>
      <c r="E1682" s="58" t="s">
        <v>182</v>
      </c>
      <c r="F1682" s="58" t="s">
        <v>302</v>
      </c>
      <c r="G1682" s="58" t="s">
        <v>303</v>
      </c>
      <c r="H1682" s="58" t="s">
        <v>179</v>
      </c>
      <c r="I1682">
        <v>38000</v>
      </c>
      <c r="J1682">
        <v>38000</v>
      </c>
      <c r="K1682" s="58" t="s">
        <v>185</v>
      </c>
      <c r="L1682" s="74">
        <v>9.6470000000000002</v>
      </c>
      <c r="M1682" s="85">
        <v>10</v>
      </c>
      <c r="N1682" s="74">
        <v>3.9630000000000001</v>
      </c>
      <c r="O1682">
        <v>3</v>
      </c>
      <c r="P1682" s="84">
        <v>2.9722499999999998</v>
      </c>
      <c r="Q1682" s="86">
        <v>21</v>
      </c>
      <c r="R1682" s="85">
        <v>21</v>
      </c>
      <c r="S1682" s="87">
        <v>1050490</v>
      </c>
      <c r="T1682" s="1">
        <v>4</v>
      </c>
      <c r="U1682" s="88">
        <v>50023.333333333336</v>
      </c>
      <c r="V1682" s="59">
        <v>19.990671020190579</v>
      </c>
      <c r="X1682" s="98">
        <v>16.8</v>
      </c>
      <c r="Y1682" s="97">
        <v>49.980952380952381</v>
      </c>
    </row>
    <row r="1683" spans="1:25">
      <c r="A1683" s="58">
        <v>1685</v>
      </c>
      <c r="B1683" s="58">
        <v>1685</v>
      </c>
      <c r="C1683" s="58" t="s">
        <v>2456</v>
      </c>
      <c r="D1683" s="58" t="s">
        <v>234</v>
      </c>
      <c r="E1683" s="58" t="s">
        <v>234</v>
      </c>
      <c r="F1683" s="58" t="s">
        <v>302</v>
      </c>
      <c r="G1683" s="58" t="s">
        <v>303</v>
      </c>
      <c r="H1683" s="58" t="s">
        <v>179</v>
      </c>
      <c r="I1683">
        <v>38000</v>
      </c>
      <c r="J1683">
        <v>38000</v>
      </c>
      <c r="K1683" s="58" t="s">
        <v>185</v>
      </c>
      <c r="L1683" s="74">
        <v>20.501000000000001</v>
      </c>
      <c r="M1683" s="85">
        <v>21</v>
      </c>
      <c r="N1683" s="74">
        <v>3.887</v>
      </c>
      <c r="O1683">
        <v>3</v>
      </c>
      <c r="P1683" s="84">
        <v>2.9152499999999999</v>
      </c>
      <c r="Q1683" s="86">
        <v>21</v>
      </c>
      <c r="R1683" s="85">
        <v>21</v>
      </c>
      <c r="S1683" s="87">
        <v>1823460</v>
      </c>
      <c r="T1683" s="1">
        <v>4</v>
      </c>
      <c r="U1683" s="88">
        <v>86831.428571428565</v>
      </c>
      <c r="V1683" s="59">
        <v>11.516567404823796</v>
      </c>
      <c r="X1683" s="98">
        <v>21</v>
      </c>
      <c r="Y1683" s="97">
        <v>50.023333333333333</v>
      </c>
    </row>
    <row r="1684" spans="1:25">
      <c r="A1684" s="58">
        <v>1686</v>
      </c>
      <c r="B1684" s="58">
        <v>1686</v>
      </c>
      <c r="C1684" s="58" t="s">
        <v>2457</v>
      </c>
      <c r="D1684" s="58" t="s">
        <v>234</v>
      </c>
      <c r="E1684" s="58" t="s">
        <v>182</v>
      </c>
      <c r="F1684" s="58" t="s">
        <v>595</v>
      </c>
      <c r="G1684" s="58" t="s">
        <v>596</v>
      </c>
      <c r="H1684" s="58" t="s">
        <v>179</v>
      </c>
      <c r="I1684">
        <v>38000</v>
      </c>
      <c r="J1684">
        <v>38000</v>
      </c>
      <c r="K1684" s="58" t="s">
        <v>185</v>
      </c>
      <c r="L1684" s="74">
        <v>19.670999999999999</v>
      </c>
      <c r="M1684" s="85">
        <v>20</v>
      </c>
      <c r="N1684" s="74">
        <v>0.94099999999999995</v>
      </c>
      <c r="O1684">
        <v>3</v>
      </c>
      <c r="P1684" s="84">
        <v>0.94099999999999995</v>
      </c>
      <c r="Q1684" s="86">
        <v>4.2</v>
      </c>
      <c r="R1684" s="85">
        <v>4.2</v>
      </c>
      <c r="S1684" s="87">
        <v>1914140</v>
      </c>
      <c r="T1684" s="1">
        <v>1</v>
      </c>
      <c r="U1684" s="88">
        <v>455747.61904761905</v>
      </c>
      <c r="V1684" s="59">
        <v>2.1941968717021743</v>
      </c>
      <c r="X1684" s="98">
        <v>21</v>
      </c>
      <c r="Y1684" s="97">
        <v>86.83142857142856</v>
      </c>
    </row>
    <row r="1685" spans="1:25">
      <c r="A1685" s="58">
        <v>1687</v>
      </c>
      <c r="B1685" s="58">
        <v>1687</v>
      </c>
      <c r="C1685" s="58" t="s">
        <v>2458</v>
      </c>
      <c r="D1685" s="58" t="s">
        <v>182</v>
      </c>
      <c r="E1685" s="58" t="s">
        <v>182</v>
      </c>
      <c r="F1685" s="58" t="s">
        <v>302</v>
      </c>
      <c r="G1685" s="58" t="s">
        <v>303</v>
      </c>
      <c r="H1685" s="58" t="s">
        <v>179</v>
      </c>
      <c r="I1685">
        <v>38000</v>
      </c>
      <c r="J1685">
        <v>38000</v>
      </c>
      <c r="K1685" s="58" t="s">
        <v>185</v>
      </c>
      <c r="L1685" s="74">
        <v>17.823</v>
      </c>
      <c r="M1685" s="85">
        <v>18</v>
      </c>
      <c r="N1685" s="74">
        <v>2.3439999999999999</v>
      </c>
      <c r="O1685">
        <v>3</v>
      </c>
      <c r="P1685" s="84">
        <v>1.758</v>
      </c>
      <c r="Q1685" s="86">
        <v>8.4</v>
      </c>
      <c r="R1685" s="85">
        <v>8.4</v>
      </c>
      <c r="S1685" s="87">
        <v>1854100</v>
      </c>
      <c r="T1685" s="1">
        <v>2</v>
      </c>
      <c r="U1685" s="88">
        <v>220726.19047619047</v>
      </c>
      <c r="V1685" s="59">
        <v>4.5304999730327387</v>
      </c>
      <c r="X1685" s="98">
        <v>4.2</v>
      </c>
      <c r="Y1685" s="97">
        <v>455.74761904761908</v>
      </c>
    </row>
    <row r="1686" spans="1:25">
      <c r="A1686" s="58">
        <v>1688</v>
      </c>
      <c r="B1686" s="58">
        <v>1688</v>
      </c>
      <c r="C1686" s="58" t="s">
        <v>2459</v>
      </c>
      <c r="D1686" s="58" t="s">
        <v>182</v>
      </c>
      <c r="E1686" s="58" t="s">
        <v>182</v>
      </c>
      <c r="F1686" s="58" t="s">
        <v>595</v>
      </c>
      <c r="G1686" s="58" t="s">
        <v>596</v>
      </c>
      <c r="H1686" s="58" t="s">
        <v>179</v>
      </c>
      <c r="I1686">
        <v>38000</v>
      </c>
      <c r="J1686">
        <v>38000</v>
      </c>
      <c r="K1686" s="58" t="s">
        <v>185</v>
      </c>
      <c r="L1686" s="74">
        <v>18.09</v>
      </c>
      <c r="M1686" s="85">
        <v>19</v>
      </c>
      <c r="N1686" s="74">
        <v>1.022</v>
      </c>
      <c r="O1686">
        <v>3</v>
      </c>
      <c r="P1686" s="84">
        <v>1.022</v>
      </c>
      <c r="Q1686" s="86">
        <v>4.2</v>
      </c>
      <c r="R1686" s="85">
        <v>4.2</v>
      </c>
      <c r="S1686" s="87">
        <v>1861440</v>
      </c>
      <c r="T1686" s="1">
        <v>1</v>
      </c>
      <c r="U1686" s="88">
        <v>443200</v>
      </c>
      <c r="V1686" s="59">
        <v>2.256317689530686</v>
      </c>
      <c r="X1686" s="98">
        <v>8.4</v>
      </c>
      <c r="Y1686" s="97">
        <v>220.72619047619045</v>
      </c>
    </row>
    <row r="1687" spans="1:25">
      <c r="A1687" s="58">
        <v>1689</v>
      </c>
      <c r="B1687" s="58">
        <v>1689</v>
      </c>
      <c r="C1687" s="58" t="s">
        <v>2460</v>
      </c>
      <c r="D1687" s="58" t="s">
        <v>182</v>
      </c>
      <c r="E1687" s="58" t="s">
        <v>182</v>
      </c>
      <c r="F1687" s="58" t="s">
        <v>302</v>
      </c>
      <c r="G1687" s="58" t="s">
        <v>303</v>
      </c>
      <c r="H1687" s="58" t="s">
        <v>179</v>
      </c>
      <c r="I1687">
        <v>38000</v>
      </c>
      <c r="J1687">
        <v>38000</v>
      </c>
      <c r="K1687" s="58" t="s">
        <v>185</v>
      </c>
      <c r="L1687" s="74">
        <v>16.436</v>
      </c>
      <c r="M1687" s="85">
        <v>17</v>
      </c>
      <c r="N1687" s="74">
        <v>0.68799999999999994</v>
      </c>
      <c r="O1687">
        <v>3</v>
      </c>
      <c r="P1687" s="84">
        <v>0.68799999999999994</v>
      </c>
      <c r="Q1687" s="86">
        <v>4.2</v>
      </c>
      <c r="R1687" s="85">
        <v>4.2</v>
      </c>
      <c r="S1687" s="87">
        <v>1756040</v>
      </c>
      <c r="T1687" s="1">
        <v>1</v>
      </c>
      <c r="U1687" s="88">
        <v>418104.76190476189</v>
      </c>
      <c r="V1687" s="59">
        <v>2.3917450627548349</v>
      </c>
      <c r="X1687" s="98">
        <v>4.2</v>
      </c>
      <c r="Y1687" s="97">
        <v>443.2</v>
      </c>
    </row>
    <row r="1688" spans="1:25">
      <c r="A1688" s="58">
        <v>1690</v>
      </c>
      <c r="B1688" s="58">
        <v>1690</v>
      </c>
      <c r="C1688" s="58" t="s">
        <v>2461</v>
      </c>
      <c r="D1688" s="58" t="s">
        <v>182</v>
      </c>
      <c r="E1688" s="58" t="s">
        <v>182</v>
      </c>
      <c r="F1688" s="58" t="s">
        <v>302</v>
      </c>
      <c r="G1688" s="58" t="s">
        <v>303</v>
      </c>
      <c r="H1688" s="58" t="s">
        <v>179</v>
      </c>
      <c r="I1688">
        <v>38000</v>
      </c>
      <c r="J1688">
        <v>38000</v>
      </c>
      <c r="K1688" s="58" t="s">
        <v>185</v>
      </c>
      <c r="L1688" s="74">
        <v>15.877000000000001</v>
      </c>
      <c r="M1688" s="85">
        <v>16</v>
      </c>
      <c r="N1688" s="74">
        <v>0.93899999999999995</v>
      </c>
      <c r="O1688">
        <v>3</v>
      </c>
      <c r="P1688" s="84">
        <v>0.93899999999999995</v>
      </c>
      <c r="Q1688" s="86">
        <v>4.2</v>
      </c>
      <c r="R1688" s="85">
        <v>4.2</v>
      </c>
      <c r="S1688" s="87">
        <v>1703340</v>
      </c>
      <c r="T1688" s="1">
        <v>1</v>
      </c>
      <c r="U1688" s="88">
        <v>405557.14285714284</v>
      </c>
      <c r="V1688" s="59">
        <v>2.4657437739969708</v>
      </c>
      <c r="X1688" s="98">
        <v>4.2</v>
      </c>
      <c r="Y1688" s="97">
        <v>418.10476190476186</v>
      </c>
    </row>
    <row r="1689" spans="1:25">
      <c r="A1689" s="58">
        <v>1691</v>
      </c>
      <c r="B1689" s="58">
        <v>1691</v>
      </c>
      <c r="C1689" s="58" t="s">
        <v>2462</v>
      </c>
      <c r="D1689" s="58" t="s">
        <v>234</v>
      </c>
      <c r="E1689" s="58" t="s">
        <v>234</v>
      </c>
      <c r="F1689" s="58" t="s">
        <v>595</v>
      </c>
      <c r="G1689" s="58" t="s">
        <v>596</v>
      </c>
      <c r="H1689" s="58" t="s">
        <v>179</v>
      </c>
      <c r="I1689">
        <v>38000</v>
      </c>
      <c r="J1689">
        <v>38000</v>
      </c>
      <c r="K1689" s="58" t="s">
        <v>185</v>
      </c>
      <c r="L1689" s="74">
        <v>17.893999999999998</v>
      </c>
      <c r="M1689" s="85">
        <v>18</v>
      </c>
      <c r="N1689" s="74">
        <v>4.17</v>
      </c>
      <c r="O1689">
        <v>3</v>
      </c>
      <c r="P1689" s="84">
        <v>3.1274999999999999</v>
      </c>
      <c r="Q1689" s="86">
        <v>21</v>
      </c>
      <c r="R1689" s="85">
        <v>21</v>
      </c>
      <c r="S1689" s="87">
        <v>1612650</v>
      </c>
      <c r="T1689" s="1">
        <v>4</v>
      </c>
      <c r="U1689" s="88">
        <v>76792.857142857145</v>
      </c>
      <c r="V1689" s="59">
        <v>13.022044460980373</v>
      </c>
      <c r="X1689" s="98">
        <v>4.2</v>
      </c>
      <c r="Y1689" s="97">
        <v>405.55714285714282</v>
      </c>
    </row>
    <row r="1690" spans="1:25">
      <c r="A1690" s="58">
        <v>1692</v>
      </c>
      <c r="B1690" s="58">
        <v>1692</v>
      </c>
      <c r="C1690" s="58" t="s">
        <v>2463</v>
      </c>
      <c r="D1690" s="58" t="s">
        <v>234</v>
      </c>
      <c r="E1690" s="58" t="s">
        <v>234</v>
      </c>
      <c r="F1690" s="58" t="s">
        <v>595</v>
      </c>
      <c r="G1690" s="58" t="s">
        <v>596</v>
      </c>
      <c r="H1690" s="58" t="s">
        <v>179</v>
      </c>
      <c r="I1690">
        <v>38000</v>
      </c>
      <c r="J1690">
        <v>38000</v>
      </c>
      <c r="K1690" s="58" t="s">
        <v>185</v>
      </c>
      <c r="L1690" s="74">
        <v>18.106999999999999</v>
      </c>
      <c r="M1690" s="85">
        <v>19</v>
      </c>
      <c r="N1690" s="74">
        <v>1.514</v>
      </c>
      <c r="O1690">
        <v>3</v>
      </c>
      <c r="P1690" s="84">
        <v>1.1355</v>
      </c>
      <c r="Q1690" s="86">
        <v>4.2</v>
      </c>
      <c r="R1690" s="85">
        <v>4.2</v>
      </c>
      <c r="S1690" s="87">
        <v>1861440</v>
      </c>
      <c r="T1690" s="1">
        <v>1</v>
      </c>
      <c r="U1690" s="88">
        <v>443200</v>
      </c>
      <c r="V1690" s="59">
        <v>2.256317689530686</v>
      </c>
      <c r="X1690" s="98">
        <v>21</v>
      </c>
      <c r="Y1690" s="97">
        <v>76.792857142857144</v>
      </c>
    </row>
    <row r="1691" spans="1:25">
      <c r="A1691" s="58">
        <v>1693</v>
      </c>
      <c r="B1691" s="58">
        <v>1693</v>
      </c>
      <c r="C1691" s="58" t="s">
        <v>2464</v>
      </c>
      <c r="D1691" s="58" t="s">
        <v>234</v>
      </c>
      <c r="E1691" s="58" t="s">
        <v>234</v>
      </c>
      <c r="F1691" s="58" t="s">
        <v>309</v>
      </c>
      <c r="G1691" s="58" t="s">
        <v>310</v>
      </c>
      <c r="H1691" s="58" t="s">
        <v>179</v>
      </c>
      <c r="I1691">
        <v>38000</v>
      </c>
      <c r="J1691">
        <v>38000</v>
      </c>
      <c r="K1691">
        <v>20000</v>
      </c>
      <c r="L1691" s="74">
        <v>17.295999999999999</v>
      </c>
      <c r="M1691" s="85">
        <v>18</v>
      </c>
      <c r="N1691" s="74">
        <v>1.008</v>
      </c>
      <c r="O1691">
        <v>3</v>
      </c>
      <c r="P1691" s="84">
        <v>1.008</v>
      </c>
      <c r="Q1691" s="86">
        <v>4.2</v>
      </c>
      <c r="R1691" s="85">
        <v>4.2</v>
      </c>
      <c r="S1691" s="87">
        <v>1808740</v>
      </c>
      <c r="T1691" s="1">
        <v>1</v>
      </c>
      <c r="U1691" s="88">
        <v>430652.38095238095</v>
      </c>
      <c r="V1691" s="59">
        <v>2.3220584495284009</v>
      </c>
      <c r="X1691" s="98">
        <v>4.2</v>
      </c>
      <c r="Y1691" s="97">
        <v>443.2</v>
      </c>
    </row>
    <row r="1692" spans="1:25">
      <c r="A1692" s="58">
        <v>1694</v>
      </c>
      <c r="B1692" s="58">
        <v>1694</v>
      </c>
      <c r="C1692" s="58" t="s">
        <v>2465</v>
      </c>
      <c r="D1692" s="58" t="s">
        <v>182</v>
      </c>
      <c r="E1692" s="58" t="s">
        <v>182</v>
      </c>
      <c r="F1692" s="58" t="s">
        <v>440</v>
      </c>
      <c r="G1692" s="58" t="s">
        <v>441</v>
      </c>
      <c r="H1692" s="58" t="s">
        <v>199</v>
      </c>
      <c r="I1692">
        <v>110000</v>
      </c>
      <c r="L1692" s="74">
        <v>12.464</v>
      </c>
      <c r="M1692" s="85">
        <v>13</v>
      </c>
      <c r="N1692" s="74">
        <v>1.151</v>
      </c>
      <c r="O1692">
        <v>3</v>
      </c>
      <c r="P1692" s="84">
        <v>1.151</v>
      </c>
      <c r="Q1692" s="86">
        <v>4.2</v>
      </c>
      <c r="R1692" s="85">
        <v>4.2</v>
      </c>
      <c r="S1692" s="87">
        <v>2101570</v>
      </c>
      <c r="T1692" s="1">
        <v>7</v>
      </c>
      <c r="U1692" s="88">
        <v>500373.80952380953</v>
      </c>
      <c r="V1692" s="59">
        <v>1.9985058789381271</v>
      </c>
      <c r="X1692" s="98">
        <v>4.2</v>
      </c>
      <c r="Y1692" s="97">
        <v>430.65238095238095</v>
      </c>
    </row>
    <row r="1693" spans="1:25">
      <c r="A1693" s="58">
        <v>1695</v>
      </c>
      <c r="B1693" s="58">
        <v>1695</v>
      </c>
      <c r="C1693" s="58" t="s">
        <v>2466</v>
      </c>
      <c r="D1693" s="58" t="s">
        <v>234</v>
      </c>
      <c r="E1693" s="58" t="s">
        <v>234</v>
      </c>
      <c r="F1693" s="58" t="s">
        <v>316</v>
      </c>
      <c r="G1693" s="58" t="s">
        <v>317</v>
      </c>
      <c r="H1693" s="58" t="s">
        <v>199</v>
      </c>
      <c r="I1693">
        <v>110000</v>
      </c>
      <c r="J1693">
        <v>110000</v>
      </c>
      <c r="K1693">
        <v>38000</v>
      </c>
      <c r="L1693" s="74">
        <v>23.74</v>
      </c>
      <c r="M1693" s="85">
        <v>24</v>
      </c>
      <c r="N1693" s="74">
        <v>0.71899999999999997</v>
      </c>
      <c r="O1693">
        <v>3</v>
      </c>
      <c r="P1693" s="84">
        <v>0.71899999999999997</v>
      </c>
      <c r="Q1693" s="86">
        <v>4.2</v>
      </c>
      <c r="R1693" s="85">
        <v>4.2</v>
      </c>
      <c r="S1693" s="87">
        <v>2681270</v>
      </c>
      <c r="T1693" s="1">
        <v>7</v>
      </c>
      <c r="U1693" s="88">
        <v>638397.61904761905</v>
      </c>
      <c r="V1693" s="59">
        <v>1.5664218821677787</v>
      </c>
      <c r="X1693" s="98">
        <v>4.2</v>
      </c>
      <c r="Y1693" s="97">
        <v>500.37380952380948</v>
      </c>
    </row>
    <row r="1694" spans="1:25">
      <c r="A1694" s="58">
        <v>1696</v>
      </c>
      <c r="B1694" s="58">
        <v>1696</v>
      </c>
      <c r="C1694" s="58" t="s">
        <v>2467</v>
      </c>
      <c r="D1694" s="58" t="s">
        <v>234</v>
      </c>
      <c r="E1694" s="58" t="s">
        <v>234</v>
      </c>
      <c r="F1694" s="58" t="s">
        <v>309</v>
      </c>
      <c r="G1694" s="58" t="s">
        <v>310</v>
      </c>
      <c r="H1694" s="58" t="s">
        <v>179</v>
      </c>
      <c r="I1694">
        <v>38000</v>
      </c>
      <c r="J1694">
        <v>38000</v>
      </c>
      <c r="K1694">
        <v>20000</v>
      </c>
      <c r="L1694" s="74">
        <v>20.670999999999999</v>
      </c>
      <c r="M1694" s="85">
        <v>21</v>
      </c>
      <c r="N1694" s="74">
        <v>0.84299999999999997</v>
      </c>
      <c r="O1694">
        <v>3</v>
      </c>
      <c r="P1694" s="84">
        <v>0.84299999999999997</v>
      </c>
      <c r="Q1694" s="86">
        <v>4.2</v>
      </c>
      <c r="R1694" s="85">
        <v>4.2</v>
      </c>
      <c r="S1694" s="87">
        <v>1966840</v>
      </c>
      <c r="T1694" s="1">
        <v>1</v>
      </c>
      <c r="U1694" s="88">
        <v>468295.23809523805</v>
      </c>
      <c r="V1694" s="59">
        <v>2.135405015151207</v>
      </c>
      <c r="X1694" s="98">
        <v>4.2</v>
      </c>
      <c r="Y1694" s="97">
        <v>638.39761904761906</v>
      </c>
    </row>
    <row r="1695" spans="1:25">
      <c r="A1695" s="58">
        <v>1697</v>
      </c>
      <c r="B1695" s="58">
        <v>1697</v>
      </c>
      <c r="C1695" s="58" t="s">
        <v>2468</v>
      </c>
      <c r="D1695" s="58" t="s">
        <v>234</v>
      </c>
      <c r="E1695" s="58" t="s">
        <v>234</v>
      </c>
      <c r="F1695" s="58" t="s">
        <v>316</v>
      </c>
      <c r="G1695" s="58" t="s">
        <v>317</v>
      </c>
      <c r="H1695" s="58" t="s">
        <v>199</v>
      </c>
      <c r="I1695">
        <v>110000</v>
      </c>
      <c r="J1695">
        <v>110000</v>
      </c>
      <c r="K1695">
        <v>38000</v>
      </c>
      <c r="L1695" s="74">
        <v>23.227</v>
      </c>
      <c r="M1695" s="85">
        <v>24</v>
      </c>
      <c r="N1695" s="74">
        <v>0.81399999999999995</v>
      </c>
      <c r="O1695">
        <v>3</v>
      </c>
      <c r="P1695" s="84">
        <v>0.81399999999999995</v>
      </c>
      <c r="Q1695" s="86">
        <v>4.2</v>
      </c>
      <c r="R1695" s="85">
        <v>4.2</v>
      </c>
      <c r="S1695" s="87">
        <v>2681270</v>
      </c>
      <c r="T1695" s="1">
        <v>7</v>
      </c>
      <c r="U1695" s="88">
        <v>638397.61904761905</v>
      </c>
      <c r="V1695" s="59">
        <v>1.5664218821677787</v>
      </c>
      <c r="X1695" s="98">
        <v>4.2</v>
      </c>
      <c r="Y1695" s="97">
        <v>468.29523809523806</v>
      </c>
    </row>
    <row r="1696" spans="1:25">
      <c r="A1696" s="58">
        <v>1698</v>
      </c>
      <c r="B1696" s="58">
        <v>1698</v>
      </c>
      <c r="C1696" s="58" t="s">
        <v>2469</v>
      </c>
      <c r="D1696" s="58" t="s">
        <v>234</v>
      </c>
      <c r="E1696" s="58" t="s">
        <v>234</v>
      </c>
      <c r="F1696" s="58" t="s">
        <v>316</v>
      </c>
      <c r="G1696" s="58" t="s">
        <v>317</v>
      </c>
      <c r="H1696" s="58" t="s">
        <v>199</v>
      </c>
      <c r="I1696">
        <v>110000</v>
      </c>
      <c r="J1696">
        <v>110000</v>
      </c>
      <c r="K1696">
        <v>38000</v>
      </c>
      <c r="L1696" s="74">
        <v>23.213999999999999</v>
      </c>
      <c r="M1696" s="85">
        <v>24</v>
      </c>
      <c r="N1696" s="74">
        <v>1.4870000000000001</v>
      </c>
      <c r="O1696">
        <v>3</v>
      </c>
      <c r="P1696" s="84">
        <v>1.1152500000000001</v>
      </c>
      <c r="Q1696" s="86">
        <v>4.2</v>
      </c>
      <c r="R1696" s="85">
        <v>4.2</v>
      </c>
      <c r="S1696" s="87">
        <v>2681270</v>
      </c>
      <c r="T1696" s="1">
        <v>7</v>
      </c>
      <c r="U1696" s="88">
        <v>638397.61904761905</v>
      </c>
      <c r="V1696" s="59">
        <v>1.5664218821677787</v>
      </c>
      <c r="X1696" s="98">
        <v>4.2</v>
      </c>
      <c r="Y1696" s="97">
        <v>638.39761904761906</v>
      </c>
    </row>
    <row r="1697" spans="1:25">
      <c r="A1697" s="58">
        <v>1699</v>
      </c>
      <c r="B1697" s="58">
        <v>1699</v>
      </c>
      <c r="C1697" s="58" t="s">
        <v>2470</v>
      </c>
      <c r="D1697" s="58" t="s">
        <v>234</v>
      </c>
      <c r="E1697" s="58" t="s">
        <v>234</v>
      </c>
      <c r="F1697" s="58" t="s">
        <v>309</v>
      </c>
      <c r="G1697" s="58" t="s">
        <v>310</v>
      </c>
      <c r="H1697" s="58" t="s">
        <v>179</v>
      </c>
      <c r="I1697">
        <v>38000</v>
      </c>
      <c r="J1697">
        <v>38000</v>
      </c>
      <c r="K1697">
        <v>20000</v>
      </c>
      <c r="L1697" s="74">
        <v>18.716000000000001</v>
      </c>
      <c r="M1697" s="85">
        <v>19</v>
      </c>
      <c r="N1697" s="74">
        <v>1.534</v>
      </c>
      <c r="O1697">
        <v>3</v>
      </c>
      <c r="P1697" s="84">
        <v>1.1505000000000001</v>
      </c>
      <c r="Q1697" s="86">
        <v>4.2</v>
      </c>
      <c r="R1697" s="85">
        <v>4.2</v>
      </c>
      <c r="S1697" s="87">
        <v>1861440</v>
      </c>
      <c r="T1697" s="1">
        <v>1</v>
      </c>
      <c r="U1697" s="88">
        <v>443200</v>
      </c>
      <c r="V1697" s="59">
        <v>2.256317689530686</v>
      </c>
      <c r="X1697" s="98">
        <v>4.2</v>
      </c>
      <c r="Y1697" s="97">
        <v>638.39761904761906</v>
      </c>
    </row>
    <row r="1698" spans="1:25">
      <c r="A1698" s="58">
        <v>1700</v>
      </c>
      <c r="B1698" s="58">
        <v>1700</v>
      </c>
      <c r="C1698" s="58" t="s">
        <v>2471</v>
      </c>
      <c r="D1698" s="58" t="s">
        <v>234</v>
      </c>
      <c r="E1698" s="58" t="s">
        <v>234</v>
      </c>
      <c r="F1698" s="58" t="s">
        <v>316</v>
      </c>
      <c r="G1698" s="58" t="s">
        <v>317</v>
      </c>
      <c r="H1698" s="58" t="s">
        <v>199</v>
      </c>
      <c r="I1698">
        <v>110000</v>
      </c>
      <c r="J1698">
        <v>110000</v>
      </c>
      <c r="K1698">
        <v>38000</v>
      </c>
      <c r="L1698" s="74">
        <v>29.766999999999999</v>
      </c>
      <c r="M1698" s="85">
        <v>30</v>
      </c>
      <c r="N1698" s="74">
        <v>1.22</v>
      </c>
      <c r="O1698">
        <v>3</v>
      </c>
      <c r="P1698" s="84">
        <v>0.91500000000000004</v>
      </c>
      <c r="Q1698" s="86">
        <v>4.2</v>
      </c>
      <c r="R1698" s="85">
        <v>4.2</v>
      </c>
      <c r="S1698" s="87">
        <v>2997470</v>
      </c>
      <c r="T1698" s="1">
        <v>7</v>
      </c>
      <c r="U1698" s="88">
        <v>713683.33333333326</v>
      </c>
      <c r="V1698" s="59">
        <v>1.4011816632026342</v>
      </c>
      <c r="X1698" s="98">
        <v>4.2</v>
      </c>
      <c r="Y1698" s="97">
        <v>443.2</v>
      </c>
    </row>
    <row r="1699" spans="1:25">
      <c r="A1699" s="58">
        <v>1701</v>
      </c>
      <c r="B1699" s="58">
        <v>1701</v>
      </c>
      <c r="C1699" s="58" t="s">
        <v>2472</v>
      </c>
      <c r="D1699" s="58" t="s">
        <v>234</v>
      </c>
      <c r="E1699" s="58" t="s">
        <v>234</v>
      </c>
      <c r="F1699" s="58" t="s">
        <v>316</v>
      </c>
      <c r="G1699" s="58" t="s">
        <v>317</v>
      </c>
      <c r="H1699" s="58" t="s">
        <v>199</v>
      </c>
      <c r="I1699">
        <v>110000</v>
      </c>
      <c r="J1699">
        <v>110000</v>
      </c>
      <c r="K1699">
        <v>38000</v>
      </c>
      <c r="L1699" s="74">
        <v>25.087</v>
      </c>
      <c r="M1699" s="85">
        <v>26</v>
      </c>
      <c r="N1699" s="74">
        <v>4.0129999999999999</v>
      </c>
      <c r="O1699">
        <v>3</v>
      </c>
      <c r="P1699" s="84">
        <v>3.0097499999999999</v>
      </c>
      <c r="Q1699" s="86">
        <v>21</v>
      </c>
      <c r="R1699" s="85">
        <v>21</v>
      </c>
      <c r="S1699" s="87">
        <v>3421730</v>
      </c>
      <c r="T1699" s="1">
        <v>8</v>
      </c>
      <c r="U1699" s="88">
        <v>162939.52380952382</v>
      </c>
      <c r="V1699" s="59">
        <v>6.1372463636815295</v>
      </c>
      <c r="X1699" s="98">
        <v>4.2</v>
      </c>
      <c r="Y1699" s="97">
        <v>713.68333333333328</v>
      </c>
    </row>
    <row r="1700" spans="1:25">
      <c r="A1700" s="58">
        <v>1702</v>
      </c>
      <c r="B1700" s="58">
        <v>1702</v>
      </c>
      <c r="C1700" s="58" t="s">
        <v>2473</v>
      </c>
      <c r="D1700" s="58" t="s">
        <v>234</v>
      </c>
      <c r="E1700" s="58" t="s">
        <v>234</v>
      </c>
      <c r="F1700" s="58" t="s">
        <v>316</v>
      </c>
      <c r="G1700" s="58" t="s">
        <v>317</v>
      </c>
      <c r="H1700" s="58" t="s">
        <v>199</v>
      </c>
      <c r="I1700">
        <v>110000</v>
      </c>
      <c r="J1700">
        <v>110000</v>
      </c>
      <c r="K1700">
        <v>38000</v>
      </c>
      <c r="L1700" s="74">
        <v>27.731000000000002</v>
      </c>
      <c r="M1700" s="85">
        <v>28</v>
      </c>
      <c r="N1700" s="74">
        <v>3.5550000000000002</v>
      </c>
      <c r="O1700">
        <v>3</v>
      </c>
      <c r="P1700" s="84">
        <v>2.6662500000000002</v>
      </c>
      <c r="Q1700" s="86">
        <v>16.8</v>
      </c>
      <c r="R1700" s="85">
        <v>16.8</v>
      </c>
      <c r="S1700" s="87">
        <v>3562270</v>
      </c>
      <c r="T1700" s="1">
        <v>8</v>
      </c>
      <c r="U1700" s="88">
        <v>212039.88095238095</v>
      </c>
      <c r="V1700" s="59">
        <v>4.7160939513287872</v>
      </c>
      <c r="X1700" s="98">
        <v>21</v>
      </c>
      <c r="Y1700" s="97">
        <v>162.93952380952382</v>
      </c>
    </row>
    <row r="1701" spans="1:25">
      <c r="A1701" s="58">
        <v>1703</v>
      </c>
      <c r="B1701" s="58">
        <v>1703</v>
      </c>
      <c r="C1701" s="58" t="s">
        <v>2474</v>
      </c>
      <c r="D1701" s="58" t="s">
        <v>234</v>
      </c>
      <c r="E1701" s="58" t="s">
        <v>234</v>
      </c>
      <c r="F1701" s="58" t="s">
        <v>323</v>
      </c>
      <c r="G1701" s="58" t="s">
        <v>324</v>
      </c>
      <c r="H1701" s="58" t="s">
        <v>179</v>
      </c>
      <c r="I1701">
        <v>38000</v>
      </c>
      <c r="J1701">
        <v>38000</v>
      </c>
      <c r="K1701">
        <v>20000</v>
      </c>
      <c r="L1701" s="74">
        <v>11.898</v>
      </c>
      <c r="M1701" s="85">
        <v>12</v>
      </c>
      <c r="N1701" s="74">
        <v>2.2959999999999998</v>
      </c>
      <c r="O1701">
        <v>3</v>
      </c>
      <c r="P1701" s="84">
        <v>1.722</v>
      </c>
      <c r="Q1701" s="86">
        <v>8.4</v>
      </c>
      <c r="R1701" s="85">
        <v>8.4</v>
      </c>
      <c r="S1701" s="87">
        <v>1537900</v>
      </c>
      <c r="T1701" s="1">
        <v>2</v>
      </c>
      <c r="U1701" s="88">
        <v>183083.33333333331</v>
      </c>
      <c r="V1701" s="59">
        <v>5.4619936276741008</v>
      </c>
      <c r="X1701" s="98">
        <v>16.8</v>
      </c>
      <c r="Y1701" s="97">
        <v>212.03988095238094</v>
      </c>
    </row>
    <row r="1702" spans="1:25">
      <c r="A1702" s="58">
        <v>1704</v>
      </c>
      <c r="B1702" s="58">
        <v>1704</v>
      </c>
      <c r="C1702" s="58" t="s">
        <v>2475</v>
      </c>
      <c r="D1702" s="58" t="s">
        <v>234</v>
      </c>
      <c r="E1702" s="58" t="s">
        <v>234</v>
      </c>
      <c r="F1702" s="58" t="s">
        <v>630</v>
      </c>
      <c r="G1702" s="58" t="s">
        <v>631</v>
      </c>
      <c r="H1702" s="58" t="s">
        <v>179</v>
      </c>
      <c r="I1702">
        <v>38000</v>
      </c>
      <c r="J1702" s="58" t="s">
        <v>185</v>
      </c>
      <c r="K1702">
        <v>38000</v>
      </c>
      <c r="L1702" s="74">
        <v>10.787000000000001</v>
      </c>
      <c r="M1702" s="85">
        <v>11</v>
      </c>
      <c r="N1702" s="74">
        <v>3.823</v>
      </c>
      <c r="O1702">
        <v>3</v>
      </c>
      <c r="P1702" s="84">
        <v>2.8672499999999999</v>
      </c>
      <c r="Q1702" s="86">
        <v>16.8</v>
      </c>
      <c r="R1702" s="85">
        <v>16.8</v>
      </c>
      <c r="S1702" s="87">
        <v>1120760</v>
      </c>
      <c r="T1702" s="1">
        <v>4</v>
      </c>
      <c r="U1702" s="88">
        <v>66711.904761904763</v>
      </c>
      <c r="V1702" s="59">
        <v>14.989828330775545</v>
      </c>
      <c r="X1702" s="98">
        <v>8.4</v>
      </c>
      <c r="Y1702" s="97">
        <v>183.08333333333331</v>
      </c>
    </row>
    <row r="1703" spans="1:25">
      <c r="A1703" s="58">
        <v>1705</v>
      </c>
      <c r="B1703" s="58">
        <v>1705</v>
      </c>
      <c r="C1703" s="58" t="s">
        <v>2476</v>
      </c>
      <c r="D1703" s="58" t="s">
        <v>234</v>
      </c>
      <c r="E1703" s="58" t="s">
        <v>234</v>
      </c>
      <c r="F1703" s="58" t="s">
        <v>323</v>
      </c>
      <c r="G1703" s="58" t="s">
        <v>324</v>
      </c>
      <c r="H1703" s="58" t="s">
        <v>179</v>
      </c>
      <c r="I1703">
        <v>38000</v>
      </c>
      <c r="J1703">
        <v>38000</v>
      </c>
      <c r="K1703">
        <v>20000</v>
      </c>
      <c r="L1703" s="74">
        <v>9.9749999999999996</v>
      </c>
      <c r="M1703" s="85">
        <v>10</v>
      </c>
      <c r="N1703" s="74">
        <v>5.8460000000000001</v>
      </c>
      <c r="O1703">
        <v>3</v>
      </c>
      <c r="P1703" s="84">
        <v>4.3845000000000001</v>
      </c>
      <c r="Q1703" s="86">
        <v>29.400000000000006</v>
      </c>
      <c r="R1703" s="85">
        <v>29.400000000000006</v>
      </c>
      <c r="S1703" s="87">
        <v>1236090</v>
      </c>
      <c r="T1703" s="1">
        <v>5</v>
      </c>
      <c r="U1703" s="88">
        <v>42043.8775510204</v>
      </c>
      <c r="V1703" s="59">
        <v>23.78467587311604</v>
      </c>
      <c r="X1703" s="98">
        <v>16.8</v>
      </c>
      <c r="Y1703" s="97">
        <v>66.711904761904762</v>
      </c>
    </row>
    <row r="1704" spans="1:25">
      <c r="A1704" s="58">
        <v>1706</v>
      </c>
      <c r="B1704" s="58">
        <v>1706</v>
      </c>
      <c r="C1704" s="58" t="s">
        <v>2477</v>
      </c>
      <c r="D1704" s="58" t="s">
        <v>234</v>
      </c>
      <c r="E1704" s="58" t="s">
        <v>234</v>
      </c>
      <c r="F1704" s="58" t="s">
        <v>326</v>
      </c>
      <c r="G1704" s="58" t="s">
        <v>327</v>
      </c>
      <c r="H1704" s="58" t="s">
        <v>199</v>
      </c>
      <c r="I1704">
        <v>110000</v>
      </c>
      <c r="J1704">
        <v>110000</v>
      </c>
      <c r="K1704">
        <v>38000</v>
      </c>
      <c r="L1704" s="74">
        <v>12.74</v>
      </c>
      <c r="M1704" s="85">
        <v>13</v>
      </c>
      <c r="N1704" s="74">
        <v>5.2670000000000003</v>
      </c>
      <c r="O1704">
        <v>3</v>
      </c>
      <c r="P1704" s="84">
        <v>3.9502500000000005</v>
      </c>
      <c r="Q1704" s="86">
        <v>25.200000000000003</v>
      </c>
      <c r="R1704" s="85">
        <v>25.200000000000003</v>
      </c>
      <c r="S1704" s="87">
        <v>3108640</v>
      </c>
      <c r="T1704" s="1">
        <v>9</v>
      </c>
      <c r="U1704" s="88">
        <v>123358.73015873015</v>
      </c>
      <c r="V1704" s="59">
        <v>8.1064388285552536</v>
      </c>
      <c r="X1704" s="98">
        <v>29.400000000000006</v>
      </c>
      <c r="Y1704" s="97">
        <v>42.043877551020394</v>
      </c>
    </row>
    <row r="1705" spans="1:25">
      <c r="A1705" s="89">
        <v>1707</v>
      </c>
      <c r="B1705" s="89">
        <v>1707</v>
      </c>
      <c r="C1705" s="89" t="s">
        <v>2478</v>
      </c>
      <c r="D1705" s="58" t="s">
        <v>346</v>
      </c>
      <c r="E1705" s="58" t="s">
        <v>346</v>
      </c>
      <c r="F1705" s="89" t="s">
        <v>646</v>
      </c>
      <c r="G1705" s="89" t="s">
        <v>647</v>
      </c>
      <c r="H1705" s="89" t="s">
        <v>179</v>
      </c>
      <c r="I1705" s="90">
        <v>38000</v>
      </c>
      <c r="J1705" s="89" t="s">
        <v>185</v>
      </c>
      <c r="K1705" s="90">
        <v>38000</v>
      </c>
      <c r="L1705" s="91">
        <v>5.1189999999999998</v>
      </c>
      <c r="M1705" s="92">
        <v>6</v>
      </c>
      <c r="N1705" s="91">
        <v>9.4619999999999997</v>
      </c>
      <c r="O1705" s="90">
        <v>3</v>
      </c>
      <c r="P1705" s="92">
        <v>7.0964999999999998</v>
      </c>
      <c r="Q1705" s="93">
        <v>50.400000000000006</v>
      </c>
      <c r="R1705" s="92">
        <v>50.400000000000006</v>
      </c>
      <c r="S1705" s="87">
        <v>2183320</v>
      </c>
      <c r="T1705" s="94">
        <v>11</v>
      </c>
      <c r="U1705" s="95">
        <v>43319.841269841265</v>
      </c>
      <c r="V1705" s="96">
        <v>23.084110437315651</v>
      </c>
      <c r="X1705" s="98">
        <v>25.200000000000003</v>
      </c>
      <c r="Y1705" s="97">
        <v>123.35873015873015</v>
      </c>
    </row>
    <row r="1706" spans="1:25">
      <c r="A1706" s="58">
        <v>1708</v>
      </c>
      <c r="B1706" s="58">
        <v>1708</v>
      </c>
      <c r="C1706" s="58" t="s">
        <v>2479</v>
      </c>
      <c r="D1706" s="58" t="s">
        <v>346</v>
      </c>
      <c r="E1706" s="58" t="s">
        <v>346</v>
      </c>
      <c r="F1706" s="58" t="s">
        <v>347</v>
      </c>
      <c r="G1706" s="58" t="s">
        <v>348</v>
      </c>
      <c r="H1706" s="58" t="s">
        <v>199</v>
      </c>
      <c r="I1706">
        <v>110000</v>
      </c>
      <c r="J1706">
        <v>110000</v>
      </c>
      <c r="K1706" s="58" t="s">
        <v>200</v>
      </c>
      <c r="L1706" s="74">
        <v>8.0350000000000001</v>
      </c>
      <c r="M1706" s="85">
        <v>9</v>
      </c>
      <c r="N1706" s="74">
        <v>3.5630000000000002</v>
      </c>
      <c r="O1706">
        <v>3</v>
      </c>
      <c r="P1706" s="84">
        <v>2.67225</v>
      </c>
      <c r="Q1706" s="86">
        <v>16.8</v>
      </c>
      <c r="R1706" s="85">
        <v>16.8</v>
      </c>
      <c r="S1706" s="87">
        <v>2227140</v>
      </c>
      <c r="T1706" s="1">
        <v>8</v>
      </c>
      <c r="U1706" s="88">
        <v>132567.85714285713</v>
      </c>
      <c r="V1706" s="59">
        <v>7.5433066623562057</v>
      </c>
      <c r="X1706" s="98">
        <v>50.400000000000006</v>
      </c>
      <c r="Y1706" s="97">
        <v>43.319841269841262</v>
      </c>
    </row>
    <row r="1707" spans="1:25">
      <c r="A1707" s="58">
        <v>1709</v>
      </c>
      <c r="B1707" s="58">
        <v>1709</v>
      </c>
      <c r="C1707" s="58" t="s">
        <v>2480</v>
      </c>
      <c r="D1707" s="58" t="s">
        <v>346</v>
      </c>
      <c r="E1707" s="58" t="s">
        <v>346</v>
      </c>
      <c r="F1707" s="58" t="s">
        <v>1417</v>
      </c>
      <c r="G1707" s="58" t="s">
        <v>1418</v>
      </c>
      <c r="H1707" s="58" t="s">
        <v>179</v>
      </c>
      <c r="I1707">
        <v>38000</v>
      </c>
      <c r="J1707">
        <v>38000</v>
      </c>
      <c r="K1707" s="58" t="s">
        <v>185</v>
      </c>
      <c r="L1707" s="74">
        <v>8.2289999999999992</v>
      </c>
      <c r="M1707" s="85">
        <v>9</v>
      </c>
      <c r="N1707" s="74">
        <v>1.111</v>
      </c>
      <c r="O1707">
        <v>3</v>
      </c>
      <c r="P1707" s="84">
        <v>1.111</v>
      </c>
      <c r="Q1707" s="86">
        <v>4.2</v>
      </c>
      <c r="R1707" s="85">
        <v>4.2</v>
      </c>
      <c r="S1707" s="87">
        <v>1334440</v>
      </c>
      <c r="T1707" s="1">
        <v>1</v>
      </c>
      <c r="U1707" s="88">
        <v>317723.80952380953</v>
      </c>
      <c r="V1707" s="59">
        <v>3.1473876682353645</v>
      </c>
      <c r="X1707" s="98">
        <v>16.8</v>
      </c>
      <c r="Y1707" s="97">
        <v>132.56785714285712</v>
      </c>
    </row>
    <row r="1708" spans="1:25">
      <c r="A1708" s="58">
        <v>1710</v>
      </c>
      <c r="B1708" s="58">
        <v>1710</v>
      </c>
      <c r="C1708" s="58" t="s">
        <v>2481</v>
      </c>
      <c r="D1708" s="58" t="s">
        <v>346</v>
      </c>
      <c r="E1708" s="58" t="s">
        <v>346</v>
      </c>
      <c r="F1708" s="58" t="s">
        <v>352</v>
      </c>
      <c r="G1708" s="58" t="s">
        <v>353</v>
      </c>
      <c r="H1708" s="58" t="s">
        <v>179</v>
      </c>
      <c r="I1708">
        <v>38000</v>
      </c>
      <c r="J1708">
        <v>38000</v>
      </c>
      <c r="K1708">
        <v>10000</v>
      </c>
      <c r="L1708" s="74">
        <v>11.682</v>
      </c>
      <c r="M1708" s="85">
        <v>12</v>
      </c>
      <c r="N1708" s="74">
        <v>4.1139999999999999</v>
      </c>
      <c r="O1708">
        <v>3</v>
      </c>
      <c r="P1708" s="84">
        <v>3.0854999999999997</v>
      </c>
      <c r="Q1708" s="86">
        <v>21</v>
      </c>
      <c r="R1708" s="85">
        <v>21</v>
      </c>
      <c r="S1708" s="87">
        <v>1191030</v>
      </c>
      <c r="T1708" s="1">
        <v>4</v>
      </c>
      <c r="U1708" s="88">
        <v>56715.714285714283</v>
      </c>
      <c r="V1708" s="59">
        <v>17.631797687715675</v>
      </c>
      <c r="X1708" s="98">
        <v>4.2</v>
      </c>
      <c r="Y1708" s="97">
        <v>317.72380952380951</v>
      </c>
    </row>
    <row r="1709" spans="1:25">
      <c r="A1709" s="58">
        <v>1711</v>
      </c>
      <c r="B1709" s="58">
        <v>1711</v>
      </c>
      <c r="C1709" s="58" t="s">
        <v>2482</v>
      </c>
      <c r="D1709" s="58" t="s">
        <v>351</v>
      </c>
      <c r="E1709" s="58" t="s">
        <v>351</v>
      </c>
      <c r="F1709" s="58" t="s">
        <v>652</v>
      </c>
      <c r="G1709" s="58" t="s">
        <v>653</v>
      </c>
      <c r="H1709" s="58" t="s">
        <v>179</v>
      </c>
      <c r="I1709">
        <v>38000</v>
      </c>
      <c r="J1709">
        <v>38000</v>
      </c>
      <c r="K1709" s="58" t="s">
        <v>185</v>
      </c>
      <c r="L1709" s="74">
        <v>11.708</v>
      </c>
      <c r="M1709" s="85">
        <v>12</v>
      </c>
      <c r="N1709" s="74">
        <v>0.63600000000000001</v>
      </c>
      <c r="O1709">
        <v>3</v>
      </c>
      <c r="P1709" s="84">
        <v>0.63600000000000001</v>
      </c>
      <c r="Q1709" s="86">
        <v>4.2</v>
      </c>
      <c r="R1709" s="85">
        <v>4.2</v>
      </c>
      <c r="S1709" s="87">
        <v>1492540</v>
      </c>
      <c r="T1709" s="1">
        <v>1</v>
      </c>
      <c r="U1709" s="88">
        <v>355366.66666666663</v>
      </c>
      <c r="V1709" s="59">
        <v>2.8139949348091173</v>
      </c>
      <c r="X1709" s="98">
        <v>21</v>
      </c>
      <c r="Y1709" s="97">
        <v>56.715714285714284</v>
      </c>
    </row>
    <row r="1710" spans="1:25">
      <c r="A1710" s="58">
        <v>1712</v>
      </c>
      <c r="B1710" s="58">
        <v>1712</v>
      </c>
      <c r="C1710" s="58" t="s">
        <v>2483</v>
      </c>
      <c r="D1710" s="58" t="s">
        <v>346</v>
      </c>
      <c r="E1710" s="58" t="s">
        <v>346</v>
      </c>
      <c r="F1710" s="58" t="s">
        <v>1427</v>
      </c>
      <c r="G1710" s="58" t="s">
        <v>1428</v>
      </c>
      <c r="H1710" s="58" t="s">
        <v>199</v>
      </c>
      <c r="I1710">
        <v>110000</v>
      </c>
      <c r="J1710">
        <v>110000</v>
      </c>
      <c r="K1710">
        <v>38000</v>
      </c>
      <c r="L1710" s="74">
        <v>4.0819999999999999</v>
      </c>
      <c r="M1710" s="85">
        <v>5</v>
      </c>
      <c r="N1710" s="74">
        <v>0.64400000000000002</v>
      </c>
      <c r="O1710">
        <v>3</v>
      </c>
      <c r="P1710" s="84">
        <v>0.64400000000000002</v>
      </c>
      <c r="Q1710" s="86">
        <v>4.2</v>
      </c>
      <c r="R1710" s="85">
        <v>4.2</v>
      </c>
      <c r="S1710" s="87">
        <v>1679970</v>
      </c>
      <c r="T1710" s="1">
        <v>7</v>
      </c>
      <c r="U1710" s="88">
        <v>399992.8571428571</v>
      </c>
      <c r="V1710" s="59">
        <v>2.5000446436543511</v>
      </c>
      <c r="X1710" s="98">
        <v>4.2</v>
      </c>
      <c r="Y1710" s="97">
        <v>355.36666666666662</v>
      </c>
    </row>
    <row r="1711" spans="1:25">
      <c r="A1711" s="58">
        <v>1713</v>
      </c>
      <c r="B1711" s="58">
        <v>1713</v>
      </c>
      <c r="C1711" s="58" t="s">
        <v>2484</v>
      </c>
      <c r="D1711" s="58" t="s">
        <v>187</v>
      </c>
      <c r="E1711" s="58" t="s">
        <v>187</v>
      </c>
      <c r="F1711" s="58" t="s">
        <v>188</v>
      </c>
      <c r="G1711" s="58" t="s">
        <v>189</v>
      </c>
      <c r="H1711" s="58" t="s">
        <v>179</v>
      </c>
      <c r="I1711">
        <v>38000</v>
      </c>
      <c r="J1711">
        <v>38000</v>
      </c>
      <c r="K1711">
        <v>10000</v>
      </c>
      <c r="L1711" s="74">
        <v>5.0570000000000004</v>
      </c>
      <c r="M1711" s="85">
        <v>6</v>
      </c>
      <c r="N1711" s="74">
        <v>2.5</v>
      </c>
      <c r="O1711">
        <v>3</v>
      </c>
      <c r="P1711" s="84">
        <v>1.875</v>
      </c>
      <c r="Q1711" s="86">
        <v>12.600000000000001</v>
      </c>
      <c r="R1711" s="85">
        <v>12.600000000000001</v>
      </c>
      <c r="S1711" s="87">
        <v>769410</v>
      </c>
      <c r="T1711" s="1">
        <v>4</v>
      </c>
      <c r="U1711" s="88">
        <v>61064.28571428571</v>
      </c>
      <c r="V1711" s="59">
        <v>16.376184349046675</v>
      </c>
      <c r="X1711" s="98">
        <v>4.2</v>
      </c>
      <c r="Y1711" s="97">
        <v>399.99285714285708</v>
      </c>
    </row>
    <row r="1712" spans="1:25">
      <c r="A1712" s="58">
        <v>1714</v>
      </c>
      <c r="B1712" s="58">
        <v>1714</v>
      </c>
      <c r="C1712" s="58" t="s">
        <v>2485</v>
      </c>
      <c r="D1712" s="58" t="s">
        <v>187</v>
      </c>
      <c r="E1712" s="58" t="s">
        <v>187</v>
      </c>
      <c r="F1712" s="58" t="s">
        <v>365</v>
      </c>
      <c r="G1712" s="58" t="s">
        <v>366</v>
      </c>
      <c r="H1712" s="58" t="s">
        <v>179</v>
      </c>
      <c r="I1712">
        <v>38000</v>
      </c>
      <c r="J1712">
        <v>38000</v>
      </c>
      <c r="K1712">
        <v>10000</v>
      </c>
      <c r="L1712" s="74">
        <v>3.8370000000000002</v>
      </c>
      <c r="M1712" s="85">
        <v>4</v>
      </c>
      <c r="N1712" s="74">
        <v>0.54500000000000004</v>
      </c>
      <c r="O1712">
        <v>3</v>
      </c>
      <c r="P1712" s="84">
        <v>0.54500000000000004</v>
      </c>
      <c r="Q1712" s="86">
        <v>4.2</v>
      </c>
      <c r="R1712" s="85">
        <v>4.2</v>
      </c>
      <c r="S1712" s="87">
        <v>628870</v>
      </c>
      <c r="T1712" s="1">
        <v>4</v>
      </c>
      <c r="U1712" s="88">
        <v>149730.95238095237</v>
      </c>
      <c r="V1712" s="59">
        <v>6.6786458250512828</v>
      </c>
      <c r="X1712" s="98">
        <v>12.600000000000001</v>
      </c>
      <c r="Y1712" s="97">
        <v>61.06428571428571</v>
      </c>
    </row>
    <row r="1713" spans="1:25">
      <c r="A1713" s="58">
        <v>1715</v>
      </c>
      <c r="B1713" s="58">
        <v>1715</v>
      </c>
      <c r="C1713" s="58" t="s">
        <v>2486</v>
      </c>
      <c r="D1713" s="58" t="s">
        <v>234</v>
      </c>
      <c r="E1713" s="58" t="s">
        <v>234</v>
      </c>
      <c r="F1713" s="58" t="s">
        <v>235</v>
      </c>
      <c r="G1713" s="58" t="s">
        <v>236</v>
      </c>
      <c r="H1713" s="58" t="s">
        <v>179</v>
      </c>
      <c r="I1713">
        <v>38000</v>
      </c>
      <c r="J1713">
        <v>38000</v>
      </c>
      <c r="K1713">
        <v>20000</v>
      </c>
      <c r="L1713" s="74">
        <v>20.885000000000002</v>
      </c>
      <c r="M1713" s="85">
        <v>21</v>
      </c>
      <c r="N1713" s="74">
        <v>0.94699999999999995</v>
      </c>
      <c r="O1713">
        <v>3</v>
      </c>
      <c r="P1713" s="84">
        <v>0.94699999999999995</v>
      </c>
      <c r="Q1713" s="86">
        <v>4.2</v>
      </c>
      <c r="R1713" s="85">
        <v>4.2</v>
      </c>
      <c r="S1713" s="87">
        <v>1966840</v>
      </c>
      <c r="T1713" s="1">
        <v>1</v>
      </c>
      <c r="U1713" s="88">
        <v>468295.23809523805</v>
      </c>
      <c r="V1713" s="59">
        <v>2.135405015151207</v>
      </c>
      <c r="X1713" s="98">
        <v>4.2</v>
      </c>
      <c r="Y1713" s="97">
        <v>149.73095238095235</v>
      </c>
    </row>
    <row r="1714" spans="1:25">
      <c r="A1714" s="58">
        <v>1716</v>
      </c>
      <c r="B1714" s="58">
        <v>1716</v>
      </c>
      <c r="C1714" s="58" t="s">
        <v>2487</v>
      </c>
      <c r="D1714" s="58" t="s">
        <v>852</v>
      </c>
      <c r="E1714" s="58" t="s">
        <v>852</v>
      </c>
      <c r="F1714" s="58" t="s">
        <v>517</v>
      </c>
      <c r="G1714" s="58" t="s">
        <v>518</v>
      </c>
      <c r="H1714" s="58" t="s">
        <v>179</v>
      </c>
      <c r="I1714">
        <v>38000</v>
      </c>
      <c r="J1714">
        <v>38000</v>
      </c>
      <c r="K1714">
        <v>10000</v>
      </c>
      <c r="L1714" s="74">
        <v>7.298</v>
      </c>
      <c r="M1714" s="85">
        <v>8</v>
      </c>
      <c r="N1714" s="74">
        <v>0.68400000000000005</v>
      </c>
      <c r="O1714">
        <v>3</v>
      </c>
      <c r="P1714" s="84">
        <v>0.68400000000000005</v>
      </c>
      <c r="Q1714" s="86">
        <v>4.2</v>
      </c>
      <c r="R1714" s="85">
        <v>4.2</v>
      </c>
      <c r="S1714" s="87">
        <v>909950</v>
      </c>
      <c r="T1714" s="1">
        <v>4</v>
      </c>
      <c r="U1714" s="88">
        <v>216654.76190476189</v>
      </c>
      <c r="V1714" s="59">
        <v>4.6156382218803227</v>
      </c>
      <c r="X1714" s="98">
        <v>4.2</v>
      </c>
      <c r="Y1714" s="97">
        <v>468.29523809523806</v>
      </c>
    </row>
    <row r="1715" spans="1:25">
      <c r="A1715" s="58">
        <v>1717</v>
      </c>
      <c r="B1715" s="58">
        <v>1717</v>
      </c>
      <c r="C1715" s="58" t="s">
        <v>2488</v>
      </c>
      <c r="D1715" s="58" t="s">
        <v>852</v>
      </c>
      <c r="E1715" s="58" t="s">
        <v>852</v>
      </c>
      <c r="F1715" s="58" t="s">
        <v>2489</v>
      </c>
      <c r="G1715" s="58" t="s">
        <v>2490</v>
      </c>
      <c r="H1715" s="58" t="s">
        <v>199</v>
      </c>
      <c r="I1715">
        <v>110000</v>
      </c>
      <c r="J1715">
        <v>110000</v>
      </c>
      <c r="K1715">
        <v>38000</v>
      </c>
      <c r="L1715" s="74">
        <v>3.8769999999999998</v>
      </c>
      <c r="M1715" s="85">
        <v>4</v>
      </c>
      <c r="N1715" s="74">
        <v>0.90400000000000003</v>
      </c>
      <c r="O1715">
        <v>3</v>
      </c>
      <c r="P1715" s="84">
        <v>0.90400000000000003</v>
      </c>
      <c r="Q1715" s="86">
        <v>4.2</v>
      </c>
      <c r="R1715" s="85">
        <v>4.2</v>
      </c>
      <c r="S1715" s="87">
        <v>1627270</v>
      </c>
      <c r="T1715" s="1">
        <v>7</v>
      </c>
      <c r="U1715" s="88">
        <v>387445.23809523811</v>
      </c>
      <c r="V1715" s="59">
        <v>2.5810099123071155</v>
      </c>
      <c r="X1715" s="98">
        <v>4.2</v>
      </c>
      <c r="Y1715" s="97">
        <v>216.6547619047619</v>
      </c>
    </row>
    <row r="1716" spans="1:25">
      <c r="A1716" s="58">
        <v>1718</v>
      </c>
      <c r="B1716" s="58">
        <v>1718</v>
      </c>
      <c r="C1716" s="58" t="s">
        <v>2491</v>
      </c>
      <c r="D1716" s="58" t="s">
        <v>346</v>
      </c>
      <c r="E1716" s="58" t="s">
        <v>351</v>
      </c>
      <c r="F1716" s="58" t="s">
        <v>1486</v>
      </c>
      <c r="G1716" s="58" t="s">
        <v>1487</v>
      </c>
      <c r="H1716" s="58" t="s">
        <v>199</v>
      </c>
      <c r="I1716">
        <v>110000</v>
      </c>
      <c r="J1716">
        <v>20000</v>
      </c>
      <c r="K1716">
        <v>110000</v>
      </c>
      <c r="L1716" s="74">
        <v>2.0760000000000001</v>
      </c>
      <c r="M1716" s="85">
        <v>3</v>
      </c>
      <c r="N1716" s="74">
        <v>4.4000000000000004</v>
      </c>
      <c r="O1716">
        <v>3</v>
      </c>
      <c r="P1716" s="84">
        <v>3.3000000000000003</v>
      </c>
      <c r="Q1716" s="86">
        <v>21</v>
      </c>
      <c r="R1716" s="85">
        <v>21</v>
      </c>
      <c r="S1716" s="87">
        <v>1550890</v>
      </c>
      <c r="T1716" s="1">
        <v>11</v>
      </c>
      <c r="U1716" s="88">
        <v>73851.904761904763</v>
      </c>
      <c r="V1716" s="59">
        <v>13.540612164628053</v>
      </c>
      <c r="X1716" s="98">
        <v>4.2</v>
      </c>
      <c r="Y1716" s="97">
        <v>387.4452380952381</v>
      </c>
    </row>
    <row r="1717" spans="1:25">
      <c r="A1717" s="58">
        <v>1719</v>
      </c>
      <c r="B1717" s="58">
        <v>1719</v>
      </c>
      <c r="C1717" s="58" t="s">
        <v>2492</v>
      </c>
      <c r="D1717" s="58" t="s">
        <v>351</v>
      </c>
      <c r="E1717" s="58" t="s">
        <v>351</v>
      </c>
      <c r="F1717" s="58" t="s">
        <v>1486</v>
      </c>
      <c r="G1717" s="58" t="s">
        <v>1487</v>
      </c>
      <c r="H1717" s="58" t="s">
        <v>199</v>
      </c>
      <c r="I1717">
        <v>110000</v>
      </c>
      <c r="J1717">
        <v>20000</v>
      </c>
      <c r="K1717">
        <v>110000</v>
      </c>
      <c r="L1717" s="74">
        <v>3.9239999999999999</v>
      </c>
      <c r="M1717" s="85">
        <v>4</v>
      </c>
      <c r="N1717" s="74">
        <v>0.30499999999999999</v>
      </c>
      <c r="O1717">
        <v>3</v>
      </c>
      <c r="P1717" s="84">
        <v>0.30499999999999999</v>
      </c>
      <c r="Q1717" s="86">
        <v>4.2</v>
      </c>
      <c r="R1717" s="85">
        <v>4.2</v>
      </c>
      <c r="S1717" s="87">
        <v>1627270</v>
      </c>
      <c r="T1717" s="1">
        <v>7</v>
      </c>
      <c r="U1717" s="88">
        <v>387445.23809523811</v>
      </c>
      <c r="V1717" s="59">
        <v>2.5810099123071155</v>
      </c>
      <c r="X1717" s="98">
        <v>21</v>
      </c>
      <c r="Y1717" s="97">
        <v>73.851904761904763</v>
      </c>
    </row>
    <row r="1718" spans="1:25">
      <c r="A1718" s="58">
        <v>1720</v>
      </c>
      <c r="B1718" s="58">
        <v>1720</v>
      </c>
      <c r="C1718" s="58" t="s">
        <v>2493</v>
      </c>
      <c r="D1718" s="58" t="s">
        <v>351</v>
      </c>
      <c r="E1718" s="58" t="s">
        <v>351</v>
      </c>
      <c r="F1718" s="58" t="s">
        <v>1078</v>
      </c>
      <c r="G1718" s="58" t="s">
        <v>1079</v>
      </c>
      <c r="H1718" s="58" t="s">
        <v>199</v>
      </c>
      <c r="I1718">
        <v>110000</v>
      </c>
      <c r="J1718">
        <v>20000</v>
      </c>
      <c r="K1718">
        <v>110000</v>
      </c>
      <c r="L1718" s="74">
        <v>1.4330000000000001</v>
      </c>
      <c r="M1718" s="85">
        <v>2</v>
      </c>
      <c r="N1718" s="74">
        <v>0.96</v>
      </c>
      <c r="O1718">
        <v>3</v>
      </c>
      <c r="P1718" s="84">
        <v>0.96</v>
      </c>
      <c r="Q1718" s="86">
        <v>4.2</v>
      </c>
      <c r="R1718" s="85">
        <v>4.2</v>
      </c>
      <c r="S1718" s="87">
        <v>1340080</v>
      </c>
      <c r="T1718" s="1">
        <v>11</v>
      </c>
      <c r="U1718" s="88">
        <v>319066.66666666663</v>
      </c>
      <c r="V1718" s="59">
        <v>3.134141245298788</v>
      </c>
      <c r="X1718" s="98">
        <v>4.2</v>
      </c>
      <c r="Y1718" s="97">
        <v>387.4452380952381</v>
      </c>
    </row>
    <row r="1719" spans="1:25">
      <c r="A1719" s="58">
        <v>1721</v>
      </c>
      <c r="B1719" s="58">
        <v>1721</v>
      </c>
      <c r="C1719" s="58" t="s">
        <v>2494</v>
      </c>
      <c r="D1719" s="58" t="s">
        <v>380</v>
      </c>
      <c r="E1719" s="58" t="s">
        <v>380</v>
      </c>
      <c r="F1719" s="58" t="s">
        <v>381</v>
      </c>
      <c r="G1719" s="58" t="s">
        <v>382</v>
      </c>
      <c r="H1719" s="58" t="s">
        <v>199</v>
      </c>
      <c r="I1719">
        <v>110000</v>
      </c>
      <c r="J1719">
        <v>20000</v>
      </c>
      <c r="K1719">
        <v>110000</v>
      </c>
      <c r="L1719" s="74">
        <v>11.949</v>
      </c>
      <c r="M1719" s="85">
        <v>12</v>
      </c>
      <c r="N1719" s="74">
        <v>0.41399999999999998</v>
      </c>
      <c r="O1719">
        <v>3</v>
      </c>
      <c r="P1719" s="84">
        <v>0.41399999999999998</v>
      </c>
      <c r="Q1719" s="86">
        <v>4.2</v>
      </c>
      <c r="R1719" s="85">
        <v>4.2</v>
      </c>
      <c r="S1719" s="87">
        <v>2048870</v>
      </c>
      <c r="T1719" s="1">
        <v>7</v>
      </c>
      <c r="U1719" s="88">
        <v>487826.19047619047</v>
      </c>
      <c r="V1719" s="59">
        <v>2.0499104384367968</v>
      </c>
      <c r="X1719" s="98">
        <v>4.2</v>
      </c>
      <c r="Y1719" s="97">
        <v>319.06666666666661</v>
      </c>
    </row>
    <row r="1720" spans="1:25">
      <c r="A1720" s="58">
        <v>1722</v>
      </c>
      <c r="B1720" s="58">
        <v>1722</v>
      </c>
      <c r="C1720" s="58" t="s">
        <v>2495</v>
      </c>
      <c r="D1720" s="58" t="s">
        <v>380</v>
      </c>
      <c r="E1720" s="58" t="s">
        <v>384</v>
      </c>
      <c r="F1720" s="58" t="s">
        <v>381</v>
      </c>
      <c r="G1720" s="58" t="s">
        <v>382</v>
      </c>
      <c r="H1720" s="58" t="s">
        <v>199</v>
      </c>
      <c r="I1720">
        <v>110000</v>
      </c>
      <c r="J1720">
        <v>20000</v>
      </c>
      <c r="K1720">
        <v>110000</v>
      </c>
      <c r="L1720" s="74">
        <v>9.6980000000000004</v>
      </c>
      <c r="M1720" s="85">
        <v>10</v>
      </c>
      <c r="N1720" s="74">
        <v>1.694</v>
      </c>
      <c r="O1720">
        <v>3</v>
      </c>
      <c r="P1720" s="84">
        <v>1.2705</v>
      </c>
      <c r="Q1720" s="86">
        <v>8.4</v>
      </c>
      <c r="R1720" s="85">
        <v>8.4</v>
      </c>
      <c r="S1720" s="87">
        <v>1943470</v>
      </c>
      <c r="T1720" s="1">
        <v>7</v>
      </c>
      <c r="U1720" s="88">
        <v>231365.47619047618</v>
      </c>
      <c r="V1720" s="59">
        <v>4.3221660226296263</v>
      </c>
      <c r="X1720" s="98">
        <v>4.2</v>
      </c>
      <c r="Y1720" s="97">
        <v>487.82619047619045</v>
      </c>
    </row>
    <row r="1721" spans="1:25">
      <c r="A1721" s="58">
        <v>1723</v>
      </c>
      <c r="B1721" s="58">
        <v>1723</v>
      </c>
      <c r="C1721" s="58" t="s">
        <v>2496</v>
      </c>
      <c r="D1721" s="58" t="s">
        <v>207</v>
      </c>
      <c r="E1721" s="58" t="s">
        <v>207</v>
      </c>
      <c r="F1721" s="58" t="s">
        <v>393</v>
      </c>
      <c r="G1721" s="58" t="s">
        <v>394</v>
      </c>
      <c r="H1721" s="58" t="s">
        <v>179</v>
      </c>
      <c r="I1721">
        <v>38000</v>
      </c>
      <c r="J1721">
        <v>38000</v>
      </c>
      <c r="K1721" s="58" t="s">
        <v>185</v>
      </c>
      <c r="L1721" s="74">
        <v>10.561</v>
      </c>
      <c r="M1721" s="85">
        <v>11</v>
      </c>
      <c r="N1721" s="74">
        <v>0.59899999999999998</v>
      </c>
      <c r="O1721">
        <v>3</v>
      </c>
      <c r="P1721" s="84">
        <v>0.59899999999999998</v>
      </c>
      <c r="Q1721" s="86">
        <v>4.2</v>
      </c>
      <c r="R1721" s="85">
        <v>4.2</v>
      </c>
      <c r="S1721" s="87">
        <v>1439840</v>
      </c>
      <c r="T1721" s="1">
        <v>1</v>
      </c>
      <c r="U1721" s="88">
        <v>342819.04761904763</v>
      </c>
      <c r="V1721" s="59">
        <v>2.9169907767529724</v>
      </c>
      <c r="X1721" s="98">
        <v>8.4</v>
      </c>
      <c r="Y1721" s="97">
        <v>231.36547619047619</v>
      </c>
    </row>
    <row r="1722" spans="1:25">
      <c r="A1722" s="58">
        <v>1724</v>
      </c>
      <c r="B1722" s="58">
        <v>1724</v>
      </c>
      <c r="C1722" s="58" t="s">
        <v>2497</v>
      </c>
      <c r="D1722" s="58" t="s">
        <v>207</v>
      </c>
      <c r="E1722" s="58" t="s">
        <v>207</v>
      </c>
      <c r="F1722" s="58" t="s">
        <v>393</v>
      </c>
      <c r="G1722" s="58" t="s">
        <v>394</v>
      </c>
      <c r="H1722" s="58" t="s">
        <v>179</v>
      </c>
      <c r="I1722">
        <v>38000</v>
      </c>
      <c r="J1722">
        <v>38000</v>
      </c>
      <c r="K1722" s="58" t="s">
        <v>185</v>
      </c>
      <c r="L1722" s="74">
        <v>7.19</v>
      </c>
      <c r="M1722" s="85">
        <v>8</v>
      </c>
      <c r="N1722" s="74">
        <v>1.071</v>
      </c>
      <c r="O1722">
        <v>3</v>
      </c>
      <c r="P1722" s="84">
        <v>1.071</v>
      </c>
      <c r="Q1722" s="86">
        <v>4.2</v>
      </c>
      <c r="R1722" s="85">
        <v>4.2</v>
      </c>
      <c r="S1722" s="87">
        <v>909950</v>
      </c>
      <c r="T1722" s="1">
        <v>4</v>
      </c>
      <c r="U1722" s="88">
        <v>216654.76190476189</v>
      </c>
      <c r="V1722" s="59">
        <v>4.6156382218803227</v>
      </c>
      <c r="X1722" s="98">
        <v>4.2</v>
      </c>
      <c r="Y1722" s="97">
        <v>342.81904761904764</v>
      </c>
    </row>
    <row r="1723" spans="1:25">
      <c r="A1723" s="58">
        <v>1725</v>
      </c>
      <c r="B1723" s="58">
        <v>1725</v>
      </c>
      <c r="C1723" s="58" t="s">
        <v>2498</v>
      </c>
      <c r="D1723" s="58" t="s">
        <v>207</v>
      </c>
      <c r="E1723" s="58" t="s">
        <v>207</v>
      </c>
      <c r="F1723" s="58" t="s">
        <v>393</v>
      </c>
      <c r="G1723" s="58" t="s">
        <v>394</v>
      </c>
      <c r="H1723" s="58" t="s">
        <v>179</v>
      </c>
      <c r="I1723">
        <v>38000</v>
      </c>
      <c r="J1723">
        <v>38000</v>
      </c>
      <c r="K1723" s="58" t="s">
        <v>185</v>
      </c>
      <c r="L1723" s="74">
        <v>6.7220000000000004</v>
      </c>
      <c r="M1723" s="85">
        <v>7</v>
      </c>
      <c r="N1723" s="74">
        <v>1.0049999999999999</v>
      </c>
      <c r="O1723">
        <v>3</v>
      </c>
      <c r="P1723" s="84">
        <v>1.0049999999999999</v>
      </c>
      <c r="Q1723" s="86">
        <v>4.2</v>
      </c>
      <c r="R1723" s="85">
        <v>4.2</v>
      </c>
      <c r="S1723" s="87">
        <v>839680</v>
      </c>
      <c r="T1723" s="1">
        <v>4</v>
      </c>
      <c r="U1723" s="88">
        <v>199923.80952380953</v>
      </c>
      <c r="V1723" s="59">
        <v>5.0019054878048781</v>
      </c>
      <c r="X1723" s="98">
        <v>4.2</v>
      </c>
      <c r="Y1723" s="97">
        <v>216.6547619047619</v>
      </c>
    </row>
    <row r="1724" spans="1:25">
      <c r="A1724" s="58">
        <v>1726</v>
      </c>
      <c r="B1724" s="58">
        <v>1726</v>
      </c>
      <c r="C1724" s="58" t="s">
        <v>2499</v>
      </c>
      <c r="D1724" s="58" t="s">
        <v>207</v>
      </c>
      <c r="E1724" s="58" t="s">
        <v>207</v>
      </c>
      <c r="F1724" s="58" t="s">
        <v>705</v>
      </c>
      <c r="G1724" s="58" t="s">
        <v>706</v>
      </c>
      <c r="H1724" s="58" t="s">
        <v>179</v>
      </c>
      <c r="I1724">
        <v>38000</v>
      </c>
      <c r="J1724" s="58" t="s">
        <v>185</v>
      </c>
      <c r="K1724">
        <v>38000</v>
      </c>
      <c r="L1724" s="74">
        <v>11.664999999999999</v>
      </c>
      <c r="M1724" s="85">
        <v>12</v>
      </c>
      <c r="N1724" s="74">
        <v>3.9470000000000001</v>
      </c>
      <c r="O1724">
        <v>3</v>
      </c>
      <c r="P1724" s="84">
        <v>2.9602500000000003</v>
      </c>
      <c r="Q1724" s="86">
        <v>21</v>
      </c>
      <c r="R1724" s="85">
        <v>21</v>
      </c>
      <c r="S1724" s="87">
        <v>1191030</v>
      </c>
      <c r="T1724" s="1">
        <v>4</v>
      </c>
      <c r="U1724" s="88">
        <v>56715.714285714283</v>
      </c>
      <c r="V1724" s="59">
        <v>17.631797687715675</v>
      </c>
      <c r="X1724" s="98">
        <v>4.2</v>
      </c>
      <c r="Y1724" s="97">
        <v>199.92380952380952</v>
      </c>
    </row>
    <row r="1725" spans="1:25">
      <c r="A1725" s="58">
        <v>1727</v>
      </c>
      <c r="B1725" s="58">
        <v>1727</v>
      </c>
      <c r="C1725" s="58" t="s">
        <v>2500</v>
      </c>
      <c r="D1725" s="58" t="s">
        <v>207</v>
      </c>
      <c r="E1725" s="58" t="s">
        <v>207</v>
      </c>
      <c r="F1725" s="58" t="s">
        <v>389</v>
      </c>
      <c r="G1725" s="58" t="s">
        <v>390</v>
      </c>
      <c r="H1725" s="58" t="s">
        <v>199</v>
      </c>
      <c r="I1725">
        <v>110000</v>
      </c>
      <c r="J1725">
        <v>110000</v>
      </c>
      <c r="K1725">
        <v>38000</v>
      </c>
      <c r="L1725" s="74">
        <v>5.9480000000000004</v>
      </c>
      <c r="M1725" s="85">
        <v>6</v>
      </c>
      <c r="N1725" s="74">
        <v>1.028</v>
      </c>
      <c r="O1725">
        <v>3</v>
      </c>
      <c r="P1725" s="84">
        <v>1.028</v>
      </c>
      <c r="Q1725" s="86">
        <v>4.2</v>
      </c>
      <c r="R1725" s="85">
        <v>4.2</v>
      </c>
      <c r="S1725" s="87">
        <v>1732670</v>
      </c>
      <c r="T1725" s="1">
        <v>7</v>
      </c>
      <c r="U1725" s="88">
        <v>412540.47619047615</v>
      </c>
      <c r="V1725" s="59">
        <v>2.4240045709800482</v>
      </c>
      <c r="X1725" s="98">
        <v>21</v>
      </c>
      <c r="Y1725" s="97">
        <v>56.715714285714284</v>
      </c>
    </row>
    <row r="1726" spans="1:25">
      <c r="A1726" s="58">
        <v>1728</v>
      </c>
      <c r="B1726" s="58">
        <v>1728</v>
      </c>
      <c r="C1726" s="58" t="s">
        <v>2501</v>
      </c>
      <c r="D1726" s="58" t="s">
        <v>207</v>
      </c>
      <c r="E1726" s="58" t="s">
        <v>207</v>
      </c>
      <c r="F1726" s="58" t="s">
        <v>208</v>
      </c>
      <c r="G1726" s="58" t="s">
        <v>209</v>
      </c>
      <c r="H1726" s="58" t="s">
        <v>199</v>
      </c>
      <c r="I1726">
        <v>110000</v>
      </c>
      <c r="J1726">
        <v>110000</v>
      </c>
      <c r="K1726">
        <v>38000</v>
      </c>
      <c r="L1726" s="74">
        <v>12.404999999999999</v>
      </c>
      <c r="M1726" s="85">
        <v>13</v>
      </c>
      <c r="N1726" s="74">
        <v>0.53500000000000003</v>
      </c>
      <c r="O1726">
        <v>3</v>
      </c>
      <c r="P1726" s="84">
        <v>0.53500000000000003</v>
      </c>
      <c r="Q1726" s="86">
        <v>4.2</v>
      </c>
      <c r="R1726" s="85">
        <v>4.2</v>
      </c>
      <c r="S1726" s="87">
        <v>2101570</v>
      </c>
      <c r="T1726" s="1">
        <v>7</v>
      </c>
      <c r="U1726" s="88">
        <v>500373.80952380953</v>
      </c>
      <c r="V1726" s="59">
        <v>1.9985058789381271</v>
      </c>
      <c r="X1726" s="98">
        <v>4.2</v>
      </c>
      <c r="Y1726" s="97">
        <v>412.54047619047617</v>
      </c>
    </row>
    <row r="1727" spans="1:25">
      <c r="A1727" s="58">
        <v>1729</v>
      </c>
      <c r="B1727" s="58">
        <v>1729</v>
      </c>
      <c r="C1727" s="58" t="s">
        <v>2502</v>
      </c>
      <c r="D1727" s="58" t="s">
        <v>207</v>
      </c>
      <c r="E1727" s="58" t="s">
        <v>207</v>
      </c>
      <c r="F1727" s="58" t="s">
        <v>476</v>
      </c>
      <c r="G1727" s="58" t="s">
        <v>477</v>
      </c>
      <c r="H1727" s="58" t="s">
        <v>179</v>
      </c>
      <c r="I1727">
        <v>38000</v>
      </c>
      <c r="J1727">
        <v>20000</v>
      </c>
      <c r="K1727">
        <v>38000</v>
      </c>
      <c r="L1727" s="74">
        <v>2.4889999999999999</v>
      </c>
      <c r="M1727" s="85">
        <v>3</v>
      </c>
      <c r="N1727" s="74">
        <v>0.64800000000000002</v>
      </c>
      <c r="O1727">
        <v>3</v>
      </c>
      <c r="P1727" s="84">
        <v>0.64800000000000002</v>
      </c>
      <c r="Q1727" s="86">
        <v>4.2</v>
      </c>
      <c r="R1727" s="85">
        <v>4.2</v>
      </c>
      <c r="S1727" s="87">
        <v>558600</v>
      </c>
      <c r="T1727" s="1">
        <v>4</v>
      </c>
      <c r="U1727" s="88">
        <v>133000</v>
      </c>
      <c r="V1727" s="59">
        <v>7.518796992481203</v>
      </c>
      <c r="X1727" s="98">
        <v>4.2</v>
      </c>
      <c r="Y1727" s="97">
        <v>500.37380952380948</v>
      </c>
    </row>
    <row r="1728" spans="1:25">
      <c r="A1728" s="58">
        <v>1730</v>
      </c>
      <c r="B1728" s="58">
        <v>1730</v>
      </c>
      <c r="C1728" s="58" t="s">
        <v>2503</v>
      </c>
      <c r="D1728" s="58" t="s">
        <v>207</v>
      </c>
      <c r="E1728" s="58" t="s">
        <v>207</v>
      </c>
      <c r="F1728" s="58" t="s">
        <v>705</v>
      </c>
      <c r="G1728" s="58" t="s">
        <v>706</v>
      </c>
      <c r="H1728" s="58" t="s">
        <v>179</v>
      </c>
      <c r="I1728">
        <v>38000</v>
      </c>
      <c r="J1728" s="58" t="s">
        <v>185</v>
      </c>
      <c r="K1728">
        <v>38000</v>
      </c>
      <c r="L1728" s="74">
        <v>1.9850000000000001</v>
      </c>
      <c r="M1728" s="85">
        <v>2</v>
      </c>
      <c r="N1728" s="74">
        <v>0.60699999999999998</v>
      </c>
      <c r="O1728">
        <v>3</v>
      </c>
      <c r="P1728" s="84">
        <v>0.60699999999999998</v>
      </c>
      <c r="Q1728" s="86">
        <v>4.2</v>
      </c>
      <c r="R1728" s="85">
        <v>4.2</v>
      </c>
      <c r="S1728" s="87">
        <v>488330</v>
      </c>
      <c r="T1728" s="1">
        <v>4</v>
      </c>
      <c r="U1728" s="88">
        <v>116269.04761904762</v>
      </c>
      <c r="V1728" s="59">
        <v>8.6007413019884087</v>
      </c>
      <c r="X1728" s="98">
        <v>4.2</v>
      </c>
      <c r="Y1728" s="97">
        <v>133</v>
      </c>
    </row>
    <row r="1729" spans="1:25">
      <c r="A1729" s="58">
        <v>1731</v>
      </c>
      <c r="B1729" s="58">
        <v>1731</v>
      </c>
      <c r="C1729" s="58" t="s">
        <v>2504</v>
      </c>
      <c r="D1729" s="58" t="s">
        <v>176</v>
      </c>
      <c r="E1729" s="58" t="s">
        <v>176</v>
      </c>
      <c r="F1729" s="58" t="s">
        <v>285</v>
      </c>
      <c r="G1729" s="58" t="s">
        <v>286</v>
      </c>
      <c r="H1729" s="58" t="s">
        <v>179</v>
      </c>
      <c r="I1729">
        <v>38000</v>
      </c>
      <c r="J1729">
        <v>38000</v>
      </c>
      <c r="K1729">
        <v>20000</v>
      </c>
      <c r="L1729" s="74">
        <v>6.0590000000000002</v>
      </c>
      <c r="M1729" s="85">
        <v>7</v>
      </c>
      <c r="N1729" s="74">
        <v>0.65700000000000003</v>
      </c>
      <c r="O1729">
        <v>3</v>
      </c>
      <c r="P1729" s="84">
        <v>0.65700000000000003</v>
      </c>
      <c r="Q1729" s="86">
        <v>4.2</v>
      </c>
      <c r="R1729" s="85">
        <v>4.2</v>
      </c>
      <c r="S1729" s="87">
        <v>839680</v>
      </c>
      <c r="T1729" s="1">
        <v>4</v>
      </c>
      <c r="U1729" s="88">
        <v>199923.80952380953</v>
      </c>
      <c r="V1729" s="59">
        <v>5.0019054878048781</v>
      </c>
      <c r="X1729" s="98">
        <v>4.2</v>
      </c>
      <c r="Y1729" s="97">
        <v>116.26904761904763</v>
      </c>
    </row>
    <row r="1730" spans="1:25">
      <c r="A1730" s="58">
        <v>1732</v>
      </c>
      <c r="B1730" s="58">
        <v>1732</v>
      </c>
      <c r="C1730" s="58" t="s">
        <v>2505</v>
      </c>
      <c r="D1730" s="58" t="s">
        <v>176</v>
      </c>
      <c r="E1730" s="58" t="s">
        <v>176</v>
      </c>
      <c r="F1730" s="58" t="s">
        <v>713</v>
      </c>
      <c r="G1730" s="58" t="s">
        <v>714</v>
      </c>
      <c r="H1730" s="58" t="s">
        <v>199</v>
      </c>
      <c r="I1730">
        <v>110000</v>
      </c>
      <c r="J1730" s="58" t="s">
        <v>185</v>
      </c>
      <c r="K1730">
        <v>110000</v>
      </c>
      <c r="L1730" s="74">
        <v>1.397</v>
      </c>
      <c r="M1730" s="85">
        <v>2</v>
      </c>
      <c r="N1730" s="74">
        <v>1.1970000000000001</v>
      </c>
      <c r="O1730">
        <v>3</v>
      </c>
      <c r="P1730" s="84">
        <v>1.1970000000000001</v>
      </c>
      <c r="Q1730" s="86">
        <v>4.2</v>
      </c>
      <c r="R1730" s="85">
        <v>4.2</v>
      </c>
      <c r="S1730" s="87">
        <v>1340080</v>
      </c>
      <c r="T1730" s="1">
        <v>11</v>
      </c>
      <c r="U1730" s="88">
        <v>319066.66666666663</v>
      </c>
      <c r="V1730" s="59">
        <v>3.134141245298788</v>
      </c>
      <c r="X1730" s="98">
        <v>4.2</v>
      </c>
      <c r="Y1730" s="97">
        <v>199.92380952380952</v>
      </c>
    </row>
    <row r="1731" spans="1:25">
      <c r="A1731" s="58">
        <v>1733</v>
      </c>
      <c r="B1731" s="58">
        <v>1733</v>
      </c>
      <c r="C1731" s="58" t="s">
        <v>2506</v>
      </c>
      <c r="D1731" s="58" t="s">
        <v>215</v>
      </c>
      <c r="E1731" s="58" t="s">
        <v>215</v>
      </c>
      <c r="F1731" s="58" t="s">
        <v>406</v>
      </c>
      <c r="G1731" s="58" t="s">
        <v>407</v>
      </c>
      <c r="H1731" s="58" t="s">
        <v>179</v>
      </c>
      <c r="I1731">
        <v>38000</v>
      </c>
      <c r="J1731" s="58" t="s">
        <v>185</v>
      </c>
      <c r="K1731">
        <v>38000</v>
      </c>
      <c r="L1731" s="74">
        <v>3.31</v>
      </c>
      <c r="M1731" s="85">
        <v>4</v>
      </c>
      <c r="N1731" s="74">
        <v>1.4219999999999999</v>
      </c>
      <c r="O1731">
        <v>3</v>
      </c>
      <c r="P1731" s="84">
        <v>1.0665</v>
      </c>
      <c r="Q1731" s="86">
        <v>4.2</v>
      </c>
      <c r="R1731" s="85">
        <v>4.2</v>
      </c>
      <c r="S1731" s="87">
        <v>628870</v>
      </c>
      <c r="T1731" s="1">
        <v>4</v>
      </c>
      <c r="U1731" s="88">
        <v>149730.95238095237</v>
      </c>
      <c r="V1731" s="59">
        <v>6.6786458250512828</v>
      </c>
      <c r="X1731" s="98">
        <v>4.2</v>
      </c>
      <c r="Y1731" s="97">
        <v>319.06666666666661</v>
      </c>
    </row>
    <row r="1732" spans="1:25">
      <c r="A1732" s="58">
        <v>1734</v>
      </c>
      <c r="B1732" s="58">
        <v>1734</v>
      </c>
      <c r="C1732" s="58" t="s">
        <v>2507</v>
      </c>
      <c r="D1732" s="58" t="s">
        <v>215</v>
      </c>
      <c r="E1732" s="58" t="s">
        <v>215</v>
      </c>
      <c r="F1732" s="58" t="s">
        <v>406</v>
      </c>
      <c r="G1732" s="58" t="s">
        <v>407</v>
      </c>
      <c r="H1732" s="58" t="s">
        <v>179</v>
      </c>
      <c r="I1732">
        <v>38000</v>
      </c>
      <c r="J1732" s="58" t="s">
        <v>185</v>
      </c>
      <c r="K1732">
        <v>38000</v>
      </c>
      <c r="L1732" s="74">
        <v>2.5190000000000001</v>
      </c>
      <c r="M1732" s="85">
        <v>3</v>
      </c>
      <c r="N1732" s="74">
        <v>0.66400000000000003</v>
      </c>
      <c r="O1732">
        <v>3</v>
      </c>
      <c r="P1732" s="84">
        <v>0.66400000000000003</v>
      </c>
      <c r="Q1732" s="86">
        <v>4.2</v>
      </c>
      <c r="R1732" s="85">
        <v>4.2</v>
      </c>
      <c r="S1732" s="87">
        <v>558600</v>
      </c>
      <c r="T1732" s="1">
        <v>4</v>
      </c>
      <c r="U1732" s="88">
        <v>133000</v>
      </c>
      <c r="V1732" s="59">
        <v>7.518796992481203</v>
      </c>
      <c r="X1732" s="98">
        <v>4.2</v>
      </c>
      <c r="Y1732" s="97">
        <v>149.73095238095235</v>
      </c>
    </row>
    <row r="1733" spans="1:25">
      <c r="A1733" s="58">
        <v>1735</v>
      </c>
      <c r="B1733" s="58">
        <v>1735</v>
      </c>
      <c r="C1733" s="58" t="s">
        <v>2508</v>
      </c>
      <c r="D1733" s="58" t="s">
        <v>176</v>
      </c>
      <c r="E1733" s="58" t="s">
        <v>176</v>
      </c>
      <c r="F1733" s="58" t="s">
        <v>1523</v>
      </c>
      <c r="G1733" s="58" t="s">
        <v>1524</v>
      </c>
      <c r="H1733" s="58" t="s">
        <v>199</v>
      </c>
      <c r="I1733">
        <v>110000</v>
      </c>
      <c r="J1733" s="58" t="s">
        <v>1525</v>
      </c>
      <c r="K1733">
        <v>110000</v>
      </c>
      <c r="L1733" s="74">
        <v>2.6520000000000001</v>
      </c>
      <c r="M1733" s="85">
        <v>3</v>
      </c>
      <c r="N1733" s="74">
        <v>0.63900000000000001</v>
      </c>
      <c r="O1733">
        <v>3</v>
      </c>
      <c r="P1733" s="84">
        <v>0.63900000000000001</v>
      </c>
      <c r="Q1733" s="86">
        <v>4.2</v>
      </c>
      <c r="R1733" s="85">
        <v>4.2</v>
      </c>
      <c r="S1733" s="87">
        <v>1574570</v>
      </c>
      <c r="T1733" s="1">
        <v>7</v>
      </c>
      <c r="U1733" s="88">
        <v>374897.61904761905</v>
      </c>
      <c r="V1733" s="59">
        <v>2.6673949078161021</v>
      </c>
      <c r="X1733" s="98">
        <v>4.2</v>
      </c>
      <c r="Y1733" s="97">
        <v>133</v>
      </c>
    </row>
    <row r="1734" spans="1:25">
      <c r="A1734" s="58">
        <v>1736</v>
      </c>
      <c r="B1734" s="58">
        <v>1736</v>
      </c>
      <c r="C1734" s="58" t="s">
        <v>2509</v>
      </c>
      <c r="D1734" s="58" t="s">
        <v>176</v>
      </c>
      <c r="E1734" s="58" t="s">
        <v>176</v>
      </c>
      <c r="F1734" s="58" t="s">
        <v>564</v>
      </c>
      <c r="G1734" s="58" t="s">
        <v>565</v>
      </c>
      <c r="H1734" s="58" t="s">
        <v>199</v>
      </c>
      <c r="I1734">
        <v>110000</v>
      </c>
      <c r="L1734" s="74">
        <v>2.391</v>
      </c>
      <c r="M1734" s="85">
        <v>3</v>
      </c>
      <c r="N1734" s="74">
        <v>0.82299999999999995</v>
      </c>
      <c r="O1734">
        <v>3</v>
      </c>
      <c r="P1734" s="84">
        <v>0.82299999999999995</v>
      </c>
      <c r="Q1734" s="86">
        <v>4.2</v>
      </c>
      <c r="R1734" s="85">
        <v>4.2</v>
      </c>
      <c r="S1734" s="87">
        <v>1574570</v>
      </c>
      <c r="T1734" s="1">
        <v>7</v>
      </c>
      <c r="U1734" s="88">
        <v>374897.61904761905</v>
      </c>
      <c r="V1734" s="59">
        <v>2.6673949078161021</v>
      </c>
      <c r="X1734" s="98">
        <v>4.2</v>
      </c>
      <c r="Y1734" s="97">
        <v>374.89761904761906</v>
      </c>
    </row>
    <row r="1735" spans="1:25">
      <c r="A1735" s="58">
        <v>1737</v>
      </c>
      <c r="B1735" s="58">
        <v>1737</v>
      </c>
      <c r="C1735" s="58" t="s">
        <v>2510</v>
      </c>
      <c r="D1735" s="58" t="s">
        <v>176</v>
      </c>
      <c r="E1735" s="58" t="s">
        <v>176</v>
      </c>
      <c r="F1735" s="58" t="s">
        <v>564</v>
      </c>
      <c r="G1735" s="58" t="s">
        <v>565</v>
      </c>
      <c r="H1735" s="58" t="s">
        <v>199</v>
      </c>
      <c r="I1735">
        <v>110000</v>
      </c>
      <c r="L1735" s="74">
        <v>5.5279999999999996</v>
      </c>
      <c r="M1735" s="85">
        <v>6</v>
      </c>
      <c r="N1735" s="74">
        <v>1.123</v>
      </c>
      <c r="O1735">
        <v>3</v>
      </c>
      <c r="P1735" s="84">
        <v>1.123</v>
      </c>
      <c r="Q1735" s="86">
        <v>4.2</v>
      </c>
      <c r="R1735" s="85">
        <v>4.2</v>
      </c>
      <c r="S1735" s="87">
        <v>1732670</v>
      </c>
      <c r="T1735" s="1">
        <v>7</v>
      </c>
      <c r="U1735" s="88">
        <v>412540.47619047615</v>
      </c>
      <c r="V1735" s="59">
        <v>2.4240045709800482</v>
      </c>
      <c r="X1735" s="98">
        <v>4.2</v>
      </c>
      <c r="Y1735" s="97">
        <v>374.89761904761906</v>
      </c>
    </row>
    <row r="1736" spans="1:25">
      <c r="A1736" s="58">
        <v>1738</v>
      </c>
      <c r="B1736" s="58">
        <v>1738</v>
      </c>
      <c r="C1736" s="58" t="s">
        <v>2511</v>
      </c>
      <c r="D1736" s="58" t="s">
        <v>176</v>
      </c>
      <c r="E1736" s="58" t="s">
        <v>176</v>
      </c>
      <c r="F1736" s="58" t="s">
        <v>719</v>
      </c>
      <c r="G1736" s="58" t="s">
        <v>720</v>
      </c>
      <c r="H1736" s="58" t="s">
        <v>199</v>
      </c>
      <c r="I1736">
        <v>110000</v>
      </c>
      <c r="J1736">
        <v>38000</v>
      </c>
      <c r="K1736">
        <v>110000</v>
      </c>
      <c r="L1736" s="74">
        <v>3.6110000000000002</v>
      </c>
      <c r="M1736" s="85">
        <v>4</v>
      </c>
      <c r="N1736" s="74">
        <v>1.05</v>
      </c>
      <c r="O1736">
        <v>3</v>
      </c>
      <c r="P1736" s="84">
        <v>1.05</v>
      </c>
      <c r="Q1736" s="86">
        <v>4.2</v>
      </c>
      <c r="R1736" s="85">
        <v>4.2</v>
      </c>
      <c r="S1736" s="87">
        <v>1627270</v>
      </c>
      <c r="T1736" s="1">
        <v>7</v>
      </c>
      <c r="U1736" s="88">
        <v>387445.23809523811</v>
      </c>
      <c r="V1736" s="59">
        <v>2.5810099123071155</v>
      </c>
      <c r="X1736" s="98">
        <v>4.2</v>
      </c>
      <c r="Y1736" s="97">
        <v>412.54047619047617</v>
      </c>
    </row>
    <row r="1737" spans="1:25">
      <c r="A1737" s="58">
        <v>1739</v>
      </c>
      <c r="B1737" s="58">
        <v>1739</v>
      </c>
      <c r="C1737" s="58" t="s">
        <v>2512</v>
      </c>
      <c r="D1737" s="58" t="s">
        <v>176</v>
      </c>
      <c r="E1737" s="58" t="s">
        <v>176</v>
      </c>
      <c r="F1737" s="58" t="s">
        <v>564</v>
      </c>
      <c r="G1737" s="58" t="s">
        <v>565</v>
      </c>
      <c r="H1737" s="58" t="s">
        <v>199</v>
      </c>
      <c r="I1737">
        <v>110000</v>
      </c>
      <c r="L1737" s="74">
        <v>5.5369999999999999</v>
      </c>
      <c r="M1737" s="85">
        <v>6</v>
      </c>
      <c r="N1737" s="74">
        <v>1.101</v>
      </c>
      <c r="O1737">
        <v>3</v>
      </c>
      <c r="P1737" s="84">
        <v>1.101</v>
      </c>
      <c r="Q1737" s="86">
        <v>4.2</v>
      </c>
      <c r="R1737" s="85">
        <v>4.2</v>
      </c>
      <c r="S1737" s="87">
        <v>1732670</v>
      </c>
      <c r="T1737" s="1">
        <v>7</v>
      </c>
      <c r="U1737" s="88">
        <v>412540.47619047615</v>
      </c>
      <c r="V1737" s="59">
        <v>2.4240045709800482</v>
      </c>
      <c r="X1737" s="98">
        <v>4.2</v>
      </c>
      <c r="Y1737" s="97">
        <v>387.4452380952381</v>
      </c>
    </row>
    <row r="1738" spans="1:25">
      <c r="A1738" s="58">
        <v>1740</v>
      </c>
      <c r="B1738" s="58">
        <v>1740</v>
      </c>
      <c r="C1738" s="58" t="s">
        <v>2513</v>
      </c>
      <c r="D1738" s="58" t="s">
        <v>215</v>
      </c>
      <c r="E1738" s="58" t="s">
        <v>176</v>
      </c>
      <c r="F1738" s="58" t="s">
        <v>2514</v>
      </c>
      <c r="G1738" s="58" t="s">
        <v>2515</v>
      </c>
      <c r="H1738" s="58" t="s">
        <v>179</v>
      </c>
      <c r="I1738">
        <v>38000</v>
      </c>
      <c r="J1738">
        <v>38000</v>
      </c>
      <c r="K1738" s="58" t="s">
        <v>185</v>
      </c>
      <c r="L1738" s="74">
        <v>6.2119999999999997</v>
      </c>
      <c r="M1738" s="85">
        <v>7</v>
      </c>
      <c r="N1738" s="74">
        <v>0.64600000000000002</v>
      </c>
      <c r="O1738">
        <v>3</v>
      </c>
      <c r="P1738" s="84">
        <v>0.64600000000000002</v>
      </c>
      <c r="Q1738" s="86">
        <v>4.2</v>
      </c>
      <c r="R1738" s="85">
        <v>4.2</v>
      </c>
      <c r="S1738" s="87">
        <v>839680</v>
      </c>
      <c r="T1738" s="1">
        <v>4</v>
      </c>
      <c r="U1738" s="88">
        <v>199923.80952380953</v>
      </c>
      <c r="V1738" s="59">
        <v>5.0019054878048781</v>
      </c>
      <c r="X1738" s="98">
        <v>4.2</v>
      </c>
      <c r="Y1738" s="97">
        <v>412.54047619047617</v>
      </c>
    </row>
    <row r="1739" spans="1:25">
      <c r="A1739" s="58">
        <v>1741</v>
      </c>
      <c r="B1739" s="58">
        <v>1741</v>
      </c>
      <c r="C1739" s="58" t="s">
        <v>2516</v>
      </c>
      <c r="D1739" s="58" t="s">
        <v>215</v>
      </c>
      <c r="E1739" s="58" t="s">
        <v>215</v>
      </c>
      <c r="F1739" s="58" t="s">
        <v>724</v>
      </c>
      <c r="G1739" s="58" t="s">
        <v>725</v>
      </c>
      <c r="H1739" s="58" t="s">
        <v>179</v>
      </c>
      <c r="I1739">
        <v>38000</v>
      </c>
      <c r="J1739" s="58" t="s">
        <v>185</v>
      </c>
      <c r="K1739">
        <v>38000</v>
      </c>
      <c r="L1739" s="74">
        <v>7.1369999999999996</v>
      </c>
      <c r="M1739" s="85">
        <v>8</v>
      </c>
      <c r="N1739" s="74">
        <v>2.3159999999999998</v>
      </c>
      <c r="O1739">
        <v>3</v>
      </c>
      <c r="P1739" s="84">
        <v>1.7369999999999999</v>
      </c>
      <c r="Q1739" s="86">
        <v>8.4</v>
      </c>
      <c r="R1739" s="85">
        <v>8.4</v>
      </c>
      <c r="S1739" s="87">
        <v>909950</v>
      </c>
      <c r="T1739" s="1">
        <v>4</v>
      </c>
      <c r="U1739" s="88">
        <v>108327.38095238095</v>
      </c>
      <c r="V1739" s="59">
        <v>9.2312764437606454</v>
      </c>
      <c r="X1739" s="98">
        <v>4.2</v>
      </c>
      <c r="Y1739" s="97">
        <v>199.92380952380952</v>
      </c>
    </row>
    <row r="1740" spans="1:25">
      <c r="A1740" s="58">
        <v>1742</v>
      </c>
      <c r="B1740" s="58">
        <v>1742</v>
      </c>
      <c r="C1740" s="58" t="s">
        <v>2517</v>
      </c>
      <c r="D1740" s="58" t="s">
        <v>215</v>
      </c>
      <c r="E1740" s="58" t="s">
        <v>215</v>
      </c>
      <c r="F1740" s="58" t="s">
        <v>845</v>
      </c>
      <c r="G1740" s="58" t="s">
        <v>846</v>
      </c>
      <c r="H1740" s="58" t="s">
        <v>199</v>
      </c>
      <c r="I1740">
        <v>110000</v>
      </c>
      <c r="L1740" s="74">
        <v>2.427</v>
      </c>
      <c r="M1740" s="85">
        <v>3</v>
      </c>
      <c r="N1740" s="74">
        <v>0.28399999999999997</v>
      </c>
      <c r="O1740">
        <v>3</v>
      </c>
      <c r="P1740" s="84">
        <v>0.28399999999999997</v>
      </c>
      <c r="Q1740" s="86">
        <v>4.2</v>
      </c>
      <c r="R1740" s="85">
        <v>4.2</v>
      </c>
      <c r="S1740" s="87">
        <v>1574570</v>
      </c>
      <c r="T1740" s="1">
        <v>7</v>
      </c>
      <c r="U1740" s="88">
        <v>374897.61904761905</v>
      </c>
      <c r="V1740" s="59">
        <v>2.6673949078161021</v>
      </c>
      <c r="X1740" s="98">
        <v>8.4</v>
      </c>
      <c r="Y1740" s="97">
        <v>108.32738095238095</v>
      </c>
    </row>
    <row r="1741" spans="1:25">
      <c r="A1741" s="58">
        <v>1743</v>
      </c>
      <c r="B1741" s="58">
        <v>1743</v>
      </c>
      <c r="C1741" s="58" t="s">
        <v>2518</v>
      </c>
      <c r="D1741" s="58" t="s">
        <v>215</v>
      </c>
      <c r="E1741" s="58" t="s">
        <v>215</v>
      </c>
      <c r="F1741" s="58" t="s">
        <v>727</v>
      </c>
      <c r="G1741" s="58" t="s">
        <v>728</v>
      </c>
      <c r="H1741" s="58" t="s">
        <v>199</v>
      </c>
      <c r="I1741">
        <v>110000</v>
      </c>
      <c r="L1741" s="74">
        <v>4.2919999999999998</v>
      </c>
      <c r="M1741" s="85">
        <v>5</v>
      </c>
      <c r="N1741" s="74">
        <v>2.073</v>
      </c>
      <c r="O1741">
        <v>3</v>
      </c>
      <c r="P1741" s="84">
        <v>1.5547499999999999</v>
      </c>
      <c r="Q1741" s="86">
        <v>8.4</v>
      </c>
      <c r="R1741" s="85">
        <v>8.4</v>
      </c>
      <c r="S1741" s="87">
        <v>1679970</v>
      </c>
      <c r="T1741" s="1">
        <v>7</v>
      </c>
      <c r="U1741" s="88">
        <v>199996.42857142855</v>
      </c>
      <c r="V1741" s="59">
        <v>5.0000892873087022</v>
      </c>
      <c r="X1741" s="98">
        <v>4.2</v>
      </c>
      <c r="Y1741" s="97">
        <v>374.89761904761906</v>
      </c>
    </row>
    <row r="1742" spans="1:25">
      <c r="A1742" s="58">
        <v>1744</v>
      </c>
      <c r="B1742" s="58">
        <v>1744</v>
      </c>
      <c r="C1742" s="58" t="s">
        <v>2519</v>
      </c>
      <c r="D1742" s="58" t="s">
        <v>215</v>
      </c>
      <c r="E1742" s="58" t="s">
        <v>215</v>
      </c>
      <c r="F1742" s="58" t="s">
        <v>845</v>
      </c>
      <c r="G1742" s="58" t="s">
        <v>846</v>
      </c>
      <c r="H1742" s="58" t="s">
        <v>199</v>
      </c>
      <c r="I1742">
        <v>110000</v>
      </c>
      <c r="L1742" s="74">
        <v>1.9430000000000001</v>
      </c>
      <c r="M1742" s="85">
        <v>2</v>
      </c>
      <c r="N1742" s="74">
        <v>0.44600000000000001</v>
      </c>
      <c r="O1742">
        <v>3</v>
      </c>
      <c r="P1742" s="84">
        <v>0.44600000000000001</v>
      </c>
      <c r="Q1742" s="86">
        <v>4.2</v>
      </c>
      <c r="R1742" s="85">
        <v>4.2</v>
      </c>
      <c r="S1742" s="87">
        <v>1340080</v>
      </c>
      <c r="T1742" s="1">
        <v>11</v>
      </c>
      <c r="U1742" s="88">
        <v>319066.66666666663</v>
      </c>
      <c r="V1742" s="59">
        <v>3.134141245298788</v>
      </c>
      <c r="X1742" s="98">
        <v>8.4</v>
      </c>
      <c r="Y1742" s="97">
        <v>199.99642857142854</v>
      </c>
    </row>
    <row r="1743" spans="1:25">
      <c r="A1743" s="58">
        <v>1745</v>
      </c>
      <c r="B1743" s="58">
        <v>1745</v>
      </c>
      <c r="C1743" s="58" t="s">
        <v>2520</v>
      </c>
      <c r="D1743" s="58" t="s">
        <v>450</v>
      </c>
      <c r="E1743" s="58" t="s">
        <v>450</v>
      </c>
      <c r="F1743" s="58" t="s">
        <v>931</v>
      </c>
      <c r="G1743" s="58" t="s">
        <v>932</v>
      </c>
      <c r="H1743" s="58" t="s">
        <v>199</v>
      </c>
      <c r="I1743">
        <v>110000</v>
      </c>
      <c r="J1743">
        <v>20000</v>
      </c>
      <c r="K1743">
        <v>110000</v>
      </c>
      <c r="L1743" s="74">
        <v>1.716</v>
      </c>
      <c r="M1743" s="85">
        <v>2</v>
      </c>
      <c r="N1743" s="74">
        <v>0.877</v>
      </c>
      <c r="O1743">
        <v>3</v>
      </c>
      <c r="P1743" s="84">
        <v>0.877</v>
      </c>
      <c r="Q1743" s="86">
        <v>4.2</v>
      </c>
      <c r="R1743" s="85">
        <v>4.2</v>
      </c>
      <c r="S1743" s="87">
        <v>1340080</v>
      </c>
      <c r="T1743" s="1">
        <v>11</v>
      </c>
      <c r="U1743" s="88">
        <v>319066.66666666663</v>
      </c>
      <c r="V1743" s="59">
        <v>3.134141245298788</v>
      </c>
      <c r="X1743" s="98">
        <v>4.2</v>
      </c>
      <c r="Y1743" s="97">
        <v>319.06666666666661</v>
      </c>
    </row>
    <row r="1744" spans="1:25">
      <c r="A1744" s="58">
        <v>1746</v>
      </c>
      <c r="B1744" s="58">
        <v>1746</v>
      </c>
      <c r="C1744" s="58" t="s">
        <v>2521</v>
      </c>
      <c r="D1744" s="58" t="s">
        <v>410</v>
      </c>
      <c r="E1744" s="58" t="s">
        <v>1169</v>
      </c>
      <c r="F1744" s="58" t="s">
        <v>1932</v>
      </c>
      <c r="G1744" s="58" t="s">
        <v>1711</v>
      </c>
      <c r="H1744" s="58" t="s">
        <v>179</v>
      </c>
      <c r="I1744">
        <v>38000</v>
      </c>
      <c r="J1744" s="58" t="s">
        <v>185</v>
      </c>
      <c r="K1744">
        <v>38000</v>
      </c>
      <c r="L1744" s="74">
        <v>3.4529999999999998</v>
      </c>
      <c r="M1744" s="85">
        <v>4</v>
      </c>
      <c r="N1744" s="74">
        <v>0.71899999999999997</v>
      </c>
      <c r="O1744">
        <v>3</v>
      </c>
      <c r="P1744" s="84">
        <v>0.71899999999999997</v>
      </c>
      <c r="Q1744" s="86">
        <v>4.2</v>
      </c>
      <c r="R1744" s="85">
        <v>4.2</v>
      </c>
      <c r="S1744" s="87">
        <v>628870</v>
      </c>
      <c r="T1744" s="1">
        <v>4</v>
      </c>
      <c r="U1744" s="88">
        <v>149730.95238095237</v>
      </c>
      <c r="V1744" s="59">
        <v>6.6786458250512828</v>
      </c>
      <c r="X1744" s="98">
        <v>4.2</v>
      </c>
      <c r="Y1744" s="97">
        <v>319.06666666666661</v>
      </c>
    </row>
    <row r="1745" spans="1:25">
      <c r="A1745" s="58">
        <v>1747</v>
      </c>
      <c r="B1745" s="58">
        <v>1747</v>
      </c>
      <c r="C1745" s="58" t="s">
        <v>2522</v>
      </c>
      <c r="D1745" s="58" t="s">
        <v>410</v>
      </c>
      <c r="E1745" s="58" t="s">
        <v>410</v>
      </c>
      <c r="F1745" s="58" t="s">
        <v>1932</v>
      </c>
      <c r="G1745" s="58" t="s">
        <v>1711</v>
      </c>
      <c r="H1745" s="58" t="s">
        <v>179</v>
      </c>
      <c r="I1745">
        <v>38000</v>
      </c>
      <c r="J1745" s="58" t="s">
        <v>185</v>
      </c>
      <c r="K1745">
        <v>38000</v>
      </c>
      <c r="L1745" s="74">
        <v>1.258</v>
      </c>
      <c r="M1745" s="85">
        <v>2</v>
      </c>
      <c r="N1745" s="74">
        <v>0.40100000000000002</v>
      </c>
      <c r="O1745">
        <v>3</v>
      </c>
      <c r="P1745" s="84">
        <v>0.40100000000000002</v>
      </c>
      <c r="Q1745" s="86">
        <v>4.2</v>
      </c>
      <c r="R1745" s="85">
        <v>4.2</v>
      </c>
      <c r="S1745" s="87">
        <v>488330</v>
      </c>
      <c r="T1745" s="1">
        <v>4</v>
      </c>
      <c r="U1745" s="88">
        <v>116269.04761904762</v>
      </c>
      <c r="V1745" s="59">
        <v>8.6007413019884087</v>
      </c>
      <c r="X1745" s="98">
        <v>4.2</v>
      </c>
      <c r="Y1745" s="97">
        <v>149.73095238095235</v>
      </c>
    </row>
    <row r="1746" spans="1:25">
      <c r="A1746" s="58">
        <v>1748</v>
      </c>
      <c r="B1746" s="58">
        <v>1748</v>
      </c>
      <c r="C1746" s="58" t="s">
        <v>2523</v>
      </c>
      <c r="D1746" s="58" t="s">
        <v>1811</v>
      </c>
      <c r="E1746" s="58" t="s">
        <v>1169</v>
      </c>
      <c r="F1746" s="58" t="s">
        <v>1698</v>
      </c>
      <c r="G1746" s="58" t="s">
        <v>1699</v>
      </c>
      <c r="H1746" s="58" t="s">
        <v>199</v>
      </c>
      <c r="I1746">
        <v>110000</v>
      </c>
      <c r="J1746">
        <v>110000</v>
      </c>
      <c r="K1746">
        <v>38000</v>
      </c>
      <c r="L1746" s="74">
        <v>6.7859999999999996</v>
      </c>
      <c r="M1746" s="85">
        <v>7</v>
      </c>
      <c r="N1746" s="74">
        <v>1.913</v>
      </c>
      <c r="O1746">
        <v>3</v>
      </c>
      <c r="P1746" s="84">
        <v>1.43475</v>
      </c>
      <c r="Q1746" s="86">
        <v>8.4</v>
      </c>
      <c r="R1746" s="85">
        <v>8.4</v>
      </c>
      <c r="S1746" s="87">
        <v>1785370</v>
      </c>
      <c r="T1746" s="1">
        <v>7</v>
      </c>
      <c r="U1746" s="88">
        <v>212544.0476190476</v>
      </c>
      <c r="V1746" s="59">
        <v>4.7049071060900545</v>
      </c>
      <c r="X1746" s="98">
        <v>4.2</v>
      </c>
      <c r="Y1746" s="97">
        <v>116.26904761904763</v>
      </c>
    </row>
    <row r="1747" spans="1:25">
      <c r="A1747" s="58">
        <v>1749</v>
      </c>
      <c r="B1747" s="58">
        <v>1749</v>
      </c>
      <c r="C1747" s="58" t="s">
        <v>2524</v>
      </c>
      <c r="D1747" s="58" t="s">
        <v>775</v>
      </c>
      <c r="E1747" s="58" t="s">
        <v>775</v>
      </c>
      <c r="F1747" s="58" t="s">
        <v>1107</v>
      </c>
      <c r="G1747" s="58" t="s">
        <v>1108</v>
      </c>
      <c r="H1747" s="58" t="s">
        <v>179</v>
      </c>
      <c r="I1747">
        <v>38000</v>
      </c>
      <c r="J1747">
        <v>38000</v>
      </c>
      <c r="K1747" s="58" t="s">
        <v>185</v>
      </c>
      <c r="L1747" s="74">
        <v>4.7</v>
      </c>
      <c r="M1747" s="85">
        <v>5</v>
      </c>
      <c r="N1747" s="74">
        <v>0.46</v>
      </c>
      <c r="O1747">
        <v>3</v>
      </c>
      <c r="P1747" s="84">
        <v>0.46</v>
      </c>
      <c r="Q1747" s="86">
        <v>4.2</v>
      </c>
      <c r="R1747" s="85">
        <v>4.2</v>
      </c>
      <c r="S1747" s="87">
        <v>699140</v>
      </c>
      <c r="T1747" s="1">
        <v>4</v>
      </c>
      <c r="U1747" s="88">
        <v>166461.90476190476</v>
      </c>
      <c r="V1747" s="59">
        <v>6.0073804960379897</v>
      </c>
      <c r="X1747" s="98">
        <v>8.4</v>
      </c>
      <c r="Y1747" s="97">
        <v>212.5440476190476</v>
      </c>
    </row>
    <row r="1748" spans="1:25">
      <c r="A1748" s="58">
        <v>1750</v>
      </c>
      <c r="B1748" s="58">
        <v>1750</v>
      </c>
      <c r="C1748" s="58" t="s">
        <v>2525</v>
      </c>
      <c r="D1748" s="58" t="s">
        <v>197</v>
      </c>
      <c r="E1748" s="58" t="s">
        <v>197</v>
      </c>
      <c r="F1748" s="58" t="s">
        <v>1543</v>
      </c>
      <c r="G1748" s="58" t="s">
        <v>1544</v>
      </c>
      <c r="H1748" s="58" t="s">
        <v>199</v>
      </c>
      <c r="I1748">
        <v>110000</v>
      </c>
      <c r="J1748" s="58" t="s">
        <v>185</v>
      </c>
      <c r="K1748">
        <v>110000</v>
      </c>
      <c r="L1748" s="74">
        <v>8.2850000000000001</v>
      </c>
      <c r="M1748" s="85">
        <v>9</v>
      </c>
      <c r="N1748" s="74">
        <v>1.2110000000000001</v>
      </c>
      <c r="O1748">
        <v>3</v>
      </c>
      <c r="P1748" s="84">
        <v>0.90825</v>
      </c>
      <c r="Q1748" s="86">
        <v>4.2</v>
      </c>
      <c r="R1748" s="85">
        <v>4.2</v>
      </c>
      <c r="S1748" s="87">
        <v>1890770</v>
      </c>
      <c r="T1748" s="1">
        <v>7</v>
      </c>
      <c r="U1748" s="88">
        <v>450183.33333333331</v>
      </c>
      <c r="V1748" s="59">
        <v>2.2213172411239865</v>
      </c>
      <c r="X1748" s="98">
        <v>4.2</v>
      </c>
      <c r="Y1748" s="97">
        <v>166.46190476190475</v>
      </c>
    </row>
    <row r="1749" spans="1:25">
      <c r="A1749" s="58">
        <v>1751</v>
      </c>
      <c r="B1749" s="58">
        <v>1751</v>
      </c>
      <c r="C1749" s="58" t="s">
        <v>2526</v>
      </c>
      <c r="D1749" s="58" t="s">
        <v>182</v>
      </c>
      <c r="E1749" s="58" t="s">
        <v>182</v>
      </c>
      <c r="F1749" s="58" t="s">
        <v>1866</v>
      </c>
      <c r="G1749" s="58" t="s">
        <v>1867</v>
      </c>
      <c r="H1749" s="58" t="s">
        <v>179</v>
      </c>
      <c r="I1749">
        <v>38000</v>
      </c>
      <c r="J1749">
        <v>38000</v>
      </c>
      <c r="K1749" s="58" t="s">
        <v>185</v>
      </c>
      <c r="L1749" s="74">
        <v>2.476</v>
      </c>
      <c r="M1749" s="85">
        <v>3</v>
      </c>
      <c r="N1749" s="74">
        <v>0.83099999999999996</v>
      </c>
      <c r="O1749">
        <v>3</v>
      </c>
      <c r="P1749" s="84">
        <v>0.83099999999999996</v>
      </c>
      <c r="Q1749" s="86">
        <v>4.2</v>
      </c>
      <c r="R1749" s="85">
        <v>4.2</v>
      </c>
      <c r="S1749" s="87">
        <v>558600</v>
      </c>
      <c r="T1749" s="1">
        <v>4</v>
      </c>
      <c r="U1749" s="88">
        <v>133000</v>
      </c>
      <c r="V1749" s="59">
        <v>7.518796992481203</v>
      </c>
      <c r="X1749" s="98">
        <v>4.2</v>
      </c>
      <c r="Y1749" s="97">
        <v>450.18333333333334</v>
      </c>
    </row>
    <row r="1750" spans="1:25">
      <c r="A1750" s="58">
        <v>1752</v>
      </c>
      <c r="B1750" s="58">
        <v>1752</v>
      </c>
      <c r="C1750" s="58" t="s">
        <v>2527</v>
      </c>
      <c r="D1750" s="58" t="s">
        <v>410</v>
      </c>
      <c r="E1750" s="58" t="s">
        <v>410</v>
      </c>
      <c r="F1750" s="58" t="s">
        <v>1701</v>
      </c>
      <c r="G1750" s="58" t="s">
        <v>1702</v>
      </c>
      <c r="H1750" s="58" t="s">
        <v>179</v>
      </c>
      <c r="I1750">
        <v>38000</v>
      </c>
      <c r="J1750">
        <v>38000</v>
      </c>
      <c r="K1750" s="58" t="s">
        <v>185</v>
      </c>
      <c r="L1750" s="74">
        <v>1.7989999999999999</v>
      </c>
      <c r="M1750" s="85">
        <v>2</v>
      </c>
      <c r="N1750" s="74">
        <v>0.33600000000000002</v>
      </c>
      <c r="O1750">
        <v>3</v>
      </c>
      <c r="P1750" s="84">
        <v>0.33600000000000002</v>
      </c>
      <c r="Q1750" s="86">
        <v>4.2</v>
      </c>
      <c r="R1750" s="85">
        <v>4.2</v>
      </c>
      <c r="S1750" s="87">
        <v>488330</v>
      </c>
      <c r="T1750" s="1">
        <v>4</v>
      </c>
      <c r="U1750" s="88">
        <v>116269.04761904762</v>
      </c>
      <c r="V1750" s="59">
        <v>8.6007413019884087</v>
      </c>
      <c r="X1750" s="98">
        <v>4.2</v>
      </c>
      <c r="Y1750" s="97">
        <v>133</v>
      </c>
    </row>
    <row r="1751" spans="1:25">
      <c r="A1751" s="58">
        <v>1753</v>
      </c>
      <c r="B1751" s="58">
        <v>1753</v>
      </c>
      <c r="C1751" s="58" t="s">
        <v>2528</v>
      </c>
      <c r="D1751" s="58" t="s">
        <v>882</v>
      </c>
      <c r="E1751" s="58" t="s">
        <v>882</v>
      </c>
      <c r="F1751" s="58" t="s">
        <v>1850</v>
      </c>
      <c r="G1751" s="58" t="s">
        <v>1851</v>
      </c>
      <c r="H1751" s="58" t="s">
        <v>199</v>
      </c>
      <c r="I1751">
        <v>110000</v>
      </c>
      <c r="J1751">
        <v>110000</v>
      </c>
      <c r="K1751">
        <v>38000</v>
      </c>
      <c r="L1751" s="74">
        <v>4.9249999999999998</v>
      </c>
      <c r="M1751" s="85">
        <v>5</v>
      </c>
      <c r="N1751" s="74">
        <v>0.317</v>
      </c>
      <c r="O1751">
        <v>3</v>
      </c>
      <c r="P1751" s="84">
        <v>0.317</v>
      </c>
      <c r="Q1751" s="86">
        <v>4.2</v>
      </c>
      <c r="R1751" s="85">
        <v>4.2</v>
      </c>
      <c r="S1751" s="87">
        <v>1679970</v>
      </c>
      <c r="T1751" s="1">
        <v>7</v>
      </c>
      <c r="U1751" s="88">
        <v>399992.8571428571</v>
      </c>
      <c r="V1751" s="59">
        <v>2.5000446436543511</v>
      </c>
      <c r="X1751" s="98">
        <v>4.2</v>
      </c>
      <c r="Y1751" s="97">
        <v>116.26904761904763</v>
      </c>
    </row>
    <row r="1752" spans="1:25">
      <c r="A1752" s="58">
        <v>1754</v>
      </c>
      <c r="B1752" s="58">
        <v>1754</v>
      </c>
      <c r="C1752" s="58" t="s">
        <v>2529</v>
      </c>
      <c r="D1752" s="58" t="s">
        <v>182</v>
      </c>
      <c r="E1752" s="58" t="s">
        <v>182</v>
      </c>
      <c r="F1752" s="58" t="s">
        <v>1866</v>
      </c>
      <c r="G1752" s="58" t="s">
        <v>1867</v>
      </c>
      <c r="H1752" s="58" t="s">
        <v>179</v>
      </c>
      <c r="I1752">
        <v>38000</v>
      </c>
      <c r="J1752">
        <v>38000</v>
      </c>
      <c r="K1752" s="58" t="s">
        <v>185</v>
      </c>
      <c r="L1752" s="74">
        <v>3.3769999999999998</v>
      </c>
      <c r="M1752" s="85">
        <v>4</v>
      </c>
      <c r="N1752" s="74">
        <v>0.436</v>
      </c>
      <c r="O1752">
        <v>3</v>
      </c>
      <c r="P1752" s="84">
        <v>0.436</v>
      </c>
      <c r="Q1752" s="86">
        <v>4.2</v>
      </c>
      <c r="R1752" s="85">
        <v>4.2</v>
      </c>
      <c r="S1752" s="87">
        <v>628870</v>
      </c>
      <c r="T1752" s="1">
        <v>4</v>
      </c>
      <c r="U1752" s="88">
        <v>149730.95238095237</v>
      </c>
      <c r="V1752" s="59">
        <v>6.6786458250512828</v>
      </c>
      <c r="X1752" s="98">
        <v>4.2</v>
      </c>
      <c r="Y1752" s="97">
        <v>399.99285714285708</v>
      </c>
    </row>
    <row r="1753" spans="1:25">
      <c r="A1753" s="58">
        <v>1755</v>
      </c>
      <c r="B1753" s="58">
        <v>1755</v>
      </c>
      <c r="C1753" s="58" t="s">
        <v>2530</v>
      </c>
      <c r="D1753" s="58" t="s">
        <v>182</v>
      </c>
      <c r="E1753" s="58" t="s">
        <v>182</v>
      </c>
      <c r="F1753" s="58" t="s">
        <v>1793</v>
      </c>
      <c r="G1753" s="58" t="s">
        <v>1794</v>
      </c>
      <c r="H1753" s="58" t="s">
        <v>179</v>
      </c>
      <c r="I1753">
        <v>38000</v>
      </c>
      <c r="J1753">
        <v>38000</v>
      </c>
      <c r="K1753">
        <v>10000</v>
      </c>
      <c r="L1753" s="74">
        <v>2.734</v>
      </c>
      <c r="M1753" s="85">
        <v>3</v>
      </c>
      <c r="N1753" s="74">
        <v>0.41699999999999998</v>
      </c>
      <c r="O1753">
        <v>3</v>
      </c>
      <c r="P1753" s="84">
        <v>0.41699999999999998</v>
      </c>
      <c r="Q1753" s="86">
        <v>4.2</v>
      </c>
      <c r="R1753" s="85">
        <v>4.2</v>
      </c>
      <c r="S1753" s="87">
        <v>558600</v>
      </c>
      <c r="T1753" s="1">
        <v>4</v>
      </c>
      <c r="U1753" s="88">
        <v>133000</v>
      </c>
      <c r="V1753" s="59">
        <v>7.518796992481203</v>
      </c>
      <c r="X1753" s="98">
        <v>4.2</v>
      </c>
      <c r="Y1753" s="97">
        <v>149.73095238095235</v>
      </c>
    </row>
    <row r="1754" spans="1:25">
      <c r="A1754" s="58">
        <v>1756</v>
      </c>
      <c r="B1754" s="58">
        <v>1756</v>
      </c>
      <c r="C1754" s="58" t="s">
        <v>2531</v>
      </c>
      <c r="D1754" s="58" t="s">
        <v>182</v>
      </c>
      <c r="E1754" s="58" t="s">
        <v>182</v>
      </c>
      <c r="F1754" s="58" t="s">
        <v>1796</v>
      </c>
      <c r="G1754" s="58" t="s">
        <v>1797</v>
      </c>
      <c r="H1754" s="58" t="s">
        <v>199</v>
      </c>
      <c r="I1754">
        <v>110000</v>
      </c>
      <c r="J1754" s="58" t="s">
        <v>185</v>
      </c>
      <c r="K1754">
        <v>110000</v>
      </c>
      <c r="L1754" s="74">
        <v>1.595</v>
      </c>
      <c r="M1754" s="85">
        <v>2</v>
      </c>
      <c r="N1754" s="74">
        <v>0.55400000000000005</v>
      </c>
      <c r="O1754">
        <v>3</v>
      </c>
      <c r="P1754" s="84">
        <v>0.55400000000000005</v>
      </c>
      <c r="Q1754" s="86">
        <v>4.2</v>
      </c>
      <c r="R1754" s="85">
        <v>4.2</v>
      </c>
      <c r="S1754" s="87">
        <v>1340080</v>
      </c>
      <c r="T1754" s="1">
        <v>11</v>
      </c>
      <c r="U1754" s="88">
        <v>319066.66666666663</v>
      </c>
      <c r="V1754" s="59">
        <v>3.134141245298788</v>
      </c>
      <c r="X1754" s="98">
        <v>4.2</v>
      </c>
      <c r="Y1754" s="97">
        <v>133</v>
      </c>
    </row>
    <row r="1755" spans="1:25">
      <c r="A1755" s="58">
        <v>1757</v>
      </c>
      <c r="B1755" s="58">
        <v>1757</v>
      </c>
      <c r="C1755" s="58" t="s">
        <v>2532</v>
      </c>
      <c r="D1755" s="58" t="s">
        <v>182</v>
      </c>
      <c r="E1755" s="58" t="s">
        <v>182</v>
      </c>
      <c r="F1755" s="58" t="s">
        <v>2533</v>
      </c>
      <c r="G1755" s="58" t="s">
        <v>2534</v>
      </c>
      <c r="H1755" s="58" t="s">
        <v>179</v>
      </c>
      <c r="I1755">
        <v>38000</v>
      </c>
      <c r="J1755">
        <v>38000</v>
      </c>
      <c r="K1755" s="58" t="s">
        <v>185</v>
      </c>
      <c r="L1755" s="74">
        <v>2.1429999999999998</v>
      </c>
      <c r="M1755" s="85">
        <v>3</v>
      </c>
      <c r="N1755" s="74">
        <v>0.82499999999999996</v>
      </c>
      <c r="O1755">
        <v>3</v>
      </c>
      <c r="P1755" s="84">
        <v>0.82499999999999996</v>
      </c>
      <c r="Q1755" s="86">
        <v>4.2</v>
      </c>
      <c r="R1755" s="85">
        <v>4.2</v>
      </c>
      <c r="S1755" s="87">
        <v>558600</v>
      </c>
      <c r="T1755" s="1">
        <v>4</v>
      </c>
      <c r="U1755" s="88">
        <v>133000</v>
      </c>
      <c r="V1755" s="59">
        <v>7.518796992481203</v>
      </c>
      <c r="X1755" s="98">
        <v>4.2</v>
      </c>
      <c r="Y1755" s="97">
        <v>319.06666666666661</v>
      </c>
    </row>
    <row r="1756" spans="1:25">
      <c r="A1756" s="58">
        <v>1758</v>
      </c>
      <c r="B1756" s="58">
        <v>1758</v>
      </c>
      <c r="C1756" s="58" t="s">
        <v>2535</v>
      </c>
      <c r="D1756" s="58" t="s">
        <v>182</v>
      </c>
      <c r="E1756" s="58" t="s">
        <v>182</v>
      </c>
      <c r="F1756" s="58" t="s">
        <v>1796</v>
      </c>
      <c r="G1756" s="58" t="s">
        <v>1797</v>
      </c>
      <c r="H1756" s="58" t="s">
        <v>199</v>
      </c>
      <c r="I1756">
        <v>110000</v>
      </c>
      <c r="J1756" s="58" t="s">
        <v>185</v>
      </c>
      <c r="K1756">
        <v>110000</v>
      </c>
      <c r="L1756" s="74">
        <v>4.2140000000000004</v>
      </c>
      <c r="M1756" s="85">
        <v>5</v>
      </c>
      <c r="N1756" s="74">
        <v>1.5880000000000001</v>
      </c>
      <c r="O1756">
        <v>3</v>
      </c>
      <c r="P1756" s="84">
        <v>1.1910000000000001</v>
      </c>
      <c r="Q1756" s="86">
        <v>4.2</v>
      </c>
      <c r="R1756" s="85">
        <v>4.2</v>
      </c>
      <c r="S1756" s="87">
        <v>1679970</v>
      </c>
      <c r="T1756" s="1">
        <v>7</v>
      </c>
      <c r="U1756" s="88">
        <v>399992.8571428571</v>
      </c>
      <c r="V1756" s="59">
        <v>2.5000446436543511</v>
      </c>
      <c r="X1756" s="98">
        <v>4.2</v>
      </c>
      <c r="Y1756" s="97">
        <v>133</v>
      </c>
    </row>
    <row r="1757" spans="1:25">
      <c r="A1757" s="58">
        <v>1759</v>
      </c>
      <c r="B1757" s="58">
        <v>1759</v>
      </c>
      <c r="C1757" s="58" t="s">
        <v>2536</v>
      </c>
      <c r="D1757" s="58" t="s">
        <v>882</v>
      </c>
      <c r="E1757" s="58" t="s">
        <v>882</v>
      </c>
      <c r="F1757" s="58" t="s">
        <v>1796</v>
      </c>
      <c r="G1757" s="58" t="s">
        <v>1797</v>
      </c>
      <c r="H1757" s="58" t="s">
        <v>199</v>
      </c>
      <c r="I1757">
        <v>110000</v>
      </c>
      <c r="J1757" s="58" t="s">
        <v>185</v>
      </c>
      <c r="K1757">
        <v>110000</v>
      </c>
      <c r="L1757" s="74">
        <v>7.0469999999999997</v>
      </c>
      <c r="M1757" s="85">
        <v>8</v>
      </c>
      <c r="N1757" s="74">
        <v>1.7230000000000001</v>
      </c>
      <c r="O1757">
        <v>3</v>
      </c>
      <c r="P1757" s="84">
        <v>1.2922500000000001</v>
      </c>
      <c r="Q1757" s="86">
        <v>8.4</v>
      </c>
      <c r="R1757" s="85">
        <v>8.4</v>
      </c>
      <c r="S1757" s="87">
        <v>1838070</v>
      </c>
      <c r="T1757" s="1">
        <v>7</v>
      </c>
      <c r="U1757" s="88">
        <v>218817.85714285713</v>
      </c>
      <c r="V1757" s="59">
        <v>4.5700109353833094</v>
      </c>
      <c r="X1757" s="98">
        <v>4.2</v>
      </c>
      <c r="Y1757" s="97">
        <v>399.99285714285708</v>
      </c>
    </row>
    <row r="1758" spans="1:25">
      <c r="A1758" s="58">
        <v>1760</v>
      </c>
      <c r="B1758" s="58">
        <v>1760</v>
      </c>
      <c r="C1758" s="58" t="s">
        <v>2537</v>
      </c>
      <c r="D1758" s="58" t="s">
        <v>882</v>
      </c>
      <c r="E1758" s="58" t="s">
        <v>882</v>
      </c>
      <c r="F1758" s="58" t="s">
        <v>1796</v>
      </c>
      <c r="G1758" s="58" t="s">
        <v>1797</v>
      </c>
      <c r="H1758" s="58" t="s">
        <v>199</v>
      </c>
      <c r="I1758">
        <v>110000</v>
      </c>
      <c r="J1758" s="58" t="s">
        <v>185</v>
      </c>
      <c r="K1758">
        <v>110000</v>
      </c>
      <c r="L1758" s="74">
        <v>6.9660000000000002</v>
      </c>
      <c r="M1758" s="85">
        <v>7</v>
      </c>
      <c r="N1758" s="74">
        <v>0.47199999999999998</v>
      </c>
      <c r="O1758">
        <v>3</v>
      </c>
      <c r="P1758" s="84">
        <v>0.47199999999999998</v>
      </c>
      <c r="Q1758" s="86">
        <v>4.2</v>
      </c>
      <c r="R1758" s="85">
        <v>4.2</v>
      </c>
      <c r="S1758" s="87">
        <v>1785370</v>
      </c>
      <c r="T1758" s="1">
        <v>7</v>
      </c>
      <c r="U1758" s="88">
        <v>425088.09523809521</v>
      </c>
      <c r="V1758" s="59">
        <v>2.3524535530450272</v>
      </c>
      <c r="X1758" s="98">
        <v>8.4</v>
      </c>
      <c r="Y1758" s="97">
        <v>218.81785714285712</v>
      </c>
    </row>
    <row r="1759" spans="1:25">
      <c r="A1759" s="58">
        <v>1761</v>
      </c>
      <c r="B1759" s="58">
        <v>1761</v>
      </c>
      <c r="C1759" s="58" t="s">
        <v>2538</v>
      </c>
      <c r="D1759" s="58" t="s">
        <v>882</v>
      </c>
      <c r="E1759" s="58" t="s">
        <v>882</v>
      </c>
      <c r="F1759" s="58" t="s">
        <v>1796</v>
      </c>
      <c r="G1759" s="58" t="s">
        <v>1797</v>
      </c>
      <c r="H1759" s="58" t="s">
        <v>199</v>
      </c>
      <c r="I1759">
        <v>110000</v>
      </c>
      <c r="J1759" s="58" t="s">
        <v>185</v>
      </c>
      <c r="K1759">
        <v>110000</v>
      </c>
      <c r="L1759" s="74">
        <v>8.2040000000000006</v>
      </c>
      <c r="M1759" s="85">
        <v>9</v>
      </c>
      <c r="N1759" s="74">
        <v>1.022</v>
      </c>
      <c r="O1759">
        <v>3</v>
      </c>
      <c r="P1759" s="84">
        <v>1.022</v>
      </c>
      <c r="Q1759" s="86">
        <v>4.2</v>
      </c>
      <c r="R1759" s="85">
        <v>4.2</v>
      </c>
      <c r="S1759" s="87">
        <v>1890770</v>
      </c>
      <c r="T1759" s="1">
        <v>7</v>
      </c>
      <c r="U1759" s="88">
        <v>450183.33333333331</v>
      </c>
      <c r="V1759" s="59">
        <v>2.2213172411239865</v>
      </c>
      <c r="X1759" s="98">
        <v>4.2</v>
      </c>
      <c r="Y1759" s="97">
        <v>425.08809523809521</v>
      </c>
    </row>
    <row r="1760" spans="1:25">
      <c r="A1760" s="58">
        <v>1762</v>
      </c>
      <c r="B1760" s="58">
        <v>1762</v>
      </c>
      <c r="C1760" s="58" t="s">
        <v>2539</v>
      </c>
      <c r="D1760" s="58" t="s">
        <v>536</v>
      </c>
      <c r="E1760" s="58" t="s">
        <v>536</v>
      </c>
      <c r="F1760" s="58" t="s">
        <v>2540</v>
      </c>
      <c r="G1760" s="58" t="s">
        <v>2541</v>
      </c>
      <c r="H1760" s="58" t="s">
        <v>179</v>
      </c>
      <c r="I1760">
        <v>38000</v>
      </c>
      <c r="J1760">
        <v>38000</v>
      </c>
      <c r="K1760" s="58" t="s">
        <v>185</v>
      </c>
      <c r="L1760" s="74">
        <v>6.7880000000000003</v>
      </c>
      <c r="M1760" s="85">
        <v>7</v>
      </c>
      <c r="N1760" s="74">
        <v>1.75</v>
      </c>
      <c r="O1760">
        <v>3</v>
      </c>
      <c r="P1760" s="84">
        <v>1.3125</v>
      </c>
      <c r="Q1760" s="86">
        <v>8.4</v>
      </c>
      <c r="R1760" s="85">
        <v>8.4</v>
      </c>
      <c r="S1760" s="87">
        <v>839680</v>
      </c>
      <c r="T1760" s="1">
        <v>4</v>
      </c>
      <c r="U1760" s="88">
        <v>99961.904761904763</v>
      </c>
      <c r="V1760" s="59">
        <v>10.003810975609756</v>
      </c>
      <c r="X1760" s="98">
        <v>4.2</v>
      </c>
      <c r="Y1760" s="97">
        <v>450.18333333333334</v>
      </c>
    </row>
    <row r="1761" spans="1:25">
      <c r="A1761" s="58">
        <v>1763</v>
      </c>
      <c r="B1761" s="58">
        <v>1763</v>
      </c>
      <c r="C1761" s="58" t="s">
        <v>2542</v>
      </c>
      <c r="D1761" s="58" t="s">
        <v>882</v>
      </c>
      <c r="E1761" s="58" t="s">
        <v>882</v>
      </c>
      <c r="F1761" s="58" t="s">
        <v>1889</v>
      </c>
      <c r="G1761" s="58" t="s">
        <v>1890</v>
      </c>
      <c r="H1761" s="58" t="s">
        <v>179</v>
      </c>
      <c r="I1761">
        <v>38000</v>
      </c>
      <c r="J1761">
        <v>38000</v>
      </c>
      <c r="K1761" s="58" t="s">
        <v>185</v>
      </c>
      <c r="L1761" s="74">
        <v>6.1349999999999998</v>
      </c>
      <c r="M1761" s="85">
        <v>7</v>
      </c>
      <c r="N1761" s="74">
        <v>1.07</v>
      </c>
      <c r="O1761">
        <v>3</v>
      </c>
      <c r="P1761" s="84">
        <v>1.07</v>
      </c>
      <c r="Q1761" s="86">
        <v>4.2</v>
      </c>
      <c r="R1761" s="85">
        <v>4.2</v>
      </c>
      <c r="S1761" s="87">
        <v>839680</v>
      </c>
      <c r="T1761" s="1">
        <v>4</v>
      </c>
      <c r="U1761" s="88">
        <v>199923.80952380953</v>
      </c>
      <c r="V1761" s="59">
        <v>5.0019054878048781</v>
      </c>
      <c r="X1761" s="98">
        <v>8.4</v>
      </c>
      <c r="Y1761" s="97">
        <v>99.961904761904762</v>
      </c>
    </row>
    <row r="1762" spans="1:25">
      <c r="A1762" s="89">
        <v>1764</v>
      </c>
      <c r="B1762" s="89">
        <v>1764</v>
      </c>
      <c r="C1762" s="89" t="s">
        <v>2543</v>
      </c>
      <c r="D1762" s="58" t="s">
        <v>882</v>
      </c>
      <c r="E1762" s="58" t="s">
        <v>882</v>
      </c>
      <c r="F1762" s="89" t="s">
        <v>1889</v>
      </c>
      <c r="G1762" s="89" t="s">
        <v>1890</v>
      </c>
      <c r="H1762" s="89" t="s">
        <v>179</v>
      </c>
      <c r="I1762" s="90">
        <v>38000</v>
      </c>
      <c r="J1762" s="90">
        <v>38000</v>
      </c>
      <c r="K1762" s="89" t="s">
        <v>185</v>
      </c>
      <c r="L1762" s="91">
        <v>7.1909999999999998</v>
      </c>
      <c r="M1762" s="92">
        <v>8</v>
      </c>
      <c r="N1762" s="91">
        <v>10.428000000000001</v>
      </c>
      <c r="O1762" s="90">
        <v>3</v>
      </c>
      <c r="P1762" s="92">
        <v>7.8210000000000006</v>
      </c>
      <c r="Q1762" s="93">
        <v>54.6</v>
      </c>
      <c r="R1762" s="92">
        <v>54.6</v>
      </c>
      <c r="S1762" s="87">
        <v>2604940</v>
      </c>
      <c r="T1762" s="94">
        <v>11</v>
      </c>
      <c r="U1762" s="95">
        <v>47709.523809523809</v>
      </c>
      <c r="V1762" s="96">
        <v>20.960175666234154</v>
      </c>
      <c r="X1762" s="98">
        <v>4.2</v>
      </c>
      <c r="Y1762" s="97">
        <v>199.92380952380952</v>
      </c>
    </row>
    <row r="1763" spans="1:25">
      <c r="A1763" s="58">
        <v>1765</v>
      </c>
      <c r="B1763" s="58">
        <v>1765</v>
      </c>
      <c r="C1763" s="58" t="s">
        <v>2544</v>
      </c>
      <c r="D1763" s="58" t="s">
        <v>882</v>
      </c>
      <c r="E1763" s="58" t="s">
        <v>882</v>
      </c>
      <c r="F1763" s="58" t="s">
        <v>1889</v>
      </c>
      <c r="G1763" s="58" t="s">
        <v>1890</v>
      </c>
      <c r="H1763" s="58" t="s">
        <v>179</v>
      </c>
      <c r="I1763">
        <v>38000</v>
      </c>
      <c r="J1763">
        <v>38000</v>
      </c>
      <c r="K1763" s="58" t="s">
        <v>185</v>
      </c>
      <c r="L1763" s="74">
        <v>5.87</v>
      </c>
      <c r="M1763" s="85">
        <v>6</v>
      </c>
      <c r="N1763" s="74">
        <v>0.85799999999999998</v>
      </c>
      <c r="O1763">
        <v>3</v>
      </c>
      <c r="P1763" s="84">
        <v>0.85799999999999998</v>
      </c>
      <c r="Q1763" s="86">
        <v>4.2</v>
      </c>
      <c r="R1763" s="85">
        <v>4.2</v>
      </c>
      <c r="S1763" s="87">
        <v>769410</v>
      </c>
      <c r="T1763" s="1">
        <v>4</v>
      </c>
      <c r="U1763" s="88">
        <v>183192.85714285713</v>
      </c>
      <c r="V1763" s="59">
        <v>5.4587281163488903</v>
      </c>
      <c r="X1763" s="98">
        <v>54.6</v>
      </c>
      <c r="Y1763" s="97">
        <v>47.709523809523809</v>
      </c>
    </row>
    <row r="1764" spans="1:25">
      <c r="A1764" s="58">
        <v>1766</v>
      </c>
      <c r="B1764" s="58">
        <v>1766</v>
      </c>
      <c r="C1764" s="58" t="s">
        <v>2545</v>
      </c>
      <c r="D1764" s="58" t="s">
        <v>882</v>
      </c>
      <c r="E1764" s="58" t="s">
        <v>1190</v>
      </c>
      <c r="F1764" s="58" t="s">
        <v>1822</v>
      </c>
      <c r="G1764" s="58" t="s">
        <v>1823</v>
      </c>
      <c r="H1764" s="58" t="s">
        <v>199</v>
      </c>
      <c r="I1764">
        <v>110000</v>
      </c>
      <c r="L1764" s="74">
        <v>4.91</v>
      </c>
      <c r="M1764" s="85">
        <v>5</v>
      </c>
      <c r="N1764" s="74">
        <v>0.77500000000000002</v>
      </c>
      <c r="O1764">
        <v>3</v>
      </c>
      <c r="P1764" s="84">
        <v>0.77500000000000002</v>
      </c>
      <c r="Q1764" s="86">
        <v>4.2</v>
      </c>
      <c r="R1764" s="85">
        <v>4.2</v>
      </c>
      <c r="S1764" s="87">
        <v>1679970</v>
      </c>
      <c r="T1764" s="1">
        <v>7</v>
      </c>
      <c r="U1764" s="88">
        <v>399992.8571428571</v>
      </c>
      <c r="V1764" s="59">
        <v>2.5000446436543511</v>
      </c>
      <c r="X1764" s="98">
        <v>4.2</v>
      </c>
      <c r="Y1764" s="97">
        <v>183.19285714285712</v>
      </c>
    </row>
    <row r="1765" spans="1:25">
      <c r="A1765" s="58">
        <v>1767</v>
      </c>
      <c r="B1765" s="58">
        <v>1767</v>
      </c>
      <c r="C1765" s="58" t="s">
        <v>2546</v>
      </c>
      <c r="D1765" s="58" t="s">
        <v>882</v>
      </c>
      <c r="E1765" s="58" t="s">
        <v>1190</v>
      </c>
      <c r="F1765" s="58" t="s">
        <v>1822</v>
      </c>
      <c r="G1765" s="58" t="s">
        <v>1823</v>
      </c>
      <c r="H1765" s="58" t="s">
        <v>199</v>
      </c>
      <c r="I1765">
        <v>110000</v>
      </c>
      <c r="L1765" s="74">
        <v>6.5220000000000002</v>
      </c>
      <c r="M1765" s="85">
        <v>7</v>
      </c>
      <c r="N1765" s="74">
        <v>1.577</v>
      </c>
      <c r="O1765">
        <v>3</v>
      </c>
      <c r="P1765" s="84">
        <v>1.18275</v>
      </c>
      <c r="Q1765" s="86">
        <v>4.2</v>
      </c>
      <c r="R1765" s="85">
        <v>4.2</v>
      </c>
      <c r="S1765" s="87">
        <v>1785370</v>
      </c>
      <c r="T1765" s="1">
        <v>7</v>
      </c>
      <c r="U1765" s="88">
        <v>425088.09523809521</v>
      </c>
      <c r="V1765" s="59">
        <v>2.3524535530450272</v>
      </c>
      <c r="X1765" s="98">
        <v>4.2</v>
      </c>
      <c r="Y1765" s="97">
        <v>399.99285714285708</v>
      </c>
    </row>
    <row r="1766" spans="1:25">
      <c r="A1766" s="58">
        <v>1768</v>
      </c>
      <c r="B1766" s="58">
        <v>1768</v>
      </c>
      <c r="C1766" s="58" t="s">
        <v>2547</v>
      </c>
      <c r="D1766" s="58" t="s">
        <v>882</v>
      </c>
      <c r="E1766" s="58" t="s">
        <v>1190</v>
      </c>
      <c r="F1766" s="58" t="s">
        <v>2332</v>
      </c>
      <c r="G1766" s="58" t="s">
        <v>2333</v>
      </c>
      <c r="H1766" s="58" t="s">
        <v>199</v>
      </c>
      <c r="I1766">
        <v>110000</v>
      </c>
      <c r="L1766" s="74">
        <v>4.5469999999999997</v>
      </c>
      <c r="M1766" s="85">
        <v>5</v>
      </c>
      <c r="N1766" s="74">
        <v>1.792</v>
      </c>
      <c r="O1766">
        <v>3</v>
      </c>
      <c r="P1766" s="84">
        <v>1.3440000000000001</v>
      </c>
      <c r="Q1766" s="86">
        <v>8.4</v>
      </c>
      <c r="R1766" s="85">
        <v>8.4</v>
      </c>
      <c r="S1766" s="87">
        <v>1679970</v>
      </c>
      <c r="T1766" s="1">
        <v>7</v>
      </c>
      <c r="U1766" s="88">
        <v>199996.42857142855</v>
      </c>
      <c r="V1766" s="59">
        <v>5.0000892873087022</v>
      </c>
      <c r="X1766" s="98">
        <v>4.2</v>
      </c>
      <c r="Y1766" s="97">
        <v>425.08809523809521</v>
      </c>
    </row>
    <row r="1767" spans="1:25">
      <c r="A1767" s="58">
        <v>1769</v>
      </c>
      <c r="B1767" s="58">
        <v>1769</v>
      </c>
      <c r="C1767" s="58" t="s">
        <v>2548</v>
      </c>
      <c r="D1767" s="58" t="s">
        <v>1811</v>
      </c>
      <c r="E1767" s="58" t="s">
        <v>1169</v>
      </c>
      <c r="F1767" s="58" t="s">
        <v>1698</v>
      </c>
      <c r="G1767" s="58" t="s">
        <v>1699</v>
      </c>
      <c r="H1767" s="58" t="s">
        <v>199</v>
      </c>
      <c r="I1767">
        <v>110000</v>
      </c>
      <c r="J1767">
        <v>110000</v>
      </c>
      <c r="K1767">
        <v>38000</v>
      </c>
      <c r="L1767" s="74">
        <v>9.6669999999999998</v>
      </c>
      <c r="M1767" s="85">
        <v>10</v>
      </c>
      <c r="N1767" s="74">
        <v>0.66200000000000003</v>
      </c>
      <c r="O1767">
        <v>3</v>
      </c>
      <c r="P1767" s="84">
        <v>0.66200000000000003</v>
      </c>
      <c r="Q1767" s="86">
        <v>4.2</v>
      </c>
      <c r="R1767" s="85">
        <v>4.2</v>
      </c>
      <c r="S1767" s="87">
        <v>1943470</v>
      </c>
      <c r="T1767" s="1">
        <v>7</v>
      </c>
      <c r="U1767" s="88">
        <v>462730.95238095237</v>
      </c>
      <c r="V1767" s="59">
        <v>2.1610830113148132</v>
      </c>
      <c r="X1767" s="98">
        <v>8.4</v>
      </c>
      <c r="Y1767" s="97">
        <v>199.99642857142854</v>
      </c>
    </row>
    <row r="1768" spans="1:25">
      <c r="A1768" s="58">
        <v>1770</v>
      </c>
      <c r="B1768" s="58">
        <v>1770</v>
      </c>
      <c r="C1768" s="58" t="s">
        <v>2549</v>
      </c>
      <c r="D1768" s="58" t="s">
        <v>1811</v>
      </c>
      <c r="E1768" s="58" t="s">
        <v>882</v>
      </c>
      <c r="F1768" s="58" t="s">
        <v>2550</v>
      </c>
      <c r="G1768" s="58" t="s">
        <v>2551</v>
      </c>
      <c r="H1768" s="58" t="s">
        <v>199</v>
      </c>
      <c r="I1768">
        <v>110000</v>
      </c>
      <c r="J1768" s="58" t="s">
        <v>185</v>
      </c>
      <c r="K1768">
        <v>110000</v>
      </c>
      <c r="L1768" s="74">
        <v>4.1520000000000001</v>
      </c>
      <c r="M1768" s="85">
        <v>5</v>
      </c>
      <c r="N1768" s="74">
        <v>3.41</v>
      </c>
      <c r="O1768">
        <v>3</v>
      </c>
      <c r="P1768" s="84">
        <v>2.5575000000000001</v>
      </c>
      <c r="Q1768" s="86">
        <v>16.8</v>
      </c>
      <c r="R1768" s="85">
        <v>16.8</v>
      </c>
      <c r="S1768" s="87">
        <v>1946060</v>
      </c>
      <c r="T1768" s="1">
        <v>8</v>
      </c>
      <c r="U1768" s="88">
        <v>115836.90476190476</v>
      </c>
      <c r="V1768" s="59">
        <v>8.6328273537301001</v>
      </c>
      <c r="X1768" s="98">
        <v>4.2</v>
      </c>
      <c r="Y1768" s="97">
        <v>462.73095238095237</v>
      </c>
    </row>
    <row r="1769" spans="1:25">
      <c r="A1769" s="58">
        <v>1771</v>
      </c>
      <c r="B1769" s="58">
        <v>1771</v>
      </c>
      <c r="C1769" s="58" t="s">
        <v>2552</v>
      </c>
      <c r="D1769" s="58" t="s">
        <v>1811</v>
      </c>
      <c r="E1769" s="58" t="s">
        <v>1811</v>
      </c>
      <c r="F1769" s="58" t="s">
        <v>1815</v>
      </c>
      <c r="G1769" s="58" t="s">
        <v>1816</v>
      </c>
      <c r="H1769" s="58" t="s">
        <v>199</v>
      </c>
      <c r="I1769">
        <v>110000</v>
      </c>
      <c r="J1769">
        <v>110000</v>
      </c>
      <c r="K1769">
        <v>38000</v>
      </c>
      <c r="L1769" s="74">
        <v>5.4420000000000002</v>
      </c>
      <c r="M1769" s="85">
        <v>6</v>
      </c>
      <c r="N1769" s="74">
        <v>2.0459999999999998</v>
      </c>
      <c r="O1769">
        <v>3</v>
      </c>
      <c r="P1769" s="84">
        <v>1.5345</v>
      </c>
      <c r="Q1769" s="86">
        <v>8.4</v>
      </c>
      <c r="R1769" s="85">
        <v>8.4</v>
      </c>
      <c r="S1769" s="87">
        <v>1732670</v>
      </c>
      <c r="T1769" s="1">
        <v>7</v>
      </c>
      <c r="U1769" s="88">
        <v>206270.23809523808</v>
      </c>
      <c r="V1769" s="59">
        <v>4.8480091419600964</v>
      </c>
      <c r="X1769" s="98">
        <v>16.8</v>
      </c>
      <c r="Y1769" s="97">
        <v>115.83690476190476</v>
      </c>
    </row>
    <row r="1770" spans="1:25">
      <c r="A1770" s="58">
        <v>1772</v>
      </c>
      <c r="B1770" s="58">
        <v>1772</v>
      </c>
      <c r="C1770" s="58" t="s">
        <v>2553</v>
      </c>
      <c r="D1770" s="58" t="s">
        <v>882</v>
      </c>
      <c r="E1770" s="58" t="s">
        <v>882</v>
      </c>
      <c r="F1770" s="58" t="s">
        <v>2550</v>
      </c>
      <c r="G1770" s="58" t="s">
        <v>2551</v>
      </c>
      <c r="H1770" s="58" t="s">
        <v>199</v>
      </c>
      <c r="I1770">
        <v>110000</v>
      </c>
      <c r="J1770" s="58" t="s">
        <v>185</v>
      </c>
      <c r="K1770">
        <v>110000</v>
      </c>
      <c r="L1770" s="74">
        <v>5.7080000000000002</v>
      </c>
      <c r="M1770" s="85">
        <v>6</v>
      </c>
      <c r="N1770" s="74">
        <v>3.3929999999999998</v>
      </c>
      <c r="O1770">
        <v>3</v>
      </c>
      <c r="P1770" s="84">
        <v>2.5447499999999996</v>
      </c>
      <c r="Q1770" s="86">
        <v>16.8</v>
      </c>
      <c r="R1770" s="85">
        <v>16.8</v>
      </c>
      <c r="S1770" s="87">
        <v>2016330</v>
      </c>
      <c r="T1770" s="1">
        <v>8</v>
      </c>
      <c r="U1770" s="88">
        <v>120019.64285714286</v>
      </c>
      <c r="V1770" s="59">
        <v>8.3319694692833011</v>
      </c>
      <c r="X1770" s="98">
        <v>8.4</v>
      </c>
      <c r="Y1770" s="97">
        <v>206.27023809523808</v>
      </c>
    </row>
    <row r="1771" spans="1:25">
      <c r="A1771" s="58">
        <v>1773</v>
      </c>
      <c r="B1771" s="58">
        <v>1773</v>
      </c>
      <c r="C1771" s="58" t="s">
        <v>2554</v>
      </c>
      <c r="D1771" s="58" t="s">
        <v>882</v>
      </c>
      <c r="E1771" s="58" t="s">
        <v>882</v>
      </c>
      <c r="F1771" s="58" t="s">
        <v>2550</v>
      </c>
      <c r="G1771" s="58" t="s">
        <v>2551</v>
      </c>
      <c r="H1771" s="58" t="s">
        <v>199</v>
      </c>
      <c r="I1771">
        <v>110000</v>
      </c>
      <c r="J1771" s="58" t="s">
        <v>185</v>
      </c>
      <c r="K1771">
        <v>110000</v>
      </c>
      <c r="L1771" s="74">
        <v>7.3570000000000002</v>
      </c>
      <c r="M1771" s="85">
        <v>8</v>
      </c>
      <c r="N1771" s="74">
        <v>0.372</v>
      </c>
      <c r="O1771">
        <v>3</v>
      </c>
      <c r="P1771" s="84">
        <v>0.372</v>
      </c>
      <c r="Q1771" s="86">
        <v>4.2</v>
      </c>
      <c r="R1771" s="85">
        <v>4.2</v>
      </c>
      <c r="S1771" s="87">
        <v>1838070</v>
      </c>
      <c r="T1771" s="1">
        <v>7</v>
      </c>
      <c r="U1771" s="88">
        <v>437635.71428571426</v>
      </c>
      <c r="V1771" s="59">
        <v>2.2850054676916547</v>
      </c>
      <c r="X1771" s="98">
        <v>16.8</v>
      </c>
      <c r="Y1771" s="97">
        <v>120.01964285714286</v>
      </c>
    </row>
    <row r="1772" spans="1:25">
      <c r="A1772" s="58">
        <v>1774</v>
      </c>
      <c r="B1772" s="58">
        <v>1774</v>
      </c>
      <c r="C1772" s="58" t="s">
        <v>2555</v>
      </c>
      <c r="D1772" s="58" t="s">
        <v>882</v>
      </c>
      <c r="E1772" s="58" t="s">
        <v>882</v>
      </c>
      <c r="F1772" s="58" t="s">
        <v>1935</v>
      </c>
      <c r="G1772" s="58" t="s">
        <v>1936</v>
      </c>
      <c r="H1772" s="58" t="s">
        <v>179</v>
      </c>
      <c r="I1772">
        <v>38000</v>
      </c>
      <c r="J1772">
        <v>38000</v>
      </c>
      <c r="K1772" s="58" t="s">
        <v>185</v>
      </c>
      <c r="L1772" s="74">
        <v>6.1</v>
      </c>
      <c r="M1772" s="85">
        <v>7</v>
      </c>
      <c r="N1772" s="74">
        <v>4.0259999999999998</v>
      </c>
      <c r="O1772">
        <v>3</v>
      </c>
      <c r="P1772" s="84">
        <v>3.0194999999999999</v>
      </c>
      <c r="Q1772" s="86">
        <v>21</v>
      </c>
      <c r="R1772" s="85">
        <v>21</v>
      </c>
      <c r="S1772" s="87">
        <v>839680</v>
      </c>
      <c r="T1772" s="1">
        <v>4</v>
      </c>
      <c r="U1772" s="88">
        <v>39984.761904761908</v>
      </c>
      <c r="V1772" s="59">
        <v>25.009527439024389</v>
      </c>
      <c r="X1772" s="98">
        <v>4.2</v>
      </c>
      <c r="Y1772" s="97">
        <v>437.63571428571424</v>
      </c>
    </row>
    <row r="1773" spans="1:25">
      <c r="A1773" s="58">
        <v>1775</v>
      </c>
      <c r="B1773" s="58">
        <v>1775</v>
      </c>
      <c r="C1773" s="58" t="s">
        <v>2556</v>
      </c>
      <c r="D1773" s="58" t="s">
        <v>187</v>
      </c>
      <c r="E1773" s="58" t="s">
        <v>187</v>
      </c>
      <c r="F1773" s="58" t="s">
        <v>368</v>
      </c>
      <c r="G1773" s="58" t="s">
        <v>369</v>
      </c>
      <c r="H1773" s="58" t="s">
        <v>199</v>
      </c>
      <c r="I1773">
        <v>110000</v>
      </c>
      <c r="J1773">
        <v>110000</v>
      </c>
      <c r="K1773">
        <v>38000</v>
      </c>
      <c r="L1773" s="74">
        <v>7.9909999999999997</v>
      </c>
      <c r="M1773" s="85">
        <v>8</v>
      </c>
      <c r="N1773" s="74">
        <v>1.071</v>
      </c>
      <c r="O1773">
        <v>3</v>
      </c>
      <c r="P1773" s="84">
        <v>1.071</v>
      </c>
      <c r="Q1773" s="86">
        <v>4.2</v>
      </c>
      <c r="R1773" s="85">
        <v>4.2</v>
      </c>
      <c r="S1773" s="87">
        <v>1838070</v>
      </c>
      <c r="T1773" s="1">
        <v>7</v>
      </c>
      <c r="U1773" s="88">
        <v>437635.71428571426</v>
      </c>
      <c r="V1773" s="59">
        <v>2.2850054676916547</v>
      </c>
      <c r="X1773" s="98">
        <v>21</v>
      </c>
      <c r="Y1773" s="97">
        <v>39.984761904761903</v>
      </c>
    </row>
    <row r="1774" spans="1:25">
      <c r="A1774" s="58">
        <v>1776</v>
      </c>
      <c r="B1774" s="58">
        <v>1776</v>
      </c>
      <c r="C1774" s="58" t="s">
        <v>2557</v>
      </c>
      <c r="D1774" s="58" t="s">
        <v>852</v>
      </c>
      <c r="E1774" s="58" t="s">
        <v>852</v>
      </c>
      <c r="F1774" s="58" t="s">
        <v>2044</v>
      </c>
      <c r="G1774" s="58" t="s">
        <v>2045</v>
      </c>
      <c r="H1774" s="58" t="s">
        <v>179</v>
      </c>
      <c r="I1774">
        <v>38000</v>
      </c>
      <c r="J1774">
        <v>38000</v>
      </c>
      <c r="K1774" s="58" t="s">
        <v>185</v>
      </c>
      <c r="L1774" s="74">
        <v>6.1790000000000003</v>
      </c>
      <c r="M1774" s="85">
        <v>7</v>
      </c>
      <c r="N1774" s="74">
        <v>0.44800000000000001</v>
      </c>
      <c r="O1774">
        <v>3</v>
      </c>
      <c r="P1774" s="84">
        <v>0.44800000000000001</v>
      </c>
      <c r="Q1774" s="86">
        <v>4.2</v>
      </c>
      <c r="R1774" s="85">
        <v>4.2</v>
      </c>
      <c r="S1774" s="87">
        <v>839680</v>
      </c>
      <c r="T1774" s="1">
        <v>4</v>
      </c>
      <c r="U1774" s="88">
        <v>199923.80952380953</v>
      </c>
      <c r="V1774" s="59">
        <v>5.0019054878048781</v>
      </c>
      <c r="X1774" s="98">
        <v>4.2</v>
      </c>
      <c r="Y1774" s="97">
        <v>437.63571428571424</v>
      </c>
    </row>
    <row r="1775" spans="1:25">
      <c r="A1775" s="58">
        <v>1777</v>
      </c>
      <c r="B1775" s="58">
        <v>1777</v>
      </c>
      <c r="C1775" s="58" t="s">
        <v>2558</v>
      </c>
      <c r="D1775" s="58" t="s">
        <v>1806</v>
      </c>
      <c r="E1775" s="58" t="s">
        <v>1806</v>
      </c>
      <c r="F1775" s="58" t="s">
        <v>2037</v>
      </c>
      <c r="G1775" s="58" t="s">
        <v>2038</v>
      </c>
      <c r="H1775" s="58" t="s">
        <v>179</v>
      </c>
      <c r="I1775">
        <v>38000</v>
      </c>
      <c r="J1775">
        <v>38000</v>
      </c>
      <c r="K1775" s="58" t="s">
        <v>185</v>
      </c>
      <c r="L1775" s="74">
        <v>4.7569999999999997</v>
      </c>
      <c r="M1775" s="85">
        <v>5</v>
      </c>
      <c r="N1775" s="74">
        <v>0.52900000000000003</v>
      </c>
      <c r="O1775">
        <v>3</v>
      </c>
      <c r="P1775" s="84">
        <v>0.52900000000000003</v>
      </c>
      <c r="Q1775" s="86">
        <v>4.2</v>
      </c>
      <c r="R1775" s="85">
        <v>4.2</v>
      </c>
      <c r="S1775" s="87">
        <v>699140</v>
      </c>
      <c r="T1775" s="1">
        <v>4</v>
      </c>
      <c r="U1775" s="88">
        <v>166461.90476190476</v>
      </c>
      <c r="V1775" s="59">
        <v>6.0073804960379897</v>
      </c>
      <c r="X1775" s="98">
        <v>4.2</v>
      </c>
      <c r="Y1775" s="97">
        <v>199.92380952380952</v>
      </c>
    </row>
    <row r="1776" spans="1:25">
      <c r="A1776" s="58">
        <v>1778</v>
      </c>
      <c r="B1776" s="58">
        <v>1778</v>
      </c>
      <c r="C1776" s="58" t="s">
        <v>2559</v>
      </c>
      <c r="D1776" s="58" t="s">
        <v>351</v>
      </c>
      <c r="E1776" s="58" t="s">
        <v>351</v>
      </c>
      <c r="F1776" s="58" t="s">
        <v>514</v>
      </c>
      <c r="G1776" s="58" t="s">
        <v>515</v>
      </c>
      <c r="H1776" s="58" t="s">
        <v>179</v>
      </c>
      <c r="I1776">
        <v>38000</v>
      </c>
      <c r="J1776">
        <v>38000</v>
      </c>
      <c r="K1776">
        <v>20000</v>
      </c>
      <c r="L1776" s="74">
        <v>7.1040000000000001</v>
      </c>
      <c r="M1776" s="85">
        <v>8</v>
      </c>
      <c r="N1776" s="74">
        <v>0.43099999999999999</v>
      </c>
      <c r="O1776">
        <v>3</v>
      </c>
      <c r="P1776" s="84">
        <v>0.43099999999999999</v>
      </c>
      <c r="Q1776" s="86">
        <v>4.2</v>
      </c>
      <c r="R1776" s="85">
        <v>4.2</v>
      </c>
      <c r="S1776" s="87">
        <v>909950</v>
      </c>
      <c r="T1776" s="1">
        <v>4</v>
      </c>
      <c r="U1776" s="88">
        <v>216654.76190476189</v>
      </c>
      <c r="V1776" s="59">
        <v>4.6156382218803227</v>
      </c>
      <c r="X1776" s="98">
        <v>4.2</v>
      </c>
      <c r="Y1776" s="97">
        <v>166.46190476190475</v>
      </c>
    </row>
    <row r="1777" spans="1:25">
      <c r="A1777" s="58">
        <v>1779</v>
      </c>
      <c r="B1777" s="58">
        <v>1779</v>
      </c>
      <c r="C1777" s="58" t="s">
        <v>2560</v>
      </c>
      <c r="D1777" s="58" t="s">
        <v>249</v>
      </c>
      <c r="E1777" s="58" t="s">
        <v>351</v>
      </c>
      <c r="F1777" s="58" t="s">
        <v>514</v>
      </c>
      <c r="G1777" s="58" t="s">
        <v>515</v>
      </c>
      <c r="H1777" s="58" t="s">
        <v>179</v>
      </c>
      <c r="I1777">
        <v>38000</v>
      </c>
      <c r="J1777">
        <v>38000</v>
      </c>
      <c r="K1777">
        <v>20000</v>
      </c>
      <c r="L1777" s="74">
        <v>9.1609999999999996</v>
      </c>
      <c r="M1777" s="85">
        <v>10</v>
      </c>
      <c r="N1777" s="74">
        <v>6.3109999999999999</v>
      </c>
      <c r="O1777">
        <v>3</v>
      </c>
      <c r="P1777" s="84">
        <v>4.73325</v>
      </c>
      <c r="Q1777" s="86">
        <v>33.6</v>
      </c>
      <c r="R1777" s="85">
        <v>33.6</v>
      </c>
      <c r="S1777" s="87">
        <v>1460390</v>
      </c>
      <c r="T1777" s="1">
        <v>6</v>
      </c>
      <c r="U1777" s="88">
        <v>43463.988095238092</v>
      </c>
      <c r="V1777" s="59">
        <v>23.007552776997926</v>
      </c>
      <c r="X1777" s="98">
        <v>4.2</v>
      </c>
      <c r="Y1777" s="97">
        <v>216.6547619047619</v>
      </c>
    </row>
    <row r="1778" spans="1:25">
      <c r="A1778" s="58">
        <v>1780</v>
      </c>
      <c r="B1778" s="58">
        <v>1780</v>
      </c>
      <c r="C1778" s="58" t="s">
        <v>2561</v>
      </c>
      <c r="D1778" s="58" t="s">
        <v>351</v>
      </c>
      <c r="E1778" s="58" t="s">
        <v>351</v>
      </c>
      <c r="F1778" s="58" t="s">
        <v>1119</v>
      </c>
      <c r="G1778" s="58" t="s">
        <v>1120</v>
      </c>
      <c r="H1778" s="58" t="s">
        <v>199</v>
      </c>
      <c r="I1778">
        <v>110000</v>
      </c>
      <c r="L1778" s="74">
        <v>5.7240000000000002</v>
      </c>
      <c r="M1778" s="85">
        <v>6</v>
      </c>
      <c r="N1778" s="74">
        <v>0.58299999999999996</v>
      </c>
      <c r="O1778">
        <v>3</v>
      </c>
      <c r="P1778" s="84">
        <v>0.58299999999999996</v>
      </c>
      <c r="Q1778" s="86">
        <v>4.2</v>
      </c>
      <c r="R1778" s="85">
        <v>4.2</v>
      </c>
      <c r="S1778" s="87">
        <v>1732670</v>
      </c>
      <c r="T1778" s="1">
        <v>7</v>
      </c>
      <c r="U1778" s="88">
        <v>412540.47619047615</v>
      </c>
      <c r="V1778" s="59">
        <v>2.4240045709800482</v>
      </c>
      <c r="X1778" s="98">
        <v>33.6</v>
      </c>
      <c r="Y1778" s="97">
        <v>43.463988095238093</v>
      </c>
    </row>
    <row r="1779" spans="1:25">
      <c r="A1779" s="58">
        <v>1781</v>
      </c>
      <c r="B1779" s="58">
        <v>1781</v>
      </c>
      <c r="C1779" s="58" t="s">
        <v>2562</v>
      </c>
      <c r="D1779" s="58" t="s">
        <v>351</v>
      </c>
      <c r="E1779" s="58" t="s">
        <v>351</v>
      </c>
      <c r="F1779" s="58" t="s">
        <v>1119</v>
      </c>
      <c r="G1779" s="58" t="s">
        <v>1120</v>
      </c>
      <c r="H1779" s="58" t="s">
        <v>199</v>
      </c>
      <c r="I1779">
        <v>110000</v>
      </c>
      <c r="L1779" s="74">
        <v>4.5389999999999997</v>
      </c>
      <c r="M1779" s="85">
        <v>5</v>
      </c>
      <c r="N1779" s="74">
        <v>0.30399999999999999</v>
      </c>
      <c r="O1779">
        <v>3</v>
      </c>
      <c r="P1779" s="84">
        <v>0.30399999999999999</v>
      </c>
      <c r="Q1779" s="86">
        <v>4.2</v>
      </c>
      <c r="R1779" s="85">
        <v>4.2</v>
      </c>
      <c r="S1779" s="87">
        <v>1679970</v>
      </c>
      <c r="T1779" s="1">
        <v>7</v>
      </c>
      <c r="U1779" s="88">
        <v>399992.8571428571</v>
      </c>
      <c r="V1779" s="59">
        <v>2.5000446436543511</v>
      </c>
      <c r="X1779" s="98">
        <v>4.2</v>
      </c>
      <c r="Y1779" s="97">
        <v>412.54047619047617</v>
      </c>
    </row>
    <row r="1780" spans="1:25">
      <c r="A1780" s="58">
        <v>1782</v>
      </c>
      <c r="B1780" s="58">
        <v>1782</v>
      </c>
      <c r="C1780" s="58" t="s">
        <v>2563</v>
      </c>
      <c r="D1780" s="58" t="s">
        <v>351</v>
      </c>
      <c r="E1780" s="58" t="s">
        <v>351</v>
      </c>
      <c r="F1780" s="58" t="s">
        <v>514</v>
      </c>
      <c r="G1780" s="58" t="s">
        <v>515</v>
      </c>
      <c r="H1780" s="58" t="s">
        <v>179</v>
      </c>
      <c r="I1780">
        <v>38000</v>
      </c>
      <c r="J1780">
        <v>38000</v>
      </c>
      <c r="K1780">
        <v>20000</v>
      </c>
      <c r="L1780" s="74">
        <v>4.6870000000000003</v>
      </c>
      <c r="M1780" s="85">
        <v>5</v>
      </c>
      <c r="N1780" s="74">
        <v>1.2230000000000001</v>
      </c>
      <c r="O1780">
        <v>3</v>
      </c>
      <c r="P1780" s="84">
        <v>0.91725000000000012</v>
      </c>
      <c r="Q1780" s="86">
        <v>4.2</v>
      </c>
      <c r="R1780" s="85">
        <v>4.2</v>
      </c>
      <c r="S1780" s="87">
        <v>699140</v>
      </c>
      <c r="T1780" s="1">
        <v>4</v>
      </c>
      <c r="U1780" s="88">
        <v>166461.90476190476</v>
      </c>
      <c r="V1780" s="59">
        <v>6.0073804960379897</v>
      </c>
      <c r="X1780" s="98">
        <v>4.2</v>
      </c>
      <c r="Y1780" s="97">
        <v>399.99285714285708</v>
      </c>
    </row>
    <row r="1781" spans="1:25">
      <c r="A1781" s="58">
        <v>1783</v>
      </c>
      <c r="B1781" s="58">
        <v>1783</v>
      </c>
      <c r="C1781" s="58" t="s">
        <v>2564</v>
      </c>
      <c r="D1781" s="58" t="s">
        <v>351</v>
      </c>
      <c r="E1781" s="58" t="s">
        <v>351</v>
      </c>
      <c r="F1781" s="58" t="s">
        <v>514</v>
      </c>
      <c r="G1781" s="58" t="s">
        <v>515</v>
      </c>
      <c r="H1781" s="58" t="s">
        <v>179</v>
      </c>
      <c r="I1781">
        <v>38000</v>
      </c>
      <c r="J1781">
        <v>38000</v>
      </c>
      <c r="K1781">
        <v>20000</v>
      </c>
      <c r="L1781" s="74">
        <v>7.4260000000000002</v>
      </c>
      <c r="M1781" s="85">
        <v>8</v>
      </c>
      <c r="N1781" s="74">
        <v>0.33600000000000002</v>
      </c>
      <c r="O1781">
        <v>3</v>
      </c>
      <c r="P1781" s="84">
        <v>0.33600000000000002</v>
      </c>
      <c r="Q1781" s="86">
        <v>4.2</v>
      </c>
      <c r="R1781" s="85">
        <v>4.2</v>
      </c>
      <c r="S1781" s="87">
        <v>909950</v>
      </c>
      <c r="T1781" s="1">
        <v>4</v>
      </c>
      <c r="U1781" s="88">
        <v>216654.76190476189</v>
      </c>
      <c r="V1781" s="59">
        <v>4.6156382218803227</v>
      </c>
      <c r="X1781" s="98">
        <v>4.2</v>
      </c>
      <c r="Y1781" s="97">
        <v>166.46190476190475</v>
      </c>
    </row>
    <row r="1782" spans="1:25">
      <c r="A1782" s="58">
        <v>1784</v>
      </c>
      <c r="B1782" s="58">
        <v>1784</v>
      </c>
      <c r="C1782" s="58" t="s">
        <v>2565</v>
      </c>
      <c r="D1782" s="58" t="s">
        <v>351</v>
      </c>
      <c r="E1782" s="58" t="s">
        <v>351</v>
      </c>
      <c r="F1782" s="58" t="s">
        <v>514</v>
      </c>
      <c r="G1782" s="58" t="s">
        <v>515</v>
      </c>
      <c r="H1782" s="58" t="s">
        <v>179</v>
      </c>
      <c r="I1782">
        <v>38000</v>
      </c>
      <c r="J1782">
        <v>38000</v>
      </c>
      <c r="K1782">
        <v>20000</v>
      </c>
      <c r="L1782" s="74">
        <v>9.3109999999999999</v>
      </c>
      <c r="M1782" s="85">
        <v>10</v>
      </c>
      <c r="N1782" s="74">
        <v>0.316</v>
      </c>
      <c r="O1782">
        <v>3</v>
      </c>
      <c r="P1782" s="84">
        <v>0.316</v>
      </c>
      <c r="Q1782" s="86">
        <v>4.2</v>
      </c>
      <c r="R1782" s="85">
        <v>4.2</v>
      </c>
      <c r="S1782" s="87">
        <v>1387140</v>
      </c>
      <c r="T1782" s="1">
        <v>1</v>
      </c>
      <c r="U1782" s="88">
        <v>330271.42857142858</v>
      </c>
      <c r="V1782" s="59">
        <v>3.0278126216531858</v>
      </c>
      <c r="X1782" s="98">
        <v>4.2</v>
      </c>
      <c r="Y1782" s="97">
        <v>216.6547619047619</v>
      </c>
    </row>
    <row r="1783" spans="1:25">
      <c r="A1783" s="58">
        <v>1785</v>
      </c>
      <c r="B1783" s="58">
        <v>1785</v>
      </c>
      <c r="C1783" s="58" t="s">
        <v>2566</v>
      </c>
      <c r="D1783" s="58" t="s">
        <v>351</v>
      </c>
      <c r="E1783" s="58" t="s">
        <v>351</v>
      </c>
      <c r="F1783" s="58" t="s">
        <v>514</v>
      </c>
      <c r="G1783" s="58" t="s">
        <v>515</v>
      </c>
      <c r="H1783" s="58" t="s">
        <v>179</v>
      </c>
      <c r="I1783">
        <v>38000</v>
      </c>
      <c r="J1783">
        <v>38000</v>
      </c>
      <c r="K1783">
        <v>20000</v>
      </c>
      <c r="L1783" s="74">
        <v>11.148</v>
      </c>
      <c r="M1783" s="85">
        <v>12</v>
      </c>
      <c r="N1783" s="74">
        <v>0.17799999999999999</v>
      </c>
      <c r="O1783">
        <v>3</v>
      </c>
      <c r="P1783" s="84">
        <v>0.17799999999999999</v>
      </c>
      <c r="Q1783" s="86">
        <v>4.2</v>
      </c>
      <c r="R1783" s="85">
        <v>4.2</v>
      </c>
      <c r="S1783" s="87">
        <v>1492540</v>
      </c>
      <c r="T1783" s="1">
        <v>1</v>
      </c>
      <c r="U1783" s="88">
        <v>355366.66666666663</v>
      </c>
      <c r="V1783" s="59">
        <v>2.8139949348091173</v>
      </c>
      <c r="X1783" s="98">
        <v>4.2</v>
      </c>
      <c r="Y1783" s="97">
        <v>330.2714285714286</v>
      </c>
    </row>
    <row r="1784" spans="1:25">
      <c r="A1784" s="58">
        <v>1786</v>
      </c>
      <c r="B1784" s="58">
        <v>1786</v>
      </c>
      <c r="C1784" s="58" t="s">
        <v>2567</v>
      </c>
      <c r="D1784" s="58" t="s">
        <v>249</v>
      </c>
      <c r="E1784" s="58" t="s">
        <v>249</v>
      </c>
      <c r="F1784" s="58" t="s">
        <v>514</v>
      </c>
      <c r="G1784" s="58" t="s">
        <v>515</v>
      </c>
      <c r="H1784" s="58" t="s">
        <v>179</v>
      </c>
      <c r="I1784">
        <v>38000</v>
      </c>
      <c r="J1784">
        <v>38000</v>
      </c>
      <c r="K1784">
        <v>20000</v>
      </c>
      <c r="L1784" s="74">
        <v>13.253</v>
      </c>
      <c r="M1784" s="85">
        <v>14</v>
      </c>
      <c r="N1784" s="74">
        <v>0.624</v>
      </c>
      <c r="O1784">
        <v>3</v>
      </c>
      <c r="P1784" s="84">
        <v>0.624</v>
      </c>
      <c r="Q1784" s="86">
        <v>4.2</v>
      </c>
      <c r="R1784" s="85">
        <v>4.2</v>
      </c>
      <c r="S1784" s="87">
        <v>1597940</v>
      </c>
      <c r="T1784" s="1">
        <v>1</v>
      </c>
      <c r="U1784" s="88">
        <v>380461.90476190473</v>
      </c>
      <c r="V1784" s="59">
        <v>2.6283840444572388</v>
      </c>
      <c r="X1784" s="98">
        <v>4.2</v>
      </c>
      <c r="Y1784" s="97">
        <v>355.36666666666662</v>
      </c>
    </row>
    <row r="1785" spans="1:25">
      <c r="A1785" s="58">
        <v>1787</v>
      </c>
      <c r="B1785" s="58">
        <v>1787</v>
      </c>
      <c r="C1785" s="58" t="s">
        <v>2568</v>
      </c>
      <c r="D1785" s="58" t="s">
        <v>249</v>
      </c>
      <c r="E1785" s="58" t="s">
        <v>249</v>
      </c>
      <c r="F1785" s="58" t="s">
        <v>250</v>
      </c>
      <c r="G1785" s="58" t="s">
        <v>251</v>
      </c>
      <c r="H1785" s="58" t="s">
        <v>199</v>
      </c>
      <c r="I1785">
        <v>110000</v>
      </c>
      <c r="L1785" s="74">
        <v>5.9130000000000003</v>
      </c>
      <c r="M1785" s="85">
        <v>6</v>
      </c>
      <c r="N1785" s="74">
        <v>0.45200000000000001</v>
      </c>
      <c r="O1785">
        <v>3</v>
      </c>
      <c r="P1785" s="84">
        <v>0.45200000000000001</v>
      </c>
      <c r="Q1785" s="86">
        <v>4.2</v>
      </c>
      <c r="R1785" s="85">
        <v>4.2</v>
      </c>
      <c r="S1785" s="87">
        <v>1732670</v>
      </c>
      <c r="T1785" s="1">
        <v>7</v>
      </c>
      <c r="U1785" s="88">
        <v>412540.47619047615</v>
      </c>
      <c r="V1785" s="59">
        <v>2.4240045709800482</v>
      </c>
      <c r="X1785" s="98">
        <v>4.2</v>
      </c>
      <c r="Y1785" s="97">
        <v>380.46190476190475</v>
      </c>
    </row>
    <row r="1786" spans="1:25">
      <c r="A1786" s="58">
        <v>1788</v>
      </c>
      <c r="B1786" s="58">
        <v>1788</v>
      </c>
      <c r="C1786" s="58" t="s">
        <v>2569</v>
      </c>
      <c r="D1786" s="58" t="s">
        <v>249</v>
      </c>
      <c r="E1786" s="58" t="s">
        <v>351</v>
      </c>
      <c r="F1786" s="58" t="s">
        <v>250</v>
      </c>
      <c r="G1786" s="58" t="s">
        <v>251</v>
      </c>
      <c r="H1786" s="58" t="s">
        <v>199</v>
      </c>
      <c r="I1786">
        <v>110000</v>
      </c>
      <c r="L1786" s="74">
        <v>9.3480000000000008</v>
      </c>
      <c r="M1786" s="85">
        <v>10</v>
      </c>
      <c r="N1786" s="74">
        <v>3.5720000000000001</v>
      </c>
      <c r="O1786">
        <v>3</v>
      </c>
      <c r="P1786" s="84">
        <v>2.6790000000000003</v>
      </c>
      <c r="Q1786" s="86">
        <v>16.8</v>
      </c>
      <c r="R1786" s="85">
        <v>16.8</v>
      </c>
      <c r="S1786" s="87">
        <v>2297410</v>
      </c>
      <c r="T1786" s="1">
        <v>8</v>
      </c>
      <c r="U1786" s="88">
        <v>136750.59523809524</v>
      </c>
      <c r="V1786" s="59">
        <v>7.3125824297796216</v>
      </c>
      <c r="X1786" s="98">
        <v>4.2</v>
      </c>
      <c r="Y1786" s="97">
        <v>412.54047619047617</v>
      </c>
    </row>
    <row r="1787" spans="1:25">
      <c r="A1787" s="58">
        <v>1789</v>
      </c>
      <c r="B1787" s="58">
        <v>1789</v>
      </c>
      <c r="C1787" s="58" t="s">
        <v>2570</v>
      </c>
      <c r="D1787" s="58" t="s">
        <v>351</v>
      </c>
      <c r="E1787" s="58" t="s">
        <v>351</v>
      </c>
      <c r="F1787" s="58" t="s">
        <v>422</v>
      </c>
      <c r="G1787" s="58" t="s">
        <v>423</v>
      </c>
      <c r="H1787" s="58" t="s">
        <v>199</v>
      </c>
      <c r="I1787">
        <v>110000</v>
      </c>
      <c r="J1787">
        <v>110000</v>
      </c>
      <c r="K1787">
        <v>20000</v>
      </c>
      <c r="L1787" s="74">
        <v>10.487</v>
      </c>
      <c r="M1787" s="85">
        <v>11</v>
      </c>
      <c r="N1787" s="74">
        <v>2.4329999999999998</v>
      </c>
      <c r="O1787">
        <v>3</v>
      </c>
      <c r="P1787" s="84">
        <v>1.8247499999999999</v>
      </c>
      <c r="Q1787" s="86">
        <v>12.600000000000001</v>
      </c>
      <c r="R1787" s="85">
        <v>12.600000000000001</v>
      </c>
      <c r="S1787" s="87">
        <v>1996170</v>
      </c>
      <c r="T1787" s="1">
        <v>7</v>
      </c>
      <c r="U1787" s="88">
        <v>158426.19047619044</v>
      </c>
      <c r="V1787" s="59">
        <v>6.3120876478456251</v>
      </c>
      <c r="X1787" s="98">
        <v>16.8</v>
      </c>
      <c r="Y1787" s="97">
        <v>136.75059523809523</v>
      </c>
    </row>
    <row r="1788" spans="1:25">
      <c r="A1788" s="58">
        <v>1790</v>
      </c>
      <c r="B1788" s="58">
        <v>1790</v>
      </c>
      <c r="C1788" s="58" t="s">
        <v>2571</v>
      </c>
      <c r="D1788" s="58" t="s">
        <v>351</v>
      </c>
      <c r="E1788" s="58" t="s">
        <v>351</v>
      </c>
      <c r="F1788" s="58" t="s">
        <v>422</v>
      </c>
      <c r="G1788" s="58" t="s">
        <v>423</v>
      </c>
      <c r="H1788" s="58" t="s">
        <v>199</v>
      </c>
      <c r="I1788">
        <v>110000</v>
      </c>
      <c r="J1788">
        <v>110000</v>
      </c>
      <c r="K1788">
        <v>20000</v>
      </c>
      <c r="L1788" s="74">
        <v>9.407</v>
      </c>
      <c r="M1788" s="85">
        <v>10</v>
      </c>
      <c r="N1788" s="74">
        <v>2.7010000000000001</v>
      </c>
      <c r="O1788">
        <v>3</v>
      </c>
      <c r="P1788" s="84">
        <v>2.0257499999999999</v>
      </c>
      <c r="Q1788" s="86">
        <v>12.600000000000001</v>
      </c>
      <c r="R1788" s="85">
        <v>12.600000000000001</v>
      </c>
      <c r="S1788" s="87">
        <v>1943470</v>
      </c>
      <c r="T1788" s="1">
        <v>7</v>
      </c>
      <c r="U1788" s="88">
        <v>154243.65079365077</v>
      </c>
      <c r="V1788" s="59">
        <v>6.4832490339444409</v>
      </c>
      <c r="X1788" s="98">
        <v>12.600000000000001</v>
      </c>
      <c r="Y1788" s="97">
        <v>158.42619047619044</v>
      </c>
    </row>
    <row r="1789" spans="1:25">
      <c r="A1789" s="58">
        <v>1791</v>
      </c>
      <c r="B1789" s="58">
        <v>1791</v>
      </c>
      <c r="C1789" s="58" t="s">
        <v>2572</v>
      </c>
      <c r="D1789" s="58" t="s">
        <v>351</v>
      </c>
      <c r="E1789" s="58" t="s">
        <v>351</v>
      </c>
      <c r="F1789" s="58" t="s">
        <v>422</v>
      </c>
      <c r="G1789" s="58" t="s">
        <v>423</v>
      </c>
      <c r="H1789" s="58" t="s">
        <v>199</v>
      </c>
      <c r="I1789">
        <v>110000</v>
      </c>
      <c r="J1789">
        <v>110000</v>
      </c>
      <c r="K1789">
        <v>20000</v>
      </c>
      <c r="L1789" s="74">
        <v>4.8620000000000001</v>
      </c>
      <c r="M1789" s="85">
        <v>5</v>
      </c>
      <c r="N1789" s="74">
        <v>0.53900000000000003</v>
      </c>
      <c r="O1789">
        <v>3</v>
      </c>
      <c r="P1789" s="84">
        <v>0.53900000000000003</v>
      </c>
      <c r="Q1789" s="86">
        <v>4.2</v>
      </c>
      <c r="R1789" s="85">
        <v>4.2</v>
      </c>
      <c r="S1789" s="87">
        <v>1679970</v>
      </c>
      <c r="T1789" s="1">
        <v>7</v>
      </c>
      <c r="U1789" s="88">
        <v>399992.8571428571</v>
      </c>
      <c r="V1789" s="59">
        <v>2.5000446436543511</v>
      </c>
      <c r="X1789" s="98">
        <v>12.600000000000001</v>
      </c>
      <c r="Y1789" s="97">
        <v>154.24365079365077</v>
      </c>
    </row>
    <row r="1790" spans="1:25">
      <c r="A1790" s="58">
        <v>1792</v>
      </c>
      <c r="B1790" s="58">
        <v>1792</v>
      </c>
      <c r="C1790" s="58" t="s">
        <v>2573</v>
      </c>
      <c r="D1790" s="58" t="s">
        <v>351</v>
      </c>
      <c r="E1790" s="58" t="s">
        <v>351</v>
      </c>
      <c r="F1790" s="58" t="s">
        <v>422</v>
      </c>
      <c r="G1790" s="58" t="s">
        <v>423</v>
      </c>
      <c r="H1790" s="58" t="s">
        <v>199</v>
      </c>
      <c r="I1790">
        <v>110000</v>
      </c>
      <c r="J1790">
        <v>110000</v>
      </c>
      <c r="K1790">
        <v>20000</v>
      </c>
      <c r="L1790" s="74">
        <v>6.0369999999999999</v>
      </c>
      <c r="M1790" s="85">
        <v>7</v>
      </c>
      <c r="N1790" s="74">
        <v>1.2829999999999999</v>
      </c>
      <c r="O1790">
        <v>3</v>
      </c>
      <c r="P1790" s="84">
        <v>0.96224999999999994</v>
      </c>
      <c r="Q1790" s="86">
        <v>4.2</v>
      </c>
      <c r="R1790" s="85">
        <v>4.2</v>
      </c>
      <c r="S1790" s="87">
        <v>1785370</v>
      </c>
      <c r="T1790" s="1">
        <v>7</v>
      </c>
      <c r="U1790" s="88">
        <v>425088.09523809521</v>
      </c>
      <c r="V1790" s="59">
        <v>2.3524535530450272</v>
      </c>
      <c r="X1790" s="98">
        <v>4.2</v>
      </c>
      <c r="Y1790" s="97">
        <v>399.99285714285708</v>
      </c>
    </row>
    <row r="1791" spans="1:25">
      <c r="A1791" s="58">
        <v>1793</v>
      </c>
      <c r="B1791" s="58">
        <v>1793</v>
      </c>
      <c r="C1791" s="58" t="s">
        <v>2574</v>
      </c>
      <c r="D1791" s="58" t="s">
        <v>249</v>
      </c>
      <c r="E1791" s="58" t="s">
        <v>249</v>
      </c>
      <c r="F1791" s="58" t="s">
        <v>250</v>
      </c>
      <c r="G1791" s="58" t="s">
        <v>251</v>
      </c>
      <c r="H1791" s="58" t="s">
        <v>199</v>
      </c>
      <c r="I1791">
        <v>110000</v>
      </c>
      <c r="L1791" s="74">
        <v>8.2100000000000009</v>
      </c>
      <c r="M1791" s="85">
        <v>9</v>
      </c>
      <c r="N1791" s="74">
        <v>4.6210000000000004</v>
      </c>
      <c r="O1791">
        <v>3</v>
      </c>
      <c r="P1791" s="84">
        <v>3.4657500000000003</v>
      </c>
      <c r="Q1791" s="86">
        <v>21</v>
      </c>
      <c r="R1791" s="85">
        <v>21</v>
      </c>
      <c r="S1791" s="87">
        <v>2227140</v>
      </c>
      <c r="T1791" s="1">
        <v>8</v>
      </c>
      <c r="U1791" s="88">
        <v>106054.28571428571</v>
      </c>
      <c r="V1791" s="59">
        <v>9.4291333279452569</v>
      </c>
      <c r="X1791" s="98">
        <v>4.2</v>
      </c>
      <c r="Y1791" s="97">
        <v>425.08809523809521</v>
      </c>
    </row>
    <row r="1792" spans="1:25">
      <c r="A1792" s="58">
        <v>1794</v>
      </c>
      <c r="B1792" s="58">
        <v>1794</v>
      </c>
      <c r="C1792" s="58" t="s">
        <v>2575</v>
      </c>
      <c r="D1792" s="58" t="s">
        <v>351</v>
      </c>
      <c r="E1792" s="58" t="s">
        <v>351</v>
      </c>
      <c r="F1792" s="58" t="s">
        <v>514</v>
      </c>
      <c r="G1792" s="58" t="s">
        <v>515</v>
      </c>
      <c r="H1792" s="58" t="s">
        <v>179</v>
      </c>
      <c r="I1792">
        <v>38000</v>
      </c>
      <c r="J1792">
        <v>38000</v>
      </c>
      <c r="K1792">
        <v>20000</v>
      </c>
      <c r="L1792" s="74">
        <v>4.5090000000000003</v>
      </c>
      <c r="M1792" s="85">
        <v>5</v>
      </c>
      <c r="N1792" s="74">
        <v>1.173</v>
      </c>
      <c r="O1792">
        <v>3</v>
      </c>
      <c r="P1792" s="84">
        <v>1.173</v>
      </c>
      <c r="Q1792" s="86">
        <v>4.2</v>
      </c>
      <c r="R1792" s="85">
        <v>4.2</v>
      </c>
      <c r="S1792" s="87">
        <v>699140</v>
      </c>
      <c r="T1792" s="1">
        <v>4</v>
      </c>
      <c r="U1792" s="88">
        <v>166461.90476190476</v>
      </c>
      <c r="V1792" s="59">
        <v>6.0073804960379897</v>
      </c>
      <c r="X1792" s="98">
        <v>21</v>
      </c>
      <c r="Y1792" s="97">
        <v>106.05428571428571</v>
      </c>
    </row>
    <row r="1793" spans="1:25">
      <c r="A1793" s="58">
        <v>1795</v>
      </c>
      <c r="B1793" s="58">
        <v>1795</v>
      </c>
      <c r="C1793" s="58" t="s">
        <v>2576</v>
      </c>
      <c r="D1793" s="58" t="s">
        <v>187</v>
      </c>
      <c r="E1793" s="58" t="s">
        <v>187</v>
      </c>
      <c r="F1793" s="58" t="s">
        <v>432</v>
      </c>
      <c r="G1793" s="58" t="s">
        <v>433</v>
      </c>
      <c r="H1793" s="58" t="s">
        <v>199</v>
      </c>
      <c r="I1793">
        <v>110000</v>
      </c>
      <c r="L1793" s="74">
        <v>9.5299999999999994</v>
      </c>
      <c r="M1793" s="85">
        <v>10</v>
      </c>
      <c r="N1793" s="74">
        <v>2.0059999999999998</v>
      </c>
      <c r="O1793">
        <v>3</v>
      </c>
      <c r="P1793" s="84">
        <v>1.5044999999999997</v>
      </c>
      <c r="Q1793" s="86">
        <v>8.4</v>
      </c>
      <c r="R1793" s="85">
        <v>8.4</v>
      </c>
      <c r="S1793" s="87">
        <v>1943470</v>
      </c>
      <c r="T1793" s="1">
        <v>7</v>
      </c>
      <c r="U1793" s="88">
        <v>231365.47619047618</v>
      </c>
      <c r="V1793" s="59">
        <v>4.3221660226296263</v>
      </c>
      <c r="X1793" s="98">
        <v>4.2</v>
      </c>
      <c r="Y1793" s="97">
        <v>166.46190476190475</v>
      </c>
    </row>
    <row r="1794" spans="1:25">
      <c r="A1794" s="58">
        <v>1796</v>
      </c>
      <c r="B1794" s="58">
        <v>1796</v>
      </c>
      <c r="C1794" s="58" t="s">
        <v>2577</v>
      </c>
      <c r="D1794" s="58" t="s">
        <v>187</v>
      </c>
      <c r="E1794" s="58" t="s">
        <v>187</v>
      </c>
      <c r="F1794" s="58" t="s">
        <v>432</v>
      </c>
      <c r="G1794" s="58" t="s">
        <v>433</v>
      </c>
      <c r="H1794" s="58" t="s">
        <v>199</v>
      </c>
      <c r="I1794">
        <v>110000</v>
      </c>
      <c r="L1794" s="74">
        <v>11.189</v>
      </c>
      <c r="M1794" s="85">
        <v>12</v>
      </c>
      <c r="N1794" s="74">
        <v>1.0529999999999999</v>
      </c>
      <c r="O1794">
        <v>3</v>
      </c>
      <c r="P1794" s="84">
        <v>1.0529999999999999</v>
      </c>
      <c r="Q1794" s="86">
        <v>4.2</v>
      </c>
      <c r="R1794" s="85">
        <v>4.2</v>
      </c>
      <c r="S1794" s="87">
        <v>2048870</v>
      </c>
      <c r="T1794" s="1">
        <v>7</v>
      </c>
      <c r="U1794" s="88">
        <v>487826.19047619047</v>
      </c>
      <c r="V1794" s="59">
        <v>2.0499104384367968</v>
      </c>
      <c r="X1794" s="98">
        <v>8.4</v>
      </c>
      <c r="Y1794" s="97">
        <v>231.36547619047619</v>
      </c>
    </row>
    <row r="1795" spans="1:25">
      <c r="A1795" s="58">
        <v>1797</v>
      </c>
      <c r="B1795" s="58">
        <v>1797</v>
      </c>
      <c r="C1795" s="58" t="s">
        <v>2578</v>
      </c>
      <c r="D1795" s="58" t="s">
        <v>187</v>
      </c>
      <c r="E1795" s="58" t="s">
        <v>187</v>
      </c>
      <c r="F1795" s="58" t="s">
        <v>435</v>
      </c>
      <c r="G1795" s="58" t="s">
        <v>436</v>
      </c>
      <c r="H1795" s="58" t="s">
        <v>199</v>
      </c>
      <c r="I1795">
        <v>110000</v>
      </c>
      <c r="J1795">
        <v>38000</v>
      </c>
      <c r="K1795">
        <v>110000</v>
      </c>
      <c r="L1795" s="74">
        <v>10.141</v>
      </c>
      <c r="M1795" s="85">
        <v>11</v>
      </c>
      <c r="N1795" s="74">
        <v>3.9249999999999998</v>
      </c>
      <c r="O1795">
        <v>3</v>
      </c>
      <c r="P1795" s="84">
        <v>2.9437499999999996</v>
      </c>
      <c r="Q1795" s="86">
        <v>21</v>
      </c>
      <c r="R1795" s="85">
        <v>21</v>
      </c>
      <c r="S1795" s="87">
        <v>2367680</v>
      </c>
      <c r="T1795" s="1">
        <v>8</v>
      </c>
      <c r="U1795" s="88">
        <v>112746.66666666667</v>
      </c>
      <c r="V1795" s="59">
        <v>8.8694418164616842</v>
      </c>
      <c r="X1795" s="98">
        <v>4.2</v>
      </c>
      <c r="Y1795" s="97">
        <v>487.82619047619045</v>
      </c>
    </row>
    <row r="1796" spans="1:25">
      <c r="A1796" s="58">
        <v>1798</v>
      </c>
      <c r="B1796" s="58">
        <v>1798</v>
      </c>
      <c r="C1796" s="58" t="s">
        <v>2579</v>
      </c>
      <c r="D1796" s="58" t="s">
        <v>187</v>
      </c>
      <c r="E1796" s="58" t="s">
        <v>187</v>
      </c>
      <c r="F1796" s="58" t="s">
        <v>432</v>
      </c>
      <c r="G1796" s="58" t="s">
        <v>433</v>
      </c>
      <c r="H1796" s="58" t="s">
        <v>199</v>
      </c>
      <c r="I1796">
        <v>110000</v>
      </c>
      <c r="L1796" s="74">
        <v>7.8949999999999996</v>
      </c>
      <c r="M1796" s="85">
        <v>8</v>
      </c>
      <c r="N1796" s="74">
        <v>0.86899999999999999</v>
      </c>
      <c r="O1796">
        <v>3</v>
      </c>
      <c r="P1796" s="84">
        <v>0.86899999999999999</v>
      </c>
      <c r="Q1796" s="86">
        <v>4.2</v>
      </c>
      <c r="R1796" s="85">
        <v>4.2</v>
      </c>
      <c r="S1796" s="87">
        <v>1838070</v>
      </c>
      <c r="T1796" s="1">
        <v>7</v>
      </c>
      <c r="U1796" s="88">
        <v>437635.71428571426</v>
      </c>
      <c r="V1796" s="59">
        <v>2.2850054676916547</v>
      </c>
      <c r="X1796" s="98">
        <v>21</v>
      </c>
      <c r="Y1796" s="97">
        <v>112.74666666666667</v>
      </c>
    </row>
    <row r="1797" spans="1:25">
      <c r="A1797" s="58">
        <v>1799</v>
      </c>
      <c r="B1797" s="58">
        <v>1799</v>
      </c>
      <c r="C1797" s="58" t="s">
        <v>2580</v>
      </c>
      <c r="D1797" s="58" t="s">
        <v>187</v>
      </c>
      <c r="E1797" s="58" t="s">
        <v>187</v>
      </c>
      <c r="F1797" s="58" t="s">
        <v>368</v>
      </c>
      <c r="G1797" s="58" t="s">
        <v>369</v>
      </c>
      <c r="H1797" s="58" t="s">
        <v>199</v>
      </c>
      <c r="I1797">
        <v>110000</v>
      </c>
      <c r="J1797">
        <v>110000</v>
      </c>
      <c r="K1797">
        <v>38000</v>
      </c>
      <c r="L1797" s="74">
        <v>11.207000000000001</v>
      </c>
      <c r="M1797" s="85">
        <v>12</v>
      </c>
      <c r="N1797" s="74">
        <v>3.2349999999999999</v>
      </c>
      <c r="O1797">
        <v>3</v>
      </c>
      <c r="P1797" s="84">
        <v>2.42625</v>
      </c>
      <c r="Q1797" s="86">
        <v>16.8</v>
      </c>
      <c r="R1797" s="85">
        <v>16.8</v>
      </c>
      <c r="S1797" s="87">
        <v>2437950</v>
      </c>
      <c r="T1797" s="1">
        <v>8</v>
      </c>
      <c r="U1797" s="88">
        <v>145116.07142857142</v>
      </c>
      <c r="V1797" s="59">
        <v>6.8910355011382514</v>
      </c>
      <c r="X1797" s="98">
        <v>4.2</v>
      </c>
      <c r="Y1797" s="97">
        <v>437.63571428571424</v>
      </c>
    </row>
    <row r="1798" spans="1:25">
      <c r="A1798" s="58">
        <v>1800</v>
      </c>
      <c r="B1798" s="58">
        <v>1800</v>
      </c>
      <c r="C1798" s="58" t="s">
        <v>2581</v>
      </c>
      <c r="D1798" s="58" t="s">
        <v>187</v>
      </c>
      <c r="E1798" s="58" t="s">
        <v>187</v>
      </c>
      <c r="F1798" s="58" t="s">
        <v>432</v>
      </c>
      <c r="G1798" s="58" t="s">
        <v>433</v>
      </c>
      <c r="H1798" s="58" t="s">
        <v>199</v>
      </c>
      <c r="I1798">
        <v>110000</v>
      </c>
      <c r="L1798" s="74">
        <v>6.2220000000000004</v>
      </c>
      <c r="M1798" s="85">
        <v>7</v>
      </c>
      <c r="N1798" s="74">
        <v>0.91300000000000003</v>
      </c>
      <c r="O1798">
        <v>3</v>
      </c>
      <c r="P1798" s="84">
        <v>0.91300000000000003</v>
      </c>
      <c r="Q1798" s="86">
        <v>4.2</v>
      </c>
      <c r="R1798" s="85">
        <v>4.2</v>
      </c>
      <c r="S1798" s="87">
        <v>1785370</v>
      </c>
      <c r="T1798" s="1">
        <v>7</v>
      </c>
      <c r="U1798" s="88">
        <v>425088.09523809521</v>
      </c>
      <c r="V1798" s="59">
        <v>2.3524535530450272</v>
      </c>
      <c r="X1798" s="98">
        <v>16.8</v>
      </c>
      <c r="Y1798" s="97">
        <v>145.11607142857142</v>
      </c>
    </row>
    <row r="1799" spans="1:25">
      <c r="A1799" s="58">
        <v>1801</v>
      </c>
      <c r="B1799" s="58">
        <v>1801</v>
      </c>
      <c r="C1799" s="58" t="s">
        <v>2582</v>
      </c>
      <c r="D1799" s="58" t="s">
        <v>187</v>
      </c>
      <c r="E1799" s="58" t="s">
        <v>187</v>
      </c>
      <c r="F1799" s="58" t="s">
        <v>435</v>
      </c>
      <c r="G1799" s="58" t="s">
        <v>436</v>
      </c>
      <c r="H1799" s="58" t="s">
        <v>199</v>
      </c>
      <c r="I1799">
        <v>110000</v>
      </c>
      <c r="J1799">
        <v>38000</v>
      </c>
      <c r="K1799">
        <v>110000</v>
      </c>
      <c r="L1799" s="74">
        <v>5.8150000000000004</v>
      </c>
      <c r="M1799" s="85">
        <v>6</v>
      </c>
      <c r="N1799" s="74">
        <v>1.1439999999999999</v>
      </c>
      <c r="O1799">
        <v>3</v>
      </c>
      <c r="P1799" s="84">
        <v>1.1439999999999999</v>
      </c>
      <c r="Q1799" s="86">
        <v>4.2</v>
      </c>
      <c r="R1799" s="85">
        <v>4.2</v>
      </c>
      <c r="S1799" s="87">
        <v>1732670</v>
      </c>
      <c r="T1799" s="1">
        <v>7</v>
      </c>
      <c r="U1799" s="88">
        <v>412540.47619047615</v>
      </c>
      <c r="V1799" s="59">
        <v>2.4240045709800482</v>
      </c>
      <c r="X1799" s="98">
        <v>4.2</v>
      </c>
      <c r="Y1799" s="97">
        <v>425.08809523809521</v>
      </c>
    </row>
    <row r="1800" spans="1:25">
      <c r="A1800" s="58">
        <v>1802</v>
      </c>
      <c r="B1800" s="58">
        <v>1802</v>
      </c>
      <c r="C1800" s="58" t="s">
        <v>2583</v>
      </c>
      <c r="D1800" s="58" t="s">
        <v>187</v>
      </c>
      <c r="E1800" s="58" t="s">
        <v>187</v>
      </c>
      <c r="F1800" s="58" t="s">
        <v>432</v>
      </c>
      <c r="G1800" s="58" t="s">
        <v>433</v>
      </c>
      <c r="H1800" s="58" t="s">
        <v>199</v>
      </c>
      <c r="I1800">
        <v>110000</v>
      </c>
      <c r="L1800" s="74">
        <v>8.1180000000000003</v>
      </c>
      <c r="M1800" s="85">
        <v>9</v>
      </c>
      <c r="N1800" s="74">
        <v>1.82</v>
      </c>
      <c r="O1800">
        <v>3</v>
      </c>
      <c r="P1800" s="84">
        <v>1.365</v>
      </c>
      <c r="Q1800" s="86">
        <v>8.4</v>
      </c>
      <c r="R1800" s="85">
        <v>8.4</v>
      </c>
      <c r="S1800" s="87">
        <v>1890770</v>
      </c>
      <c r="T1800" s="1">
        <v>7</v>
      </c>
      <c r="U1800" s="88">
        <v>225091.66666666666</v>
      </c>
      <c r="V1800" s="59">
        <v>4.4426344822479731</v>
      </c>
      <c r="X1800" s="98">
        <v>4.2</v>
      </c>
      <c r="Y1800" s="97">
        <v>412.54047619047617</v>
      </c>
    </row>
    <row r="1801" spans="1:25">
      <c r="A1801" s="58">
        <v>1803</v>
      </c>
      <c r="B1801" s="58">
        <v>1803</v>
      </c>
      <c r="C1801" s="58" t="s">
        <v>2584</v>
      </c>
      <c r="D1801" s="58" t="s">
        <v>187</v>
      </c>
      <c r="E1801" s="58" t="s">
        <v>187</v>
      </c>
      <c r="F1801" s="58" t="s">
        <v>746</v>
      </c>
      <c r="G1801" s="58" t="s">
        <v>747</v>
      </c>
      <c r="H1801" s="58" t="s">
        <v>199</v>
      </c>
      <c r="I1801">
        <v>110000</v>
      </c>
      <c r="J1801">
        <v>110000</v>
      </c>
      <c r="K1801">
        <v>38000</v>
      </c>
      <c r="L1801" s="74">
        <v>5.0780000000000003</v>
      </c>
      <c r="M1801" s="85">
        <v>6</v>
      </c>
      <c r="N1801" s="74">
        <v>1.2769999999999999</v>
      </c>
      <c r="O1801">
        <v>3</v>
      </c>
      <c r="P1801" s="84">
        <v>0.95774999999999988</v>
      </c>
      <c r="Q1801" s="86">
        <v>4.2</v>
      </c>
      <c r="R1801" s="85">
        <v>4.2</v>
      </c>
      <c r="S1801" s="87">
        <v>1732670</v>
      </c>
      <c r="T1801" s="1">
        <v>7</v>
      </c>
      <c r="U1801" s="88">
        <v>412540.47619047615</v>
      </c>
      <c r="V1801" s="59">
        <v>2.4240045709800482</v>
      </c>
      <c r="X1801" s="98">
        <v>8.4</v>
      </c>
      <c r="Y1801" s="97">
        <v>225.09166666666667</v>
      </c>
    </row>
    <row r="1802" spans="1:25">
      <c r="A1802" s="58">
        <v>1804</v>
      </c>
      <c r="B1802" s="58">
        <v>1804</v>
      </c>
      <c r="C1802" s="58" t="s">
        <v>2585</v>
      </c>
      <c r="D1802" s="58" t="s">
        <v>176</v>
      </c>
      <c r="E1802" s="58" t="s">
        <v>176</v>
      </c>
      <c r="F1802" s="58" t="s">
        <v>262</v>
      </c>
      <c r="G1802" s="58" t="s">
        <v>263</v>
      </c>
      <c r="H1802" s="58" t="s">
        <v>179</v>
      </c>
      <c r="I1802">
        <v>38000</v>
      </c>
      <c r="J1802" s="58" t="s">
        <v>185</v>
      </c>
      <c r="K1802">
        <v>38000</v>
      </c>
      <c r="L1802" s="74">
        <v>4.7670000000000003</v>
      </c>
      <c r="M1802" s="85">
        <v>5</v>
      </c>
      <c r="N1802" s="74">
        <v>2.1779999999999999</v>
      </c>
      <c r="O1802">
        <v>3</v>
      </c>
      <c r="P1802" s="84">
        <v>1.6335</v>
      </c>
      <c r="Q1802" s="86">
        <v>8.4</v>
      </c>
      <c r="R1802" s="85">
        <v>8.4</v>
      </c>
      <c r="S1802" s="87">
        <v>699140</v>
      </c>
      <c r="T1802" s="1">
        <v>4</v>
      </c>
      <c r="U1802" s="88">
        <v>83230.952380952382</v>
      </c>
      <c r="V1802" s="59">
        <v>12.014760992075979</v>
      </c>
      <c r="X1802" s="98">
        <v>4.2</v>
      </c>
      <c r="Y1802" s="97">
        <v>412.54047619047617</v>
      </c>
    </row>
    <row r="1803" spans="1:25">
      <c r="A1803" s="58">
        <v>1805</v>
      </c>
      <c r="B1803" s="58">
        <v>1805</v>
      </c>
      <c r="C1803" s="58" t="s">
        <v>2586</v>
      </c>
      <c r="D1803" s="58" t="s">
        <v>176</v>
      </c>
      <c r="E1803" s="58" t="s">
        <v>176</v>
      </c>
      <c r="F1803" s="58" t="s">
        <v>262</v>
      </c>
      <c r="G1803" s="58" t="s">
        <v>263</v>
      </c>
      <c r="H1803" s="58" t="s">
        <v>179</v>
      </c>
      <c r="I1803">
        <v>38000</v>
      </c>
      <c r="J1803" s="58" t="s">
        <v>185</v>
      </c>
      <c r="K1803">
        <v>38000</v>
      </c>
      <c r="L1803" s="74">
        <v>1.881</v>
      </c>
      <c r="M1803" s="85">
        <v>2</v>
      </c>
      <c r="N1803" s="74">
        <v>0.33300000000000002</v>
      </c>
      <c r="O1803">
        <v>3</v>
      </c>
      <c r="P1803" s="84">
        <v>0.33300000000000002</v>
      </c>
      <c r="Q1803" s="86">
        <v>4.2</v>
      </c>
      <c r="R1803" s="85">
        <v>4.2</v>
      </c>
      <c r="S1803" s="87">
        <v>488330</v>
      </c>
      <c r="T1803" s="1">
        <v>4</v>
      </c>
      <c r="U1803" s="88">
        <v>116269.04761904762</v>
      </c>
      <c r="V1803" s="59">
        <v>8.6007413019884087</v>
      </c>
      <c r="X1803" s="98">
        <v>8.4</v>
      </c>
      <c r="Y1803" s="97">
        <v>83.230952380952374</v>
      </c>
    </row>
    <row r="1804" spans="1:25">
      <c r="A1804" s="58">
        <v>1806</v>
      </c>
      <c r="B1804" s="58">
        <v>1806</v>
      </c>
      <c r="C1804" s="58" t="s">
        <v>2587</v>
      </c>
      <c r="D1804" s="58" t="s">
        <v>410</v>
      </c>
      <c r="E1804" s="58" t="s">
        <v>450</v>
      </c>
      <c r="F1804" s="58" t="s">
        <v>2588</v>
      </c>
      <c r="G1804" s="58" t="s">
        <v>2589</v>
      </c>
      <c r="H1804" s="58" t="s">
        <v>179</v>
      </c>
      <c r="I1804">
        <v>38000</v>
      </c>
      <c r="J1804">
        <v>38000</v>
      </c>
      <c r="K1804" s="58" t="s">
        <v>185</v>
      </c>
      <c r="L1804" s="74">
        <v>8.5790000000000006</v>
      </c>
      <c r="M1804" s="85">
        <v>9</v>
      </c>
      <c r="N1804" s="74">
        <v>5.9119999999999999</v>
      </c>
      <c r="O1804">
        <v>3</v>
      </c>
      <c r="P1804" s="84">
        <v>4.4340000000000002</v>
      </c>
      <c r="Q1804" s="86">
        <v>29.400000000000006</v>
      </c>
      <c r="R1804" s="85">
        <v>29.400000000000006</v>
      </c>
      <c r="S1804" s="87">
        <v>1147260</v>
      </c>
      <c r="T1804" s="1">
        <v>5</v>
      </c>
      <c r="U1804" s="88">
        <v>39022.448979591827</v>
      </c>
      <c r="V1804" s="59">
        <v>25.626274776423834</v>
      </c>
      <c r="X1804" s="98">
        <v>4.2</v>
      </c>
      <c r="Y1804" s="97">
        <v>116.26904761904763</v>
      </c>
    </row>
    <row r="1805" spans="1:25">
      <c r="A1805" s="58">
        <v>1807</v>
      </c>
      <c r="B1805" s="58">
        <v>1807</v>
      </c>
      <c r="C1805" s="58" t="s">
        <v>2590</v>
      </c>
      <c r="D1805" s="58" t="s">
        <v>410</v>
      </c>
      <c r="E1805" s="58" t="s">
        <v>410</v>
      </c>
      <c r="F1805" s="58" t="s">
        <v>451</v>
      </c>
      <c r="G1805" s="58" t="s">
        <v>452</v>
      </c>
      <c r="H1805" s="58" t="s">
        <v>179</v>
      </c>
      <c r="I1805">
        <v>38000</v>
      </c>
      <c r="J1805">
        <v>38000</v>
      </c>
      <c r="K1805" s="58" t="s">
        <v>185</v>
      </c>
      <c r="L1805" s="74">
        <v>7.1150000000000002</v>
      </c>
      <c r="M1805" s="85">
        <v>8</v>
      </c>
      <c r="N1805" s="74">
        <v>8.1750000000000007</v>
      </c>
      <c r="O1805">
        <v>3</v>
      </c>
      <c r="P1805" s="84">
        <v>6.1312500000000005</v>
      </c>
      <c r="Q1805" s="86">
        <v>42</v>
      </c>
      <c r="R1805" s="85">
        <v>42</v>
      </c>
      <c r="S1805" s="87">
        <v>1237870</v>
      </c>
      <c r="T1805" s="1">
        <v>6</v>
      </c>
      <c r="U1805" s="88">
        <v>29473.095238095237</v>
      </c>
      <c r="V1805" s="59">
        <v>33.92924943653211</v>
      </c>
      <c r="X1805" s="98">
        <v>29.400000000000006</v>
      </c>
      <c r="Y1805" s="97">
        <v>39.022448979591829</v>
      </c>
    </row>
    <row r="1806" spans="1:25">
      <c r="A1806" s="58">
        <v>1808</v>
      </c>
      <c r="B1806" s="58">
        <v>1808</v>
      </c>
      <c r="C1806" s="58" t="s">
        <v>2591</v>
      </c>
      <c r="D1806" s="58" t="s">
        <v>410</v>
      </c>
      <c r="E1806" s="58" t="s">
        <v>410</v>
      </c>
      <c r="F1806" s="58" t="s">
        <v>451</v>
      </c>
      <c r="G1806" s="58" t="s">
        <v>452</v>
      </c>
      <c r="H1806" s="58" t="s">
        <v>179</v>
      </c>
      <c r="I1806">
        <v>38000</v>
      </c>
      <c r="J1806">
        <v>38000</v>
      </c>
      <c r="K1806" s="58" t="s">
        <v>185</v>
      </c>
      <c r="L1806" s="74">
        <v>6.27</v>
      </c>
      <c r="M1806" s="85">
        <v>7</v>
      </c>
      <c r="N1806" s="74">
        <v>0.86</v>
      </c>
      <c r="O1806">
        <v>3</v>
      </c>
      <c r="P1806" s="84">
        <v>0.86</v>
      </c>
      <c r="Q1806" s="86">
        <v>4.2</v>
      </c>
      <c r="R1806" s="85">
        <v>4.2</v>
      </c>
      <c r="S1806" s="87">
        <v>839680</v>
      </c>
      <c r="T1806" s="1">
        <v>4</v>
      </c>
      <c r="U1806" s="88">
        <v>199923.80952380953</v>
      </c>
      <c r="V1806" s="59">
        <v>5.0019054878048781</v>
      </c>
      <c r="X1806" s="98">
        <v>42</v>
      </c>
      <c r="Y1806" s="97">
        <v>29.473095238095237</v>
      </c>
    </row>
    <row r="1807" spans="1:25">
      <c r="A1807" s="58">
        <v>1809</v>
      </c>
      <c r="B1807" s="58">
        <v>1809</v>
      </c>
      <c r="C1807" s="58" t="s">
        <v>2592</v>
      </c>
      <c r="D1807" s="58" t="s">
        <v>410</v>
      </c>
      <c r="E1807" s="58" t="s">
        <v>410</v>
      </c>
      <c r="F1807" s="58" t="s">
        <v>451</v>
      </c>
      <c r="G1807" s="58" t="s">
        <v>452</v>
      </c>
      <c r="H1807" s="58" t="s">
        <v>179</v>
      </c>
      <c r="I1807">
        <v>38000</v>
      </c>
      <c r="J1807">
        <v>38000</v>
      </c>
      <c r="K1807" s="58" t="s">
        <v>185</v>
      </c>
      <c r="L1807" s="74">
        <v>9.3529999999999998</v>
      </c>
      <c r="M1807" s="85">
        <v>10</v>
      </c>
      <c r="N1807" s="74">
        <v>1.135</v>
      </c>
      <c r="O1807">
        <v>3</v>
      </c>
      <c r="P1807" s="84">
        <v>1.135</v>
      </c>
      <c r="Q1807" s="86">
        <v>4.2</v>
      </c>
      <c r="R1807" s="85">
        <v>4.2</v>
      </c>
      <c r="S1807" s="87">
        <v>1387140</v>
      </c>
      <c r="T1807" s="1">
        <v>1</v>
      </c>
      <c r="U1807" s="88">
        <v>330271.42857142858</v>
      </c>
      <c r="V1807" s="59">
        <v>3.0278126216531858</v>
      </c>
      <c r="X1807" s="98">
        <v>4.2</v>
      </c>
      <c r="Y1807" s="97">
        <v>199.92380952380952</v>
      </c>
    </row>
    <row r="1808" spans="1:25">
      <c r="A1808" s="58">
        <v>1810</v>
      </c>
      <c r="B1808" s="58">
        <v>1810</v>
      </c>
      <c r="C1808" s="58" t="s">
        <v>2593</v>
      </c>
      <c r="D1808" s="58" t="s">
        <v>410</v>
      </c>
      <c r="E1808" s="58" t="s">
        <v>450</v>
      </c>
      <c r="F1808" s="58" t="s">
        <v>1630</v>
      </c>
      <c r="G1808" s="58" t="s">
        <v>1631</v>
      </c>
      <c r="H1808" s="58" t="s">
        <v>179</v>
      </c>
      <c r="I1808">
        <v>38000</v>
      </c>
      <c r="J1808">
        <v>38000</v>
      </c>
      <c r="K1808" s="58" t="s">
        <v>185</v>
      </c>
      <c r="L1808" s="74">
        <v>8.1869999999999994</v>
      </c>
      <c r="M1808" s="85">
        <v>9</v>
      </c>
      <c r="N1808" s="74">
        <v>3.3260000000000001</v>
      </c>
      <c r="O1808">
        <v>3</v>
      </c>
      <c r="P1808" s="84">
        <v>2.4944999999999999</v>
      </c>
      <c r="Q1808" s="86">
        <v>16.8</v>
      </c>
      <c r="R1808" s="85">
        <v>16.8</v>
      </c>
      <c r="S1808" s="87">
        <v>980220</v>
      </c>
      <c r="T1808" s="1">
        <v>4</v>
      </c>
      <c r="U1808" s="88">
        <v>58346.428571428572</v>
      </c>
      <c r="V1808" s="59">
        <v>17.13900961008753</v>
      </c>
      <c r="X1808" s="98">
        <v>4.2</v>
      </c>
      <c r="Y1808" s="97">
        <v>330.2714285714286</v>
      </c>
    </row>
    <row r="1809" spans="1:25">
      <c r="A1809" s="58">
        <v>1811</v>
      </c>
      <c r="B1809" s="58">
        <v>1811</v>
      </c>
      <c r="C1809" s="58" t="s">
        <v>2594</v>
      </c>
      <c r="D1809" s="58" t="s">
        <v>410</v>
      </c>
      <c r="E1809" s="58" t="s">
        <v>450</v>
      </c>
      <c r="F1809" s="58" t="s">
        <v>1630</v>
      </c>
      <c r="G1809" s="58" t="s">
        <v>1631</v>
      </c>
      <c r="H1809" s="58" t="s">
        <v>179</v>
      </c>
      <c r="I1809">
        <v>38000</v>
      </c>
      <c r="J1809">
        <v>38000</v>
      </c>
      <c r="K1809" s="58" t="s">
        <v>185</v>
      </c>
      <c r="L1809" s="74">
        <v>9.8710000000000004</v>
      </c>
      <c r="M1809" s="85">
        <v>10</v>
      </c>
      <c r="N1809" s="74">
        <v>0.76</v>
      </c>
      <c r="O1809">
        <v>3</v>
      </c>
      <c r="P1809" s="84">
        <v>0.76</v>
      </c>
      <c r="Q1809" s="86">
        <v>4.2</v>
      </c>
      <c r="R1809" s="85">
        <v>4.2</v>
      </c>
      <c r="S1809" s="87">
        <v>1387140</v>
      </c>
      <c r="T1809" s="1">
        <v>1</v>
      </c>
      <c r="U1809" s="88">
        <v>330271.42857142858</v>
      </c>
      <c r="V1809" s="59">
        <v>3.0278126216531858</v>
      </c>
      <c r="X1809" s="98">
        <v>16.8</v>
      </c>
      <c r="Y1809" s="97">
        <v>58.346428571428568</v>
      </c>
    </row>
    <row r="1810" spans="1:25">
      <c r="A1810" s="89">
        <v>1812</v>
      </c>
      <c r="B1810" s="89">
        <v>1812</v>
      </c>
      <c r="C1810" s="89" t="s">
        <v>2595</v>
      </c>
      <c r="D1810" s="58" t="s">
        <v>410</v>
      </c>
      <c r="E1810" s="58" t="s">
        <v>450</v>
      </c>
      <c r="F1810" s="89" t="s">
        <v>769</v>
      </c>
      <c r="G1810" s="89" t="s">
        <v>770</v>
      </c>
      <c r="H1810" s="89" t="s">
        <v>179</v>
      </c>
      <c r="I1810" s="90">
        <v>38000</v>
      </c>
      <c r="J1810" s="89" t="s">
        <v>185</v>
      </c>
      <c r="K1810" s="90">
        <v>38000</v>
      </c>
      <c r="L1810" s="91">
        <v>9.5559999999999992</v>
      </c>
      <c r="M1810" s="92">
        <v>10</v>
      </c>
      <c r="N1810" s="91">
        <v>10.954000000000001</v>
      </c>
      <c r="O1810" s="90">
        <v>3</v>
      </c>
      <c r="P1810" s="92">
        <v>8.2155000000000005</v>
      </c>
      <c r="Q1810" s="93">
        <v>58.800000000000011</v>
      </c>
      <c r="R1810" s="92">
        <v>58.800000000000011</v>
      </c>
      <c r="S1810" s="87">
        <v>3026560</v>
      </c>
      <c r="T1810" s="94">
        <v>11</v>
      </c>
      <c r="U1810" s="95">
        <v>51472.108843537404</v>
      </c>
      <c r="V1810" s="96">
        <v>19.427997462465644</v>
      </c>
      <c r="X1810" s="98">
        <v>4.2</v>
      </c>
      <c r="Y1810" s="97">
        <v>330.2714285714286</v>
      </c>
    </row>
    <row r="1811" spans="1:25">
      <c r="A1811" s="58">
        <v>1813</v>
      </c>
      <c r="B1811" s="58">
        <v>1813</v>
      </c>
      <c r="C1811" s="58" t="s">
        <v>2596</v>
      </c>
      <c r="D1811" s="58" t="s">
        <v>410</v>
      </c>
      <c r="E1811" s="58" t="s">
        <v>410</v>
      </c>
      <c r="F1811" s="58" t="s">
        <v>769</v>
      </c>
      <c r="G1811" s="58" t="s">
        <v>770</v>
      </c>
      <c r="H1811" s="58" t="s">
        <v>179</v>
      </c>
      <c r="I1811">
        <v>38000</v>
      </c>
      <c r="J1811" s="58" t="s">
        <v>185</v>
      </c>
      <c r="K1811">
        <v>38000</v>
      </c>
      <c r="L1811" s="74">
        <v>9.24</v>
      </c>
      <c r="M1811" s="85">
        <v>10</v>
      </c>
      <c r="N1811" s="74">
        <v>2.5640000000000001</v>
      </c>
      <c r="O1811">
        <v>3</v>
      </c>
      <c r="P1811" s="84">
        <v>1.923</v>
      </c>
      <c r="Q1811" s="86">
        <v>12.600000000000001</v>
      </c>
      <c r="R1811" s="85">
        <v>12.600000000000001</v>
      </c>
      <c r="S1811" s="87">
        <v>1469550</v>
      </c>
      <c r="T1811" s="1">
        <v>3</v>
      </c>
      <c r="U1811" s="88">
        <v>116630.95238095237</v>
      </c>
      <c r="V1811" s="59">
        <v>8.5740532816168233</v>
      </c>
      <c r="X1811" s="98">
        <v>58.800000000000011</v>
      </c>
      <c r="Y1811" s="97">
        <v>51.472108843537406</v>
      </c>
    </row>
    <row r="1812" spans="1:25">
      <c r="A1812" s="58">
        <v>1814</v>
      </c>
      <c r="B1812" s="58">
        <v>1814</v>
      </c>
      <c r="C1812" s="58" t="s">
        <v>2597</v>
      </c>
      <c r="D1812" s="58" t="s">
        <v>410</v>
      </c>
      <c r="E1812" s="58" t="s">
        <v>450</v>
      </c>
      <c r="F1812" s="58" t="s">
        <v>451</v>
      </c>
      <c r="G1812" s="58" t="s">
        <v>452</v>
      </c>
      <c r="H1812" s="58" t="s">
        <v>179</v>
      </c>
      <c r="I1812">
        <v>38000</v>
      </c>
      <c r="J1812">
        <v>38000</v>
      </c>
      <c r="K1812" s="58" t="s">
        <v>185</v>
      </c>
      <c r="L1812" s="74">
        <v>8.5370000000000008</v>
      </c>
      <c r="M1812" s="85">
        <v>9</v>
      </c>
      <c r="N1812" s="74">
        <v>1.6579999999999999</v>
      </c>
      <c r="O1812">
        <v>3</v>
      </c>
      <c r="P1812" s="84">
        <v>1.2435</v>
      </c>
      <c r="Q1812" s="86">
        <v>8.4</v>
      </c>
      <c r="R1812" s="85">
        <v>8.4</v>
      </c>
      <c r="S1812" s="87">
        <v>1379800</v>
      </c>
      <c r="T1812" s="1">
        <v>2</v>
      </c>
      <c r="U1812" s="88">
        <v>164261.90476190476</v>
      </c>
      <c r="V1812" s="59">
        <v>6.087838817219887</v>
      </c>
      <c r="X1812" s="98">
        <v>12.600000000000001</v>
      </c>
      <c r="Y1812" s="97">
        <v>116.63095238095237</v>
      </c>
    </row>
    <row r="1813" spans="1:25">
      <c r="A1813" s="58">
        <v>1815</v>
      </c>
      <c r="B1813" s="58">
        <v>1815</v>
      </c>
      <c r="C1813" s="58" t="s">
        <v>2598</v>
      </c>
      <c r="D1813" s="58" t="s">
        <v>450</v>
      </c>
      <c r="E1813" s="58" t="s">
        <v>450</v>
      </c>
      <c r="F1813" s="58" t="s">
        <v>454</v>
      </c>
      <c r="G1813" s="58" t="s">
        <v>455</v>
      </c>
      <c r="H1813" s="58" t="s">
        <v>179</v>
      </c>
      <c r="I1813">
        <v>38000</v>
      </c>
      <c r="J1813">
        <v>38000</v>
      </c>
      <c r="K1813">
        <v>10000</v>
      </c>
      <c r="L1813" s="74">
        <v>12.24</v>
      </c>
      <c r="M1813" s="85">
        <v>13</v>
      </c>
      <c r="N1813" s="74">
        <v>1.4930000000000001</v>
      </c>
      <c r="O1813">
        <v>3</v>
      </c>
      <c r="P1813" s="84">
        <v>1.11975</v>
      </c>
      <c r="Q1813" s="86">
        <v>4.2</v>
      </c>
      <c r="R1813" s="85">
        <v>4.2</v>
      </c>
      <c r="S1813" s="87">
        <v>1545240</v>
      </c>
      <c r="T1813" s="1">
        <v>1</v>
      </c>
      <c r="U1813" s="88">
        <v>367914.28571428568</v>
      </c>
      <c r="V1813" s="59">
        <v>2.7180243845616214</v>
      </c>
      <c r="X1813" s="98">
        <v>8.4</v>
      </c>
      <c r="Y1813" s="97">
        <v>164.26190476190479</v>
      </c>
    </row>
    <row r="1814" spans="1:25">
      <c r="A1814" s="58">
        <v>1816</v>
      </c>
      <c r="B1814" s="58">
        <v>1816</v>
      </c>
      <c r="C1814" s="58" t="s">
        <v>2599</v>
      </c>
      <c r="D1814" s="58" t="s">
        <v>450</v>
      </c>
      <c r="E1814" s="58" t="s">
        <v>450</v>
      </c>
      <c r="F1814" s="58" t="s">
        <v>454</v>
      </c>
      <c r="G1814" s="58" t="s">
        <v>455</v>
      </c>
      <c r="H1814" s="58" t="s">
        <v>179</v>
      </c>
      <c r="I1814">
        <v>38000</v>
      </c>
      <c r="J1814">
        <v>38000</v>
      </c>
      <c r="K1814">
        <v>10000</v>
      </c>
      <c r="L1814" s="74">
        <v>12.173</v>
      </c>
      <c r="M1814" s="85">
        <v>13</v>
      </c>
      <c r="N1814" s="74">
        <v>4.399</v>
      </c>
      <c r="O1814">
        <v>3</v>
      </c>
      <c r="P1814" s="84">
        <v>3.2992499999999998</v>
      </c>
      <c r="Q1814" s="86">
        <v>21</v>
      </c>
      <c r="R1814" s="85">
        <v>21</v>
      </c>
      <c r="S1814" s="87">
        <v>1261300</v>
      </c>
      <c r="T1814" s="1">
        <v>4</v>
      </c>
      <c r="U1814" s="88">
        <v>60061.904761904763</v>
      </c>
      <c r="V1814" s="59">
        <v>16.649488622849439</v>
      </c>
      <c r="X1814" s="98">
        <v>4.2</v>
      </c>
      <c r="Y1814" s="97">
        <v>367.91428571428571</v>
      </c>
    </row>
    <row r="1815" spans="1:25">
      <c r="A1815" s="58">
        <v>1817</v>
      </c>
      <c r="B1815" s="58">
        <v>1817</v>
      </c>
      <c r="C1815" s="58" t="s">
        <v>2600</v>
      </c>
      <c r="D1815" s="58" t="s">
        <v>450</v>
      </c>
      <c r="E1815" s="58" t="s">
        <v>450</v>
      </c>
      <c r="F1815" s="58" t="s">
        <v>454</v>
      </c>
      <c r="G1815" s="58" t="s">
        <v>455</v>
      </c>
      <c r="H1815" s="58" t="s">
        <v>179</v>
      </c>
      <c r="I1815">
        <v>38000</v>
      </c>
      <c r="J1815">
        <v>38000</v>
      </c>
      <c r="K1815">
        <v>10000</v>
      </c>
      <c r="L1815" s="74">
        <v>7.9649999999999999</v>
      </c>
      <c r="M1815" s="85">
        <v>8</v>
      </c>
      <c r="N1815" s="74">
        <v>0.92700000000000005</v>
      </c>
      <c r="O1815">
        <v>3</v>
      </c>
      <c r="P1815" s="84">
        <v>0.92700000000000005</v>
      </c>
      <c r="Q1815" s="86">
        <v>4.2</v>
      </c>
      <c r="R1815" s="85">
        <v>4.2</v>
      </c>
      <c r="S1815" s="87">
        <v>909950</v>
      </c>
      <c r="T1815" s="1">
        <v>4</v>
      </c>
      <c r="U1815" s="88">
        <v>216654.76190476189</v>
      </c>
      <c r="V1815" s="59">
        <v>4.6156382218803227</v>
      </c>
      <c r="X1815" s="98">
        <v>21</v>
      </c>
      <c r="Y1815" s="97">
        <v>60.061904761904763</v>
      </c>
    </row>
    <row r="1816" spans="1:25">
      <c r="A1816" s="58">
        <v>1818</v>
      </c>
      <c r="B1816" s="58">
        <v>1818</v>
      </c>
      <c r="C1816" s="58" t="s">
        <v>2601</v>
      </c>
      <c r="D1816" s="58" t="s">
        <v>450</v>
      </c>
      <c r="E1816" s="58" t="s">
        <v>450</v>
      </c>
      <c r="F1816" s="58" t="s">
        <v>454</v>
      </c>
      <c r="G1816" s="58" t="s">
        <v>455</v>
      </c>
      <c r="H1816" s="58" t="s">
        <v>179</v>
      </c>
      <c r="I1816">
        <v>38000</v>
      </c>
      <c r="J1816">
        <v>38000</v>
      </c>
      <c r="K1816">
        <v>10000</v>
      </c>
      <c r="L1816" s="74">
        <v>6.3940000000000001</v>
      </c>
      <c r="M1816" s="85">
        <v>7</v>
      </c>
      <c r="N1816" s="74">
        <v>1.91</v>
      </c>
      <c r="O1816">
        <v>3</v>
      </c>
      <c r="P1816" s="84">
        <v>1.4324999999999999</v>
      </c>
      <c r="Q1816" s="86">
        <v>8.4</v>
      </c>
      <c r="R1816" s="85">
        <v>8.4</v>
      </c>
      <c r="S1816" s="87">
        <v>839680</v>
      </c>
      <c r="T1816" s="1">
        <v>4</v>
      </c>
      <c r="U1816" s="88">
        <v>99961.904761904763</v>
      </c>
      <c r="V1816" s="59">
        <v>10.003810975609756</v>
      </c>
      <c r="X1816" s="98">
        <v>4.2</v>
      </c>
      <c r="Y1816" s="97">
        <v>216.6547619047619</v>
      </c>
    </row>
    <row r="1817" spans="1:25">
      <c r="A1817" s="58">
        <v>1819</v>
      </c>
      <c r="B1817" s="58">
        <v>1819</v>
      </c>
      <c r="C1817" s="58" t="s">
        <v>2602</v>
      </c>
      <c r="D1817" s="58" t="s">
        <v>450</v>
      </c>
      <c r="E1817" s="58" t="s">
        <v>450</v>
      </c>
      <c r="F1817" s="58" t="s">
        <v>454</v>
      </c>
      <c r="G1817" s="58" t="s">
        <v>455</v>
      </c>
      <c r="H1817" s="58" t="s">
        <v>179</v>
      </c>
      <c r="I1817">
        <v>38000</v>
      </c>
      <c r="J1817">
        <v>38000</v>
      </c>
      <c r="K1817">
        <v>10000</v>
      </c>
      <c r="L1817" s="74">
        <v>3.4540000000000002</v>
      </c>
      <c r="M1817" s="85">
        <v>4</v>
      </c>
      <c r="N1817" s="74">
        <v>4.1500000000000004</v>
      </c>
      <c r="O1817">
        <v>3</v>
      </c>
      <c r="P1817" s="84">
        <v>3.1125000000000003</v>
      </c>
      <c r="Q1817" s="86">
        <v>21</v>
      </c>
      <c r="R1817" s="85">
        <v>21</v>
      </c>
      <c r="S1817" s="87">
        <v>628870</v>
      </c>
      <c r="T1817" s="1">
        <v>4</v>
      </c>
      <c r="U1817" s="88">
        <v>29946.190476190477</v>
      </c>
      <c r="V1817" s="59">
        <v>33.393229125256411</v>
      </c>
      <c r="X1817" s="98">
        <v>8.4</v>
      </c>
      <c r="Y1817" s="97">
        <v>99.961904761904762</v>
      </c>
    </row>
    <row r="1818" spans="1:25">
      <c r="A1818" s="58">
        <v>1820</v>
      </c>
      <c r="B1818" s="58">
        <v>1820</v>
      </c>
      <c r="C1818" s="58" t="s">
        <v>2603</v>
      </c>
      <c r="D1818" s="58" t="s">
        <v>450</v>
      </c>
      <c r="E1818" s="58" t="s">
        <v>450</v>
      </c>
      <c r="F1818" s="58" t="s">
        <v>782</v>
      </c>
      <c r="G1818" s="58" t="s">
        <v>783</v>
      </c>
      <c r="H1818" s="58" t="s">
        <v>199</v>
      </c>
      <c r="I1818">
        <v>110000</v>
      </c>
      <c r="J1818">
        <v>110000</v>
      </c>
      <c r="K1818">
        <v>38000</v>
      </c>
      <c r="L1818" s="74">
        <v>7.3849999999999998</v>
      </c>
      <c r="M1818" s="85">
        <v>8</v>
      </c>
      <c r="N1818" s="74">
        <v>1.165</v>
      </c>
      <c r="O1818">
        <v>3</v>
      </c>
      <c r="P1818" s="84">
        <v>1.165</v>
      </c>
      <c r="Q1818" s="86">
        <v>4.2</v>
      </c>
      <c r="R1818" s="85">
        <v>4.2</v>
      </c>
      <c r="S1818" s="87">
        <v>1838070</v>
      </c>
      <c r="T1818" s="1">
        <v>7</v>
      </c>
      <c r="U1818" s="88">
        <v>437635.71428571426</v>
      </c>
      <c r="V1818" s="59">
        <v>2.2850054676916547</v>
      </c>
      <c r="X1818" s="98">
        <v>21</v>
      </c>
      <c r="Y1818" s="97">
        <v>29.946190476190477</v>
      </c>
    </row>
    <row r="1819" spans="1:25">
      <c r="A1819" s="58">
        <v>1821</v>
      </c>
      <c r="B1819" s="58">
        <v>1821</v>
      </c>
      <c r="C1819" s="58" t="s">
        <v>2604</v>
      </c>
      <c r="D1819" s="58" t="s">
        <v>450</v>
      </c>
      <c r="E1819" s="58" t="s">
        <v>450</v>
      </c>
      <c r="F1819" s="58" t="s">
        <v>772</v>
      </c>
      <c r="G1819" s="58" t="s">
        <v>773</v>
      </c>
      <c r="H1819" s="58" t="s">
        <v>179</v>
      </c>
      <c r="I1819">
        <v>38000</v>
      </c>
      <c r="J1819">
        <v>38000</v>
      </c>
      <c r="K1819" s="58" t="s">
        <v>185</v>
      </c>
      <c r="L1819" s="74">
        <v>8.8019999999999996</v>
      </c>
      <c r="M1819" s="85">
        <v>9</v>
      </c>
      <c r="N1819" s="74">
        <v>1.419</v>
      </c>
      <c r="O1819">
        <v>3</v>
      </c>
      <c r="P1819" s="84">
        <v>1.0642499999999999</v>
      </c>
      <c r="Q1819" s="86">
        <v>4.2</v>
      </c>
      <c r="R1819" s="85">
        <v>4.2</v>
      </c>
      <c r="S1819" s="87">
        <v>1334440</v>
      </c>
      <c r="T1819" s="1">
        <v>1</v>
      </c>
      <c r="U1819" s="88">
        <v>317723.80952380953</v>
      </c>
      <c r="V1819" s="59">
        <v>3.1473876682353645</v>
      </c>
      <c r="X1819" s="98">
        <v>4.2</v>
      </c>
      <c r="Y1819" s="97">
        <v>437.63571428571424</v>
      </c>
    </row>
    <row r="1820" spans="1:25">
      <c r="A1820" s="58">
        <v>1822</v>
      </c>
      <c r="B1820" s="58">
        <v>1822</v>
      </c>
      <c r="C1820" s="58" t="s">
        <v>2605</v>
      </c>
      <c r="D1820" s="58" t="s">
        <v>450</v>
      </c>
      <c r="E1820" s="58" t="s">
        <v>450</v>
      </c>
      <c r="F1820" s="58" t="s">
        <v>772</v>
      </c>
      <c r="G1820" s="58" t="s">
        <v>773</v>
      </c>
      <c r="H1820" s="58" t="s">
        <v>179</v>
      </c>
      <c r="I1820">
        <v>38000</v>
      </c>
      <c r="J1820">
        <v>38000</v>
      </c>
      <c r="K1820" s="58" t="s">
        <v>185</v>
      </c>
      <c r="L1820" s="74">
        <v>10.49</v>
      </c>
      <c r="M1820" s="85">
        <v>11</v>
      </c>
      <c r="N1820" s="74">
        <v>4.4989999999999997</v>
      </c>
      <c r="O1820">
        <v>3</v>
      </c>
      <c r="P1820" s="84">
        <v>3.37425</v>
      </c>
      <c r="Q1820" s="86">
        <v>21</v>
      </c>
      <c r="R1820" s="85">
        <v>21</v>
      </c>
      <c r="S1820" s="87">
        <v>1120760</v>
      </c>
      <c r="T1820" s="1">
        <v>4</v>
      </c>
      <c r="U1820" s="88">
        <v>53369.523809523809</v>
      </c>
      <c r="V1820" s="59">
        <v>18.737285413469433</v>
      </c>
      <c r="X1820" s="98">
        <v>4.2</v>
      </c>
      <c r="Y1820" s="97">
        <v>317.72380952380951</v>
      </c>
    </row>
    <row r="1821" spans="1:25">
      <c r="A1821" s="58">
        <v>1823</v>
      </c>
      <c r="B1821" s="58">
        <v>1823</v>
      </c>
      <c r="C1821" s="58" t="s">
        <v>2606</v>
      </c>
      <c r="D1821" s="58" t="s">
        <v>450</v>
      </c>
      <c r="E1821" s="58" t="s">
        <v>450</v>
      </c>
      <c r="F1821" s="58" t="s">
        <v>457</v>
      </c>
      <c r="G1821" s="58" t="s">
        <v>458</v>
      </c>
      <c r="H1821" s="58" t="s">
        <v>199</v>
      </c>
      <c r="I1821">
        <v>110000</v>
      </c>
      <c r="J1821">
        <v>110000</v>
      </c>
      <c r="K1821">
        <v>38000</v>
      </c>
      <c r="L1821" s="74">
        <v>9.5939999999999994</v>
      </c>
      <c r="M1821" s="85">
        <v>10</v>
      </c>
      <c r="N1821" s="74">
        <v>4.2439999999999998</v>
      </c>
      <c r="O1821">
        <v>3</v>
      </c>
      <c r="P1821" s="84">
        <v>3.1829999999999998</v>
      </c>
      <c r="Q1821" s="86">
        <v>21</v>
      </c>
      <c r="R1821" s="85">
        <v>21</v>
      </c>
      <c r="S1821" s="87">
        <v>2297410</v>
      </c>
      <c r="T1821" s="1">
        <v>8</v>
      </c>
      <c r="U1821" s="88">
        <v>109400.47619047618</v>
      </c>
      <c r="V1821" s="59">
        <v>9.1407280372245268</v>
      </c>
      <c r="X1821" s="98">
        <v>21</v>
      </c>
      <c r="Y1821" s="97">
        <v>53.369523809523812</v>
      </c>
    </row>
    <row r="1822" spans="1:25">
      <c r="A1822" s="58">
        <v>1824</v>
      </c>
      <c r="B1822" s="58">
        <v>1824</v>
      </c>
      <c r="C1822" s="58" t="s">
        <v>2607</v>
      </c>
      <c r="D1822" s="58" t="s">
        <v>450</v>
      </c>
      <c r="E1822" s="58" t="s">
        <v>450</v>
      </c>
      <c r="F1822" s="58" t="s">
        <v>457</v>
      </c>
      <c r="G1822" s="58" t="s">
        <v>458</v>
      </c>
      <c r="H1822" s="58" t="s">
        <v>199</v>
      </c>
      <c r="I1822">
        <v>110000</v>
      </c>
      <c r="J1822">
        <v>110000</v>
      </c>
      <c r="K1822">
        <v>38000</v>
      </c>
      <c r="L1822" s="74">
        <v>12.85</v>
      </c>
      <c r="M1822" s="85">
        <v>13</v>
      </c>
      <c r="N1822" s="74">
        <v>2.0590000000000002</v>
      </c>
      <c r="O1822">
        <v>3</v>
      </c>
      <c r="P1822" s="84">
        <v>1.5442500000000001</v>
      </c>
      <c r="Q1822" s="86">
        <v>8.4</v>
      </c>
      <c r="R1822" s="85">
        <v>8.4</v>
      </c>
      <c r="S1822" s="87">
        <v>2101570</v>
      </c>
      <c r="T1822" s="1">
        <v>7</v>
      </c>
      <c r="U1822" s="88">
        <v>250186.90476190476</v>
      </c>
      <c r="V1822" s="59">
        <v>3.9970117578762543</v>
      </c>
      <c r="X1822" s="98">
        <v>21</v>
      </c>
      <c r="Y1822" s="97">
        <v>109.40047619047618</v>
      </c>
    </row>
    <row r="1823" spans="1:25">
      <c r="A1823" s="58">
        <v>1825</v>
      </c>
      <c r="B1823" s="58">
        <v>1825</v>
      </c>
      <c r="C1823" s="58" t="s">
        <v>2608</v>
      </c>
      <c r="D1823" s="58" t="s">
        <v>215</v>
      </c>
      <c r="E1823" s="58" t="s">
        <v>215</v>
      </c>
      <c r="F1823" s="58" t="s">
        <v>2609</v>
      </c>
      <c r="G1823" s="58" t="s">
        <v>2610</v>
      </c>
      <c r="H1823" s="58" t="s">
        <v>199</v>
      </c>
      <c r="I1823">
        <v>110000</v>
      </c>
      <c r="J1823">
        <v>110000</v>
      </c>
      <c r="K1823">
        <v>38000</v>
      </c>
      <c r="L1823" s="74">
        <v>4.0990000000000002</v>
      </c>
      <c r="M1823" s="85">
        <v>5</v>
      </c>
      <c r="N1823" s="74">
        <v>0.68600000000000005</v>
      </c>
      <c r="O1823">
        <v>3</v>
      </c>
      <c r="P1823" s="84">
        <v>0.68600000000000005</v>
      </c>
      <c r="Q1823" s="86">
        <v>4.2</v>
      </c>
      <c r="R1823" s="85">
        <v>4.2</v>
      </c>
      <c r="S1823" s="87">
        <v>1679970</v>
      </c>
      <c r="T1823" s="1">
        <v>7</v>
      </c>
      <c r="U1823" s="88">
        <v>399992.8571428571</v>
      </c>
      <c r="V1823" s="59">
        <v>2.5000446436543511</v>
      </c>
      <c r="X1823" s="98">
        <v>8.4</v>
      </c>
      <c r="Y1823" s="97">
        <v>250.18690476190474</v>
      </c>
    </row>
    <row r="1824" spans="1:25">
      <c r="A1824" s="58">
        <v>1826</v>
      </c>
      <c r="B1824" s="58">
        <v>1826</v>
      </c>
      <c r="C1824" s="58" t="s">
        <v>2611</v>
      </c>
      <c r="D1824" s="58" t="s">
        <v>775</v>
      </c>
      <c r="E1824" s="58" t="s">
        <v>775</v>
      </c>
      <c r="F1824" s="58" t="s">
        <v>776</v>
      </c>
      <c r="G1824" s="58" t="s">
        <v>777</v>
      </c>
      <c r="H1824" s="58" t="s">
        <v>179</v>
      </c>
      <c r="I1824">
        <v>38000</v>
      </c>
      <c r="J1824">
        <v>20000</v>
      </c>
      <c r="K1824">
        <v>38000</v>
      </c>
      <c r="L1824" s="74">
        <v>2.4060000000000001</v>
      </c>
      <c r="M1824" s="85">
        <v>3</v>
      </c>
      <c r="N1824" s="74">
        <v>0.627</v>
      </c>
      <c r="O1824">
        <v>3</v>
      </c>
      <c r="P1824" s="84">
        <v>0.627</v>
      </c>
      <c r="Q1824" s="86">
        <v>4.2</v>
      </c>
      <c r="R1824" s="85">
        <v>4.2</v>
      </c>
      <c r="S1824" s="87">
        <v>558600</v>
      </c>
      <c r="T1824" s="1">
        <v>4</v>
      </c>
      <c r="U1824" s="88">
        <v>133000</v>
      </c>
      <c r="V1824" s="59">
        <v>7.518796992481203</v>
      </c>
      <c r="X1824" s="98">
        <v>4.2</v>
      </c>
      <c r="Y1824" s="97">
        <v>399.99285714285708</v>
      </c>
    </row>
    <row r="1825" spans="1:25">
      <c r="A1825" s="89">
        <v>1827</v>
      </c>
      <c r="B1825" s="89">
        <v>1827</v>
      </c>
      <c r="C1825" s="89" t="s">
        <v>2612</v>
      </c>
      <c r="D1825" s="58" t="s">
        <v>215</v>
      </c>
      <c r="E1825" s="58" t="s">
        <v>775</v>
      </c>
      <c r="F1825" s="89" t="s">
        <v>776</v>
      </c>
      <c r="G1825" s="89" t="s">
        <v>777</v>
      </c>
      <c r="H1825" s="89" t="s">
        <v>179</v>
      </c>
      <c r="I1825" s="90">
        <v>38000</v>
      </c>
      <c r="J1825" s="90">
        <v>20000</v>
      </c>
      <c r="K1825" s="90">
        <v>38000</v>
      </c>
      <c r="L1825" s="91">
        <v>2.2839999999999998</v>
      </c>
      <c r="M1825" s="92">
        <v>3</v>
      </c>
      <c r="N1825" s="91">
        <v>17.710999999999899</v>
      </c>
      <c r="O1825" s="90">
        <v>3</v>
      </c>
      <c r="P1825" s="92">
        <v>13.283249999999924</v>
      </c>
      <c r="Q1825" s="93">
        <v>92.4</v>
      </c>
      <c r="R1825" s="92">
        <v>92.4</v>
      </c>
      <c r="S1825" s="87">
        <v>1550890</v>
      </c>
      <c r="T1825" s="94">
        <v>11</v>
      </c>
      <c r="U1825" s="95">
        <v>16784.523809523809</v>
      </c>
      <c r="V1825" s="96">
        <v>59.57869352436343</v>
      </c>
      <c r="X1825" s="98">
        <v>4.2</v>
      </c>
      <c r="Y1825" s="97">
        <v>133</v>
      </c>
    </row>
    <row r="1826" spans="1:25">
      <c r="A1826" s="58">
        <v>1828</v>
      </c>
      <c r="B1826" s="58">
        <v>1828</v>
      </c>
      <c r="C1826" s="58" t="s">
        <v>2613</v>
      </c>
      <c r="D1826" s="58" t="s">
        <v>775</v>
      </c>
      <c r="E1826" s="58" t="s">
        <v>775</v>
      </c>
      <c r="F1826" s="58" t="s">
        <v>776</v>
      </c>
      <c r="G1826" s="58" t="s">
        <v>777</v>
      </c>
      <c r="H1826" s="58" t="s">
        <v>179</v>
      </c>
      <c r="I1826">
        <v>38000</v>
      </c>
      <c r="J1826">
        <v>20000</v>
      </c>
      <c r="K1826">
        <v>38000</v>
      </c>
      <c r="L1826" s="74">
        <v>2.222</v>
      </c>
      <c r="M1826" s="85">
        <v>3</v>
      </c>
      <c r="N1826" s="74">
        <v>1.462</v>
      </c>
      <c r="O1826">
        <v>3</v>
      </c>
      <c r="P1826" s="84">
        <v>1.0965</v>
      </c>
      <c r="Q1826" s="86">
        <v>4.2</v>
      </c>
      <c r="R1826" s="85">
        <v>4.2</v>
      </c>
      <c r="S1826" s="87">
        <v>558600</v>
      </c>
      <c r="T1826" s="1">
        <v>4</v>
      </c>
      <c r="U1826" s="88">
        <v>133000</v>
      </c>
      <c r="V1826" s="59">
        <v>7.518796992481203</v>
      </c>
      <c r="X1826" s="98">
        <v>92.4</v>
      </c>
      <c r="Y1826" s="97">
        <v>16.784523809523808</v>
      </c>
    </row>
    <row r="1827" spans="1:25">
      <c r="A1827" s="58">
        <v>1829</v>
      </c>
      <c r="B1827" s="58">
        <v>1829</v>
      </c>
      <c r="C1827" s="58" t="s">
        <v>2614</v>
      </c>
      <c r="D1827" s="58" t="s">
        <v>410</v>
      </c>
      <c r="E1827" s="58" t="s">
        <v>410</v>
      </c>
      <c r="F1827" s="58" t="s">
        <v>466</v>
      </c>
      <c r="G1827" s="58" t="s">
        <v>467</v>
      </c>
      <c r="H1827" s="58" t="s">
        <v>179</v>
      </c>
      <c r="I1827">
        <v>38000</v>
      </c>
      <c r="J1827">
        <v>38000</v>
      </c>
      <c r="K1827" s="58" t="s">
        <v>185</v>
      </c>
      <c r="L1827" s="74">
        <v>9.6419999999999995</v>
      </c>
      <c r="M1827" s="85">
        <v>10</v>
      </c>
      <c r="N1827" s="74">
        <v>2.177</v>
      </c>
      <c r="O1827">
        <v>3</v>
      </c>
      <c r="P1827" s="84">
        <v>1.6327500000000001</v>
      </c>
      <c r="Q1827" s="86">
        <v>8.4</v>
      </c>
      <c r="R1827" s="85">
        <v>8.4</v>
      </c>
      <c r="S1827" s="87">
        <v>1432500</v>
      </c>
      <c r="T1827" s="1">
        <v>2</v>
      </c>
      <c r="U1827" s="88">
        <v>170535.71428571429</v>
      </c>
      <c r="V1827" s="59">
        <v>5.8638743455497382</v>
      </c>
      <c r="X1827" s="98">
        <v>4.2</v>
      </c>
      <c r="Y1827" s="97">
        <v>133</v>
      </c>
    </row>
    <row r="1828" spans="1:25">
      <c r="A1828" s="58">
        <v>1830</v>
      </c>
      <c r="B1828" s="58">
        <v>1830</v>
      </c>
      <c r="C1828" s="58" t="s">
        <v>2615</v>
      </c>
      <c r="D1828" s="58" t="s">
        <v>410</v>
      </c>
      <c r="E1828" s="58" t="s">
        <v>410</v>
      </c>
      <c r="F1828" s="58" t="s">
        <v>466</v>
      </c>
      <c r="G1828" s="58" t="s">
        <v>467</v>
      </c>
      <c r="H1828" s="58" t="s">
        <v>179</v>
      </c>
      <c r="I1828">
        <v>38000</v>
      </c>
      <c r="J1828">
        <v>38000</v>
      </c>
      <c r="K1828" s="58" t="s">
        <v>185</v>
      </c>
      <c r="L1828" s="74">
        <v>9.1859999999999999</v>
      </c>
      <c r="M1828" s="85">
        <v>10</v>
      </c>
      <c r="N1828" s="74">
        <v>2.65</v>
      </c>
      <c r="O1828">
        <v>3</v>
      </c>
      <c r="P1828" s="84">
        <v>1.9874999999999998</v>
      </c>
      <c r="Q1828" s="86">
        <v>12.600000000000001</v>
      </c>
      <c r="R1828" s="85">
        <v>12.600000000000001</v>
      </c>
      <c r="S1828" s="87">
        <v>1469550</v>
      </c>
      <c r="T1828" s="1">
        <v>3</v>
      </c>
      <c r="U1828" s="88">
        <v>116630.95238095237</v>
      </c>
      <c r="V1828" s="59">
        <v>8.5740532816168233</v>
      </c>
      <c r="X1828" s="98">
        <v>8.4</v>
      </c>
      <c r="Y1828" s="97">
        <v>170.53571428571428</v>
      </c>
    </row>
    <row r="1829" spans="1:25">
      <c r="A1829" s="58">
        <v>1831</v>
      </c>
      <c r="B1829" s="58">
        <v>1831</v>
      </c>
      <c r="C1829" s="58" t="s">
        <v>2616</v>
      </c>
      <c r="D1829" s="58" t="s">
        <v>410</v>
      </c>
      <c r="E1829" s="58" t="s">
        <v>410</v>
      </c>
      <c r="F1829" s="58" t="s">
        <v>2617</v>
      </c>
      <c r="G1829" s="58" t="s">
        <v>2618</v>
      </c>
      <c r="H1829" s="58" t="s">
        <v>199</v>
      </c>
      <c r="I1829">
        <v>110000</v>
      </c>
      <c r="J1829">
        <v>110000</v>
      </c>
      <c r="K1829">
        <v>38000</v>
      </c>
      <c r="L1829" s="74">
        <v>9.4239999999999995</v>
      </c>
      <c r="M1829" s="85">
        <v>10</v>
      </c>
      <c r="N1829" s="74">
        <v>5.1849999999999996</v>
      </c>
      <c r="O1829">
        <v>3</v>
      </c>
      <c r="P1829" s="84">
        <v>3.8887499999999999</v>
      </c>
      <c r="Q1829" s="86">
        <v>25.200000000000003</v>
      </c>
      <c r="R1829" s="85">
        <v>25.200000000000003</v>
      </c>
      <c r="S1829" s="87">
        <v>2842150</v>
      </c>
      <c r="T1829" s="1">
        <v>9</v>
      </c>
      <c r="U1829" s="88">
        <v>112783.73015873015</v>
      </c>
      <c r="V1829" s="59">
        <v>8.8665271009623012</v>
      </c>
      <c r="X1829" s="98">
        <v>12.600000000000001</v>
      </c>
      <c r="Y1829" s="97">
        <v>116.63095238095237</v>
      </c>
    </row>
    <row r="1830" spans="1:25">
      <c r="A1830" s="58">
        <v>1832</v>
      </c>
      <c r="B1830" s="58">
        <v>1832</v>
      </c>
      <c r="C1830" s="58" t="s">
        <v>2619</v>
      </c>
      <c r="D1830" s="58" t="s">
        <v>410</v>
      </c>
      <c r="E1830" s="58" t="s">
        <v>410</v>
      </c>
      <c r="F1830" s="58" t="s">
        <v>463</v>
      </c>
      <c r="G1830" s="58" t="s">
        <v>464</v>
      </c>
      <c r="H1830" s="58" t="s">
        <v>179</v>
      </c>
      <c r="I1830">
        <v>38000</v>
      </c>
      <c r="J1830">
        <v>38000</v>
      </c>
      <c r="K1830">
        <v>10000</v>
      </c>
      <c r="L1830" s="74">
        <v>8.2720000000000002</v>
      </c>
      <c r="M1830" s="85">
        <v>9</v>
      </c>
      <c r="N1830" s="74">
        <v>2.206</v>
      </c>
      <c r="O1830">
        <v>3</v>
      </c>
      <c r="P1830" s="84">
        <v>1.6545000000000001</v>
      </c>
      <c r="Q1830" s="86">
        <v>8.4</v>
      </c>
      <c r="R1830" s="85">
        <v>8.4</v>
      </c>
      <c r="S1830" s="87">
        <v>1379800</v>
      </c>
      <c r="T1830" s="1">
        <v>2</v>
      </c>
      <c r="U1830" s="88">
        <v>164261.90476190476</v>
      </c>
      <c r="V1830" s="59">
        <v>6.087838817219887</v>
      </c>
      <c r="X1830" s="98">
        <v>25.200000000000003</v>
      </c>
      <c r="Y1830" s="97">
        <v>112.78373015873015</v>
      </c>
    </row>
    <row r="1831" spans="1:25">
      <c r="A1831" s="89">
        <v>1833</v>
      </c>
      <c r="B1831" s="89">
        <v>1833</v>
      </c>
      <c r="C1831" s="89" t="s">
        <v>2620</v>
      </c>
      <c r="D1831" s="58" t="s">
        <v>410</v>
      </c>
      <c r="E1831" s="58" t="s">
        <v>410</v>
      </c>
      <c r="F1831" s="89" t="s">
        <v>463</v>
      </c>
      <c r="G1831" s="89" t="s">
        <v>464</v>
      </c>
      <c r="H1831" s="89" t="s">
        <v>179</v>
      </c>
      <c r="I1831" s="90">
        <v>38000</v>
      </c>
      <c r="J1831" s="90">
        <v>38000</v>
      </c>
      <c r="K1831" s="90">
        <v>10000</v>
      </c>
      <c r="L1831" s="91">
        <v>11.786</v>
      </c>
      <c r="M1831" s="92">
        <v>12</v>
      </c>
      <c r="N1831" s="91">
        <v>19.966000000000001</v>
      </c>
      <c r="O1831" s="90">
        <v>3</v>
      </c>
      <c r="P1831" s="92">
        <v>14.974500000000001</v>
      </c>
      <c r="Q1831" s="93">
        <v>105</v>
      </c>
      <c r="R1831" s="92">
        <v>105</v>
      </c>
      <c r="S1831" s="87">
        <v>3448180</v>
      </c>
      <c r="T1831" s="94">
        <v>11</v>
      </c>
      <c r="U1831" s="95">
        <v>32839.809523809527</v>
      </c>
      <c r="V1831" s="96">
        <v>30.450846533533632</v>
      </c>
      <c r="X1831" s="98">
        <v>8.4</v>
      </c>
      <c r="Y1831" s="97">
        <v>164.26190476190479</v>
      </c>
    </row>
    <row r="1832" spans="1:25">
      <c r="A1832" s="58">
        <v>1834</v>
      </c>
      <c r="B1832" s="58">
        <v>1834</v>
      </c>
      <c r="C1832" s="58" t="s">
        <v>2621</v>
      </c>
      <c r="D1832" s="58" t="s">
        <v>410</v>
      </c>
      <c r="E1832" s="58" t="s">
        <v>775</v>
      </c>
      <c r="F1832" s="58" t="s">
        <v>460</v>
      </c>
      <c r="G1832" s="58" t="s">
        <v>461</v>
      </c>
      <c r="H1832" s="58" t="s">
        <v>179</v>
      </c>
      <c r="I1832">
        <v>38000</v>
      </c>
      <c r="J1832">
        <v>38000</v>
      </c>
      <c r="K1832" s="58" t="s">
        <v>185</v>
      </c>
      <c r="L1832" s="74">
        <v>10.061999999999999</v>
      </c>
      <c r="M1832" s="85">
        <v>11</v>
      </c>
      <c r="N1832" s="74">
        <v>3.94</v>
      </c>
      <c r="O1832">
        <v>3</v>
      </c>
      <c r="P1832" s="84">
        <v>2.9550000000000001</v>
      </c>
      <c r="Q1832" s="86">
        <v>21</v>
      </c>
      <c r="R1832" s="85">
        <v>21</v>
      </c>
      <c r="S1832" s="87">
        <v>1120760</v>
      </c>
      <c r="T1832" s="1">
        <v>4</v>
      </c>
      <c r="U1832" s="88">
        <v>53369.523809523809</v>
      </c>
      <c r="V1832" s="59">
        <v>18.737285413469433</v>
      </c>
      <c r="X1832" s="98">
        <v>105</v>
      </c>
      <c r="Y1832" s="97">
        <v>32.839809523809528</v>
      </c>
    </row>
    <row r="1833" spans="1:25">
      <c r="A1833" s="58">
        <v>1835</v>
      </c>
      <c r="B1833" s="58">
        <v>1835</v>
      </c>
      <c r="C1833" s="58" t="s">
        <v>2622</v>
      </c>
      <c r="D1833" s="58" t="s">
        <v>775</v>
      </c>
      <c r="E1833" s="58" t="s">
        <v>775</v>
      </c>
      <c r="F1833" s="58" t="s">
        <v>460</v>
      </c>
      <c r="G1833" s="58" t="s">
        <v>461</v>
      </c>
      <c r="H1833" s="58" t="s">
        <v>179</v>
      </c>
      <c r="I1833">
        <v>38000</v>
      </c>
      <c r="J1833">
        <v>38000</v>
      </c>
      <c r="K1833" s="58" t="s">
        <v>185</v>
      </c>
      <c r="L1833" s="74">
        <v>8.6460000000000008</v>
      </c>
      <c r="M1833" s="85">
        <v>9</v>
      </c>
      <c r="N1833" s="74">
        <v>1.8340000000000001</v>
      </c>
      <c r="O1833">
        <v>3</v>
      </c>
      <c r="P1833" s="84">
        <v>1.3755000000000002</v>
      </c>
      <c r="Q1833" s="86">
        <v>8.4</v>
      </c>
      <c r="R1833" s="85">
        <v>8.4</v>
      </c>
      <c r="S1833" s="87">
        <v>1379800</v>
      </c>
      <c r="T1833" s="1">
        <v>2</v>
      </c>
      <c r="U1833" s="88">
        <v>164261.90476190476</v>
      </c>
      <c r="V1833" s="59">
        <v>6.087838817219887</v>
      </c>
      <c r="X1833" s="98">
        <v>21</v>
      </c>
      <c r="Y1833" s="97">
        <v>53.369523809523812</v>
      </c>
    </row>
    <row r="1834" spans="1:25">
      <c r="A1834" s="58">
        <v>1836</v>
      </c>
      <c r="B1834" s="58">
        <v>1836</v>
      </c>
      <c r="C1834" s="58" t="s">
        <v>2623</v>
      </c>
      <c r="D1834" s="58" t="s">
        <v>775</v>
      </c>
      <c r="E1834" s="58" t="s">
        <v>775</v>
      </c>
      <c r="F1834" s="58" t="s">
        <v>460</v>
      </c>
      <c r="G1834" s="58" t="s">
        <v>461</v>
      </c>
      <c r="H1834" s="58" t="s">
        <v>179</v>
      </c>
      <c r="I1834">
        <v>38000</v>
      </c>
      <c r="J1834">
        <v>38000</v>
      </c>
      <c r="K1834" s="58" t="s">
        <v>185</v>
      </c>
      <c r="L1834" s="74">
        <v>7.5259999999999998</v>
      </c>
      <c r="M1834" s="85">
        <v>8</v>
      </c>
      <c r="N1834" s="74">
        <v>1.726</v>
      </c>
      <c r="O1834">
        <v>3</v>
      </c>
      <c r="P1834" s="84">
        <v>1.2945</v>
      </c>
      <c r="Q1834" s="86">
        <v>8.4</v>
      </c>
      <c r="R1834" s="85">
        <v>8.4</v>
      </c>
      <c r="S1834" s="87">
        <v>909950</v>
      </c>
      <c r="T1834" s="1">
        <v>4</v>
      </c>
      <c r="U1834" s="88">
        <v>108327.38095238095</v>
      </c>
      <c r="V1834" s="59">
        <v>9.2312764437606454</v>
      </c>
      <c r="X1834" s="98">
        <v>8.4</v>
      </c>
      <c r="Y1834" s="97">
        <v>164.26190476190479</v>
      </c>
    </row>
    <row r="1835" spans="1:25">
      <c r="A1835" s="58">
        <v>1837</v>
      </c>
      <c r="B1835" s="58">
        <v>1837</v>
      </c>
      <c r="C1835" s="58" t="s">
        <v>2624</v>
      </c>
      <c r="D1835" s="58" t="s">
        <v>410</v>
      </c>
      <c r="E1835" s="58" t="s">
        <v>410</v>
      </c>
      <c r="F1835" s="58" t="s">
        <v>863</v>
      </c>
      <c r="G1835" s="58" t="s">
        <v>864</v>
      </c>
      <c r="H1835" s="58" t="s">
        <v>179</v>
      </c>
      <c r="I1835">
        <v>38000</v>
      </c>
      <c r="J1835">
        <v>38000</v>
      </c>
      <c r="K1835" s="58" t="s">
        <v>185</v>
      </c>
      <c r="L1835" s="74">
        <v>2.077</v>
      </c>
      <c r="M1835" s="85">
        <v>3</v>
      </c>
      <c r="N1835" s="74">
        <v>0.40699999999999997</v>
      </c>
      <c r="O1835">
        <v>3</v>
      </c>
      <c r="P1835" s="84">
        <v>0.40699999999999997</v>
      </c>
      <c r="Q1835" s="86">
        <v>4.2</v>
      </c>
      <c r="R1835" s="85">
        <v>4.2</v>
      </c>
      <c r="S1835" s="87">
        <v>558600</v>
      </c>
      <c r="T1835" s="1">
        <v>4</v>
      </c>
      <c r="U1835" s="88">
        <v>133000</v>
      </c>
      <c r="V1835" s="59">
        <v>7.518796992481203</v>
      </c>
      <c r="X1835" s="98">
        <v>8.4</v>
      </c>
      <c r="Y1835" s="97">
        <v>108.32738095238095</v>
      </c>
    </row>
    <row r="1836" spans="1:25">
      <c r="A1836" s="58">
        <v>1838</v>
      </c>
      <c r="B1836" s="58">
        <v>1838</v>
      </c>
      <c r="C1836" s="58" t="s">
        <v>2625</v>
      </c>
      <c r="D1836" s="58" t="s">
        <v>410</v>
      </c>
      <c r="E1836" s="58" t="s">
        <v>410</v>
      </c>
      <c r="F1836" s="58" t="s">
        <v>863</v>
      </c>
      <c r="G1836" s="58" t="s">
        <v>864</v>
      </c>
      <c r="H1836" s="58" t="s">
        <v>179</v>
      </c>
      <c r="I1836">
        <v>38000</v>
      </c>
      <c r="J1836">
        <v>38000</v>
      </c>
      <c r="K1836" s="58" t="s">
        <v>185</v>
      </c>
      <c r="L1836" s="74">
        <v>3.0179999999999998</v>
      </c>
      <c r="M1836" s="85">
        <v>4</v>
      </c>
      <c r="N1836" s="74">
        <v>0.7</v>
      </c>
      <c r="O1836">
        <v>3</v>
      </c>
      <c r="P1836" s="84">
        <v>0.7</v>
      </c>
      <c r="Q1836" s="86">
        <v>4.2</v>
      </c>
      <c r="R1836" s="85">
        <v>4.2</v>
      </c>
      <c r="S1836" s="87">
        <v>628870</v>
      </c>
      <c r="T1836" s="1">
        <v>4</v>
      </c>
      <c r="U1836" s="88">
        <v>149730.95238095237</v>
      </c>
      <c r="V1836" s="59">
        <v>6.6786458250512828</v>
      </c>
      <c r="X1836" s="98">
        <v>4.2</v>
      </c>
      <c r="Y1836" s="97">
        <v>133</v>
      </c>
    </row>
    <row r="1837" spans="1:25">
      <c r="A1837" s="58">
        <v>1839</v>
      </c>
      <c r="B1837" s="58">
        <v>1839</v>
      </c>
      <c r="C1837" s="58" t="s">
        <v>2626</v>
      </c>
      <c r="D1837" s="58" t="s">
        <v>410</v>
      </c>
      <c r="E1837" s="58" t="s">
        <v>410</v>
      </c>
      <c r="F1837" s="58" t="s">
        <v>863</v>
      </c>
      <c r="G1837" s="58" t="s">
        <v>864</v>
      </c>
      <c r="H1837" s="58" t="s">
        <v>179</v>
      </c>
      <c r="I1837">
        <v>38000</v>
      </c>
      <c r="J1837">
        <v>38000</v>
      </c>
      <c r="K1837" s="58" t="s">
        <v>185</v>
      </c>
      <c r="L1837" s="74">
        <v>4.5819999999999999</v>
      </c>
      <c r="M1837" s="85">
        <v>5</v>
      </c>
      <c r="N1837" s="74">
        <v>1.8939999999999999</v>
      </c>
      <c r="O1837">
        <v>3</v>
      </c>
      <c r="P1837" s="84">
        <v>1.4204999999999999</v>
      </c>
      <c r="Q1837" s="86">
        <v>8.4</v>
      </c>
      <c r="R1837" s="85">
        <v>8.4</v>
      </c>
      <c r="S1837" s="87">
        <v>699140</v>
      </c>
      <c r="T1837" s="1">
        <v>4</v>
      </c>
      <c r="U1837" s="88">
        <v>83230.952380952382</v>
      </c>
      <c r="V1837" s="59">
        <v>12.014760992075979</v>
      </c>
      <c r="X1837" s="98">
        <v>4.2</v>
      </c>
      <c r="Y1837" s="97">
        <v>149.73095238095235</v>
      </c>
    </row>
    <row r="1838" spans="1:25">
      <c r="A1838" s="58">
        <v>1840</v>
      </c>
      <c r="B1838" s="58">
        <v>1840</v>
      </c>
      <c r="C1838" s="58" t="s">
        <v>2627</v>
      </c>
      <c r="D1838" s="58" t="s">
        <v>410</v>
      </c>
      <c r="E1838" s="58" t="s">
        <v>410</v>
      </c>
      <c r="F1838" s="58" t="s">
        <v>863</v>
      </c>
      <c r="G1838" s="58" t="s">
        <v>864</v>
      </c>
      <c r="H1838" s="58" t="s">
        <v>179</v>
      </c>
      <c r="I1838">
        <v>38000</v>
      </c>
      <c r="J1838">
        <v>38000</v>
      </c>
      <c r="K1838" s="58" t="s">
        <v>185</v>
      </c>
      <c r="L1838" s="74">
        <v>5.9589999999999996</v>
      </c>
      <c r="M1838" s="85">
        <v>6</v>
      </c>
      <c r="N1838" s="74">
        <v>0.86199999999999999</v>
      </c>
      <c r="O1838">
        <v>3</v>
      </c>
      <c r="P1838" s="84">
        <v>0.86199999999999999</v>
      </c>
      <c r="Q1838" s="86">
        <v>4.2</v>
      </c>
      <c r="R1838" s="85">
        <v>4.2</v>
      </c>
      <c r="S1838" s="87">
        <v>769410</v>
      </c>
      <c r="T1838" s="1">
        <v>4</v>
      </c>
      <c r="U1838" s="88">
        <v>183192.85714285713</v>
      </c>
      <c r="V1838" s="59">
        <v>5.4587281163488903</v>
      </c>
      <c r="X1838" s="98">
        <v>8.4</v>
      </c>
      <c r="Y1838" s="97">
        <v>83.230952380952374</v>
      </c>
    </row>
    <row r="1839" spans="1:25">
      <c r="A1839" s="58">
        <v>1841</v>
      </c>
      <c r="B1839" s="58">
        <v>1841</v>
      </c>
      <c r="C1839" s="58" t="s">
        <v>2628</v>
      </c>
      <c r="D1839" s="58" t="s">
        <v>410</v>
      </c>
      <c r="E1839" s="58" t="s">
        <v>410</v>
      </c>
      <c r="F1839" s="58" t="s">
        <v>1850</v>
      </c>
      <c r="G1839" s="58" t="s">
        <v>1851</v>
      </c>
      <c r="H1839" s="58" t="s">
        <v>199</v>
      </c>
      <c r="I1839">
        <v>110000</v>
      </c>
      <c r="J1839">
        <v>110000</v>
      </c>
      <c r="K1839">
        <v>38000</v>
      </c>
      <c r="L1839" s="74">
        <v>8.6890000000000001</v>
      </c>
      <c r="M1839" s="85">
        <v>9</v>
      </c>
      <c r="N1839" s="74">
        <v>0.499</v>
      </c>
      <c r="O1839">
        <v>3</v>
      </c>
      <c r="P1839" s="84">
        <v>0.499</v>
      </c>
      <c r="Q1839" s="86">
        <v>4.2</v>
      </c>
      <c r="R1839" s="85">
        <v>4.2</v>
      </c>
      <c r="S1839" s="87">
        <v>1890770</v>
      </c>
      <c r="T1839" s="1">
        <v>7</v>
      </c>
      <c r="U1839" s="88">
        <v>450183.33333333331</v>
      </c>
      <c r="V1839" s="59">
        <v>2.2213172411239865</v>
      </c>
      <c r="X1839" s="98">
        <v>4.2</v>
      </c>
      <c r="Y1839" s="97">
        <v>183.19285714285712</v>
      </c>
    </row>
    <row r="1840" spans="1:25">
      <c r="A1840" s="58">
        <v>1842</v>
      </c>
      <c r="B1840" s="58">
        <v>1842</v>
      </c>
      <c r="C1840" s="58" t="s">
        <v>2629</v>
      </c>
      <c r="D1840" s="58" t="s">
        <v>410</v>
      </c>
      <c r="E1840" s="58" t="s">
        <v>410</v>
      </c>
      <c r="F1840" s="58" t="s">
        <v>1850</v>
      </c>
      <c r="G1840" s="58" t="s">
        <v>1851</v>
      </c>
      <c r="H1840" s="58" t="s">
        <v>199</v>
      </c>
      <c r="I1840">
        <v>110000</v>
      </c>
      <c r="J1840">
        <v>110000</v>
      </c>
      <c r="K1840">
        <v>38000</v>
      </c>
      <c r="L1840" s="74">
        <v>8.173</v>
      </c>
      <c r="M1840" s="85">
        <v>9</v>
      </c>
      <c r="N1840" s="74">
        <v>0.496</v>
      </c>
      <c r="O1840">
        <v>3</v>
      </c>
      <c r="P1840" s="84">
        <v>0.496</v>
      </c>
      <c r="Q1840" s="86">
        <v>4.2</v>
      </c>
      <c r="R1840" s="85">
        <v>4.2</v>
      </c>
      <c r="S1840" s="87">
        <v>1890770</v>
      </c>
      <c r="T1840" s="1">
        <v>7</v>
      </c>
      <c r="U1840" s="88">
        <v>450183.33333333331</v>
      </c>
      <c r="V1840" s="59">
        <v>2.2213172411239865</v>
      </c>
      <c r="X1840" s="98">
        <v>4.2</v>
      </c>
      <c r="Y1840" s="97">
        <v>450.18333333333334</v>
      </c>
    </row>
    <row r="1841" spans="1:25">
      <c r="A1841" s="58">
        <v>1843</v>
      </c>
      <c r="B1841" s="58">
        <v>1843</v>
      </c>
      <c r="C1841" s="58" t="s">
        <v>2630</v>
      </c>
      <c r="D1841" s="58" t="s">
        <v>1169</v>
      </c>
      <c r="E1841" s="58" t="s">
        <v>1169</v>
      </c>
      <c r="F1841" s="58" t="s">
        <v>1935</v>
      </c>
      <c r="G1841" s="58" t="s">
        <v>1936</v>
      </c>
      <c r="H1841" s="58" t="s">
        <v>179</v>
      </c>
      <c r="I1841">
        <v>38000</v>
      </c>
      <c r="J1841">
        <v>38000</v>
      </c>
      <c r="K1841" s="58" t="s">
        <v>185</v>
      </c>
      <c r="L1841" s="74">
        <v>8.8249999999999993</v>
      </c>
      <c r="M1841" s="85">
        <v>9</v>
      </c>
      <c r="N1841" s="74">
        <v>0.41899999999999998</v>
      </c>
      <c r="O1841">
        <v>3</v>
      </c>
      <c r="P1841" s="84">
        <v>0.41899999999999998</v>
      </c>
      <c r="Q1841" s="86">
        <v>4.2</v>
      </c>
      <c r="R1841" s="85">
        <v>4.2</v>
      </c>
      <c r="S1841" s="87">
        <v>1334440</v>
      </c>
      <c r="T1841" s="1">
        <v>1</v>
      </c>
      <c r="U1841" s="88">
        <v>317723.80952380953</v>
      </c>
      <c r="V1841" s="59">
        <v>3.1473876682353645</v>
      </c>
      <c r="X1841" s="98">
        <v>4.2</v>
      </c>
      <c r="Y1841" s="97">
        <v>450.18333333333334</v>
      </c>
    </row>
    <row r="1842" spans="1:25">
      <c r="A1842" s="58">
        <v>1844</v>
      </c>
      <c r="B1842" s="58">
        <v>1844</v>
      </c>
      <c r="C1842" s="58" t="s">
        <v>2631</v>
      </c>
      <c r="D1842" s="58" t="s">
        <v>182</v>
      </c>
      <c r="E1842" s="58" t="s">
        <v>182</v>
      </c>
      <c r="F1842" s="58" t="s">
        <v>486</v>
      </c>
      <c r="G1842" s="58" t="s">
        <v>487</v>
      </c>
      <c r="H1842" s="58" t="s">
        <v>179</v>
      </c>
      <c r="I1842">
        <v>38000</v>
      </c>
      <c r="J1842">
        <v>38000</v>
      </c>
      <c r="K1842" s="58" t="s">
        <v>185</v>
      </c>
      <c r="L1842" s="74">
        <v>8.7390000000000008</v>
      </c>
      <c r="M1842" s="85">
        <v>9</v>
      </c>
      <c r="N1842" s="74">
        <v>0.78800000000000003</v>
      </c>
      <c r="O1842">
        <v>3</v>
      </c>
      <c r="P1842" s="84">
        <v>0.78800000000000003</v>
      </c>
      <c r="Q1842" s="86">
        <v>4.2</v>
      </c>
      <c r="R1842" s="85">
        <v>4.2</v>
      </c>
      <c r="S1842" s="87">
        <v>1334440</v>
      </c>
      <c r="T1842" s="1">
        <v>1</v>
      </c>
      <c r="U1842" s="88">
        <v>317723.80952380953</v>
      </c>
      <c r="V1842" s="59">
        <v>3.1473876682353645</v>
      </c>
      <c r="X1842" s="98">
        <v>4.2</v>
      </c>
      <c r="Y1842" s="97">
        <v>317.72380952380951</v>
      </c>
    </row>
    <row r="1843" spans="1:25">
      <c r="A1843" s="58">
        <v>1845</v>
      </c>
      <c r="B1843" s="58">
        <v>1845</v>
      </c>
      <c r="C1843" s="58" t="s">
        <v>2632</v>
      </c>
      <c r="D1843" s="58" t="s">
        <v>182</v>
      </c>
      <c r="E1843" s="58" t="s">
        <v>182</v>
      </c>
      <c r="F1843" s="58" t="s">
        <v>1876</v>
      </c>
      <c r="G1843" s="58" t="s">
        <v>1877</v>
      </c>
      <c r="H1843" s="58" t="s">
        <v>179</v>
      </c>
      <c r="I1843">
        <v>38000</v>
      </c>
      <c r="J1843">
        <v>38000</v>
      </c>
      <c r="K1843">
        <v>20000</v>
      </c>
      <c r="L1843" s="74">
        <v>5.4580000000000002</v>
      </c>
      <c r="M1843" s="85">
        <v>6</v>
      </c>
      <c r="N1843" s="74">
        <v>0.501</v>
      </c>
      <c r="O1843">
        <v>3</v>
      </c>
      <c r="P1843" s="84">
        <v>0.501</v>
      </c>
      <c r="Q1843" s="86">
        <v>4.2</v>
      </c>
      <c r="R1843" s="85">
        <v>4.2</v>
      </c>
      <c r="S1843" s="87">
        <v>769410</v>
      </c>
      <c r="T1843" s="1">
        <v>4</v>
      </c>
      <c r="U1843" s="88">
        <v>183192.85714285713</v>
      </c>
      <c r="V1843" s="59">
        <v>5.4587281163488903</v>
      </c>
      <c r="X1843" s="98">
        <v>4.2</v>
      </c>
      <c r="Y1843" s="97">
        <v>317.72380952380951</v>
      </c>
    </row>
    <row r="1844" spans="1:25">
      <c r="A1844" s="58">
        <v>1846</v>
      </c>
      <c r="B1844" s="58">
        <v>1846</v>
      </c>
      <c r="C1844" s="58" t="s">
        <v>2633</v>
      </c>
      <c r="D1844" s="58" t="s">
        <v>215</v>
      </c>
      <c r="E1844" s="58" t="s">
        <v>215</v>
      </c>
      <c r="F1844" s="58" t="s">
        <v>1644</v>
      </c>
      <c r="G1844" s="58" t="s">
        <v>1645</v>
      </c>
      <c r="H1844" s="58" t="s">
        <v>179</v>
      </c>
      <c r="I1844">
        <v>38000</v>
      </c>
      <c r="J1844">
        <v>38000</v>
      </c>
      <c r="K1844" s="58" t="s">
        <v>185</v>
      </c>
      <c r="L1844" s="74">
        <v>7.5049999999999999</v>
      </c>
      <c r="M1844" s="85">
        <v>8</v>
      </c>
      <c r="N1844" s="74">
        <v>0.24299999999999999</v>
      </c>
      <c r="O1844">
        <v>3</v>
      </c>
      <c r="P1844" s="84">
        <v>0.24299999999999999</v>
      </c>
      <c r="Q1844" s="86">
        <v>4.2</v>
      </c>
      <c r="R1844" s="85">
        <v>4.2</v>
      </c>
      <c r="S1844" s="87">
        <v>909950</v>
      </c>
      <c r="T1844" s="1">
        <v>4</v>
      </c>
      <c r="U1844" s="88">
        <v>216654.76190476189</v>
      </c>
      <c r="V1844" s="59">
        <v>4.6156382218803227</v>
      </c>
      <c r="X1844" s="98">
        <v>4.2</v>
      </c>
      <c r="Y1844" s="97">
        <v>183.19285714285712</v>
      </c>
    </row>
    <row r="1845" spans="1:25">
      <c r="A1845" s="58">
        <v>1847</v>
      </c>
      <c r="B1845" s="58">
        <v>1847</v>
      </c>
      <c r="C1845" s="58" t="s">
        <v>2634</v>
      </c>
      <c r="D1845" s="58" t="s">
        <v>450</v>
      </c>
      <c r="E1845" s="58" t="s">
        <v>450</v>
      </c>
      <c r="F1845" s="58" t="s">
        <v>1140</v>
      </c>
      <c r="G1845" s="58" t="s">
        <v>1141</v>
      </c>
      <c r="H1845" s="58" t="s">
        <v>179</v>
      </c>
      <c r="I1845">
        <v>38000</v>
      </c>
      <c r="J1845">
        <v>38000</v>
      </c>
      <c r="K1845" s="58" t="s">
        <v>185</v>
      </c>
      <c r="L1845" s="74">
        <v>3.5720000000000001</v>
      </c>
      <c r="M1845" s="85">
        <v>4</v>
      </c>
      <c r="N1845" s="74">
        <v>1.1739999999999999</v>
      </c>
      <c r="O1845">
        <v>3</v>
      </c>
      <c r="P1845" s="84">
        <v>1.1739999999999999</v>
      </c>
      <c r="Q1845" s="86">
        <v>4.2</v>
      </c>
      <c r="R1845" s="85">
        <v>4.2</v>
      </c>
      <c r="S1845" s="87">
        <v>628870</v>
      </c>
      <c r="T1845" s="1">
        <v>4</v>
      </c>
      <c r="U1845" s="88">
        <v>149730.95238095237</v>
      </c>
      <c r="V1845" s="59">
        <v>6.6786458250512828</v>
      </c>
      <c r="X1845" s="98">
        <v>4.2</v>
      </c>
      <c r="Y1845" s="97">
        <v>216.6547619047619</v>
      </c>
    </row>
    <row r="1846" spans="1:25">
      <c r="A1846" s="58">
        <v>1848</v>
      </c>
      <c r="B1846" s="58">
        <v>1848</v>
      </c>
      <c r="C1846" s="58" t="s">
        <v>2635</v>
      </c>
      <c r="D1846" s="58" t="s">
        <v>380</v>
      </c>
      <c r="E1846" s="58" t="s">
        <v>380</v>
      </c>
      <c r="F1846" s="58" t="s">
        <v>469</v>
      </c>
      <c r="G1846" s="58" t="s">
        <v>470</v>
      </c>
      <c r="H1846" s="58" t="s">
        <v>179</v>
      </c>
      <c r="I1846">
        <v>38000</v>
      </c>
      <c r="J1846">
        <v>38000</v>
      </c>
      <c r="K1846" s="58" t="s">
        <v>185</v>
      </c>
      <c r="L1846" s="74">
        <v>8.5519999999999996</v>
      </c>
      <c r="M1846" s="85">
        <v>9</v>
      </c>
      <c r="N1846" s="74">
        <v>1.1559999999999999</v>
      </c>
      <c r="O1846">
        <v>3</v>
      </c>
      <c r="P1846" s="84">
        <v>1.1559999999999999</v>
      </c>
      <c r="Q1846" s="86">
        <v>4.2</v>
      </c>
      <c r="R1846" s="85">
        <v>4.2</v>
      </c>
      <c r="S1846" s="87">
        <v>1334440</v>
      </c>
      <c r="T1846" s="1">
        <v>1</v>
      </c>
      <c r="U1846" s="88">
        <v>317723.80952380953</v>
      </c>
      <c r="V1846" s="59">
        <v>3.1473876682353645</v>
      </c>
      <c r="X1846" s="98">
        <v>4.2</v>
      </c>
      <c r="Y1846" s="97">
        <v>149.73095238095235</v>
      </c>
    </row>
    <row r="1847" spans="1:25">
      <c r="A1847" s="58">
        <v>1849</v>
      </c>
      <c r="B1847" s="58">
        <v>1849</v>
      </c>
      <c r="C1847" s="58" t="s">
        <v>2636</v>
      </c>
      <c r="D1847" s="58" t="s">
        <v>1811</v>
      </c>
      <c r="E1847" s="58" t="s">
        <v>1811</v>
      </c>
      <c r="F1847" s="58" t="s">
        <v>1939</v>
      </c>
      <c r="G1847" s="58" t="s">
        <v>1940</v>
      </c>
      <c r="H1847" s="58" t="s">
        <v>179</v>
      </c>
      <c r="I1847">
        <v>38000</v>
      </c>
      <c r="J1847">
        <v>38000</v>
      </c>
      <c r="K1847" s="58" t="s">
        <v>185</v>
      </c>
      <c r="L1847" s="74">
        <v>6.8780000000000001</v>
      </c>
      <c r="M1847" s="85">
        <v>7</v>
      </c>
      <c r="N1847" s="74">
        <v>0.48099999999999998</v>
      </c>
      <c r="O1847">
        <v>3</v>
      </c>
      <c r="P1847" s="84">
        <v>0.48099999999999998</v>
      </c>
      <c r="Q1847" s="86">
        <v>4.2</v>
      </c>
      <c r="R1847" s="85">
        <v>4.2</v>
      </c>
      <c r="S1847" s="87">
        <v>839680</v>
      </c>
      <c r="T1847" s="1">
        <v>4</v>
      </c>
      <c r="U1847" s="88">
        <v>199923.80952380953</v>
      </c>
      <c r="V1847" s="59">
        <v>5.0019054878048781</v>
      </c>
      <c r="X1847" s="98">
        <v>4.2</v>
      </c>
      <c r="Y1847" s="97">
        <v>317.72380952380951</v>
      </c>
    </row>
    <row r="1848" spans="1:25">
      <c r="A1848" s="58">
        <v>1850</v>
      </c>
      <c r="B1848" s="58">
        <v>1850</v>
      </c>
      <c r="C1848" s="58" t="s">
        <v>2637</v>
      </c>
      <c r="D1848" s="58" t="s">
        <v>1811</v>
      </c>
      <c r="E1848" s="58" t="s">
        <v>882</v>
      </c>
      <c r="F1848" s="58" t="s">
        <v>1935</v>
      </c>
      <c r="G1848" s="58" t="s">
        <v>1936</v>
      </c>
      <c r="H1848" s="58" t="s">
        <v>179</v>
      </c>
      <c r="I1848">
        <v>38000</v>
      </c>
      <c r="J1848">
        <v>38000</v>
      </c>
      <c r="K1848" s="58" t="s">
        <v>185</v>
      </c>
      <c r="L1848" s="74">
        <v>7.9809999999999999</v>
      </c>
      <c r="M1848" s="85">
        <v>8</v>
      </c>
      <c r="N1848" s="74">
        <v>3.899</v>
      </c>
      <c r="O1848">
        <v>3</v>
      </c>
      <c r="P1848" s="84">
        <v>2.9242499999999998</v>
      </c>
      <c r="Q1848" s="86">
        <v>21</v>
      </c>
      <c r="R1848" s="85">
        <v>21</v>
      </c>
      <c r="S1848" s="87">
        <v>909950</v>
      </c>
      <c r="T1848" s="1">
        <v>4</v>
      </c>
      <c r="U1848" s="88">
        <v>43330.952380952382</v>
      </c>
      <c r="V1848" s="59">
        <v>23.078191109401615</v>
      </c>
      <c r="X1848" s="98">
        <v>4.2</v>
      </c>
      <c r="Y1848" s="97">
        <v>199.92380952380952</v>
      </c>
    </row>
    <row r="1849" spans="1:25">
      <c r="A1849" s="58">
        <v>1851</v>
      </c>
      <c r="B1849" s="58">
        <v>1851</v>
      </c>
      <c r="C1849" s="58" t="s">
        <v>2638</v>
      </c>
      <c r="D1849" s="58" t="s">
        <v>182</v>
      </c>
      <c r="E1849" s="58" t="s">
        <v>182</v>
      </c>
      <c r="F1849" s="58" t="s">
        <v>2639</v>
      </c>
      <c r="G1849" s="58" t="s">
        <v>2640</v>
      </c>
      <c r="H1849" s="58" t="s">
        <v>199</v>
      </c>
      <c r="I1849">
        <v>110000</v>
      </c>
      <c r="J1849">
        <v>110000</v>
      </c>
      <c r="K1849">
        <v>38000</v>
      </c>
      <c r="L1849" s="74">
        <v>9.2810000000000006</v>
      </c>
      <c r="M1849" s="85">
        <v>10</v>
      </c>
      <c r="N1849" s="74">
        <v>0.748</v>
      </c>
      <c r="O1849">
        <v>3</v>
      </c>
      <c r="P1849" s="84">
        <v>0.748</v>
      </c>
      <c r="Q1849" s="86">
        <v>4.2</v>
      </c>
      <c r="R1849" s="85">
        <v>4.2</v>
      </c>
      <c r="S1849" s="87">
        <v>1943470</v>
      </c>
      <c r="T1849" s="1">
        <v>7</v>
      </c>
      <c r="U1849" s="88">
        <v>462730.95238095237</v>
      </c>
      <c r="V1849" s="59">
        <v>2.1610830113148132</v>
      </c>
      <c r="X1849" s="98">
        <v>21</v>
      </c>
      <c r="Y1849" s="97">
        <v>43.330952380952382</v>
      </c>
    </row>
    <row r="1850" spans="1:25">
      <c r="A1850" s="58">
        <v>1852</v>
      </c>
      <c r="B1850" s="58">
        <v>1852</v>
      </c>
      <c r="C1850" s="58" t="s">
        <v>2641</v>
      </c>
      <c r="D1850" s="58" t="s">
        <v>410</v>
      </c>
      <c r="E1850" s="58" t="s">
        <v>410</v>
      </c>
      <c r="F1850" s="58" t="s">
        <v>1879</v>
      </c>
      <c r="G1850" s="58" t="s">
        <v>1880</v>
      </c>
      <c r="H1850" s="58" t="s">
        <v>199</v>
      </c>
      <c r="I1850">
        <v>110000</v>
      </c>
      <c r="J1850">
        <v>110000</v>
      </c>
      <c r="K1850">
        <v>38000</v>
      </c>
      <c r="L1850" s="74">
        <v>8.4760000000000009</v>
      </c>
      <c r="M1850" s="85">
        <v>9</v>
      </c>
      <c r="N1850" s="74">
        <v>0.81599999999999995</v>
      </c>
      <c r="O1850">
        <v>3</v>
      </c>
      <c r="P1850" s="84">
        <v>0.81599999999999995</v>
      </c>
      <c r="Q1850" s="86">
        <v>4.2</v>
      </c>
      <c r="R1850" s="85">
        <v>4.2</v>
      </c>
      <c r="S1850" s="87">
        <v>1890770</v>
      </c>
      <c r="T1850" s="1">
        <v>7</v>
      </c>
      <c r="U1850" s="88">
        <v>450183.33333333331</v>
      </c>
      <c r="V1850" s="59">
        <v>2.2213172411239865</v>
      </c>
      <c r="X1850" s="98">
        <v>4.2</v>
      </c>
      <c r="Y1850" s="97">
        <v>462.73095238095237</v>
      </c>
    </row>
    <row r="1851" spans="1:25">
      <c r="A1851" s="58">
        <v>1853</v>
      </c>
      <c r="B1851" s="58">
        <v>1853</v>
      </c>
      <c r="C1851" s="58" t="s">
        <v>2642</v>
      </c>
      <c r="D1851" s="58" t="s">
        <v>410</v>
      </c>
      <c r="E1851" s="58" t="s">
        <v>410</v>
      </c>
      <c r="F1851" s="58" t="s">
        <v>2643</v>
      </c>
      <c r="G1851" s="58" t="s">
        <v>2644</v>
      </c>
      <c r="H1851" s="58" t="s">
        <v>199</v>
      </c>
      <c r="I1851">
        <v>110000</v>
      </c>
      <c r="J1851">
        <v>110000</v>
      </c>
      <c r="K1851" s="58" t="s">
        <v>185</v>
      </c>
      <c r="L1851" s="74">
        <v>6.585</v>
      </c>
      <c r="M1851" s="85">
        <v>7</v>
      </c>
      <c r="N1851" s="74">
        <v>2.0209999999999999</v>
      </c>
      <c r="O1851">
        <v>3</v>
      </c>
      <c r="P1851" s="84">
        <v>1.5157499999999999</v>
      </c>
      <c r="Q1851" s="86">
        <v>8.4</v>
      </c>
      <c r="R1851" s="85">
        <v>8.4</v>
      </c>
      <c r="S1851" s="87">
        <v>1785370</v>
      </c>
      <c r="T1851" s="1">
        <v>7</v>
      </c>
      <c r="U1851" s="88">
        <v>212544.0476190476</v>
      </c>
      <c r="V1851" s="59">
        <v>4.7049071060900545</v>
      </c>
      <c r="X1851" s="98">
        <v>4.2</v>
      </c>
      <c r="Y1851" s="97">
        <v>450.18333333333334</v>
      </c>
    </row>
    <row r="1852" spans="1:25">
      <c r="A1852" s="58">
        <v>1854</v>
      </c>
      <c r="B1852" s="58">
        <v>1854</v>
      </c>
      <c r="C1852" s="58" t="s">
        <v>2645</v>
      </c>
      <c r="D1852" s="58" t="s">
        <v>410</v>
      </c>
      <c r="E1852" s="58" t="s">
        <v>410</v>
      </c>
      <c r="F1852" s="58" t="s">
        <v>1654</v>
      </c>
      <c r="G1852" s="58" t="s">
        <v>1655</v>
      </c>
      <c r="H1852" s="58" t="s">
        <v>199</v>
      </c>
      <c r="I1852">
        <v>110000</v>
      </c>
      <c r="J1852">
        <v>110000</v>
      </c>
      <c r="K1852">
        <v>38000</v>
      </c>
      <c r="L1852" s="74">
        <v>7.0949999999999998</v>
      </c>
      <c r="M1852" s="85">
        <v>8</v>
      </c>
      <c r="N1852" s="74">
        <v>1.0940000000000001</v>
      </c>
      <c r="O1852">
        <v>3</v>
      </c>
      <c r="P1852" s="84">
        <v>1.0940000000000001</v>
      </c>
      <c r="Q1852" s="86">
        <v>4.2</v>
      </c>
      <c r="R1852" s="85">
        <v>4.2</v>
      </c>
      <c r="S1852" s="87">
        <v>1838070</v>
      </c>
      <c r="T1852" s="1">
        <v>7</v>
      </c>
      <c r="U1852" s="88">
        <v>437635.71428571426</v>
      </c>
      <c r="V1852" s="59">
        <v>2.2850054676916547</v>
      </c>
      <c r="X1852" s="98">
        <v>8.4</v>
      </c>
      <c r="Y1852" s="97">
        <v>212.5440476190476</v>
      </c>
    </row>
    <row r="1853" spans="1:25">
      <c r="A1853" s="58">
        <v>1855</v>
      </c>
      <c r="B1853" s="58">
        <v>1855</v>
      </c>
      <c r="C1853" s="58" t="s">
        <v>2646</v>
      </c>
      <c r="D1853" s="58" t="s">
        <v>384</v>
      </c>
      <c r="E1853" s="58" t="s">
        <v>384</v>
      </c>
      <c r="F1853" s="58" t="s">
        <v>2647</v>
      </c>
      <c r="G1853" s="58" t="s">
        <v>2648</v>
      </c>
      <c r="H1853" s="58" t="s">
        <v>199</v>
      </c>
      <c r="I1853">
        <v>110000</v>
      </c>
      <c r="J1853">
        <v>110000</v>
      </c>
      <c r="K1853">
        <v>38000</v>
      </c>
      <c r="L1853" s="74">
        <v>7.8840000000000003</v>
      </c>
      <c r="M1853" s="85">
        <v>8</v>
      </c>
      <c r="N1853" s="74">
        <v>0.43099999999999999</v>
      </c>
      <c r="O1853">
        <v>3</v>
      </c>
      <c r="P1853" s="84">
        <v>0.43099999999999999</v>
      </c>
      <c r="Q1853" s="86">
        <v>4.2</v>
      </c>
      <c r="R1853" s="85">
        <v>4.2</v>
      </c>
      <c r="S1853" s="87">
        <v>1838070</v>
      </c>
      <c r="T1853" s="1">
        <v>7</v>
      </c>
      <c r="U1853" s="88">
        <v>437635.71428571426</v>
      </c>
      <c r="V1853" s="59">
        <v>2.2850054676916547</v>
      </c>
      <c r="X1853" s="98">
        <v>4.2</v>
      </c>
      <c r="Y1853" s="97">
        <v>437.63571428571424</v>
      </c>
    </row>
    <row r="1854" spans="1:25">
      <c r="A1854" s="58">
        <v>1856</v>
      </c>
      <c r="B1854" s="58">
        <v>1856</v>
      </c>
      <c r="C1854" s="58" t="s">
        <v>2649</v>
      </c>
      <c r="D1854" s="58" t="s">
        <v>775</v>
      </c>
      <c r="E1854" s="58" t="s">
        <v>775</v>
      </c>
      <c r="F1854" s="58" t="s">
        <v>903</v>
      </c>
      <c r="G1854" s="58" t="s">
        <v>904</v>
      </c>
      <c r="H1854" s="58" t="s">
        <v>179</v>
      </c>
      <c r="I1854">
        <v>38000</v>
      </c>
      <c r="J1854">
        <v>38000</v>
      </c>
      <c r="K1854" s="58" t="s">
        <v>185</v>
      </c>
      <c r="L1854" s="74">
        <v>3.92</v>
      </c>
      <c r="M1854" s="85">
        <v>4</v>
      </c>
      <c r="N1854" s="74">
        <v>0.38800000000000001</v>
      </c>
      <c r="O1854">
        <v>3</v>
      </c>
      <c r="P1854" s="84">
        <v>0.38800000000000001</v>
      </c>
      <c r="Q1854" s="86">
        <v>4.2</v>
      </c>
      <c r="R1854" s="85">
        <v>4.2</v>
      </c>
      <c r="S1854" s="87">
        <v>628870</v>
      </c>
      <c r="T1854" s="1">
        <v>4</v>
      </c>
      <c r="U1854" s="88">
        <v>149730.95238095237</v>
      </c>
      <c r="V1854" s="59">
        <v>6.6786458250512828</v>
      </c>
      <c r="X1854" s="98">
        <v>4.2</v>
      </c>
      <c r="Y1854" s="97">
        <v>437.63571428571424</v>
      </c>
    </row>
    <row r="1855" spans="1:25">
      <c r="A1855" s="58">
        <v>1857</v>
      </c>
      <c r="B1855" s="58">
        <v>1857</v>
      </c>
      <c r="C1855" s="58" t="s">
        <v>2650</v>
      </c>
      <c r="D1855" s="58" t="s">
        <v>182</v>
      </c>
      <c r="E1855" s="58" t="s">
        <v>182</v>
      </c>
      <c r="F1855" s="58" t="s">
        <v>1866</v>
      </c>
      <c r="G1855" s="58" t="s">
        <v>1867</v>
      </c>
      <c r="H1855" s="58" t="s">
        <v>179</v>
      </c>
      <c r="I1855">
        <v>38000</v>
      </c>
      <c r="J1855">
        <v>38000</v>
      </c>
      <c r="K1855" s="58" t="s">
        <v>185</v>
      </c>
      <c r="L1855" s="74">
        <v>8.7260000000000009</v>
      </c>
      <c r="M1855" s="85">
        <v>9</v>
      </c>
      <c r="N1855" s="74">
        <v>0.54800000000000004</v>
      </c>
      <c r="O1855">
        <v>3</v>
      </c>
      <c r="P1855" s="84">
        <v>0.54800000000000004</v>
      </c>
      <c r="Q1855" s="86">
        <v>4.2</v>
      </c>
      <c r="R1855" s="85">
        <v>4.2</v>
      </c>
      <c r="S1855" s="87">
        <v>1334440</v>
      </c>
      <c r="T1855" s="1">
        <v>1</v>
      </c>
      <c r="U1855" s="88">
        <v>317723.80952380953</v>
      </c>
      <c r="V1855" s="59">
        <v>3.1473876682353645</v>
      </c>
      <c r="X1855" s="98">
        <v>4.2</v>
      </c>
      <c r="Y1855" s="97">
        <v>149.73095238095235</v>
      </c>
    </row>
    <row r="1856" spans="1:25">
      <c r="A1856" s="58">
        <v>1858</v>
      </c>
      <c r="B1856" s="58">
        <v>1858</v>
      </c>
      <c r="C1856" s="58" t="s">
        <v>2651</v>
      </c>
      <c r="D1856" s="58" t="s">
        <v>410</v>
      </c>
      <c r="E1856" s="58" t="s">
        <v>882</v>
      </c>
      <c r="F1856" s="58" t="s">
        <v>411</v>
      </c>
      <c r="G1856" s="58" t="s">
        <v>412</v>
      </c>
      <c r="H1856" s="58" t="s">
        <v>179</v>
      </c>
      <c r="I1856">
        <v>38000</v>
      </c>
      <c r="J1856">
        <v>38000</v>
      </c>
      <c r="K1856" s="58" t="s">
        <v>185</v>
      </c>
      <c r="L1856" s="74">
        <v>3.8759999999999999</v>
      </c>
      <c r="M1856" s="85">
        <v>4</v>
      </c>
      <c r="N1856" s="74">
        <v>0.88300000000000001</v>
      </c>
      <c r="O1856">
        <v>3</v>
      </c>
      <c r="P1856" s="84">
        <v>0.88300000000000001</v>
      </c>
      <c r="Q1856" s="86">
        <v>4.2</v>
      </c>
      <c r="R1856" s="85">
        <v>4.2</v>
      </c>
      <c r="S1856" s="87">
        <v>628870</v>
      </c>
      <c r="T1856" s="1">
        <v>4</v>
      </c>
      <c r="U1856" s="88">
        <v>149730.95238095237</v>
      </c>
      <c r="V1856" s="59">
        <v>6.6786458250512828</v>
      </c>
      <c r="X1856" s="98">
        <v>4.2</v>
      </c>
      <c r="Y1856" s="97">
        <v>317.72380952380951</v>
      </c>
    </row>
    <row r="1857" spans="1:25">
      <c r="A1857" s="58">
        <v>1859</v>
      </c>
      <c r="B1857" s="58">
        <v>1859</v>
      </c>
      <c r="C1857" s="58" t="s">
        <v>2652</v>
      </c>
      <c r="D1857" s="58" t="s">
        <v>197</v>
      </c>
      <c r="E1857" s="58" t="s">
        <v>197</v>
      </c>
      <c r="F1857" s="58" t="s">
        <v>299</v>
      </c>
      <c r="G1857" s="58" t="s">
        <v>300</v>
      </c>
      <c r="H1857" s="58" t="s">
        <v>179</v>
      </c>
      <c r="I1857">
        <v>38000</v>
      </c>
      <c r="J1857">
        <v>38000</v>
      </c>
      <c r="K1857" s="58" t="s">
        <v>185</v>
      </c>
      <c r="L1857" s="74">
        <v>17.702999999999999</v>
      </c>
      <c r="M1857" s="85">
        <v>18</v>
      </c>
      <c r="N1857" s="74">
        <v>0.65600000000000003</v>
      </c>
      <c r="O1857">
        <v>3</v>
      </c>
      <c r="P1857" s="84">
        <v>0.65600000000000003</v>
      </c>
      <c r="Q1857" s="86">
        <v>4.2</v>
      </c>
      <c r="R1857" s="85">
        <v>4.2</v>
      </c>
      <c r="S1857" s="87">
        <v>1808740</v>
      </c>
      <c r="T1857" s="1">
        <v>1</v>
      </c>
      <c r="U1857" s="88">
        <v>430652.38095238095</v>
      </c>
      <c r="V1857" s="59">
        <v>2.3220584495284009</v>
      </c>
      <c r="X1857" s="98">
        <v>4.2</v>
      </c>
      <c r="Y1857" s="97">
        <v>149.73095238095235</v>
      </c>
    </row>
    <row r="1858" spans="1:25">
      <c r="A1858" s="58">
        <v>1860</v>
      </c>
      <c r="B1858" s="58">
        <v>1860</v>
      </c>
      <c r="C1858" s="58" t="s">
        <v>2653</v>
      </c>
      <c r="D1858" s="58" t="s">
        <v>1169</v>
      </c>
      <c r="E1858" s="58" t="s">
        <v>1169</v>
      </c>
      <c r="F1858" s="58" t="s">
        <v>883</v>
      </c>
      <c r="G1858" s="58" t="s">
        <v>884</v>
      </c>
      <c r="H1858" s="58" t="s">
        <v>179</v>
      </c>
      <c r="I1858">
        <v>38000</v>
      </c>
      <c r="J1858">
        <v>20000</v>
      </c>
      <c r="K1858">
        <v>38000</v>
      </c>
      <c r="L1858" s="74">
        <v>11.906000000000001</v>
      </c>
      <c r="M1858" s="85">
        <v>12</v>
      </c>
      <c r="N1858" s="74">
        <v>0.30299999999999999</v>
      </c>
      <c r="O1858">
        <v>3</v>
      </c>
      <c r="P1858" s="84">
        <v>0.30299999999999999</v>
      </c>
      <c r="Q1858" s="86">
        <v>4.2</v>
      </c>
      <c r="R1858" s="85">
        <v>4.2</v>
      </c>
      <c r="S1858" s="87">
        <v>1492540</v>
      </c>
      <c r="T1858" s="1">
        <v>1</v>
      </c>
      <c r="U1858" s="88">
        <v>355366.66666666663</v>
      </c>
      <c r="V1858" s="59">
        <v>2.8139949348091173</v>
      </c>
      <c r="X1858" s="98">
        <v>4.2</v>
      </c>
      <c r="Y1858" s="97">
        <v>430.65238095238095</v>
      </c>
    </row>
    <row r="1859" spans="1:25">
      <c r="A1859" s="58">
        <v>1861</v>
      </c>
      <c r="B1859" s="58">
        <v>1861</v>
      </c>
      <c r="C1859" s="58" t="s">
        <v>2654</v>
      </c>
      <c r="D1859" s="58" t="s">
        <v>882</v>
      </c>
      <c r="E1859" s="58" t="s">
        <v>882</v>
      </c>
      <c r="F1859" s="58" t="s">
        <v>1149</v>
      </c>
      <c r="G1859" s="58" t="s">
        <v>1150</v>
      </c>
      <c r="H1859" s="58" t="s">
        <v>179</v>
      </c>
      <c r="I1859">
        <v>38000</v>
      </c>
      <c r="J1859">
        <v>38000</v>
      </c>
      <c r="K1859" s="58" t="s">
        <v>185</v>
      </c>
      <c r="L1859" s="74">
        <v>12.417999999999999</v>
      </c>
      <c r="M1859" s="85">
        <v>13</v>
      </c>
      <c r="N1859" s="74">
        <v>0.44</v>
      </c>
      <c r="O1859">
        <v>3</v>
      </c>
      <c r="P1859" s="84">
        <v>0.44</v>
      </c>
      <c r="Q1859" s="86">
        <v>4.2</v>
      </c>
      <c r="R1859" s="85">
        <v>4.2</v>
      </c>
      <c r="S1859" s="87">
        <v>1545240</v>
      </c>
      <c r="T1859" s="1">
        <v>1</v>
      </c>
      <c r="U1859" s="88">
        <v>367914.28571428568</v>
      </c>
      <c r="V1859" s="59">
        <v>2.7180243845616214</v>
      </c>
      <c r="X1859" s="98">
        <v>4.2</v>
      </c>
      <c r="Y1859" s="97">
        <v>355.36666666666662</v>
      </c>
    </row>
    <row r="1860" spans="1:25">
      <c r="A1860" s="58">
        <v>1862</v>
      </c>
      <c r="B1860" s="58">
        <v>1862</v>
      </c>
      <c r="C1860" s="58" t="s">
        <v>2655</v>
      </c>
      <c r="D1860" s="58" t="s">
        <v>882</v>
      </c>
      <c r="E1860" s="58" t="s">
        <v>882</v>
      </c>
      <c r="F1860" s="58" t="s">
        <v>1889</v>
      </c>
      <c r="G1860" s="58" t="s">
        <v>1890</v>
      </c>
      <c r="H1860" s="58" t="s">
        <v>179</v>
      </c>
      <c r="I1860">
        <v>38000</v>
      </c>
      <c r="J1860">
        <v>38000</v>
      </c>
      <c r="K1860" s="58" t="s">
        <v>185</v>
      </c>
      <c r="L1860" s="74">
        <v>6.7569999999999997</v>
      </c>
      <c r="M1860" s="85">
        <v>7</v>
      </c>
      <c r="N1860" s="74">
        <v>0.871</v>
      </c>
      <c r="O1860">
        <v>3</v>
      </c>
      <c r="P1860" s="84">
        <v>0.871</v>
      </c>
      <c r="Q1860" s="86">
        <v>4.2</v>
      </c>
      <c r="R1860" s="85">
        <v>4.2</v>
      </c>
      <c r="S1860" s="87">
        <v>839680</v>
      </c>
      <c r="T1860" s="1">
        <v>4</v>
      </c>
      <c r="U1860" s="88">
        <v>199923.80952380953</v>
      </c>
      <c r="V1860" s="59">
        <v>5.0019054878048781</v>
      </c>
      <c r="X1860" s="98">
        <v>4.2</v>
      </c>
      <c r="Y1860" s="97">
        <v>367.91428571428571</v>
      </c>
    </row>
    <row r="1861" spans="1:25">
      <c r="A1861" s="58">
        <v>1863</v>
      </c>
      <c r="B1861" s="58">
        <v>1863</v>
      </c>
      <c r="C1861" s="58" t="s">
        <v>2656</v>
      </c>
      <c r="D1861" s="58" t="s">
        <v>882</v>
      </c>
      <c r="E1861" s="58" t="s">
        <v>1190</v>
      </c>
      <c r="F1861" s="58" t="s">
        <v>2321</v>
      </c>
      <c r="G1861" s="58" t="s">
        <v>1926</v>
      </c>
      <c r="H1861" s="58" t="s">
        <v>179</v>
      </c>
      <c r="I1861">
        <v>38000</v>
      </c>
      <c r="J1861">
        <v>38000</v>
      </c>
      <c r="K1861" s="58" t="s">
        <v>2322</v>
      </c>
      <c r="L1861" s="74">
        <v>4.048</v>
      </c>
      <c r="M1861" s="85">
        <v>5</v>
      </c>
      <c r="N1861" s="74">
        <v>0.371</v>
      </c>
      <c r="O1861">
        <v>3</v>
      </c>
      <c r="P1861" s="84">
        <v>0.371</v>
      </c>
      <c r="Q1861" s="86">
        <v>4.2</v>
      </c>
      <c r="R1861" s="85">
        <v>4.2</v>
      </c>
      <c r="S1861" s="87">
        <v>699140</v>
      </c>
      <c r="T1861" s="1">
        <v>4</v>
      </c>
      <c r="U1861" s="88">
        <v>166461.90476190476</v>
      </c>
      <c r="V1861" s="59">
        <v>6.0073804960379897</v>
      </c>
      <c r="X1861" s="98">
        <v>4.2</v>
      </c>
      <c r="Y1861" s="97">
        <v>199.92380952380952</v>
      </c>
    </row>
    <row r="1862" spans="1:25">
      <c r="A1862" s="58">
        <v>1864</v>
      </c>
      <c r="B1862" s="58">
        <v>1864</v>
      </c>
      <c r="C1862" s="58" t="s">
        <v>2657</v>
      </c>
      <c r="D1862" s="58" t="s">
        <v>182</v>
      </c>
      <c r="E1862" s="58" t="s">
        <v>182</v>
      </c>
      <c r="F1862" s="58" t="s">
        <v>1876</v>
      </c>
      <c r="G1862" s="58" t="s">
        <v>1877</v>
      </c>
      <c r="H1862" s="58" t="s">
        <v>179</v>
      </c>
      <c r="I1862">
        <v>38000</v>
      </c>
      <c r="J1862">
        <v>38000</v>
      </c>
      <c r="K1862">
        <v>20000</v>
      </c>
      <c r="L1862" s="74">
        <v>8.0180000000000007</v>
      </c>
      <c r="M1862" s="85">
        <v>9</v>
      </c>
      <c r="N1862" s="74">
        <v>1.873</v>
      </c>
      <c r="O1862">
        <v>3</v>
      </c>
      <c r="P1862" s="84">
        <v>1.4047499999999999</v>
      </c>
      <c r="Q1862" s="86">
        <v>8.4</v>
      </c>
      <c r="R1862" s="85">
        <v>8.4</v>
      </c>
      <c r="S1862" s="87">
        <v>1379800</v>
      </c>
      <c r="T1862" s="1">
        <v>2</v>
      </c>
      <c r="U1862" s="88">
        <v>164261.90476190476</v>
      </c>
      <c r="V1862" s="59">
        <v>6.087838817219887</v>
      </c>
      <c r="X1862" s="98">
        <v>4.2</v>
      </c>
      <c r="Y1862" s="97">
        <v>166.46190476190475</v>
      </c>
    </row>
    <row r="1863" spans="1:25">
      <c r="A1863" s="58">
        <v>1865</v>
      </c>
      <c r="B1863" s="58">
        <v>1865</v>
      </c>
      <c r="C1863" s="58" t="s">
        <v>2658</v>
      </c>
      <c r="D1863" s="58" t="s">
        <v>852</v>
      </c>
      <c r="E1863" s="58" t="s">
        <v>852</v>
      </c>
      <c r="F1863" s="58" t="s">
        <v>1876</v>
      </c>
      <c r="G1863" s="58" t="s">
        <v>1877</v>
      </c>
      <c r="H1863" s="58" t="s">
        <v>179</v>
      </c>
      <c r="I1863">
        <v>38000</v>
      </c>
      <c r="J1863">
        <v>38000</v>
      </c>
      <c r="K1863">
        <v>20000</v>
      </c>
      <c r="L1863" s="74">
        <v>9.5679999999999996</v>
      </c>
      <c r="M1863" s="85">
        <v>10</v>
      </c>
      <c r="N1863" s="74">
        <v>0.80500000000000005</v>
      </c>
      <c r="O1863">
        <v>3</v>
      </c>
      <c r="P1863" s="84">
        <v>0.80500000000000005</v>
      </c>
      <c r="Q1863" s="86">
        <v>4.2</v>
      </c>
      <c r="R1863" s="85">
        <v>4.2</v>
      </c>
      <c r="S1863" s="87">
        <v>1387140</v>
      </c>
      <c r="T1863" s="1">
        <v>1</v>
      </c>
      <c r="U1863" s="88">
        <v>330271.42857142858</v>
      </c>
      <c r="V1863" s="59">
        <v>3.0278126216531858</v>
      </c>
      <c r="X1863" s="98">
        <v>8.4</v>
      </c>
      <c r="Y1863" s="97">
        <v>164.26190476190479</v>
      </c>
    </row>
    <row r="1864" spans="1:25">
      <c r="A1864" s="58">
        <v>1866</v>
      </c>
      <c r="B1864" s="58">
        <v>1866</v>
      </c>
      <c r="C1864" s="58" t="s">
        <v>2659</v>
      </c>
      <c r="D1864" s="58" t="s">
        <v>215</v>
      </c>
      <c r="E1864" s="58" t="s">
        <v>215</v>
      </c>
      <c r="F1864" s="58" t="s">
        <v>1661</v>
      </c>
      <c r="G1864" s="58" t="s">
        <v>1662</v>
      </c>
      <c r="H1864" s="58" t="s">
        <v>179</v>
      </c>
      <c r="I1864">
        <v>38000</v>
      </c>
      <c r="J1864">
        <v>38000</v>
      </c>
      <c r="K1864" s="58" t="s">
        <v>185</v>
      </c>
      <c r="L1864" s="74">
        <v>12.57</v>
      </c>
      <c r="M1864" s="85">
        <v>13</v>
      </c>
      <c r="N1864" s="74">
        <v>1.1000000000000001</v>
      </c>
      <c r="O1864">
        <v>3</v>
      </c>
      <c r="P1864" s="84">
        <v>1.1000000000000001</v>
      </c>
      <c r="Q1864" s="86">
        <v>4.2</v>
      </c>
      <c r="R1864" s="85">
        <v>4.2</v>
      </c>
      <c r="S1864" s="87">
        <v>1545240</v>
      </c>
      <c r="T1864" s="1">
        <v>1</v>
      </c>
      <c r="U1864" s="88">
        <v>367914.28571428568</v>
      </c>
      <c r="V1864" s="59">
        <v>2.7180243845616214</v>
      </c>
      <c r="X1864" s="98">
        <v>4.2</v>
      </c>
      <c r="Y1864" s="97">
        <v>330.2714285714286</v>
      </c>
    </row>
    <row r="1865" spans="1:25">
      <c r="A1865" s="58">
        <v>1867</v>
      </c>
      <c r="B1865" s="58">
        <v>1867</v>
      </c>
      <c r="C1865" s="58" t="s">
        <v>2660</v>
      </c>
      <c r="D1865" s="58" t="s">
        <v>410</v>
      </c>
      <c r="E1865" s="58" t="s">
        <v>410</v>
      </c>
      <c r="F1865" s="58" t="s">
        <v>1993</v>
      </c>
      <c r="G1865" s="58" t="s">
        <v>1994</v>
      </c>
      <c r="H1865" s="58" t="s">
        <v>179</v>
      </c>
      <c r="I1865">
        <v>38000</v>
      </c>
      <c r="J1865">
        <v>38000</v>
      </c>
      <c r="K1865" s="58" t="s">
        <v>185</v>
      </c>
      <c r="L1865" s="74">
        <v>3.7280000000000002</v>
      </c>
      <c r="M1865" s="85">
        <v>4</v>
      </c>
      <c r="N1865" s="74">
        <v>0.49199999999999999</v>
      </c>
      <c r="O1865">
        <v>3</v>
      </c>
      <c r="P1865" s="84">
        <v>0.49199999999999999</v>
      </c>
      <c r="Q1865" s="86">
        <v>4.2</v>
      </c>
      <c r="R1865" s="85">
        <v>4.2</v>
      </c>
      <c r="S1865" s="87">
        <v>628870</v>
      </c>
      <c r="T1865" s="1">
        <v>4</v>
      </c>
      <c r="U1865" s="88">
        <v>149730.95238095237</v>
      </c>
      <c r="V1865" s="59">
        <v>6.6786458250512828</v>
      </c>
      <c r="X1865" s="98">
        <v>4.2</v>
      </c>
      <c r="Y1865" s="97">
        <v>367.91428571428571</v>
      </c>
    </row>
    <row r="1866" spans="1:25">
      <c r="A1866" s="58">
        <v>1868</v>
      </c>
      <c r="B1866" s="58">
        <v>1868</v>
      </c>
      <c r="C1866" s="58" t="s">
        <v>2661</v>
      </c>
      <c r="D1866" s="58" t="s">
        <v>182</v>
      </c>
      <c r="E1866" s="58" t="s">
        <v>197</v>
      </c>
      <c r="F1866" s="58" t="s">
        <v>486</v>
      </c>
      <c r="G1866" s="58" t="s">
        <v>487</v>
      </c>
      <c r="H1866" s="58" t="s">
        <v>179</v>
      </c>
      <c r="I1866">
        <v>38000</v>
      </c>
      <c r="J1866">
        <v>38000</v>
      </c>
      <c r="K1866" s="58" t="s">
        <v>185</v>
      </c>
      <c r="L1866" s="74">
        <v>6.8449999999999998</v>
      </c>
      <c r="M1866" s="85">
        <v>7</v>
      </c>
      <c r="N1866" s="74">
        <v>3.1909999999999998</v>
      </c>
      <c r="O1866">
        <v>3</v>
      </c>
      <c r="P1866" s="84">
        <v>2.3932500000000001</v>
      </c>
      <c r="Q1866" s="86">
        <v>16.8</v>
      </c>
      <c r="R1866" s="85">
        <v>16.8</v>
      </c>
      <c r="S1866" s="87">
        <v>839680</v>
      </c>
      <c r="T1866" s="1">
        <v>4</v>
      </c>
      <c r="U1866" s="88">
        <v>49980.952380952382</v>
      </c>
      <c r="V1866" s="59">
        <v>20.007621951219512</v>
      </c>
      <c r="X1866" s="98">
        <v>4.2</v>
      </c>
      <c r="Y1866" s="97">
        <v>149.73095238095235</v>
      </c>
    </row>
    <row r="1867" spans="1:25">
      <c r="A1867" s="58">
        <v>1869</v>
      </c>
      <c r="B1867" s="58">
        <v>1869</v>
      </c>
      <c r="C1867" s="58" t="s">
        <v>2662</v>
      </c>
      <c r="D1867" s="58" t="s">
        <v>882</v>
      </c>
      <c r="E1867" s="58" t="s">
        <v>882</v>
      </c>
      <c r="F1867" s="58" t="s">
        <v>2550</v>
      </c>
      <c r="G1867" s="58" t="s">
        <v>2551</v>
      </c>
      <c r="H1867" s="58" t="s">
        <v>199</v>
      </c>
      <c r="I1867">
        <v>110000</v>
      </c>
      <c r="J1867" s="58" t="s">
        <v>185</v>
      </c>
      <c r="K1867">
        <v>110000</v>
      </c>
      <c r="L1867" s="74">
        <v>5.2889999999999997</v>
      </c>
      <c r="M1867" s="85">
        <v>6</v>
      </c>
      <c r="N1867" s="74">
        <v>1.1659999999999999</v>
      </c>
      <c r="O1867">
        <v>3</v>
      </c>
      <c r="P1867" s="84">
        <v>1.1659999999999999</v>
      </c>
      <c r="Q1867" s="86">
        <v>4.2</v>
      </c>
      <c r="R1867" s="85">
        <v>4.2</v>
      </c>
      <c r="S1867" s="87">
        <v>1732670</v>
      </c>
      <c r="T1867" s="1">
        <v>7</v>
      </c>
      <c r="U1867" s="88">
        <v>412540.47619047615</v>
      </c>
      <c r="V1867" s="59">
        <v>2.4240045709800482</v>
      </c>
      <c r="X1867" s="98">
        <v>16.8</v>
      </c>
      <c r="Y1867" s="97">
        <v>49.980952380952381</v>
      </c>
    </row>
    <row r="1868" spans="1:25">
      <c r="A1868" s="58">
        <v>1870</v>
      </c>
      <c r="B1868" s="58">
        <v>1870</v>
      </c>
      <c r="C1868" s="58" t="s">
        <v>2663</v>
      </c>
      <c r="D1868" s="58" t="s">
        <v>182</v>
      </c>
      <c r="E1868" s="58" t="s">
        <v>182</v>
      </c>
      <c r="F1868" s="58" t="s">
        <v>1790</v>
      </c>
      <c r="G1868" s="58" t="s">
        <v>1791</v>
      </c>
      <c r="H1868" s="58" t="s">
        <v>179</v>
      </c>
      <c r="I1868">
        <v>38000</v>
      </c>
      <c r="J1868">
        <v>38000</v>
      </c>
      <c r="K1868" s="58" t="s">
        <v>185</v>
      </c>
      <c r="L1868" s="74">
        <v>15.644</v>
      </c>
      <c r="M1868" s="85">
        <v>16</v>
      </c>
      <c r="N1868" s="74">
        <v>1.5940000000000001</v>
      </c>
      <c r="O1868">
        <v>3</v>
      </c>
      <c r="P1868" s="84">
        <v>1.1955</v>
      </c>
      <c r="Q1868" s="86">
        <v>4.2</v>
      </c>
      <c r="R1868" s="85">
        <v>4.2</v>
      </c>
      <c r="S1868" s="87">
        <v>1703340</v>
      </c>
      <c r="T1868" s="1">
        <v>1</v>
      </c>
      <c r="U1868" s="88">
        <v>405557.14285714284</v>
      </c>
      <c r="V1868" s="59">
        <v>2.4657437739969708</v>
      </c>
      <c r="X1868" s="98">
        <v>4.2</v>
      </c>
      <c r="Y1868" s="97">
        <v>412.54047619047617</v>
      </c>
    </row>
    <row r="1869" spans="1:25">
      <c r="A1869" s="58">
        <v>1871</v>
      </c>
      <c r="B1869" s="58">
        <v>1871</v>
      </c>
      <c r="C1869" s="58" t="s">
        <v>2664</v>
      </c>
      <c r="D1869" s="58" t="s">
        <v>1169</v>
      </c>
      <c r="E1869" s="58" t="s">
        <v>1169</v>
      </c>
      <c r="F1869" s="58" t="s">
        <v>2301</v>
      </c>
      <c r="G1869" s="58" t="s">
        <v>2302</v>
      </c>
      <c r="H1869" s="58" t="s">
        <v>179</v>
      </c>
      <c r="I1869">
        <v>38000</v>
      </c>
      <c r="J1869">
        <v>38000</v>
      </c>
      <c r="K1869" s="58" t="s">
        <v>185</v>
      </c>
      <c r="L1869" s="74">
        <v>7.4409999999999998</v>
      </c>
      <c r="M1869" s="85">
        <v>8</v>
      </c>
      <c r="N1869" s="74">
        <v>0.39400000000000002</v>
      </c>
      <c r="O1869">
        <v>3</v>
      </c>
      <c r="P1869" s="84">
        <v>0.39400000000000002</v>
      </c>
      <c r="Q1869" s="86">
        <v>4.2</v>
      </c>
      <c r="R1869" s="85">
        <v>4.2</v>
      </c>
      <c r="S1869" s="87">
        <v>909950</v>
      </c>
      <c r="T1869" s="1">
        <v>4</v>
      </c>
      <c r="U1869" s="88">
        <v>216654.76190476189</v>
      </c>
      <c r="V1869" s="59">
        <v>4.6156382218803227</v>
      </c>
      <c r="X1869" s="98">
        <v>4.2</v>
      </c>
      <c r="Y1869" s="97">
        <v>405.55714285714282</v>
      </c>
    </row>
    <row r="1870" spans="1:25">
      <c r="A1870" s="58">
        <v>1872</v>
      </c>
      <c r="B1870" s="58">
        <v>1872</v>
      </c>
      <c r="C1870" s="58" t="s">
        <v>2665</v>
      </c>
      <c r="D1870" s="58" t="s">
        <v>182</v>
      </c>
      <c r="E1870" s="58" t="s">
        <v>182</v>
      </c>
      <c r="F1870" s="58" t="s">
        <v>959</v>
      </c>
      <c r="G1870" s="58" t="s">
        <v>960</v>
      </c>
      <c r="H1870" s="58" t="s">
        <v>179</v>
      </c>
      <c r="I1870">
        <v>38000</v>
      </c>
      <c r="J1870">
        <v>38000</v>
      </c>
      <c r="K1870" s="58" t="s">
        <v>185</v>
      </c>
      <c r="L1870" s="74">
        <v>8.1240000000000006</v>
      </c>
      <c r="M1870" s="85">
        <v>9</v>
      </c>
      <c r="N1870" s="74">
        <v>0.375</v>
      </c>
      <c r="O1870">
        <v>3</v>
      </c>
      <c r="P1870" s="84">
        <v>0.375</v>
      </c>
      <c r="Q1870" s="86">
        <v>4.2</v>
      </c>
      <c r="R1870" s="85">
        <v>4.2</v>
      </c>
      <c r="S1870" s="87">
        <v>1334440</v>
      </c>
      <c r="T1870" s="1">
        <v>1</v>
      </c>
      <c r="U1870" s="88">
        <v>317723.80952380953</v>
      </c>
      <c r="V1870" s="59">
        <v>3.1473876682353645</v>
      </c>
      <c r="X1870" s="98">
        <v>4.2</v>
      </c>
      <c r="Y1870" s="97">
        <v>216.6547619047619</v>
      </c>
    </row>
    <row r="1871" spans="1:25">
      <c r="A1871" s="58">
        <v>1873</v>
      </c>
      <c r="B1871" s="58">
        <v>1873</v>
      </c>
      <c r="C1871" s="58" t="s">
        <v>2666</v>
      </c>
      <c r="D1871" s="58" t="s">
        <v>410</v>
      </c>
      <c r="E1871" s="58" t="s">
        <v>882</v>
      </c>
      <c r="F1871" s="58" t="s">
        <v>1149</v>
      </c>
      <c r="G1871" s="58" t="s">
        <v>1150</v>
      </c>
      <c r="H1871" s="58" t="s">
        <v>179</v>
      </c>
      <c r="I1871">
        <v>38000</v>
      </c>
      <c r="J1871">
        <v>38000</v>
      </c>
      <c r="K1871" s="58" t="s">
        <v>185</v>
      </c>
      <c r="L1871" s="74">
        <v>6.2480000000000002</v>
      </c>
      <c r="M1871" s="85">
        <v>7</v>
      </c>
      <c r="N1871" s="74">
        <v>1.5289999999999999</v>
      </c>
      <c r="O1871">
        <v>3</v>
      </c>
      <c r="P1871" s="84">
        <v>1.1467499999999999</v>
      </c>
      <c r="Q1871" s="86">
        <v>4.2</v>
      </c>
      <c r="R1871" s="85">
        <v>4.2</v>
      </c>
      <c r="S1871" s="87">
        <v>839680</v>
      </c>
      <c r="T1871" s="1">
        <v>4</v>
      </c>
      <c r="U1871" s="88">
        <v>199923.80952380953</v>
      </c>
      <c r="V1871" s="59">
        <v>5.0019054878048781</v>
      </c>
      <c r="X1871" s="98">
        <v>4.2</v>
      </c>
      <c r="Y1871" s="97">
        <v>317.72380952380951</v>
      </c>
    </row>
    <row r="1872" spans="1:25">
      <c r="A1872" s="58">
        <v>1874</v>
      </c>
      <c r="B1872" s="58">
        <v>1874</v>
      </c>
      <c r="C1872" s="58" t="s">
        <v>2667</v>
      </c>
      <c r="D1872" s="58" t="s">
        <v>215</v>
      </c>
      <c r="E1872" s="58" t="s">
        <v>215</v>
      </c>
      <c r="F1872" s="58" t="s">
        <v>483</v>
      </c>
      <c r="G1872" s="58" t="s">
        <v>484</v>
      </c>
      <c r="H1872" s="58" t="s">
        <v>179</v>
      </c>
      <c r="I1872">
        <v>38000</v>
      </c>
      <c r="L1872" s="74">
        <v>6.4450000000000003</v>
      </c>
      <c r="M1872" s="85">
        <v>7</v>
      </c>
      <c r="N1872" s="74">
        <v>0.84799999999999998</v>
      </c>
      <c r="O1872">
        <v>3</v>
      </c>
      <c r="P1872" s="84">
        <v>0.84799999999999998</v>
      </c>
      <c r="Q1872" s="86">
        <v>4.2</v>
      </c>
      <c r="R1872" s="85">
        <v>4.2</v>
      </c>
      <c r="S1872" s="87">
        <v>839680</v>
      </c>
      <c r="T1872" s="1">
        <v>4</v>
      </c>
      <c r="U1872" s="88">
        <v>199923.80952380953</v>
      </c>
      <c r="V1872" s="59">
        <v>5.0019054878048781</v>
      </c>
      <c r="X1872" s="98">
        <v>4.2</v>
      </c>
      <c r="Y1872" s="97">
        <v>199.92380952380952</v>
      </c>
    </row>
    <row r="1873" spans="1:25">
      <c r="A1873" s="58">
        <v>1875</v>
      </c>
      <c r="B1873" s="58">
        <v>1875</v>
      </c>
      <c r="C1873" s="58" t="s">
        <v>2668</v>
      </c>
      <c r="D1873" s="58" t="s">
        <v>182</v>
      </c>
      <c r="E1873" s="58" t="s">
        <v>182</v>
      </c>
      <c r="F1873" s="58" t="s">
        <v>486</v>
      </c>
      <c r="G1873" s="58" t="s">
        <v>487</v>
      </c>
      <c r="H1873" s="58" t="s">
        <v>179</v>
      </c>
      <c r="I1873">
        <v>38000</v>
      </c>
      <c r="J1873">
        <v>38000</v>
      </c>
      <c r="K1873" s="58" t="s">
        <v>185</v>
      </c>
      <c r="L1873" s="74">
        <v>11.737</v>
      </c>
      <c r="M1873" s="85">
        <v>12</v>
      </c>
      <c r="N1873" s="74">
        <v>0.58199999999999996</v>
      </c>
      <c r="O1873">
        <v>3</v>
      </c>
      <c r="P1873" s="84">
        <v>0.58199999999999996</v>
      </c>
      <c r="Q1873" s="86">
        <v>4.2</v>
      </c>
      <c r="R1873" s="85">
        <v>4.2</v>
      </c>
      <c r="S1873" s="87">
        <v>1492540</v>
      </c>
      <c r="T1873" s="1">
        <v>1</v>
      </c>
      <c r="U1873" s="88">
        <v>355366.66666666663</v>
      </c>
      <c r="V1873" s="59">
        <v>2.8139949348091173</v>
      </c>
      <c r="X1873" s="98">
        <v>4.2</v>
      </c>
      <c r="Y1873" s="97">
        <v>199.92380952380952</v>
      </c>
    </row>
    <row r="1874" spans="1:25">
      <c r="A1874" s="58">
        <v>1876</v>
      </c>
      <c r="B1874" s="58">
        <v>1876</v>
      </c>
      <c r="C1874" s="58" t="s">
        <v>2669</v>
      </c>
      <c r="D1874" s="58" t="s">
        <v>197</v>
      </c>
      <c r="E1874" s="58" t="s">
        <v>197</v>
      </c>
      <c r="F1874" s="58" t="s">
        <v>486</v>
      </c>
      <c r="G1874" s="58" t="s">
        <v>487</v>
      </c>
      <c r="H1874" s="58" t="s">
        <v>179</v>
      </c>
      <c r="I1874">
        <v>38000</v>
      </c>
      <c r="J1874">
        <v>38000</v>
      </c>
      <c r="K1874" s="58" t="s">
        <v>185</v>
      </c>
      <c r="L1874" s="74">
        <v>12.417999999999999</v>
      </c>
      <c r="M1874" s="85">
        <v>13</v>
      </c>
      <c r="N1874" s="74">
        <v>0.60799999999999998</v>
      </c>
      <c r="O1874">
        <v>3</v>
      </c>
      <c r="P1874" s="84">
        <v>0.60799999999999998</v>
      </c>
      <c r="Q1874" s="86">
        <v>4.2</v>
      </c>
      <c r="R1874" s="85">
        <v>4.2</v>
      </c>
      <c r="S1874" s="87">
        <v>1545240</v>
      </c>
      <c r="T1874" s="1">
        <v>1</v>
      </c>
      <c r="U1874" s="88">
        <v>367914.28571428568</v>
      </c>
      <c r="V1874" s="59">
        <v>2.7180243845616214</v>
      </c>
      <c r="X1874" s="98">
        <v>4.2</v>
      </c>
      <c r="Y1874" s="97">
        <v>355.36666666666662</v>
      </c>
    </row>
    <row r="1875" spans="1:25">
      <c r="A1875" s="58">
        <v>1877</v>
      </c>
      <c r="B1875" s="58">
        <v>1877</v>
      </c>
      <c r="C1875" s="58" t="s">
        <v>2670</v>
      </c>
      <c r="D1875" s="58" t="s">
        <v>775</v>
      </c>
      <c r="E1875" s="58" t="s">
        <v>775</v>
      </c>
      <c r="F1875" s="58" t="s">
        <v>2671</v>
      </c>
      <c r="G1875" s="58" t="s">
        <v>2672</v>
      </c>
      <c r="H1875" s="58" t="s">
        <v>179</v>
      </c>
      <c r="I1875">
        <v>38000</v>
      </c>
      <c r="J1875">
        <v>38000</v>
      </c>
      <c r="K1875" s="58" t="s">
        <v>185</v>
      </c>
      <c r="L1875" s="74">
        <v>5.57</v>
      </c>
      <c r="M1875" s="85">
        <v>6</v>
      </c>
      <c r="N1875" s="74">
        <v>0.47899999999999998</v>
      </c>
      <c r="O1875">
        <v>3</v>
      </c>
      <c r="P1875" s="84">
        <v>0.47899999999999998</v>
      </c>
      <c r="Q1875" s="86">
        <v>4.2</v>
      </c>
      <c r="R1875" s="85">
        <v>4.2</v>
      </c>
      <c r="S1875" s="87">
        <v>769410</v>
      </c>
      <c r="T1875" s="1">
        <v>4</v>
      </c>
      <c r="U1875" s="88">
        <v>183192.85714285713</v>
      </c>
      <c r="V1875" s="59">
        <v>5.4587281163488903</v>
      </c>
      <c r="X1875" s="98">
        <v>4.2</v>
      </c>
      <c r="Y1875" s="97">
        <v>367.91428571428571</v>
      </c>
    </row>
    <row r="1876" spans="1:25">
      <c r="A1876" s="58">
        <v>1878</v>
      </c>
      <c r="B1876" s="58">
        <v>1878</v>
      </c>
      <c r="C1876" s="58" t="s">
        <v>2673</v>
      </c>
      <c r="D1876" s="58" t="s">
        <v>410</v>
      </c>
      <c r="E1876" s="58" t="s">
        <v>1169</v>
      </c>
      <c r="F1876" s="58" t="s">
        <v>1827</v>
      </c>
      <c r="G1876" s="58" t="s">
        <v>1828</v>
      </c>
      <c r="H1876" s="58" t="s">
        <v>199</v>
      </c>
      <c r="I1876">
        <v>110000</v>
      </c>
      <c r="J1876">
        <v>110000</v>
      </c>
      <c r="K1876">
        <v>38000</v>
      </c>
      <c r="L1876" s="74">
        <v>6.6710000000000003</v>
      </c>
      <c r="M1876" s="85">
        <v>7</v>
      </c>
      <c r="N1876" s="74">
        <v>2.629</v>
      </c>
      <c r="O1876">
        <v>3</v>
      </c>
      <c r="P1876" s="84">
        <v>1.9717500000000001</v>
      </c>
      <c r="Q1876" s="86">
        <v>12.600000000000001</v>
      </c>
      <c r="R1876" s="85">
        <v>12.600000000000001</v>
      </c>
      <c r="S1876" s="87">
        <v>1785370</v>
      </c>
      <c r="T1876" s="1">
        <v>7</v>
      </c>
      <c r="U1876" s="88">
        <v>141696.03174603172</v>
      </c>
      <c r="V1876" s="59">
        <v>7.0573606591350826</v>
      </c>
      <c r="X1876" s="98">
        <v>4.2</v>
      </c>
      <c r="Y1876" s="97">
        <v>183.19285714285712</v>
      </c>
    </row>
    <row r="1877" spans="1:25">
      <c r="A1877" s="58">
        <v>1879</v>
      </c>
      <c r="B1877" s="58">
        <v>1879</v>
      </c>
      <c r="C1877" s="58" t="s">
        <v>2674</v>
      </c>
      <c r="D1877" s="58" t="s">
        <v>410</v>
      </c>
      <c r="E1877" s="58" t="s">
        <v>410</v>
      </c>
      <c r="F1877" s="58" t="s">
        <v>451</v>
      </c>
      <c r="G1877" s="58" t="s">
        <v>452</v>
      </c>
      <c r="H1877" s="58" t="s">
        <v>179</v>
      </c>
      <c r="I1877">
        <v>38000</v>
      </c>
      <c r="J1877">
        <v>38000</v>
      </c>
      <c r="K1877" s="58" t="s">
        <v>185</v>
      </c>
      <c r="L1877" s="74">
        <v>9.234</v>
      </c>
      <c r="M1877" s="85">
        <v>10</v>
      </c>
      <c r="N1877" s="74">
        <v>0.49</v>
      </c>
      <c r="O1877">
        <v>3</v>
      </c>
      <c r="P1877" s="84">
        <v>0.49</v>
      </c>
      <c r="Q1877" s="86">
        <v>4.2</v>
      </c>
      <c r="R1877" s="85">
        <v>4.2</v>
      </c>
      <c r="S1877" s="87">
        <v>1387140</v>
      </c>
      <c r="T1877" s="1">
        <v>1</v>
      </c>
      <c r="U1877" s="88">
        <v>330271.42857142858</v>
      </c>
      <c r="V1877" s="59">
        <v>3.0278126216531858</v>
      </c>
      <c r="X1877" s="98">
        <v>12.600000000000001</v>
      </c>
      <c r="Y1877" s="97">
        <v>141.69603174603171</v>
      </c>
    </row>
    <row r="1878" spans="1:25">
      <c r="A1878" s="58">
        <v>1880</v>
      </c>
      <c r="B1878" s="58">
        <v>1880</v>
      </c>
      <c r="C1878" s="58" t="s">
        <v>2675</v>
      </c>
      <c r="D1878" s="58" t="s">
        <v>489</v>
      </c>
      <c r="E1878" s="58" t="s">
        <v>489</v>
      </c>
      <c r="F1878" s="58" t="s">
        <v>1161</v>
      </c>
      <c r="G1878" s="58" t="s">
        <v>1162</v>
      </c>
      <c r="H1878" s="58" t="s">
        <v>179</v>
      </c>
      <c r="I1878">
        <v>38000</v>
      </c>
      <c r="J1878">
        <v>38000</v>
      </c>
      <c r="K1878" s="58" t="s">
        <v>185</v>
      </c>
      <c r="L1878" s="74">
        <v>5.8609999999999998</v>
      </c>
      <c r="M1878" s="85">
        <v>6</v>
      </c>
      <c r="N1878" s="74">
        <v>1.103</v>
      </c>
      <c r="O1878">
        <v>3</v>
      </c>
      <c r="P1878" s="84">
        <v>1.103</v>
      </c>
      <c r="Q1878" s="86">
        <v>4.2</v>
      </c>
      <c r="R1878" s="85">
        <v>4.2</v>
      </c>
      <c r="S1878" s="87">
        <v>769410</v>
      </c>
      <c r="T1878" s="1">
        <v>4</v>
      </c>
      <c r="U1878" s="88">
        <v>183192.85714285713</v>
      </c>
      <c r="V1878" s="59">
        <v>5.4587281163488903</v>
      </c>
      <c r="X1878" s="98">
        <v>4.2</v>
      </c>
      <c r="Y1878" s="97">
        <v>330.2714285714286</v>
      </c>
    </row>
    <row r="1879" spans="1:25">
      <c r="A1879" s="58">
        <v>1881</v>
      </c>
      <c r="B1879" s="58">
        <v>1881</v>
      </c>
      <c r="C1879" s="58" t="s">
        <v>2676</v>
      </c>
      <c r="D1879" s="58" t="s">
        <v>489</v>
      </c>
      <c r="E1879" s="58" t="s">
        <v>489</v>
      </c>
      <c r="F1879" s="58" t="s">
        <v>469</v>
      </c>
      <c r="G1879" s="58" t="s">
        <v>470</v>
      </c>
      <c r="H1879" s="58" t="s">
        <v>179</v>
      </c>
      <c r="I1879">
        <v>38000</v>
      </c>
      <c r="J1879">
        <v>38000</v>
      </c>
      <c r="K1879" s="58" t="s">
        <v>185</v>
      </c>
      <c r="L1879" s="74">
        <v>5.556</v>
      </c>
      <c r="M1879" s="85">
        <v>6</v>
      </c>
      <c r="N1879" s="74">
        <v>2.1680000000000001</v>
      </c>
      <c r="O1879">
        <v>3</v>
      </c>
      <c r="P1879" s="84">
        <v>1.6260000000000001</v>
      </c>
      <c r="Q1879" s="86">
        <v>8.4</v>
      </c>
      <c r="R1879" s="85">
        <v>8.4</v>
      </c>
      <c r="S1879" s="87">
        <v>769410</v>
      </c>
      <c r="T1879" s="1">
        <v>4</v>
      </c>
      <c r="U1879" s="88">
        <v>91596.428571428565</v>
      </c>
      <c r="V1879" s="59">
        <v>10.917456232697781</v>
      </c>
      <c r="X1879" s="98">
        <v>4.2</v>
      </c>
      <c r="Y1879" s="97">
        <v>183.19285714285712</v>
      </c>
    </row>
    <row r="1880" spans="1:25">
      <c r="A1880" s="58">
        <v>1882</v>
      </c>
      <c r="B1880" s="58">
        <v>1882</v>
      </c>
      <c r="C1880" s="58" t="s">
        <v>2677</v>
      </c>
      <c r="D1880" s="58" t="s">
        <v>489</v>
      </c>
      <c r="E1880" s="58" t="s">
        <v>489</v>
      </c>
      <c r="F1880" s="58" t="s">
        <v>469</v>
      </c>
      <c r="G1880" s="58" t="s">
        <v>470</v>
      </c>
      <c r="H1880" s="58" t="s">
        <v>179</v>
      </c>
      <c r="I1880">
        <v>38000</v>
      </c>
      <c r="J1880">
        <v>38000</v>
      </c>
      <c r="K1880" s="58" t="s">
        <v>185</v>
      </c>
      <c r="L1880" s="74">
        <v>2.4249999999999998</v>
      </c>
      <c r="M1880" s="85">
        <v>3</v>
      </c>
      <c r="N1880" s="74">
        <v>0.80900000000000005</v>
      </c>
      <c r="O1880">
        <v>3</v>
      </c>
      <c r="P1880" s="84">
        <v>0.80900000000000005</v>
      </c>
      <c r="Q1880" s="86">
        <v>4.2</v>
      </c>
      <c r="R1880" s="85">
        <v>4.2</v>
      </c>
      <c r="S1880" s="87">
        <v>558600</v>
      </c>
      <c r="T1880" s="1">
        <v>4</v>
      </c>
      <c r="U1880" s="88">
        <v>133000</v>
      </c>
      <c r="V1880" s="59">
        <v>7.518796992481203</v>
      </c>
      <c r="X1880" s="98">
        <v>8.4</v>
      </c>
      <c r="Y1880" s="97">
        <v>91.596428571428561</v>
      </c>
    </row>
    <row r="1881" spans="1:25">
      <c r="A1881" s="58">
        <v>1883</v>
      </c>
      <c r="B1881" s="58">
        <v>1883</v>
      </c>
      <c r="C1881" s="58" t="s">
        <v>2678</v>
      </c>
      <c r="D1881" s="58" t="s">
        <v>489</v>
      </c>
      <c r="E1881" s="58" t="s">
        <v>489</v>
      </c>
      <c r="F1881" s="58" t="s">
        <v>469</v>
      </c>
      <c r="G1881" s="58" t="s">
        <v>470</v>
      </c>
      <c r="H1881" s="58" t="s">
        <v>179</v>
      </c>
      <c r="I1881">
        <v>38000</v>
      </c>
      <c r="J1881">
        <v>38000</v>
      </c>
      <c r="K1881" s="58" t="s">
        <v>185</v>
      </c>
      <c r="L1881" s="74">
        <v>5.3550000000000004</v>
      </c>
      <c r="M1881" s="85">
        <v>6</v>
      </c>
      <c r="N1881" s="74">
        <v>1.9179999999999999</v>
      </c>
      <c r="O1881">
        <v>3</v>
      </c>
      <c r="P1881" s="84">
        <v>1.4384999999999999</v>
      </c>
      <c r="Q1881" s="86">
        <v>8.4</v>
      </c>
      <c r="R1881" s="85">
        <v>8.4</v>
      </c>
      <c r="S1881" s="87">
        <v>769410</v>
      </c>
      <c r="T1881" s="1">
        <v>4</v>
      </c>
      <c r="U1881" s="88">
        <v>91596.428571428565</v>
      </c>
      <c r="V1881" s="59">
        <v>10.917456232697781</v>
      </c>
      <c r="X1881" s="98">
        <v>4.2</v>
      </c>
      <c r="Y1881" s="97">
        <v>133</v>
      </c>
    </row>
    <row r="1882" spans="1:25">
      <c r="A1882" s="58">
        <v>1884</v>
      </c>
      <c r="B1882" s="58">
        <v>1884</v>
      </c>
      <c r="C1882" s="58" t="s">
        <v>2679</v>
      </c>
      <c r="D1882" s="58" t="s">
        <v>882</v>
      </c>
      <c r="E1882" s="58" t="s">
        <v>882</v>
      </c>
      <c r="F1882" s="58" t="s">
        <v>1819</v>
      </c>
      <c r="G1882" s="58" t="s">
        <v>1820</v>
      </c>
      <c r="H1882" s="58" t="s">
        <v>199</v>
      </c>
      <c r="I1882">
        <v>110000</v>
      </c>
      <c r="J1882">
        <v>20000</v>
      </c>
      <c r="K1882">
        <v>110000</v>
      </c>
      <c r="L1882" s="74">
        <v>5.8929999999999998</v>
      </c>
      <c r="M1882" s="85">
        <v>6</v>
      </c>
      <c r="N1882" s="74">
        <v>0.53400000000000003</v>
      </c>
      <c r="O1882">
        <v>3</v>
      </c>
      <c r="P1882" s="84">
        <v>0.53400000000000003</v>
      </c>
      <c r="Q1882" s="86">
        <v>4.2</v>
      </c>
      <c r="R1882" s="85">
        <v>4.2</v>
      </c>
      <c r="S1882" s="87">
        <v>1732670</v>
      </c>
      <c r="T1882" s="1">
        <v>7</v>
      </c>
      <c r="U1882" s="88">
        <v>412540.47619047615</v>
      </c>
      <c r="V1882" s="59">
        <v>2.4240045709800482</v>
      </c>
      <c r="X1882" s="98">
        <v>8.4</v>
      </c>
      <c r="Y1882" s="97">
        <v>91.596428571428561</v>
      </c>
    </row>
    <row r="1883" spans="1:25">
      <c r="A1883" s="58">
        <v>1885</v>
      </c>
      <c r="B1883" s="58">
        <v>1885</v>
      </c>
      <c r="C1883" s="58" t="s">
        <v>2680</v>
      </c>
      <c r="D1883" s="58" t="s">
        <v>775</v>
      </c>
      <c r="E1883" s="58" t="s">
        <v>775</v>
      </c>
      <c r="F1883" s="58" t="s">
        <v>2681</v>
      </c>
      <c r="G1883" s="58" t="s">
        <v>2682</v>
      </c>
      <c r="H1883" s="58" t="s">
        <v>179</v>
      </c>
      <c r="I1883">
        <v>38000</v>
      </c>
      <c r="J1883">
        <v>38000</v>
      </c>
      <c r="K1883" s="58" t="s">
        <v>185</v>
      </c>
      <c r="L1883" s="74">
        <v>4.726</v>
      </c>
      <c r="M1883" s="85">
        <v>5</v>
      </c>
      <c r="N1883" s="74">
        <v>1.034</v>
      </c>
      <c r="O1883">
        <v>3</v>
      </c>
      <c r="P1883" s="84">
        <v>1.034</v>
      </c>
      <c r="Q1883" s="86">
        <v>4.2</v>
      </c>
      <c r="R1883" s="85">
        <v>4.2</v>
      </c>
      <c r="S1883" s="87">
        <v>699140</v>
      </c>
      <c r="T1883" s="1">
        <v>4</v>
      </c>
      <c r="U1883" s="88">
        <v>166461.90476190476</v>
      </c>
      <c r="V1883" s="59">
        <v>6.0073804960379897</v>
      </c>
      <c r="X1883" s="98">
        <v>4.2</v>
      </c>
      <c r="Y1883" s="97">
        <v>412.54047619047617</v>
      </c>
    </row>
    <row r="1884" spans="1:25">
      <c r="A1884" s="58">
        <v>1886</v>
      </c>
      <c r="B1884" s="58">
        <v>1886</v>
      </c>
      <c r="C1884" s="58" t="s">
        <v>2683</v>
      </c>
      <c r="D1884" s="58" t="s">
        <v>410</v>
      </c>
      <c r="E1884" s="58" t="s">
        <v>410</v>
      </c>
      <c r="F1884" s="58" t="s">
        <v>2684</v>
      </c>
      <c r="G1884" s="58" t="s">
        <v>2685</v>
      </c>
      <c r="H1884" s="58" t="s">
        <v>199</v>
      </c>
      <c r="I1884">
        <v>110000</v>
      </c>
      <c r="L1884" s="74">
        <v>5.4550000000000001</v>
      </c>
      <c r="M1884" s="85">
        <v>6</v>
      </c>
      <c r="N1884" s="74">
        <v>0.72699999999999998</v>
      </c>
      <c r="O1884">
        <v>3</v>
      </c>
      <c r="P1884" s="84">
        <v>0.72699999999999998</v>
      </c>
      <c r="Q1884" s="86">
        <v>4.2</v>
      </c>
      <c r="R1884" s="85">
        <v>4.2</v>
      </c>
      <c r="S1884" s="87">
        <v>1732670</v>
      </c>
      <c r="T1884" s="1">
        <v>7</v>
      </c>
      <c r="U1884" s="88">
        <v>412540.47619047615</v>
      </c>
      <c r="V1884" s="59">
        <v>2.4240045709800482</v>
      </c>
      <c r="X1884" s="98">
        <v>4.2</v>
      </c>
      <c r="Y1884" s="97">
        <v>166.46190476190475</v>
      </c>
    </row>
    <row r="1885" spans="1:25">
      <c r="A1885" s="58">
        <v>1887</v>
      </c>
      <c r="B1885" s="58">
        <v>1887</v>
      </c>
      <c r="C1885" s="58" t="s">
        <v>2686</v>
      </c>
      <c r="D1885" s="58" t="s">
        <v>182</v>
      </c>
      <c r="E1885" s="58" t="s">
        <v>182</v>
      </c>
      <c r="F1885" s="58" t="s">
        <v>1876</v>
      </c>
      <c r="G1885" s="58" t="s">
        <v>1877</v>
      </c>
      <c r="H1885" s="58" t="s">
        <v>179</v>
      </c>
      <c r="I1885">
        <v>38000</v>
      </c>
      <c r="J1885">
        <v>38000</v>
      </c>
      <c r="K1885">
        <v>20000</v>
      </c>
      <c r="L1885" s="74">
        <v>10.654</v>
      </c>
      <c r="M1885" s="85">
        <v>11</v>
      </c>
      <c r="N1885" s="74">
        <v>4.7480000000000002</v>
      </c>
      <c r="O1885">
        <v>3</v>
      </c>
      <c r="P1885" s="84">
        <v>3.5609999999999999</v>
      </c>
      <c r="Q1885" s="86">
        <v>25.200000000000003</v>
      </c>
      <c r="R1885" s="85">
        <v>25.200000000000003</v>
      </c>
      <c r="S1885" s="87">
        <v>1324920</v>
      </c>
      <c r="T1885" s="1">
        <v>5</v>
      </c>
      <c r="U1885" s="88">
        <v>52576.190476190473</v>
      </c>
      <c r="V1885" s="59">
        <v>19.02001630287112</v>
      </c>
      <c r="X1885" s="98">
        <v>4.2</v>
      </c>
      <c r="Y1885" s="97">
        <v>412.54047619047617</v>
      </c>
    </row>
    <row r="1886" spans="1:25">
      <c r="A1886" s="58">
        <v>1888</v>
      </c>
      <c r="B1886" s="58">
        <v>1888</v>
      </c>
      <c r="C1886" s="58" t="s">
        <v>2687</v>
      </c>
      <c r="D1886" s="58" t="s">
        <v>215</v>
      </c>
      <c r="E1886" s="58" t="s">
        <v>215</v>
      </c>
      <c r="F1886" s="58" t="s">
        <v>2688</v>
      </c>
      <c r="G1886" s="58" t="s">
        <v>2689</v>
      </c>
      <c r="H1886" s="58" t="s">
        <v>179</v>
      </c>
      <c r="I1886">
        <v>38000</v>
      </c>
      <c r="J1886">
        <v>38000</v>
      </c>
      <c r="K1886" s="58" t="s">
        <v>185</v>
      </c>
      <c r="L1886" s="74">
        <v>9.5570000000000004</v>
      </c>
      <c r="M1886" s="85">
        <v>10</v>
      </c>
      <c r="N1886" s="74">
        <v>3.9470000000000001</v>
      </c>
      <c r="O1886">
        <v>3</v>
      </c>
      <c r="P1886" s="84">
        <v>2.9602500000000003</v>
      </c>
      <c r="Q1886" s="86">
        <v>21</v>
      </c>
      <c r="R1886" s="85">
        <v>21</v>
      </c>
      <c r="S1886" s="87">
        <v>1050490</v>
      </c>
      <c r="T1886" s="1">
        <v>4</v>
      </c>
      <c r="U1886" s="88">
        <v>50023.333333333336</v>
      </c>
      <c r="V1886" s="59">
        <v>19.990671020190579</v>
      </c>
      <c r="X1886" s="98">
        <v>25.200000000000003</v>
      </c>
      <c r="Y1886" s="97">
        <v>52.576190476190469</v>
      </c>
    </row>
    <row r="1887" spans="1:25">
      <c r="A1887" s="58">
        <v>1889</v>
      </c>
      <c r="B1887" s="58">
        <v>1889</v>
      </c>
      <c r="C1887" s="58" t="s">
        <v>2690</v>
      </c>
      <c r="D1887" s="58" t="s">
        <v>197</v>
      </c>
      <c r="E1887" s="58" t="s">
        <v>197</v>
      </c>
      <c r="F1887" s="58" t="s">
        <v>1701</v>
      </c>
      <c r="G1887" s="58" t="s">
        <v>1702</v>
      </c>
      <c r="H1887" s="58" t="s">
        <v>179</v>
      </c>
      <c r="I1887">
        <v>38000</v>
      </c>
      <c r="J1887">
        <v>38000</v>
      </c>
      <c r="K1887" s="58" t="s">
        <v>185</v>
      </c>
      <c r="L1887" s="74">
        <v>10.057</v>
      </c>
      <c r="M1887" s="85">
        <v>11</v>
      </c>
      <c r="N1887" s="74">
        <v>0.748</v>
      </c>
      <c r="O1887">
        <v>3</v>
      </c>
      <c r="P1887" s="84">
        <v>0.748</v>
      </c>
      <c r="Q1887" s="86">
        <v>4.2</v>
      </c>
      <c r="R1887" s="85">
        <v>4.2</v>
      </c>
      <c r="S1887" s="87">
        <v>1439840</v>
      </c>
      <c r="T1887" s="1">
        <v>1</v>
      </c>
      <c r="U1887" s="88">
        <v>342819.04761904763</v>
      </c>
      <c r="V1887" s="59">
        <v>2.9169907767529724</v>
      </c>
      <c r="X1887" s="98">
        <v>21</v>
      </c>
      <c r="Y1887" s="97">
        <v>50.023333333333333</v>
      </c>
    </row>
    <row r="1888" spans="1:25">
      <c r="A1888" s="58">
        <v>1890</v>
      </c>
      <c r="B1888" s="58">
        <v>1890</v>
      </c>
      <c r="C1888" s="58" t="s">
        <v>2691</v>
      </c>
      <c r="D1888" s="58" t="s">
        <v>197</v>
      </c>
      <c r="E1888" s="58" t="s">
        <v>197</v>
      </c>
      <c r="F1888" s="58" t="s">
        <v>494</v>
      </c>
      <c r="G1888" s="58" t="s">
        <v>495</v>
      </c>
      <c r="H1888" s="58" t="s">
        <v>179</v>
      </c>
      <c r="I1888">
        <v>38000</v>
      </c>
      <c r="J1888">
        <v>38000</v>
      </c>
      <c r="K1888">
        <v>10000</v>
      </c>
      <c r="L1888" s="74">
        <v>7.9320000000000004</v>
      </c>
      <c r="M1888" s="85">
        <v>8</v>
      </c>
      <c r="N1888" s="74">
        <v>4.7869999999999999</v>
      </c>
      <c r="O1888">
        <v>3</v>
      </c>
      <c r="P1888" s="84">
        <v>3.5902500000000002</v>
      </c>
      <c r="Q1888" s="86">
        <v>25.200000000000003</v>
      </c>
      <c r="R1888" s="85">
        <v>25.200000000000003</v>
      </c>
      <c r="S1888" s="87">
        <v>1058430</v>
      </c>
      <c r="T1888" s="1">
        <v>5</v>
      </c>
      <c r="U1888" s="88">
        <v>42001.190476190473</v>
      </c>
      <c r="V1888" s="59">
        <v>23.808848955528475</v>
      </c>
      <c r="X1888" s="98">
        <v>4.2</v>
      </c>
      <c r="Y1888" s="97">
        <v>342.81904761904764</v>
      </c>
    </row>
    <row r="1889" spans="1:25">
      <c r="A1889" s="58">
        <v>1891</v>
      </c>
      <c r="B1889" s="58">
        <v>1891</v>
      </c>
      <c r="C1889" s="58" t="s">
        <v>2692</v>
      </c>
      <c r="D1889" s="58" t="s">
        <v>197</v>
      </c>
      <c r="E1889" s="58" t="s">
        <v>197</v>
      </c>
      <c r="F1889" s="58" t="s">
        <v>1701</v>
      </c>
      <c r="G1889" s="58" t="s">
        <v>1702</v>
      </c>
      <c r="H1889" s="58" t="s">
        <v>179</v>
      </c>
      <c r="I1889">
        <v>38000</v>
      </c>
      <c r="J1889">
        <v>38000</v>
      </c>
      <c r="K1889" s="58" t="s">
        <v>185</v>
      </c>
      <c r="L1889" s="74">
        <v>8.593</v>
      </c>
      <c r="M1889" s="85">
        <v>9</v>
      </c>
      <c r="N1889" s="74">
        <v>0.88700000000000001</v>
      </c>
      <c r="O1889">
        <v>3</v>
      </c>
      <c r="P1889" s="84">
        <v>0.88700000000000001</v>
      </c>
      <c r="Q1889" s="86">
        <v>4.2</v>
      </c>
      <c r="R1889" s="85">
        <v>4.2</v>
      </c>
      <c r="S1889" s="87">
        <v>1334440</v>
      </c>
      <c r="T1889" s="1">
        <v>1</v>
      </c>
      <c r="U1889" s="88">
        <v>317723.80952380953</v>
      </c>
      <c r="V1889" s="59">
        <v>3.1473876682353645</v>
      </c>
      <c r="X1889" s="98">
        <v>25.200000000000003</v>
      </c>
      <c r="Y1889" s="97">
        <v>42.00119047619048</v>
      </c>
    </row>
    <row r="1890" spans="1:25">
      <c r="A1890" s="58">
        <v>1892</v>
      </c>
      <c r="B1890" s="58">
        <v>1892</v>
      </c>
      <c r="C1890" s="58" t="s">
        <v>2693</v>
      </c>
      <c r="D1890" s="58" t="s">
        <v>1169</v>
      </c>
      <c r="E1890" s="58" t="s">
        <v>1169</v>
      </c>
      <c r="F1890" s="58" t="s">
        <v>1976</v>
      </c>
      <c r="G1890" s="58" t="s">
        <v>1977</v>
      </c>
      <c r="H1890" s="58" t="s">
        <v>179</v>
      </c>
      <c r="I1890">
        <v>38000</v>
      </c>
      <c r="J1890">
        <v>38000</v>
      </c>
      <c r="K1890" s="58" t="s">
        <v>185</v>
      </c>
      <c r="L1890" s="74">
        <v>5.9809999999999999</v>
      </c>
      <c r="M1890" s="85">
        <v>6</v>
      </c>
      <c r="N1890" s="74">
        <v>0.379</v>
      </c>
      <c r="O1890">
        <v>3</v>
      </c>
      <c r="P1890" s="84">
        <v>0.379</v>
      </c>
      <c r="Q1890" s="86">
        <v>4.2</v>
      </c>
      <c r="R1890" s="85">
        <v>4.2</v>
      </c>
      <c r="S1890" s="87">
        <v>769410</v>
      </c>
      <c r="T1890" s="1">
        <v>4</v>
      </c>
      <c r="U1890" s="88">
        <v>183192.85714285713</v>
      </c>
      <c r="V1890" s="59">
        <v>5.4587281163488903</v>
      </c>
      <c r="X1890" s="98">
        <v>4.2</v>
      </c>
      <c r="Y1890" s="97">
        <v>317.72380952380951</v>
      </c>
    </row>
    <row r="1891" spans="1:25">
      <c r="A1891" s="58">
        <v>1893</v>
      </c>
      <c r="B1891" s="58">
        <v>1893</v>
      </c>
      <c r="C1891" s="58" t="s">
        <v>2694</v>
      </c>
      <c r="D1891" s="58" t="s">
        <v>182</v>
      </c>
      <c r="E1891" s="58" t="s">
        <v>182</v>
      </c>
      <c r="F1891" s="58" t="s">
        <v>1903</v>
      </c>
      <c r="G1891" s="58" t="s">
        <v>1904</v>
      </c>
      <c r="H1891" s="58" t="s">
        <v>179</v>
      </c>
      <c r="I1891">
        <v>38000</v>
      </c>
      <c r="J1891">
        <v>38000</v>
      </c>
      <c r="K1891" s="58" t="s">
        <v>185</v>
      </c>
      <c r="L1891" s="74">
        <v>10.388</v>
      </c>
      <c r="M1891" s="85">
        <v>11</v>
      </c>
      <c r="N1891" s="74">
        <v>1.6539999999999999</v>
      </c>
      <c r="O1891">
        <v>3</v>
      </c>
      <c r="P1891" s="84">
        <v>1.2404999999999999</v>
      </c>
      <c r="Q1891" s="86">
        <v>8.4</v>
      </c>
      <c r="R1891" s="85">
        <v>8.4</v>
      </c>
      <c r="S1891" s="87">
        <v>1485200</v>
      </c>
      <c r="T1891" s="1">
        <v>2</v>
      </c>
      <c r="U1891" s="88">
        <v>176809.52380952382</v>
      </c>
      <c r="V1891" s="59">
        <v>5.655803932130353</v>
      </c>
      <c r="X1891" s="98">
        <v>4.2</v>
      </c>
      <c r="Y1891" s="97">
        <v>183.19285714285712</v>
      </c>
    </row>
    <row r="1892" spans="1:25">
      <c r="A1892" s="58">
        <v>1894</v>
      </c>
      <c r="B1892" s="58">
        <v>1894</v>
      </c>
      <c r="C1892" s="58" t="s">
        <v>2695</v>
      </c>
      <c r="D1892" s="58" t="s">
        <v>882</v>
      </c>
      <c r="E1892" s="58" t="s">
        <v>1190</v>
      </c>
      <c r="F1892" s="58" t="s">
        <v>1822</v>
      </c>
      <c r="G1892" s="58" t="s">
        <v>1823</v>
      </c>
      <c r="H1892" s="58" t="s">
        <v>199</v>
      </c>
      <c r="I1892">
        <v>110000</v>
      </c>
      <c r="L1892" s="74">
        <v>8.6389999999999993</v>
      </c>
      <c r="M1892" s="85">
        <v>9</v>
      </c>
      <c r="N1892" s="74">
        <v>1.0589999999999999</v>
      </c>
      <c r="O1892">
        <v>3</v>
      </c>
      <c r="P1892" s="84">
        <v>1.0589999999999999</v>
      </c>
      <c r="Q1892" s="86">
        <v>4.2</v>
      </c>
      <c r="R1892" s="85">
        <v>4.2</v>
      </c>
      <c r="S1892" s="87">
        <v>1890770</v>
      </c>
      <c r="T1892" s="1">
        <v>7</v>
      </c>
      <c r="U1892" s="88">
        <v>450183.33333333331</v>
      </c>
      <c r="V1892" s="59">
        <v>2.2213172411239865</v>
      </c>
      <c r="X1892" s="98">
        <v>8.4</v>
      </c>
      <c r="Y1892" s="97">
        <v>176.8095238095238</v>
      </c>
    </row>
    <row r="1893" spans="1:25">
      <c r="A1893" s="58">
        <v>1895</v>
      </c>
      <c r="B1893" s="58">
        <v>1895</v>
      </c>
      <c r="C1893" s="58" t="s">
        <v>2696</v>
      </c>
      <c r="D1893" s="58" t="s">
        <v>450</v>
      </c>
      <c r="E1893" s="58" t="s">
        <v>450</v>
      </c>
      <c r="F1893" s="58" t="s">
        <v>2697</v>
      </c>
      <c r="G1893" s="58" t="s">
        <v>2698</v>
      </c>
      <c r="H1893" s="58" t="s">
        <v>179</v>
      </c>
      <c r="I1893">
        <v>38000</v>
      </c>
      <c r="J1893">
        <v>38000</v>
      </c>
      <c r="K1893" s="58" t="s">
        <v>185</v>
      </c>
      <c r="L1893" s="74">
        <v>3.8140000000000001</v>
      </c>
      <c r="M1893" s="85">
        <v>4</v>
      </c>
      <c r="N1893" s="74">
        <v>0.49</v>
      </c>
      <c r="O1893">
        <v>3</v>
      </c>
      <c r="P1893" s="84">
        <v>0.49</v>
      </c>
      <c r="Q1893" s="86">
        <v>4.2</v>
      </c>
      <c r="R1893" s="85">
        <v>4.2</v>
      </c>
      <c r="S1893" s="87">
        <v>628870</v>
      </c>
      <c r="T1893" s="1">
        <v>4</v>
      </c>
      <c r="U1893" s="88">
        <v>149730.95238095237</v>
      </c>
      <c r="V1893" s="59">
        <v>6.6786458250512828</v>
      </c>
      <c r="X1893" s="98">
        <v>4.2</v>
      </c>
      <c r="Y1893" s="97">
        <v>450.18333333333334</v>
      </c>
    </row>
    <row r="1894" spans="1:25">
      <c r="A1894" s="58">
        <v>1896</v>
      </c>
      <c r="B1894" s="58">
        <v>1896</v>
      </c>
      <c r="C1894" s="58" t="s">
        <v>2699</v>
      </c>
      <c r="D1894" s="58" t="s">
        <v>410</v>
      </c>
      <c r="E1894" s="58" t="s">
        <v>410</v>
      </c>
      <c r="F1894" s="58" t="s">
        <v>863</v>
      </c>
      <c r="G1894" s="58" t="s">
        <v>864</v>
      </c>
      <c r="H1894" s="58" t="s">
        <v>179</v>
      </c>
      <c r="I1894">
        <v>38000</v>
      </c>
      <c r="J1894">
        <v>38000</v>
      </c>
      <c r="K1894" s="58" t="s">
        <v>185</v>
      </c>
      <c r="L1894" s="74">
        <v>2.0459999999999998</v>
      </c>
      <c r="M1894" s="85">
        <v>3</v>
      </c>
      <c r="N1894" s="74">
        <v>0.78800000000000003</v>
      </c>
      <c r="O1894">
        <v>3</v>
      </c>
      <c r="P1894" s="84">
        <v>0.78800000000000003</v>
      </c>
      <c r="Q1894" s="86">
        <v>4.2</v>
      </c>
      <c r="R1894" s="85">
        <v>4.2</v>
      </c>
      <c r="S1894" s="87">
        <v>558600</v>
      </c>
      <c r="T1894" s="1">
        <v>4</v>
      </c>
      <c r="U1894" s="88">
        <v>133000</v>
      </c>
      <c r="V1894" s="59">
        <v>7.518796992481203</v>
      </c>
      <c r="X1894" s="98">
        <v>4.2</v>
      </c>
      <c r="Y1894" s="97">
        <v>149.73095238095235</v>
      </c>
    </row>
    <row r="1895" spans="1:25">
      <c r="A1895" s="58">
        <v>1897</v>
      </c>
      <c r="B1895" s="58">
        <v>1897</v>
      </c>
      <c r="C1895" s="58" t="s">
        <v>2700</v>
      </c>
      <c r="D1895" s="58" t="s">
        <v>197</v>
      </c>
      <c r="E1895" s="58" t="s">
        <v>197</v>
      </c>
      <c r="F1895" s="58" t="s">
        <v>1912</v>
      </c>
      <c r="G1895" s="58" t="s">
        <v>1913</v>
      </c>
      <c r="H1895" s="58" t="s">
        <v>179</v>
      </c>
      <c r="I1895">
        <v>38000</v>
      </c>
      <c r="L1895" s="74">
        <v>5.327</v>
      </c>
      <c r="M1895" s="85">
        <v>6</v>
      </c>
      <c r="N1895" s="74">
        <v>0.51600000000000001</v>
      </c>
      <c r="O1895">
        <v>3</v>
      </c>
      <c r="P1895" s="84">
        <v>0.51600000000000001</v>
      </c>
      <c r="Q1895" s="86">
        <v>4.2</v>
      </c>
      <c r="R1895" s="85">
        <v>4.2</v>
      </c>
      <c r="S1895" s="87">
        <v>769410</v>
      </c>
      <c r="T1895" s="1">
        <v>4</v>
      </c>
      <c r="U1895" s="88">
        <v>183192.85714285713</v>
      </c>
      <c r="V1895" s="59">
        <v>5.4587281163488903</v>
      </c>
      <c r="X1895" s="98">
        <v>4.2</v>
      </c>
      <c r="Y1895" s="97">
        <v>133</v>
      </c>
    </row>
    <row r="1896" spans="1:25">
      <c r="A1896" s="58">
        <v>1898</v>
      </c>
      <c r="B1896" s="58">
        <v>1898</v>
      </c>
      <c r="C1896" s="58" t="s">
        <v>2701</v>
      </c>
      <c r="D1896" s="58" t="s">
        <v>176</v>
      </c>
      <c r="E1896" s="58" t="s">
        <v>176</v>
      </c>
      <c r="F1896" s="58" t="s">
        <v>2003</v>
      </c>
      <c r="G1896" s="58" t="s">
        <v>2004</v>
      </c>
      <c r="H1896" s="58" t="s">
        <v>179</v>
      </c>
      <c r="I1896">
        <v>38000</v>
      </c>
      <c r="J1896" s="58" t="s">
        <v>185</v>
      </c>
      <c r="K1896">
        <v>38000</v>
      </c>
      <c r="L1896" s="74">
        <v>5.8470000000000004</v>
      </c>
      <c r="M1896" s="85">
        <v>6</v>
      </c>
      <c r="N1896" s="74">
        <v>0.61899999999999999</v>
      </c>
      <c r="O1896">
        <v>3</v>
      </c>
      <c r="P1896" s="84">
        <v>0.61899999999999999</v>
      </c>
      <c r="Q1896" s="86">
        <v>4.2</v>
      </c>
      <c r="R1896" s="85">
        <v>4.2</v>
      </c>
      <c r="S1896" s="87">
        <v>769410</v>
      </c>
      <c r="T1896" s="1">
        <v>4</v>
      </c>
      <c r="U1896" s="88">
        <v>183192.85714285713</v>
      </c>
      <c r="V1896" s="59">
        <v>5.4587281163488903</v>
      </c>
      <c r="X1896" s="98">
        <v>4.2</v>
      </c>
      <c r="Y1896" s="97">
        <v>183.19285714285712</v>
      </c>
    </row>
    <row r="1897" spans="1:25">
      <c r="A1897" s="58">
        <v>1899</v>
      </c>
      <c r="B1897" s="58">
        <v>1899</v>
      </c>
      <c r="C1897" s="58" t="s">
        <v>2702</v>
      </c>
      <c r="D1897" s="58" t="s">
        <v>410</v>
      </c>
      <c r="E1897" s="58" t="s">
        <v>410</v>
      </c>
      <c r="F1897" s="58" t="s">
        <v>411</v>
      </c>
      <c r="G1897" s="58" t="s">
        <v>412</v>
      </c>
      <c r="H1897" s="58" t="s">
        <v>179</v>
      </c>
      <c r="I1897">
        <v>38000</v>
      </c>
      <c r="J1897">
        <v>38000</v>
      </c>
      <c r="K1897" s="58" t="s">
        <v>185</v>
      </c>
      <c r="L1897" s="74">
        <v>12.372999999999999</v>
      </c>
      <c r="M1897" s="85">
        <v>13</v>
      </c>
      <c r="N1897" s="74">
        <v>2.4809999999999999</v>
      </c>
      <c r="O1897">
        <v>3</v>
      </c>
      <c r="P1897" s="84">
        <v>1.8607499999999999</v>
      </c>
      <c r="Q1897" s="86">
        <v>12.600000000000001</v>
      </c>
      <c r="R1897" s="85">
        <v>12.600000000000001</v>
      </c>
      <c r="S1897" s="87">
        <v>1627650</v>
      </c>
      <c r="T1897" s="1">
        <v>3</v>
      </c>
      <c r="U1897" s="88">
        <v>129178.57142857142</v>
      </c>
      <c r="V1897" s="59">
        <v>7.7412220071882789</v>
      </c>
      <c r="X1897" s="98">
        <v>4.2</v>
      </c>
      <c r="Y1897" s="97">
        <v>183.19285714285712</v>
      </c>
    </row>
    <row r="1898" spans="1:25">
      <c r="A1898" s="58">
        <v>1900</v>
      </c>
      <c r="B1898" s="58">
        <v>1900</v>
      </c>
      <c r="C1898" s="58" t="s">
        <v>2703</v>
      </c>
      <c r="D1898" s="58" t="s">
        <v>882</v>
      </c>
      <c r="E1898" s="58" t="s">
        <v>882</v>
      </c>
      <c r="F1898" s="58" t="s">
        <v>1967</v>
      </c>
      <c r="G1898" s="58" t="s">
        <v>1968</v>
      </c>
      <c r="H1898" s="58" t="s">
        <v>199</v>
      </c>
      <c r="I1898">
        <v>110000</v>
      </c>
      <c r="J1898">
        <v>110000</v>
      </c>
      <c r="K1898">
        <v>38000</v>
      </c>
      <c r="L1898" s="74">
        <v>7.1150000000000002</v>
      </c>
      <c r="M1898" s="85">
        <v>8</v>
      </c>
      <c r="N1898" s="74">
        <v>0.21</v>
      </c>
      <c r="O1898">
        <v>3</v>
      </c>
      <c r="P1898" s="84">
        <v>0.21</v>
      </c>
      <c r="Q1898" s="86">
        <v>4.2</v>
      </c>
      <c r="R1898" s="85">
        <v>4.2</v>
      </c>
      <c r="S1898" s="87">
        <v>1838070</v>
      </c>
      <c r="T1898" s="1">
        <v>7</v>
      </c>
      <c r="U1898" s="88">
        <v>437635.71428571426</v>
      </c>
      <c r="V1898" s="59">
        <v>2.2850054676916547</v>
      </c>
      <c r="X1898" s="98">
        <v>12.600000000000001</v>
      </c>
      <c r="Y1898" s="97">
        <v>129.17857142857142</v>
      </c>
    </row>
    <row r="1899" spans="1:25">
      <c r="A1899" s="58">
        <v>1901</v>
      </c>
      <c r="B1899" s="58">
        <v>1901</v>
      </c>
      <c r="C1899" s="58" t="s">
        <v>2704</v>
      </c>
      <c r="D1899" s="58" t="s">
        <v>197</v>
      </c>
      <c r="E1899" s="58" t="s">
        <v>197</v>
      </c>
      <c r="F1899" s="58" t="s">
        <v>494</v>
      </c>
      <c r="G1899" s="58" t="s">
        <v>495</v>
      </c>
      <c r="H1899" s="58" t="s">
        <v>179</v>
      </c>
      <c r="I1899">
        <v>38000</v>
      </c>
      <c r="J1899">
        <v>38000</v>
      </c>
      <c r="K1899">
        <v>10000</v>
      </c>
      <c r="L1899" s="74">
        <v>6.1849999999999996</v>
      </c>
      <c r="M1899" s="85">
        <v>7</v>
      </c>
      <c r="N1899" s="74">
        <v>0.81399999999999995</v>
      </c>
      <c r="O1899">
        <v>3</v>
      </c>
      <c r="P1899" s="84">
        <v>0.81399999999999995</v>
      </c>
      <c r="Q1899" s="86">
        <v>4.2</v>
      </c>
      <c r="R1899" s="85">
        <v>4.2</v>
      </c>
      <c r="S1899" s="87">
        <v>839680</v>
      </c>
      <c r="T1899" s="1">
        <v>4</v>
      </c>
      <c r="U1899" s="88">
        <v>199923.80952380953</v>
      </c>
      <c r="V1899" s="59">
        <v>5.0019054878048781</v>
      </c>
      <c r="X1899" s="98">
        <v>4.2</v>
      </c>
      <c r="Y1899" s="97">
        <v>437.63571428571424</v>
      </c>
    </row>
    <row r="1900" spans="1:25">
      <c r="A1900" s="58">
        <v>1902</v>
      </c>
      <c r="B1900" s="58">
        <v>1902</v>
      </c>
      <c r="C1900" s="58" t="s">
        <v>2705</v>
      </c>
      <c r="D1900" s="58" t="s">
        <v>882</v>
      </c>
      <c r="E1900" s="58" t="s">
        <v>882</v>
      </c>
      <c r="F1900" s="58" t="s">
        <v>1944</v>
      </c>
      <c r="G1900" s="58" t="s">
        <v>1945</v>
      </c>
      <c r="H1900" s="58" t="s">
        <v>179</v>
      </c>
      <c r="I1900">
        <v>38000</v>
      </c>
      <c r="J1900">
        <v>38000</v>
      </c>
      <c r="K1900">
        <v>20000</v>
      </c>
      <c r="L1900" s="74">
        <v>7.476</v>
      </c>
      <c r="M1900" s="85">
        <v>8</v>
      </c>
      <c r="N1900" s="74">
        <v>0.42199999999999999</v>
      </c>
      <c r="O1900">
        <v>3</v>
      </c>
      <c r="P1900" s="84">
        <v>0.42199999999999999</v>
      </c>
      <c r="Q1900" s="86">
        <v>4.2</v>
      </c>
      <c r="R1900" s="85">
        <v>4.2</v>
      </c>
      <c r="S1900" s="87">
        <v>909950</v>
      </c>
      <c r="T1900" s="1">
        <v>4</v>
      </c>
      <c r="U1900" s="88">
        <v>216654.76190476189</v>
      </c>
      <c r="V1900" s="59">
        <v>4.6156382218803227</v>
      </c>
      <c r="X1900" s="98">
        <v>4.2</v>
      </c>
      <c r="Y1900" s="97">
        <v>199.92380952380952</v>
      </c>
    </row>
    <row r="1901" spans="1:25">
      <c r="A1901" s="58">
        <v>1903</v>
      </c>
      <c r="B1901" s="58">
        <v>1903</v>
      </c>
      <c r="C1901" s="58" t="s">
        <v>2706</v>
      </c>
      <c r="D1901" s="58" t="s">
        <v>1169</v>
      </c>
      <c r="E1901" s="58" t="s">
        <v>1169</v>
      </c>
      <c r="F1901" s="58" t="s">
        <v>1944</v>
      </c>
      <c r="G1901" s="58" t="s">
        <v>1945</v>
      </c>
      <c r="H1901" s="58" t="s">
        <v>179</v>
      </c>
      <c r="I1901">
        <v>38000</v>
      </c>
      <c r="J1901">
        <v>38000</v>
      </c>
      <c r="K1901">
        <v>20000</v>
      </c>
      <c r="L1901" s="74">
        <v>8.9659999999999993</v>
      </c>
      <c r="M1901" s="85">
        <v>9</v>
      </c>
      <c r="N1901" s="74">
        <v>0.57599999999999996</v>
      </c>
      <c r="O1901">
        <v>3</v>
      </c>
      <c r="P1901" s="84">
        <v>0.57599999999999996</v>
      </c>
      <c r="Q1901" s="86">
        <v>4.2</v>
      </c>
      <c r="R1901" s="85">
        <v>4.2</v>
      </c>
      <c r="S1901" s="87">
        <v>1334440</v>
      </c>
      <c r="T1901" s="1">
        <v>1</v>
      </c>
      <c r="U1901" s="88">
        <v>317723.80952380953</v>
      </c>
      <c r="V1901" s="59">
        <v>3.1473876682353645</v>
      </c>
      <c r="X1901" s="98">
        <v>4.2</v>
      </c>
      <c r="Y1901" s="97">
        <v>216.6547619047619</v>
      </c>
    </row>
    <row r="1902" spans="1:25">
      <c r="A1902" s="58">
        <v>1904</v>
      </c>
      <c r="B1902" s="58">
        <v>1904</v>
      </c>
      <c r="C1902" s="58" t="s">
        <v>2707</v>
      </c>
      <c r="D1902" s="58" t="s">
        <v>1169</v>
      </c>
      <c r="E1902" s="58" t="s">
        <v>1169</v>
      </c>
      <c r="F1902" s="58" t="s">
        <v>1976</v>
      </c>
      <c r="G1902" s="58" t="s">
        <v>1977</v>
      </c>
      <c r="H1902" s="58" t="s">
        <v>179</v>
      </c>
      <c r="I1902">
        <v>38000</v>
      </c>
      <c r="J1902">
        <v>38000</v>
      </c>
      <c r="K1902" s="58" t="s">
        <v>185</v>
      </c>
      <c r="L1902" s="74">
        <v>6.7729999999999997</v>
      </c>
      <c r="M1902" s="85">
        <v>7</v>
      </c>
      <c r="N1902" s="74">
        <v>0.54400000000000004</v>
      </c>
      <c r="O1902">
        <v>3</v>
      </c>
      <c r="P1902" s="84">
        <v>0.54400000000000004</v>
      </c>
      <c r="Q1902" s="86">
        <v>4.2</v>
      </c>
      <c r="R1902" s="85">
        <v>4.2</v>
      </c>
      <c r="S1902" s="87">
        <v>839680</v>
      </c>
      <c r="T1902" s="1">
        <v>4</v>
      </c>
      <c r="U1902" s="88">
        <v>199923.80952380953</v>
      </c>
      <c r="V1902" s="59">
        <v>5.0019054878048781</v>
      </c>
      <c r="X1902" s="98">
        <v>4.2</v>
      </c>
      <c r="Y1902" s="97">
        <v>317.72380952380951</v>
      </c>
    </row>
    <row r="1903" spans="1:25">
      <c r="A1903" s="58">
        <v>1905</v>
      </c>
      <c r="B1903" s="58">
        <v>1905</v>
      </c>
      <c r="C1903" s="58" t="s">
        <v>2708</v>
      </c>
      <c r="D1903" s="58" t="s">
        <v>176</v>
      </c>
      <c r="E1903" s="58" t="s">
        <v>176</v>
      </c>
      <c r="F1903" s="58" t="s">
        <v>262</v>
      </c>
      <c r="G1903" s="58" t="s">
        <v>263</v>
      </c>
      <c r="H1903" s="58" t="s">
        <v>179</v>
      </c>
      <c r="I1903">
        <v>38000</v>
      </c>
      <c r="J1903" s="58" t="s">
        <v>185</v>
      </c>
      <c r="K1903">
        <v>38000</v>
      </c>
      <c r="L1903" s="74">
        <v>17.489000000000001</v>
      </c>
      <c r="M1903" s="85">
        <v>18</v>
      </c>
      <c r="N1903" s="74">
        <v>0.41</v>
      </c>
      <c r="O1903">
        <v>3</v>
      </c>
      <c r="P1903" s="84">
        <v>0.41</v>
      </c>
      <c r="Q1903" s="86">
        <v>4.2</v>
      </c>
      <c r="R1903" s="85">
        <v>4.2</v>
      </c>
      <c r="S1903" s="87">
        <v>1808740</v>
      </c>
      <c r="T1903" s="1">
        <v>1</v>
      </c>
      <c r="U1903" s="88">
        <v>430652.38095238095</v>
      </c>
      <c r="V1903" s="59">
        <v>2.3220584495284009</v>
      </c>
      <c r="X1903" s="98">
        <v>4.2</v>
      </c>
      <c r="Y1903" s="97">
        <v>199.92380952380952</v>
      </c>
    </row>
    <row r="1904" spans="1:25">
      <c r="A1904" s="58">
        <v>1906</v>
      </c>
      <c r="B1904" s="58">
        <v>1906</v>
      </c>
      <c r="C1904" s="58" t="s">
        <v>2709</v>
      </c>
      <c r="D1904" s="58" t="s">
        <v>882</v>
      </c>
      <c r="E1904" s="58" t="s">
        <v>882</v>
      </c>
      <c r="F1904" s="58" t="s">
        <v>1822</v>
      </c>
      <c r="G1904" s="58" t="s">
        <v>1823</v>
      </c>
      <c r="H1904" s="58" t="s">
        <v>199</v>
      </c>
      <c r="I1904">
        <v>110000</v>
      </c>
      <c r="L1904" s="74">
        <v>2.766</v>
      </c>
      <c r="M1904" s="85">
        <v>3</v>
      </c>
      <c r="N1904" s="74">
        <v>0.32300000000000001</v>
      </c>
      <c r="O1904">
        <v>3</v>
      </c>
      <c r="P1904" s="84">
        <v>0.32300000000000001</v>
      </c>
      <c r="Q1904" s="86">
        <v>4.2</v>
      </c>
      <c r="R1904" s="85">
        <v>4.2</v>
      </c>
      <c r="S1904" s="87">
        <v>1574570</v>
      </c>
      <c r="T1904" s="1">
        <v>7</v>
      </c>
      <c r="U1904" s="88">
        <v>374897.61904761905</v>
      </c>
      <c r="V1904" s="59">
        <v>2.6673949078161021</v>
      </c>
      <c r="X1904" s="98">
        <v>4.2</v>
      </c>
      <c r="Y1904" s="97">
        <v>430.65238095238095</v>
      </c>
    </row>
    <row r="1905" spans="1:25">
      <c r="A1905" s="58">
        <v>1907</v>
      </c>
      <c r="B1905" s="58">
        <v>1907</v>
      </c>
      <c r="C1905" s="58" t="s">
        <v>2710</v>
      </c>
      <c r="D1905" s="58" t="s">
        <v>351</v>
      </c>
      <c r="E1905" s="58" t="s">
        <v>351</v>
      </c>
      <c r="F1905" s="58" t="s">
        <v>422</v>
      </c>
      <c r="G1905" s="58" t="s">
        <v>423</v>
      </c>
      <c r="H1905" s="58" t="s">
        <v>199</v>
      </c>
      <c r="I1905">
        <v>110000</v>
      </c>
      <c r="J1905">
        <v>110000</v>
      </c>
      <c r="K1905">
        <v>20000</v>
      </c>
      <c r="L1905" s="74">
        <v>7.7530000000000001</v>
      </c>
      <c r="M1905" s="85">
        <v>8</v>
      </c>
      <c r="N1905" s="74">
        <v>0.24399999999999999</v>
      </c>
      <c r="O1905">
        <v>3</v>
      </c>
      <c r="P1905" s="84">
        <v>0.24399999999999999</v>
      </c>
      <c r="Q1905" s="86">
        <v>4.2</v>
      </c>
      <c r="R1905" s="85">
        <v>4.2</v>
      </c>
      <c r="S1905" s="87">
        <v>1838070</v>
      </c>
      <c r="T1905" s="1">
        <v>7</v>
      </c>
      <c r="U1905" s="88">
        <v>437635.71428571426</v>
      </c>
      <c r="V1905" s="59">
        <v>2.2850054676916547</v>
      </c>
      <c r="X1905" s="98">
        <v>4.2</v>
      </c>
      <c r="Y1905" s="97">
        <v>374.89761904761906</v>
      </c>
    </row>
    <row r="1906" spans="1:25">
      <c r="A1906" s="58">
        <v>1908</v>
      </c>
      <c r="B1906" s="58">
        <v>1908</v>
      </c>
      <c r="C1906" s="58" t="s">
        <v>2711</v>
      </c>
      <c r="D1906" s="58" t="s">
        <v>249</v>
      </c>
      <c r="E1906" s="58" t="s">
        <v>351</v>
      </c>
      <c r="F1906" s="58" t="s">
        <v>2712</v>
      </c>
      <c r="G1906" s="58" t="s">
        <v>2713</v>
      </c>
      <c r="H1906" s="58" t="s">
        <v>179</v>
      </c>
      <c r="I1906">
        <v>38000</v>
      </c>
      <c r="J1906">
        <v>38000</v>
      </c>
      <c r="K1906" s="58" t="s">
        <v>185</v>
      </c>
      <c r="L1906" s="74">
        <v>7.7450000000000001</v>
      </c>
      <c r="M1906" s="85">
        <v>8</v>
      </c>
      <c r="N1906" s="74">
        <v>0.54400000000000004</v>
      </c>
      <c r="O1906">
        <v>3</v>
      </c>
      <c r="P1906" s="84">
        <v>0.54400000000000004</v>
      </c>
      <c r="Q1906" s="86">
        <v>4.2</v>
      </c>
      <c r="R1906" s="85">
        <v>4.2</v>
      </c>
      <c r="S1906" s="87">
        <v>909950</v>
      </c>
      <c r="T1906" s="1">
        <v>4</v>
      </c>
      <c r="U1906" s="88">
        <v>216654.76190476189</v>
      </c>
      <c r="V1906" s="59">
        <v>4.6156382218803227</v>
      </c>
      <c r="X1906" s="98">
        <v>4.2</v>
      </c>
      <c r="Y1906" s="97">
        <v>437.63571428571424</v>
      </c>
    </row>
    <row r="1907" spans="1:25">
      <c r="A1907" s="58">
        <v>1909</v>
      </c>
      <c r="B1907" s="58">
        <v>1909</v>
      </c>
      <c r="C1907" s="58" t="s">
        <v>2714</v>
      </c>
      <c r="D1907" s="58" t="s">
        <v>852</v>
      </c>
      <c r="E1907" s="58" t="s">
        <v>346</v>
      </c>
      <c r="F1907" s="58" t="s">
        <v>517</v>
      </c>
      <c r="G1907" s="58" t="s">
        <v>518</v>
      </c>
      <c r="H1907" s="58" t="s">
        <v>179</v>
      </c>
      <c r="I1907">
        <v>38000</v>
      </c>
      <c r="J1907">
        <v>38000</v>
      </c>
      <c r="K1907">
        <v>10000</v>
      </c>
      <c r="L1907" s="74">
        <v>6.0389999999999997</v>
      </c>
      <c r="M1907" s="85">
        <v>7</v>
      </c>
      <c r="N1907" s="74">
        <v>0.59399999999999997</v>
      </c>
      <c r="O1907">
        <v>3</v>
      </c>
      <c r="P1907" s="84">
        <v>0.59399999999999997</v>
      </c>
      <c r="Q1907" s="86">
        <v>4.2</v>
      </c>
      <c r="R1907" s="85">
        <v>4.2</v>
      </c>
      <c r="S1907" s="87">
        <v>839680</v>
      </c>
      <c r="T1907" s="1">
        <v>4</v>
      </c>
      <c r="U1907" s="88">
        <v>199923.80952380953</v>
      </c>
      <c r="V1907" s="59">
        <v>5.0019054878048781</v>
      </c>
      <c r="X1907" s="98">
        <v>4.2</v>
      </c>
      <c r="Y1907" s="97">
        <v>216.6547619047619</v>
      </c>
    </row>
    <row r="1908" spans="1:25">
      <c r="A1908" s="58">
        <v>1910</v>
      </c>
      <c r="B1908" s="58">
        <v>1910</v>
      </c>
      <c r="C1908" s="58" t="s">
        <v>2715</v>
      </c>
      <c r="D1908" s="58" t="s">
        <v>852</v>
      </c>
      <c r="E1908" s="58" t="s">
        <v>346</v>
      </c>
      <c r="F1908" s="58" t="s">
        <v>517</v>
      </c>
      <c r="G1908" s="58" t="s">
        <v>518</v>
      </c>
      <c r="H1908" s="58" t="s">
        <v>179</v>
      </c>
      <c r="I1908">
        <v>38000</v>
      </c>
      <c r="J1908">
        <v>38000</v>
      </c>
      <c r="K1908">
        <v>10000</v>
      </c>
      <c r="L1908" s="74">
        <v>5.9630000000000001</v>
      </c>
      <c r="M1908" s="85">
        <v>6</v>
      </c>
      <c r="N1908" s="74">
        <v>0.27100000000000002</v>
      </c>
      <c r="O1908">
        <v>3</v>
      </c>
      <c r="P1908" s="84">
        <v>0.27100000000000002</v>
      </c>
      <c r="Q1908" s="86">
        <v>4.2</v>
      </c>
      <c r="R1908" s="85">
        <v>4.2</v>
      </c>
      <c r="S1908" s="87">
        <v>769410</v>
      </c>
      <c r="T1908" s="1">
        <v>4</v>
      </c>
      <c r="U1908" s="88">
        <v>183192.85714285713</v>
      </c>
      <c r="V1908" s="59">
        <v>5.4587281163488903</v>
      </c>
      <c r="X1908" s="98">
        <v>4.2</v>
      </c>
      <c r="Y1908" s="97">
        <v>199.92380952380952</v>
      </c>
    </row>
    <row r="1909" spans="1:25">
      <c r="A1909" s="58">
        <v>1911</v>
      </c>
      <c r="B1909" s="58">
        <v>1911</v>
      </c>
      <c r="C1909" s="58" t="s">
        <v>2716</v>
      </c>
      <c r="D1909" s="58" t="s">
        <v>852</v>
      </c>
      <c r="E1909" s="58" t="s">
        <v>852</v>
      </c>
      <c r="F1909" s="58" t="s">
        <v>517</v>
      </c>
      <c r="G1909" s="58" t="s">
        <v>518</v>
      </c>
      <c r="H1909" s="58" t="s">
        <v>179</v>
      </c>
      <c r="I1909">
        <v>38000</v>
      </c>
      <c r="J1909">
        <v>38000</v>
      </c>
      <c r="K1909">
        <v>10000</v>
      </c>
      <c r="L1909" s="74">
        <v>12.101000000000001</v>
      </c>
      <c r="M1909" s="85">
        <v>13</v>
      </c>
      <c r="N1909" s="74">
        <v>1.905</v>
      </c>
      <c r="O1909">
        <v>3</v>
      </c>
      <c r="P1909" s="84">
        <v>1.42875</v>
      </c>
      <c r="Q1909" s="86">
        <v>8.4</v>
      </c>
      <c r="R1909" s="85">
        <v>8.4</v>
      </c>
      <c r="S1909" s="87">
        <v>1590600</v>
      </c>
      <c r="T1909" s="1">
        <v>2</v>
      </c>
      <c r="U1909" s="88">
        <v>189357.14285714284</v>
      </c>
      <c r="V1909" s="59">
        <v>5.2810260279139944</v>
      </c>
      <c r="X1909" s="98">
        <v>4.2</v>
      </c>
      <c r="Y1909" s="97">
        <v>183.19285714285712</v>
      </c>
    </row>
    <row r="1910" spans="1:25">
      <c r="A1910" s="58">
        <v>1912</v>
      </c>
      <c r="B1910" s="58">
        <v>1912</v>
      </c>
      <c r="C1910" s="58" t="s">
        <v>2717</v>
      </c>
      <c r="D1910" s="58" t="s">
        <v>852</v>
      </c>
      <c r="E1910" s="58" t="s">
        <v>852</v>
      </c>
      <c r="F1910" s="58" t="s">
        <v>2016</v>
      </c>
      <c r="G1910" s="58" t="s">
        <v>2017</v>
      </c>
      <c r="H1910" s="58" t="s">
        <v>179</v>
      </c>
      <c r="I1910">
        <v>38000</v>
      </c>
      <c r="J1910">
        <v>38000</v>
      </c>
      <c r="K1910" s="58" t="s">
        <v>185</v>
      </c>
      <c r="L1910" s="74">
        <v>4.4790000000000001</v>
      </c>
      <c r="M1910" s="85">
        <v>5</v>
      </c>
      <c r="N1910" s="74">
        <v>0.26700000000000002</v>
      </c>
      <c r="O1910">
        <v>3</v>
      </c>
      <c r="P1910" s="84">
        <v>0.26700000000000002</v>
      </c>
      <c r="Q1910" s="86">
        <v>4.2</v>
      </c>
      <c r="R1910" s="85">
        <v>4.2</v>
      </c>
      <c r="S1910" s="87">
        <v>699140</v>
      </c>
      <c r="T1910" s="1">
        <v>4</v>
      </c>
      <c r="U1910" s="88">
        <v>166461.90476190476</v>
      </c>
      <c r="V1910" s="59">
        <v>6.0073804960379897</v>
      </c>
      <c r="X1910" s="98">
        <v>8.4</v>
      </c>
      <c r="Y1910" s="97">
        <v>189.35714285714283</v>
      </c>
    </row>
    <row r="1911" spans="1:25">
      <c r="A1911" s="58">
        <v>1913</v>
      </c>
      <c r="B1911" s="58">
        <v>1913</v>
      </c>
      <c r="C1911" s="58" t="s">
        <v>2718</v>
      </c>
      <c r="D1911" s="58" t="s">
        <v>852</v>
      </c>
      <c r="E1911" s="58" t="s">
        <v>852</v>
      </c>
      <c r="F1911" s="58" t="s">
        <v>2016</v>
      </c>
      <c r="G1911" s="58" t="s">
        <v>2017</v>
      </c>
      <c r="H1911" s="58" t="s">
        <v>179</v>
      </c>
      <c r="I1911">
        <v>38000</v>
      </c>
      <c r="J1911">
        <v>38000</v>
      </c>
      <c r="K1911" s="58" t="s">
        <v>185</v>
      </c>
      <c r="L1911" s="74">
        <v>6.96</v>
      </c>
      <c r="M1911" s="85">
        <v>7</v>
      </c>
      <c r="N1911" s="74">
        <v>0.44800000000000001</v>
      </c>
      <c r="O1911">
        <v>3</v>
      </c>
      <c r="P1911" s="84">
        <v>0.44800000000000001</v>
      </c>
      <c r="Q1911" s="86">
        <v>4.2</v>
      </c>
      <c r="R1911" s="85">
        <v>4.2</v>
      </c>
      <c r="S1911" s="87">
        <v>839680</v>
      </c>
      <c r="T1911" s="1">
        <v>4</v>
      </c>
      <c r="U1911" s="88">
        <v>199923.80952380953</v>
      </c>
      <c r="V1911" s="59">
        <v>5.0019054878048781</v>
      </c>
      <c r="X1911" s="98">
        <v>4.2</v>
      </c>
      <c r="Y1911" s="97">
        <v>166.46190476190475</v>
      </c>
    </row>
    <row r="1912" spans="1:25">
      <c r="A1912" s="58">
        <v>1914</v>
      </c>
      <c r="B1912" s="58">
        <v>1914</v>
      </c>
      <c r="C1912" s="58" t="s">
        <v>2719</v>
      </c>
      <c r="D1912" s="58" t="s">
        <v>346</v>
      </c>
      <c r="E1912" s="58" t="s">
        <v>346</v>
      </c>
      <c r="F1912" s="58" t="s">
        <v>352</v>
      </c>
      <c r="G1912" s="58" t="s">
        <v>353</v>
      </c>
      <c r="H1912" s="58" t="s">
        <v>179</v>
      </c>
      <c r="I1912">
        <v>38000</v>
      </c>
      <c r="J1912">
        <v>38000</v>
      </c>
      <c r="K1912">
        <v>10000</v>
      </c>
      <c r="L1912" s="74">
        <v>6.6520000000000001</v>
      </c>
      <c r="M1912" s="85">
        <v>7</v>
      </c>
      <c r="N1912" s="74">
        <v>0.91300000000000003</v>
      </c>
      <c r="O1912">
        <v>3</v>
      </c>
      <c r="P1912" s="84">
        <v>0.91300000000000003</v>
      </c>
      <c r="Q1912" s="86">
        <v>4.2</v>
      </c>
      <c r="R1912" s="85">
        <v>4.2</v>
      </c>
      <c r="S1912" s="87">
        <v>839680</v>
      </c>
      <c r="T1912" s="1">
        <v>4</v>
      </c>
      <c r="U1912" s="88">
        <v>199923.80952380953</v>
      </c>
      <c r="V1912" s="59">
        <v>5.0019054878048781</v>
      </c>
      <c r="X1912" s="98">
        <v>4.2</v>
      </c>
      <c r="Y1912" s="97">
        <v>199.92380952380952</v>
      </c>
    </row>
    <row r="1913" spans="1:25">
      <c r="A1913" s="58">
        <v>1915</v>
      </c>
      <c r="B1913" s="58">
        <v>1915</v>
      </c>
      <c r="C1913" s="58" t="s">
        <v>2720</v>
      </c>
      <c r="D1913" s="58" t="s">
        <v>351</v>
      </c>
      <c r="E1913" s="58" t="s">
        <v>351</v>
      </c>
      <c r="F1913" s="58" t="s">
        <v>514</v>
      </c>
      <c r="G1913" s="58" t="s">
        <v>515</v>
      </c>
      <c r="H1913" s="58" t="s">
        <v>179</v>
      </c>
      <c r="I1913">
        <v>38000</v>
      </c>
      <c r="J1913">
        <v>38000</v>
      </c>
      <c r="K1913">
        <v>20000</v>
      </c>
      <c r="L1913" s="74">
        <v>9.1959999999999997</v>
      </c>
      <c r="M1913" s="85">
        <v>10</v>
      </c>
      <c r="N1913" s="74">
        <v>0.48399999999999999</v>
      </c>
      <c r="O1913">
        <v>3</v>
      </c>
      <c r="P1913" s="84">
        <v>0.48399999999999999</v>
      </c>
      <c r="Q1913" s="86">
        <v>4.2</v>
      </c>
      <c r="R1913" s="85">
        <v>4.2</v>
      </c>
      <c r="S1913" s="87">
        <v>1387140</v>
      </c>
      <c r="T1913" s="1">
        <v>1</v>
      </c>
      <c r="U1913" s="88">
        <v>330271.42857142858</v>
      </c>
      <c r="V1913" s="59">
        <v>3.0278126216531858</v>
      </c>
      <c r="X1913" s="98">
        <v>4.2</v>
      </c>
      <c r="Y1913" s="97">
        <v>199.92380952380952</v>
      </c>
    </row>
    <row r="1914" spans="1:25">
      <c r="A1914" s="58">
        <v>1916</v>
      </c>
      <c r="B1914" s="58">
        <v>1916</v>
      </c>
      <c r="C1914" s="58" t="s">
        <v>2721</v>
      </c>
      <c r="D1914" s="58" t="s">
        <v>852</v>
      </c>
      <c r="E1914" s="58" t="s">
        <v>852</v>
      </c>
      <c r="F1914" s="58" t="s">
        <v>517</v>
      </c>
      <c r="G1914" s="58" t="s">
        <v>518</v>
      </c>
      <c r="H1914" s="58" t="s">
        <v>179</v>
      </c>
      <c r="I1914">
        <v>38000</v>
      </c>
      <c r="J1914">
        <v>38000</v>
      </c>
      <c r="K1914">
        <v>10000</v>
      </c>
      <c r="L1914" s="74">
        <v>6.2160000000000002</v>
      </c>
      <c r="M1914" s="85">
        <v>7</v>
      </c>
      <c r="N1914" s="74">
        <v>0.66500000000000004</v>
      </c>
      <c r="O1914">
        <v>3</v>
      </c>
      <c r="P1914" s="84">
        <v>0.66500000000000004</v>
      </c>
      <c r="Q1914" s="86">
        <v>4.2</v>
      </c>
      <c r="R1914" s="85">
        <v>4.2</v>
      </c>
      <c r="S1914" s="87">
        <v>839680</v>
      </c>
      <c r="T1914" s="1">
        <v>4</v>
      </c>
      <c r="U1914" s="88">
        <v>199923.80952380953</v>
      </c>
      <c r="V1914" s="59">
        <v>5.0019054878048781</v>
      </c>
      <c r="X1914" s="98">
        <v>4.2</v>
      </c>
      <c r="Y1914" s="97">
        <v>330.2714285714286</v>
      </c>
    </row>
    <row r="1915" spans="1:25">
      <c r="A1915" s="58">
        <v>1917</v>
      </c>
      <c r="B1915" s="58">
        <v>1917</v>
      </c>
      <c r="C1915" s="58" t="s">
        <v>2722</v>
      </c>
      <c r="D1915" s="58" t="s">
        <v>346</v>
      </c>
      <c r="E1915" s="58" t="s">
        <v>346</v>
      </c>
      <c r="F1915" s="58" t="s">
        <v>1427</v>
      </c>
      <c r="G1915" s="58" t="s">
        <v>1428</v>
      </c>
      <c r="H1915" s="58" t="s">
        <v>199</v>
      </c>
      <c r="I1915">
        <v>110000</v>
      </c>
      <c r="J1915">
        <v>110000</v>
      </c>
      <c r="K1915">
        <v>38000</v>
      </c>
      <c r="L1915" s="74">
        <v>5.8259999999999996</v>
      </c>
      <c r="M1915" s="85">
        <v>6</v>
      </c>
      <c r="N1915" s="74">
        <v>0.73099999999999998</v>
      </c>
      <c r="O1915">
        <v>3</v>
      </c>
      <c r="P1915" s="84">
        <v>0.73099999999999998</v>
      </c>
      <c r="Q1915" s="86">
        <v>4.2</v>
      </c>
      <c r="R1915" s="85">
        <v>4.2</v>
      </c>
      <c r="S1915" s="87">
        <v>1732670</v>
      </c>
      <c r="T1915" s="1">
        <v>7</v>
      </c>
      <c r="U1915" s="88">
        <v>412540.47619047615</v>
      </c>
      <c r="V1915" s="59">
        <v>2.4240045709800482</v>
      </c>
      <c r="X1915" s="98">
        <v>4.2</v>
      </c>
      <c r="Y1915" s="97">
        <v>199.92380952380952</v>
      </c>
    </row>
    <row r="1916" spans="1:25">
      <c r="A1916" s="58">
        <v>1918</v>
      </c>
      <c r="B1916" s="58">
        <v>1918</v>
      </c>
      <c r="C1916" s="58" t="s">
        <v>2723</v>
      </c>
      <c r="D1916" s="58" t="s">
        <v>182</v>
      </c>
      <c r="E1916" s="58" t="s">
        <v>182</v>
      </c>
      <c r="F1916" s="58" t="s">
        <v>1839</v>
      </c>
      <c r="G1916" s="58" t="s">
        <v>1840</v>
      </c>
      <c r="H1916" s="58" t="s">
        <v>179</v>
      </c>
      <c r="I1916">
        <v>38000</v>
      </c>
      <c r="J1916">
        <v>38000</v>
      </c>
      <c r="K1916" s="58" t="s">
        <v>185</v>
      </c>
      <c r="L1916" s="74">
        <v>2.87</v>
      </c>
      <c r="M1916" s="85">
        <v>3</v>
      </c>
      <c r="N1916" s="74">
        <v>1.51</v>
      </c>
      <c r="O1916">
        <v>3</v>
      </c>
      <c r="P1916" s="84">
        <v>1.1325000000000001</v>
      </c>
      <c r="Q1916" s="86">
        <v>4.2</v>
      </c>
      <c r="R1916" s="85">
        <v>4.2</v>
      </c>
      <c r="S1916" s="87">
        <v>558600</v>
      </c>
      <c r="T1916" s="1">
        <v>4</v>
      </c>
      <c r="U1916" s="88">
        <v>133000</v>
      </c>
      <c r="V1916" s="59">
        <v>7.518796992481203</v>
      </c>
      <c r="X1916" s="98">
        <v>4.2</v>
      </c>
      <c r="Y1916" s="97">
        <v>412.54047619047617</v>
      </c>
    </row>
    <row r="1917" spans="1:25">
      <c r="A1917" s="58">
        <v>1919</v>
      </c>
      <c r="B1917" s="58">
        <v>1919</v>
      </c>
      <c r="C1917" s="58" t="s">
        <v>2724</v>
      </c>
      <c r="D1917" s="58" t="s">
        <v>182</v>
      </c>
      <c r="E1917" s="58" t="s">
        <v>182</v>
      </c>
      <c r="F1917" s="58" t="s">
        <v>1839</v>
      </c>
      <c r="G1917" s="58" t="s">
        <v>1840</v>
      </c>
      <c r="H1917" s="58" t="s">
        <v>179</v>
      </c>
      <c r="I1917">
        <v>38000</v>
      </c>
      <c r="J1917">
        <v>38000</v>
      </c>
      <c r="K1917" s="58" t="s">
        <v>185</v>
      </c>
      <c r="L1917" s="74">
        <v>6.5659999999999998</v>
      </c>
      <c r="M1917" s="85">
        <v>7</v>
      </c>
      <c r="N1917" s="74">
        <v>0.55700000000000005</v>
      </c>
      <c r="O1917">
        <v>3</v>
      </c>
      <c r="P1917" s="84">
        <v>0.55700000000000005</v>
      </c>
      <c r="Q1917" s="86">
        <v>4.2</v>
      </c>
      <c r="R1917" s="85">
        <v>4.2</v>
      </c>
      <c r="S1917" s="87">
        <v>839680</v>
      </c>
      <c r="T1917" s="1">
        <v>4</v>
      </c>
      <c r="U1917" s="88">
        <v>199923.80952380953</v>
      </c>
      <c r="V1917" s="59">
        <v>5.0019054878048781</v>
      </c>
      <c r="X1917" s="98">
        <v>4.2</v>
      </c>
      <c r="Y1917" s="97">
        <v>133</v>
      </c>
    </row>
    <row r="1918" spans="1:25">
      <c r="A1918" s="58">
        <v>1920</v>
      </c>
      <c r="B1918" s="58">
        <v>1920</v>
      </c>
      <c r="C1918" s="58" t="s">
        <v>2725</v>
      </c>
      <c r="D1918" s="58" t="s">
        <v>852</v>
      </c>
      <c r="E1918" s="58" t="s">
        <v>852</v>
      </c>
      <c r="F1918" s="58" t="s">
        <v>2726</v>
      </c>
      <c r="G1918" s="58" t="s">
        <v>2727</v>
      </c>
      <c r="H1918" s="58" t="s">
        <v>199</v>
      </c>
      <c r="I1918">
        <v>110000</v>
      </c>
      <c r="J1918" s="58" t="s">
        <v>185</v>
      </c>
      <c r="K1918">
        <v>110000</v>
      </c>
      <c r="L1918" s="74">
        <v>5.0940000000000003</v>
      </c>
      <c r="M1918" s="85">
        <v>6</v>
      </c>
      <c r="N1918" s="74">
        <v>7.0860000000000003</v>
      </c>
      <c r="O1918">
        <v>3</v>
      </c>
      <c r="P1918" s="84">
        <v>5.3145000000000007</v>
      </c>
      <c r="Q1918" s="86">
        <v>37.800000000000004</v>
      </c>
      <c r="R1918" s="85">
        <v>37.800000000000004</v>
      </c>
      <c r="S1918" s="87">
        <v>2621410</v>
      </c>
      <c r="T1918" s="1">
        <v>10</v>
      </c>
      <c r="U1918" s="88">
        <v>69349.470899470893</v>
      </c>
      <c r="V1918" s="59">
        <v>14.419720684669704</v>
      </c>
      <c r="X1918" s="98">
        <v>4.2</v>
      </c>
      <c r="Y1918" s="97">
        <v>199.92380952380952</v>
      </c>
    </row>
    <row r="1919" spans="1:25">
      <c r="A1919" s="58">
        <v>1921</v>
      </c>
      <c r="B1919" s="58">
        <v>1921</v>
      </c>
      <c r="C1919" s="58" t="s">
        <v>2728</v>
      </c>
      <c r="D1919" s="58" t="s">
        <v>852</v>
      </c>
      <c r="E1919" s="58" t="s">
        <v>852</v>
      </c>
      <c r="F1919" s="58" t="s">
        <v>1807</v>
      </c>
      <c r="G1919" s="58" t="s">
        <v>1808</v>
      </c>
      <c r="H1919" s="58" t="s">
        <v>179</v>
      </c>
      <c r="I1919">
        <v>38000</v>
      </c>
      <c r="J1919">
        <v>38000</v>
      </c>
      <c r="K1919" s="58" t="s">
        <v>185</v>
      </c>
      <c r="L1919" s="74">
        <v>12.766</v>
      </c>
      <c r="M1919" s="85">
        <v>13</v>
      </c>
      <c r="N1919" s="74">
        <v>0.42799999999999999</v>
      </c>
      <c r="O1919">
        <v>3</v>
      </c>
      <c r="P1919" s="84">
        <v>0.42799999999999999</v>
      </c>
      <c r="Q1919" s="86">
        <v>4.2</v>
      </c>
      <c r="R1919" s="85">
        <v>4.2</v>
      </c>
      <c r="S1919" s="87">
        <v>1545240</v>
      </c>
      <c r="T1919" s="1">
        <v>1</v>
      </c>
      <c r="U1919" s="88">
        <v>367914.28571428568</v>
      </c>
      <c r="V1919" s="59">
        <v>2.7180243845616214</v>
      </c>
      <c r="X1919" s="98">
        <v>37.800000000000004</v>
      </c>
      <c r="Y1919" s="97">
        <v>69.349470899470901</v>
      </c>
    </row>
    <row r="1920" spans="1:25">
      <c r="A1920" s="58">
        <v>1922</v>
      </c>
      <c r="B1920" s="58">
        <v>1922</v>
      </c>
      <c r="C1920" s="58" t="s">
        <v>2729</v>
      </c>
      <c r="D1920" s="58" t="s">
        <v>384</v>
      </c>
      <c r="E1920" s="58" t="s">
        <v>1806</v>
      </c>
      <c r="F1920" s="58" t="s">
        <v>2048</v>
      </c>
      <c r="G1920" s="58" t="s">
        <v>2049</v>
      </c>
      <c r="H1920" s="58" t="s">
        <v>179</v>
      </c>
      <c r="I1920">
        <v>38000</v>
      </c>
      <c r="J1920">
        <v>38000</v>
      </c>
      <c r="K1920" s="58" t="s">
        <v>185</v>
      </c>
      <c r="L1920" s="74">
        <v>7.1150000000000002</v>
      </c>
      <c r="M1920" s="85">
        <v>8</v>
      </c>
      <c r="N1920" s="74">
        <v>0.753</v>
      </c>
      <c r="O1920">
        <v>3</v>
      </c>
      <c r="P1920" s="84">
        <v>0.753</v>
      </c>
      <c r="Q1920" s="86">
        <v>4.2</v>
      </c>
      <c r="R1920" s="85">
        <v>4.2</v>
      </c>
      <c r="S1920" s="87">
        <v>909950</v>
      </c>
      <c r="T1920" s="1">
        <v>4</v>
      </c>
      <c r="U1920" s="88">
        <v>216654.76190476189</v>
      </c>
      <c r="V1920" s="59">
        <v>4.6156382218803227</v>
      </c>
      <c r="X1920" s="98">
        <v>4.2</v>
      </c>
      <c r="Y1920" s="97">
        <v>367.91428571428571</v>
      </c>
    </row>
    <row r="1921" spans="1:25">
      <c r="A1921" s="58">
        <v>1923</v>
      </c>
      <c r="B1921" s="58">
        <v>1923</v>
      </c>
      <c r="C1921" s="58" t="s">
        <v>2730</v>
      </c>
      <c r="D1921" s="58" t="s">
        <v>384</v>
      </c>
      <c r="E1921" s="58" t="s">
        <v>1806</v>
      </c>
      <c r="F1921" s="58" t="s">
        <v>2048</v>
      </c>
      <c r="G1921" s="58" t="s">
        <v>2049</v>
      </c>
      <c r="H1921" s="58" t="s">
        <v>179</v>
      </c>
      <c r="I1921">
        <v>38000</v>
      </c>
      <c r="J1921">
        <v>38000</v>
      </c>
      <c r="K1921" s="58" t="s">
        <v>185</v>
      </c>
      <c r="L1921" s="74">
        <v>10.773999999999999</v>
      </c>
      <c r="M1921" s="85">
        <v>11</v>
      </c>
      <c r="N1921" s="74">
        <v>1.2969999999999999</v>
      </c>
      <c r="O1921">
        <v>3</v>
      </c>
      <c r="P1921" s="84">
        <v>0.97275</v>
      </c>
      <c r="Q1921" s="86">
        <v>4.2</v>
      </c>
      <c r="R1921" s="85">
        <v>4.2</v>
      </c>
      <c r="S1921" s="87">
        <v>1439840</v>
      </c>
      <c r="T1921" s="1">
        <v>1</v>
      </c>
      <c r="U1921" s="88">
        <v>342819.04761904763</v>
      </c>
      <c r="V1921" s="59">
        <v>2.9169907767529724</v>
      </c>
      <c r="X1921" s="98">
        <v>4.2</v>
      </c>
      <c r="Y1921" s="97">
        <v>216.6547619047619</v>
      </c>
    </row>
    <row r="1922" spans="1:25">
      <c r="A1922" s="58">
        <v>1924</v>
      </c>
      <c r="B1922" s="58">
        <v>1924</v>
      </c>
      <c r="C1922" s="58" t="s">
        <v>2731</v>
      </c>
      <c r="D1922" s="58" t="s">
        <v>1190</v>
      </c>
      <c r="E1922" s="58" t="s">
        <v>1190</v>
      </c>
      <c r="F1922" s="58" t="s">
        <v>2048</v>
      </c>
      <c r="G1922" s="58" t="s">
        <v>2049</v>
      </c>
      <c r="H1922" s="58" t="s">
        <v>179</v>
      </c>
      <c r="I1922">
        <v>38000</v>
      </c>
      <c r="J1922">
        <v>38000</v>
      </c>
      <c r="K1922" s="58" t="s">
        <v>185</v>
      </c>
      <c r="L1922" s="74">
        <v>10.872999999999999</v>
      </c>
      <c r="M1922" s="85">
        <v>11</v>
      </c>
      <c r="N1922" s="74">
        <v>0.52500000000000002</v>
      </c>
      <c r="O1922">
        <v>3</v>
      </c>
      <c r="P1922" s="84">
        <v>0.52500000000000002</v>
      </c>
      <c r="Q1922" s="86">
        <v>4.2</v>
      </c>
      <c r="R1922" s="85">
        <v>4.2</v>
      </c>
      <c r="S1922" s="87">
        <v>1439840</v>
      </c>
      <c r="T1922" s="1">
        <v>1</v>
      </c>
      <c r="U1922" s="88">
        <v>342819.04761904763</v>
      </c>
      <c r="V1922" s="59">
        <v>2.9169907767529724</v>
      </c>
      <c r="X1922" s="98">
        <v>4.2</v>
      </c>
      <c r="Y1922" s="97">
        <v>342.81904761904764</v>
      </c>
    </row>
    <row r="1923" spans="1:25">
      <c r="A1923" s="58">
        <v>1925</v>
      </c>
      <c r="B1923" s="58">
        <v>1925</v>
      </c>
      <c r="C1923" s="58" t="s">
        <v>2732</v>
      </c>
      <c r="D1923" s="58" t="s">
        <v>1190</v>
      </c>
      <c r="E1923" s="58" t="s">
        <v>1190</v>
      </c>
      <c r="F1923" s="58" t="s">
        <v>1191</v>
      </c>
      <c r="G1923" s="58" t="s">
        <v>1192</v>
      </c>
      <c r="H1923" s="58" t="s">
        <v>179</v>
      </c>
      <c r="I1923">
        <v>38000</v>
      </c>
      <c r="J1923">
        <v>38000</v>
      </c>
      <c r="K1923">
        <v>10000</v>
      </c>
      <c r="L1923" s="74">
        <v>9.6189999999999998</v>
      </c>
      <c r="M1923" s="85">
        <v>10</v>
      </c>
      <c r="N1923" s="74">
        <v>0.35299999999999998</v>
      </c>
      <c r="O1923">
        <v>3</v>
      </c>
      <c r="P1923" s="84">
        <v>0.35299999999999998</v>
      </c>
      <c r="Q1923" s="86">
        <v>4.2</v>
      </c>
      <c r="R1923" s="85">
        <v>4.2</v>
      </c>
      <c r="S1923" s="87">
        <v>1387140</v>
      </c>
      <c r="T1923" s="1">
        <v>1</v>
      </c>
      <c r="U1923" s="88">
        <v>330271.42857142858</v>
      </c>
      <c r="V1923" s="59">
        <v>3.0278126216531858</v>
      </c>
      <c r="X1923" s="98">
        <v>4.2</v>
      </c>
      <c r="Y1923" s="97">
        <v>342.81904761904764</v>
      </c>
    </row>
    <row r="1924" spans="1:25">
      <c r="A1924" s="58">
        <v>1926</v>
      </c>
      <c r="B1924" s="58">
        <v>1926</v>
      </c>
      <c r="C1924" s="58" t="s">
        <v>2733</v>
      </c>
      <c r="D1924" s="58" t="s">
        <v>1190</v>
      </c>
      <c r="E1924" s="58" t="s">
        <v>1190</v>
      </c>
      <c r="F1924" s="58" t="s">
        <v>1191</v>
      </c>
      <c r="G1924" s="58" t="s">
        <v>1192</v>
      </c>
      <c r="H1924" s="58" t="s">
        <v>179</v>
      </c>
      <c r="I1924">
        <v>38000</v>
      </c>
      <c r="J1924">
        <v>38000</v>
      </c>
      <c r="K1924">
        <v>10000</v>
      </c>
      <c r="L1924" s="74">
        <v>7.6849999999999996</v>
      </c>
      <c r="M1924" s="85">
        <v>8</v>
      </c>
      <c r="N1924" s="74">
        <v>1.27</v>
      </c>
      <c r="O1924">
        <v>3</v>
      </c>
      <c r="P1924" s="84">
        <v>0.95250000000000001</v>
      </c>
      <c r="Q1924" s="86">
        <v>4.2</v>
      </c>
      <c r="R1924" s="85">
        <v>4.2</v>
      </c>
      <c r="S1924" s="87">
        <v>909950</v>
      </c>
      <c r="T1924" s="1">
        <v>4</v>
      </c>
      <c r="U1924" s="88">
        <v>216654.76190476189</v>
      </c>
      <c r="V1924" s="59">
        <v>4.6156382218803227</v>
      </c>
      <c r="X1924" s="98">
        <v>4.2</v>
      </c>
      <c r="Y1924" s="97">
        <v>330.2714285714286</v>
      </c>
    </row>
    <row r="1925" spans="1:25">
      <c r="A1925" s="58">
        <v>1927</v>
      </c>
      <c r="B1925" s="58">
        <v>1927</v>
      </c>
      <c r="C1925" s="58" t="s">
        <v>2734</v>
      </c>
      <c r="D1925" s="58" t="s">
        <v>1190</v>
      </c>
      <c r="E1925" s="58" t="s">
        <v>1190</v>
      </c>
      <c r="F1925" s="58" t="s">
        <v>1191</v>
      </c>
      <c r="G1925" s="58" t="s">
        <v>1192</v>
      </c>
      <c r="H1925" s="58" t="s">
        <v>179</v>
      </c>
      <c r="I1925">
        <v>38000</v>
      </c>
      <c r="J1925">
        <v>38000</v>
      </c>
      <c r="K1925">
        <v>10000</v>
      </c>
      <c r="L1925" s="74">
        <v>7.7549999999999999</v>
      </c>
      <c r="M1925" s="85">
        <v>8</v>
      </c>
      <c r="N1925" s="74">
        <v>0.42399999999999999</v>
      </c>
      <c r="O1925">
        <v>3</v>
      </c>
      <c r="P1925" s="84">
        <v>0.42399999999999999</v>
      </c>
      <c r="Q1925" s="86">
        <v>4.2</v>
      </c>
      <c r="R1925" s="85">
        <v>4.2</v>
      </c>
      <c r="S1925" s="87">
        <v>909950</v>
      </c>
      <c r="T1925" s="1">
        <v>4</v>
      </c>
      <c r="U1925" s="88">
        <v>216654.76190476189</v>
      </c>
      <c r="V1925" s="59">
        <v>4.6156382218803227</v>
      </c>
      <c r="X1925" s="98">
        <v>4.2</v>
      </c>
      <c r="Y1925" s="97">
        <v>216.6547619047619</v>
      </c>
    </row>
    <row r="1926" spans="1:25">
      <c r="A1926" s="58">
        <v>1928</v>
      </c>
      <c r="B1926" s="58">
        <v>1928</v>
      </c>
      <c r="C1926" s="58" t="s">
        <v>2735</v>
      </c>
      <c r="D1926" s="58" t="s">
        <v>384</v>
      </c>
      <c r="E1926" s="58" t="s">
        <v>1806</v>
      </c>
      <c r="F1926" s="58" t="s">
        <v>2054</v>
      </c>
      <c r="G1926" s="58" t="s">
        <v>2055</v>
      </c>
      <c r="H1926" s="58" t="s">
        <v>179</v>
      </c>
      <c r="I1926">
        <v>38000</v>
      </c>
      <c r="J1926">
        <v>38000</v>
      </c>
      <c r="K1926" s="58" t="s">
        <v>185</v>
      </c>
      <c r="L1926" s="74">
        <v>5.6459999999999999</v>
      </c>
      <c r="M1926" s="85">
        <v>6</v>
      </c>
      <c r="N1926" s="74">
        <v>3.9119999999999999</v>
      </c>
      <c r="O1926">
        <v>3</v>
      </c>
      <c r="P1926" s="84">
        <v>2.9340000000000002</v>
      </c>
      <c r="Q1926" s="86">
        <v>21</v>
      </c>
      <c r="R1926" s="85">
        <v>21</v>
      </c>
      <c r="S1926" s="87">
        <v>769410</v>
      </c>
      <c r="T1926" s="1">
        <v>4</v>
      </c>
      <c r="U1926" s="88">
        <v>36638.571428571428</v>
      </c>
      <c r="V1926" s="59">
        <v>27.293640581744455</v>
      </c>
      <c r="X1926" s="98">
        <v>4.2</v>
      </c>
      <c r="Y1926" s="97">
        <v>216.6547619047619</v>
      </c>
    </row>
    <row r="1927" spans="1:25">
      <c r="A1927" s="58">
        <v>1929</v>
      </c>
      <c r="B1927" s="58">
        <v>1929</v>
      </c>
      <c r="C1927" s="58" t="s">
        <v>2736</v>
      </c>
      <c r="D1927" s="58" t="s">
        <v>1190</v>
      </c>
      <c r="E1927" s="58" t="s">
        <v>1190</v>
      </c>
      <c r="F1927" s="58" t="s">
        <v>2054</v>
      </c>
      <c r="G1927" s="58" t="s">
        <v>2055</v>
      </c>
      <c r="H1927" s="58" t="s">
        <v>179</v>
      </c>
      <c r="I1927">
        <v>38000</v>
      </c>
      <c r="J1927">
        <v>38000</v>
      </c>
      <c r="K1927" s="58" t="s">
        <v>185</v>
      </c>
      <c r="L1927" s="74">
        <v>5.0880000000000001</v>
      </c>
      <c r="M1927" s="85">
        <v>6</v>
      </c>
      <c r="N1927" s="74">
        <v>0.58499999999999996</v>
      </c>
      <c r="O1927">
        <v>3</v>
      </c>
      <c r="P1927" s="84">
        <v>0.58499999999999996</v>
      </c>
      <c r="Q1927" s="86">
        <v>4.2</v>
      </c>
      <c r="R1927" s="85">
        <v>4.2</v>
      </c>
      <c r="S1927" s="87">
        <v>769410</v>
      </c>
      <c r="T1927" s="1">
        <v>4</v>
      </c>
      <c r="U1927" s="88">
        <v>183192.85714285713</v>
      </c>
      <c r="V1927" s="59">
        <v>5.4587281163488903</v>
      </c>
      <c r="X1927" s="98">
        <v>21</v>
      </c>
      <c r="Y1927" s="97">
        <v>36.638571428571431</v>
      </c>
    </row>
    <row r="1928" spans="1:25">
      <c r="A1928" s="58">
        <v>1930</v>
      </c>
      <c r="B1928" s="58">
        <v>1930</v>
      </c>
      <c r="C1928" s="58" t="s">
        <v>2737</v>
      </c>
      <c r="D1928" s="58" t="s">
        <v>384</v>
      </c>
      <c r="E1928" s="58" t="s">
        <v>1806</v>
      </c>
      <c r="F1928" s="58" t="s">
        <v>2054</v>
      </c>
      <c r="G1928" s="58" t="s">
        <v>2055</v>
      </c>
      <c r="H1928" s="58" t="s">
        <v>179</v>
      </c>
      <c r="I1928">
        <v>38000</v>
      </c>
      <c r="J1928">
        <v>38000</v>
      </c>
      <c r="K1928" s="58" t="s">
        <v>185</v>
      </c>
      <c r="L1928" s="74">
        <v>2.8940000000000001</v>
      </c>
      <c r="M1928" s="85">
        <v>3</v>
      </c>
      <c r="N1928" s="74">
        <v>0.63200000000000001</v>
      </c>
      <c r="O1928">
        <v>3</v>
      </c>
      <c r="P1928" s="84">
        <v>0.63200000000000001</v>
      </c>
      <c r="Q1928" s="86">
        <v>4.2</v>
      </c>
      <c r="R1928" s="85">
        <v>4.2</v>
      </c>
      <c r="S1928" s="87">
        <v>558600</v>
      </c>
      <c r="T1928" s="1">
        <v>4</v>
      </c>
      <c r="U1928" s="88">
        <v>133000</v>
      </c>
      <c r="V1928" s="59">
        <v>7.518796992481203</v>
      </c>
      <c r="X1928" s="98">
        <v>4.2</v>
      </c>
      <c r="Y1928" s="97">
        <v>183.19285714285712</v>
      </c>
    </row>
    <row r="1929" spans="1:25">
      <c r="A1929" s="58">
        <v>1931</v>
      </c>
      <c r="B1929" s="58">
        <v>1931</v>
      </c>
      <c r="C1929" s="58" t="s">
        <v>2738</v>
      </c>
      <c r="D1929" s="58" t="s">
        <v>536</v>
      </c>
      <c r="E1929" s="58" t="s">
        <v>536</v>
      </c>
      <c r="F1929" s="58" t="s">
        <v>2054</v>
      </c>
      <c r="G1929" s="58" t="s">
        <v>2055</v>
      </c>
      <c r="H1929" s="58" t="s">
        <v>179</v>
      </c>
      <c r="I1929">
        <v>38000</v>
      </c>
      <c r="J1929">
        <v>38000</v>
      </c>
      <c r="K1929" s="58" t="s">
        <v>185</v>
      </c>
      <c r="L1929" s="74">
        <v>5.1189999999999998</v>
      </c>
      <c r="M1929" s="85">
        <v>6</v>
      </c>
      <c r="N1929" s="74">
        <v>0.45800000000000002</v>
      </c>
      <c r="O1929">
        <v>3</v>
      </c>
      <c r="P1929" s="84">
        <v>0.45800000000000002</v>
      </c>
      <c r="Q1929" s="86">
        <v>4.2</v>
      </c>
      <c r="R1929" s="85">
        <v>4.2</v>
      </c>
      <c r="S1929" s="87">
        <v>769410</v>
      </c>
      <c r="T1929" s="1">
        <v>4</v>
      </c>
      <c r="U1929" s="88">
        <v>183192.85714285713</v>
      </c>
      <c r="V1929" s="59">
        <v>5.4587281163488903</v>
      </c>
      <c r="X1929" s="98">
        <v>4.2</v>
      </c>
      <c r="Y1929" s="97">
        <v>133</v>
      </c>
    </row>
    <row r="1930" spans="1:25">
      <c r="A1930" s="58">
        <v>1932</v>
      </c>
      <c r="B1930" s="58">
        <v>1932</v>
      </c>
      <c r="C1930" s="58" t="s">
        <v>2739</v>
      </c>
      <c r="D1930" s="58" t="s">
        <v>1806</v>
      </c>
      <c r="E1930" s="58" t="s">
        <v>1806</v>
      </c>
      <c r="F1930" s="58" t="s">
        <v>2048</v>
      </c>
      <c r="G1930" s="58" t="s">
        <v>2049</v>
      </c>
      <c r="H1930" s="58" t="s">
        <v>179</v>
      </c>
      <c r="I1930">
        <v>38000</v>
      </c>
      <c r="J1930">
        <v>38000</v>
      </c>
      <c r="K1930" s="58" t="s">
        <v>185</v>
      </c>
      <c r="L1930" s="74">
        <v>5.5350000000000001</v>
      </c>
      <c r="M1930" s="85">
        <v>6</v>
      </c>
      <c r="N1930" s="74">
        <v>1.2729999999999999</v>
      </c>
      <c r="O1930">
        <v>3</v>
      </c>
      <c r="P1930" s="84">
        <v>0.95474999999999999</v>
      </c>
      <c r="Q1930" s="86">
        <v>4.2</v>
      </c>
      <c r="R1930" s="85">
        <v>4.2</v>
      </c>
      <c r="S1930" s="87">
        <v>769410</v>
      </c>
      <c r="T1930" s="1">
        <v>4</v>
      </c>
      <c r="U1930" s="88">
        <v>183192.85714285713</v>
      </c>
      <c r="V1930" s="59">
        <v>5.4587281163488903</v>
      </c>
      <c r="X1930" s="98">
        <v>4.2</v>
      </c>
      <c r="Y1930" s="97">
        <v>183.19285714285712</v>
      </c>
    </row>
    <row r="1931" spans="1:25">
      <c r="A1931" s="58">
        <v>1933</v>
      </c>
      <c r="B1931" s="58">
        <v>1933</v>
      </c>
      <c r="C1931" s="58" t="s">
        <v>2740</v>
      </c>
      <c r="D1931" s="58" t="s">
        <v>1806</v>
      </c>
      <c r="E1931" s="58" t="s">
        <v>1806</v>
      </c>
      <c r="F1931" s="58" t="s">
        <v>2054</v>
      </c>
      <c r="G1931" s="58" t="s">
        <v>2055</v>
      </c>
      <c r="H1931" s="58" t="s">
        <v>179</v>
      </c>
      <c r="I1931">
        <v>38000</v>
      </c>
      <c r="J1931">
        <v>38000</v>
      </c>
      <c r="K1931" s="58" t="s">
        <v>185</v>
      </c>
      <c r="L1931" s="74">
        <v>11.015000000000001</v>
      </c>
      <c r="M1931" s="85">
        <v>12</v>
      </c>
      <c r="N1931" s="74">
        <v>0.71699999999999997</v>
      </c>
      <c r="O1931">
        <v>3</v>
      </c>
      <c r="P1931" s="84">
        <v>0.71699999999999997</v>
      </c>
      <c r="Q1931" s="86">
        <v>4.2</v>
      </c>
      <c r="R1931" s="85">
        <v>4.2</v>
      </c>
      <c r="S1931" s="87">
        <v>1492540</v>
      </c>
      <c r="T1931" s="1">
        <v>1</v>
      </c>
      <c r="U1931" s="88">
        <v>355366.66666666663</v>
      </c>
      <c r="V1931" s="59">
        <v>2.8139949348091173</v>
      </c>
      <c r="X1931" s="98">
        <v>4.2</v>
      </c>
      <c r="Y1931" s="97">
        <v>183.19285714285712</v>
      </c>
    </row>
    <row r="1932" spans="1:25">
      <c r="A1932" s="58">
        <v>1934</v>
      </c>
      <c r="B1932" s="58">
        <v>1934</v>
      </c>
      <c r="C1932" s="58" t="s">
        <v>2741</v>
      </c>
      <c r="D1932" s="58" t="s">
        <v>1190</v>
      </c>
      <c r="E1932" s="58" t="s">
        <v>1190</v>
      </c>
      <c r="F1932" s="58" t="s">
        <v>1194</v>
      </c>
      <c r="G1932" s="58" t="s">
        <v>1195</v>
      </c>
      <c r="H1932" s="58" t="s">
        <v>179</v>
      </c>
      <c r="I1932">
        <v>38000</v>
      </c>
      <c r="J1932">
        <v>38000</v>
      </c>
      <c r="K1932" s="58" t="s">
        <v>185</v>
      </c>
      <c r="L1932" s="74">
        <v>3.1160000000000001</v>
      </c>
      <c r="M1932" s="85">
        <v>4</v>
      </c>
      <c r="N1932" s="74">
        <v>0.72899999999999998</v>
      </c>
      <c r="O1932">
        <v>3</v>
      </c>
      <c r="P1932" s="84">
        <v>0.72899999999999998</v>
      </c>
      <c r="Q1932" s="86">
        <v>4.2</v>
      </c>
      <c r="R1932" s="85">
        <v>4.2</v>
      </c>
      <c r="S1932" s="87">
        <v>628870</v>
      </c>
      <c r="T1932" s="1">
        <v>4</v>
      </c>
      <c r="U1932" s="88">
        <v>149730.95238095237</v>
      </c>
      <c r="V1932" s="59">
        <v>6.6786458250512828</v>
      </c>
      <c r="X1932" s="98">
        <v>4.2</v>
      </c>
      <c r="Y1932" s="97">
        <v>355.36666666666662</v>
      </c>
    </row>
    <row r="1933" spans="1:25">
      <c r="A1933" s="58">
        <v>1935</v>
      </c>
      <c r="B1933" s="58">
        <v>1935</v>
      </c>
      <c r="C1933" s="58" t="s">
        <v>2742</v>
      </c>
      <c r="D1933" s="58" t="s">
        <v>1190</v>
      </c>
      <c r="E1933" s="58" t="s">
        <v>536</v>
      </c>
      <c r="F1933" s="58" t="s">
        <v>1194</v>
      </c>
      <c r="G1933" s="58" t="s">
        <v>1195</v>
      </c>
      <c r="H1933" s="58" t="s">
        <v>179</v>
      </c>
      <c r="I1933">
        <v>38000</v>
      </c>
      <c r="J1933">
        <v>38000</v>
      </c>
      <c r="K1933" s="58" t="s">
        <v>185</v>
      </c>
      <c r="L1933" s="74">
        <v>8.9700000000000006</v>
      </c>
      <c r="M1933" s="85">
        <v>9</v>
      </c>
      <c r="N1933" s="74">
        <v>0.53700000000000003</v>
      </c>
      <c r="O1933">
        <v>3</v>
      </c>
      <c r="P1933" s="84">
        <v>0.53700000000000003</v>
      </c>
      <c r="Q1933" s="86">
        <v>4.2</v>
      </c>
      <c r="R1933" s="85">
        <v>4.2</v>
      </c>
      <c r="S1933" s="87">
        <v>1334440</v>
      </c>
      <c r="T1933" s="1">
        <v>1</v>
      </c>
      <c r="U1933" s="88">
        <v>317723.80952380953</v>
      </c>
      <c r="V1933" s="59">
        <v>3.1473876682353645</v>
      </c>
      <c r="X1933" s="98">
        <v>4.2</v>
      </c>
      <c r="Y1933" s="97">
        <v>149.73095238095235</v>
      </c>
    </row>
    <row r="1934" spans="1:25">
      <c r="A1934" s="58">
        <v>1936</v>
      </c>
      <c r="B1934" s="58">
        <v>1936</v>
      </c>
      <c r="C1934" s="58" t="s">
        <v>2743</v>
      </c>
      <c r="D1934" s="58" t="s">
        <v>1190</v>
      </c>
      <c r="E1934" s="58" t="s">
        <v>1190</v>
      </c>
      <c r="F1934" s="58" t="s">
        <v>2332</v>
      </c>
      <c r="G1934" s="58" t="s">
        <v>2333</v>
      </c>
      <c r="H1934" s="58" t="s">
        <v>199</v>
      </c>
      <c r="I1934">
        <v>110000</v>
      </c>
      <c r="L1934" s="74">
        <v>6.2919999999999998</v>
      </c>
      <c r="M1934" s="85">
        <v>7</v>
      </c>
      <c r="N1934" s="74">
        <v>0.76400000000000001</v>
      </c>
      <c r="O1934">
        <v>3</v>
      </c>
      <c r="P1934" s="84">
        <v>0.76400000000000001</v>
      </c>
      <c r="Q1934" s="86">
        <v>4.2</v>
      </c>
      <c r="R1934" s="85">
        <v>4.2</v>
      </c>
      <c r="S1934" s="87">
        <v>1785370</v>
      </c>
      <c r="T1934" s="1">
        <v>7</v>
      </c>
      <c r="U1934" s="88">
        <v>425088.09523809521</v>
      </c>
      <c r="V1934" s="59">
        <v>2.3524535530450272</v>
      </c>
      <c r="X1934" s="98">
        <v>4.2</v>
      </c>
      <c r="Y1934" s="97">
        <v>317.72380952380951</v>
      </c>
    </row>
    <row r="1935" spans="1:25">
      <c r="A1935" s="58">
        <v>1937</v>
      </c>
      <c r="B1935" s="58">
        <v>1937</v>
      </c>
      <c r="C1935" s="58" t="s">
        <v>2744</v>
      </c>
      <c r="D1935" s="58" t="s">
        <v>1190</v>
      </c>
      <c r="E1935" s="58" t="s">
        <v>1190</v>
      </c>
      <c r="F1935" s="58" t="s">
        <v>2072</v>
      </c>
      <c r="G1935" s="58" t="s">
        <v>2073</v>
      </c>
      <c r="H1935" s="58" t="s">
        <v>179</v>
      </c>
      <c r="I1935">
        <v>38000</v>
      </c>
      <c r="J1935">
        <v>38000</v>
      </c>
      <c r="K1935">
        <v>10000</v>
      </c>
      <c r="L1935" s="74">
        <v>5.9660000000000002</v>
      </c>
      <c r="M1935" s="85">
        <v>6</v>
      </c>
      <c r="N1935" s="74">
        <v>0.42699999999999999</v>
      </c>
      <c r="O1935">
        <v>3</v>
      </c>
      <c r="P1935" s="84">
        <v>0.42699999999999999</v>
      </c>
      <c r="Q1935" s="86">
        <v>4.2</v>
      </c>
      <c r="R1935" s="85">
        <v>4.2</v>
      </c>
      <c r="S1935" s="87">
        <v>769410</v>
      </c>
      <c r="T1935" s="1">
        <v>4</v>
      </c>
      <c r="U1935" s="88">
        <v>183192.85714285713</v>
      </c>
      <c r="V1935" s="59">
        <v>5.4587281163488903</v>
      </c>
      <c r="X1935" s="98">
        <v>4.2</v>
      </c>
      <c r="Y1935" s="97">
        <v>425.08809523809521</v>
      </c>
    </row>
    <row r="1936" spans="1:25">
      <c r="A1936" s="58">
        <v>1938</v>
      </c>
      <c r="B1936" s="58">
        <v>1938</v>
      </c>
      <c r="C1936" s="58" t="s">
        <v>2745</v>
      </c>
      <c r="D1936" s="58" t="s">
        <v>2068</v>
      </c>
      <c r="E1936" s="58" t="s">
        <v>249</v>
      </c>
      <c r="F1936" s="58" t="s">
        <v>2746</v>
      </c>
      <c r="G1936" s="58" t="s">
        <v>2747</v>
      </c>
      <c r="H1936" s="58" t="s">
        <v>179</v>
      </c>
      <c r="I1936">
        <v>38000</v>
      </c>
      <c r="J1936">
        <v>38000</v>
      </c>
      <c r="K1936">
        <v>10000</v>
      </c>
      <c r="L1936" s="74">
        <v>3.181</v>
      </c>
      <c r="M1936" s="85">
        <v>4</v>
      </c>
      <c r="N1936" s="74">
        <v>1.6459999999999999</v>
      </c>
      <c r="O1936">
        <v>3</v>
      </c>
      <c r="P1936" s="84">
        <v>1.2344999999999999</v>
      </c>
      <c r="Q1936" s="86">
        <v>8.4</v>
      </c>
      <c r="R1936" s="85">
        <v>8.4</v>
      </c>
      <c r="S1936" s="87">
        <v>628870</v>
      </c>
      <c r="T1936" s="1">
        <v>4</v>
      </c>
      <c r="U1936" s="88">
        <v>74865.476190476184</v>
      </c>
      <c r="V1936" s="59">
        <v>13.357291650102566</v>
      </c>
      <c r="X1936" s="98">
        <v>4.2</v>
      </c>
      <c r="Y1936" s="97">
        <v>183.19285714285712</v>
      </c>
    </row>
    <row r="1937" spans="1:25">
      <c r="A1937" s="58">
        <v>1939</v>
      </c>
      <c r="B1937" s="58">
        <v>1939</v>
      </c>
      <c r="C1937" s="58" t="s">
        <v>2748</v>
      </c>
      <c r="D1937" s="58" t="s">
        <v>234</v>
      </c>
      <c r="E1937" s="58" t="s">
        <v>234</v>
      </c>
      <c r="F1937" s="58" t="s">
        <v>323</v>
      </c>
      <c r="G1937" s="58" t="s">
        <v>324</v>
      </c>
      <c r="H1937" s="58" t="s">
        <v>179</v>
      </c>
      <c r="I1937">
        <v>38000</v>
      </c>
      <c r="J1937">
        <v>38000</v>
      </c>
      <c r="K1937">
        <v>20000</v>
      </c>
      <c r="L1937" s="74">
        <v>12.066000000000001</v>
      </c>
      <c r="M1937" s="85">
        <v>13</v>
      </c>
      <c r="N1937" s="74">
        <v>2.6320000000000001</v>
      </c>
      <c r="O1937">
        <v>3</v>
      </c>
      <c r="P1937" s="84">
        <v>1.9740000000000002</v>
      </c>
      <c r="Q1937" s="86">
        <v>12.600000000000001</v>
      </c>
      <c r="R1937" s="85">
        <v>12.600000000000001</v>
      </c>
      <c r="S1937" s="87">
        <v>1627650</v>
      </c>
      <c r="T1937" s="1">
        <v>3</v>
      </c>
      <c r="U1937" s="88">
        <v>129178.57142857142</v>
      </c>
      <c r="V1937" s="59">
        <v>7.7412220071882789</v>
      </c>
      <c r="X1937" s="98">
        <v>8.4</v>
      </c>
      <c r="Y1937" s="97">
        <v>74.865476190476173</v>
      </c>
    </row>
    <row r="1938" spans="1:25">
      <c r="X1938" s="98">
        <v>12.600000000000001</v>
      </c>
      <c r="Y1938" s="97">
        <v>129.17857142857142</v>
      </c>
    </row>
  </sheetData>
  <mergeCells count="1">
    <mergeCell ref="AC3:AD3"/>
  </mergeCells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200B-55A9-4071-AF7F-CF4CC5335CAE}">
  <sheetPr codeName="Sheet2"/>
  <dimension ref="B1:BG34"/>
  <sheetViews>
    <sheetView topLeftCell="C1" zoomScale="60" zoomScaleNormal="60" workbookViewId="0">
      <selection activeCell="AA25" sqref="AA25"/>
    </sheetView>
  </sheetViews>
  <sheetFormatPr defaultColWidth="8.85546875" defaultRowHeight="15"/>
  <cols>
    <col min="1" max="1" width="4.42578125" customWidth="1"/>
    <col min="2" max="2" width="43.5703125" customWidth="1"/>
    <col min="3" max="3" width="40.42578125" customWidth="1"/>
    <col min="4" max="4" width="14.5703125" customWidth="1"/>
    <col min="5" max="5" width="20.42578125" customWidth="1"/>
    <col min="6" max="8" width="7.42578125" customWidth="1"/>
    <col min="9" max="9" width="9" bestFit="1" customWidth="1"/>
    <col min="10" max="10" width="14.140625" customWidth="1"/>
    <col min="11" max="11" width="7.42578125" customWidth="1"/>
    <col min="12" max="12" width="11.42578125" customWidth="1"/>
    <col min="13" max="13" width="7.42578125" customWidth="1"/>
    <col min="14" max="14" width="8.85546875" bestFit="1" customWidth="1"/>
    <col min="15" max="15" width="12.42578125" customWidth="1"/>
    <col min="16" max="16" width="13.5703125" customWidth="1"/>
    <col min="17" max="39" width="7.42578125" customWidth="1"/>
    <col min="41" max="41" width="14.42578125" customWidth="1"/>
    <col min="42" max="42" width="27.140625" bestFit="1" customWidth="1"/>
    <col min="43" max="43" width="87.42578125" bestFit="1" customWidth="1"/>
    <col min="50" max="50" width="14.5703125" customWidth="1"/>
    <col min="51" max="51" width="14.42578125" bestFit="1" customWidth="1"/>
    <col min="52" max="52" width="22.85546875" bestFit="1" customWidth="1"/>
    <col min="270" max="270" width="4.42578125" customWidth="1"/>
    <col min="271" max="271" width="25.85546875" customWidth="1"/>
    <col min="272" max="272" width="55" bestFit="1" customWidth="1"/>
    <col min="273" max="273" width="42.42578125" customWidth="1"/>
    <col min="274" max="274" width="11.85546875" customWidth="1"/>
    <col min="275" max="275" width="8.140625" customWidth="1"/>
    <col min="276" max="276" width="12" customWidth="1"/>
    <col min="277" max="277" width="11.85546875" customWidth="1"/>
    <col min="278" max="278" width="12.42578125" customWidth="1"/>
    <col min="279" max="279" width="10.5703125" bestFit="1" customWidth="1"/>
    <col min="280" max="280" width="11" customWidth="1"/>
    <col min="281" max="282" width="10.5703125" customWidth="1"/>
    <col min="283" max="284" width="8.140625" customWidth="1"/>
    <col min="285" max="295" width="9.42578125" customWidth="1"/>
    <col min="526" max="526" width="4.42578125" customWidth="1"/>
    <col min="527" max="527" width="25.85546875" customWidth="1"/>
    <col min="528" max="528" width="55" bestFit="1" customWidth="1"/>
    <col min="529" max="529" width="42.42578125" customWidth="1"/>
    <col min="530" max="530" width="11.85546875" customWidth="1"/>
    <col min="531" max="531" width="8.140625" customWidth="1"/>
    <col min="532" max="532" width="12" customWidth="1"/>
    <col min="533" max="533" width="11.85546875" customWidth="1"/>
    <col min="534" max="534" width="12.42578125" customWidth="1"/>
    <col min="535" max="535" width="10.5703125" bestFit="1" customWidth="1"/>
    <col min="536" max="536" width="11" customWidth="1"/>
    <col min="537" max="538" width="10.5703125" customWidth="1"/>
    <col min="539" max="540" width="8.140625" customWidth="1"/>
    <col min="541" max="551" width="9.42578125" customWidth="1"/>
    <col min="782" max="782" width="4.42578125" customWidth="1"/>
    <col min="783" max="783" width="25.85546875" customWidth="1"/>
    <col min="784" max="784" width="55" bestFit="1" customWidth="1"/>
    <col min="785" max="785" width="42.42578125" customWidth="1"/>
    <col min="786" max="786" width="11.85546875" customWidth="1"/>
    <col min="787" max="787" width="8.140625" customWidth="1"/>
    <col min="788" max="788" width="12" customWidth="1"/>
    <col min="789" max="789" width="11.85546875" customWidth="1"/>
    <col min="790" max="790" width="12.42578125" customWidth="1"/>
    <col min="791" max="791" width="10.5703125" bestFit="1" customWidth="1"/>
    <col min="792" max="792" width="11" customWidth="1"/>
    <col min="793" max="794" width="10.5703125" customWidth="1"/>
    <col min="795" max="796" width="8.140625" customWidth="1"/>
    <col min="797" max="807" width="9.42578125" customWidth="1"/>
    <col min="1038" max="1038" width="4.42578125" customWidth="1"/>
    <col min="1039" max="1039" width="25.85546875" customWidth="1"/>
    <col min="1040" max="1040" width="55" bestFit="1" customWidth="1"/>
    <col min="1041" max="1041" width="42.42578125" customWidth="1"/>
    <col min="1042" max="1042" width="11.85546875" customWidth="1"/>
    <col min="1043" max="1043" width="8.140625" customWidth="1"/>
    <col min="1044" max="1044" width="12" customWidth="1"/>
    <col min="1045" max="1045" width="11.85546875" customWidth="1"/>
    <col min="1046" max="1046" width="12.42578125" customWidth="1"/>
    <col min="1047" max="1047" width="10.5703125" bestFit="1" customWidth="1"/>
    <col min="1048" max="1048" width="11" customWidth="1"/>
    <col min="1049" max="1050" width="10.5703125" customWidth="1"/>
    <col min="1051" max="1052" width="8.140625" customWidth="1"/>
    <col min="1053" max="1063" width="9.42578125" customWidth="1"/>
    <col min="1294" max="1294" width="4.42578125" customWidth="1"/>
    <col min="1295" max="1295" width="25.85546875" customWidth="1"/>
    <col min="1296" max="1296" width="55" bestFit="1" customWidth="1"/>
    <col min="1297" max="1297" width="42.42578125" customWidth="1"/>
    <col min="1298" max="1298" width="11.85546875" customWidth="1"/>
    <col min="1299" max="1299" width="8.140625" customWidth="1"/>
    <col min="1300" max="1300" width="12" customWidth="1"/>
    <col min="1301" max="1301" width="11.85546875" customWidth="1"/>
    <col min="1302" max="1302" width="12.42578125" customWidth="1"/>
    <col min="1303" max="1303" width="10.5703125" bestFit="1" customWidth="1"/>
    <col min="1304" max="1304" width="11" customWidth="1"/>
    <col min="1305" max="1306" width="10.5703125" customWidth="1"/>
    <col min="1307" max="1308" width="8.140625" customWidth="1"/>
    <col min="1309" max="1319" width="9.42578125" customWidth="1"/>
    <col min="1550" max="1550" width="4.42578125" customWidth="1"/>
    <col min="1551" max="1551" width="25.85546875" customWidth="1"/>
    <col min="1552" max="1552" width="55" bestFit="1" customWidth="1"/>
    <col min="1553" max="1553" width="42.42578125" customWidth="1"/>
    <col min="1554" max="1554" width="11.85546875" customWidth="1"/>
    <col min="1555" max="1555" width="8.140625" customWidth="1"/>
    <col min="1556" max="1556" width="12" customWidth="1"/>
    <col min="1557" max="1557" width="11.85546875" customWidth="1"/>
    <col min="1558" max="1558" width="12.42578125" customWidth="1"/>
    <col min="1559" max="1559" width="10.5703125" bestFit="1" customWidth="1"/>
    <col min="1560" max="1560" width="11" customWidth="1"/>
    <col min="1561" max="1562" width="10.5703125" customWidth="1"/>
    <col min="1563" max="1564" width="8.140625" customWidth="1"/>
    <col min="1565" max="1575" width="9.42578125" customWidth="1"/>
    <col min="1806" max="1806" width="4.42578125" customWidth="1"/>
    <col min="1807" max="1807" width="25.85546875" customWidth="1"/>
    <col min="1808" max="1808" width="55" bestFit="1" customWidth="1"/>
    <col min="1809" max="1809" width="42.42578125" customWidth="1"/>
    <col min="1810" max="1810" width="11.85546875" customWidth="1"/>
    <col min="1811" max="1811" width="8.140625" customWidth="1"/>
    <col min="1812" max="1812" width="12" customWidth="1"/>
    <col min="1813" max="1813" width="11.85546875" customWidth="1"/>
    <col min="1814" max="1814" width="12.42578125" customWidth="1"/>
    <col min="1815" max="1815" width="10.5703125" bestFit="1" customWidth="1"/>
    <col min="1816" max="1816" width="11" customWidth="1"/>
    <col min="1817" max="1818" width="10.5703125" customWidth="1"/>
    <col min="1819" max="1820" width="8.140625" customWidth="1"/>
    <col min="1821" max="1831" width="9.42578125" customWidth="1"/>
    <col min="2062" max="2062" width="4.42578125" customWidth="1"/>
    <col min="2063" max="2063" width="25.85546875" customWidth="1"/>
    <col min="2064" max="2064" width="55" bestFit="1" customWidth="1"/>
    <col min="2065" max="2065" width="42.42578125" customWidth="1"/>
    <col min="2066" max="2066" width="11.85546875" customWidth="1"/>
    <col min="2067" max="2067" width="8.140625" customWidth="1"/>
    <col min="2068" max="2068" width="12" customWidth="1"/>
    <col min="2069" max="2069" width="11.85546875" customWidth="1"/>
    <col min="2070" max="2070" width="12.42578125" customWidth="1"/>
    <col min="2071" max="2071" width="10.5703125" bestFit="1" customWidth="1"/>
    <col min="2072" max="2072" width="11" customWidth="1"/>
    <col min="2073" max="2074" width="10.5703125" customWidth="1"/>
    <col min="2075" max="2076" width="8.140625" customWidth="1"/>
    <col min="2077" max="2087" width="9.42578125" customWidth="1"/>
    <col min="2318" max="2318" width="4.42578125" customWidth="1"/>
    <col min="2319" max="2319" width="25.85546875" customWidth="1"/>
    <col min="2320" max="2320" width="55" bestFit="1" customWidth="1"/>
    <col min="2321" max="2321" width="42.42578125" customWidth="1"/>
    <col min="2322" max="2322" width="11.85546875" customWidth="1"/>
    <col min="2323" max="2323" width="8.140625" customWidth="1"/>
    <col min="2324" max="2324" width="12" customWidth="1"/>
    <col min="2325" max="2325" width="11.85546875" customWidth="1"/>
    <col min="2326" max="2326" width="12.42578125" customWidth="1"/>
    <col min="2327" max="2327" width="10.5703125" bestFit="1" customWidth="1"/>
    <col min="2328" max="2328" width="11" customWidth="1"/>
    <col min="2329" max="2330" width="10.5703125" customWidth="1"/>
    <col min="2331" max="2332" width="8.140625" customWidth="1"/>
    <col min="2333" max="2343" width="9.42578125" customWidth="1"/>
    <col min="2574" max="2574" width="4.42578125" customWidth="1"/>
    <col min="2575" max="2575" width="25.85546875" customWidth="1"/>
    <col min="2576" max="2576" width="55" bestFit="1" customWidth="1"/>
    <col min="2577" max="2577" width="42.42578125" customWidth="1"/>
    <col min="2578" max="2578" width="11.85546875" customWidth="1"/>
    <col min="2579" max="2579" width="8.140625" customWidth="1"/>
    <col min="2580" max="2580" width="12" customWidth="1"/>
    <col min="2581" max="2581" width="11.85546875" customWidth="1"/>
    <col min="2582" max="2582" width="12.42578125" customWidth="1"/>
    <col min="2583" max="2583" width="10.5703125" bestFit="1" customWidth="1"/>
    <col min="2584" max="2584" width="11" customWidth="1"/>
    <col min="2585" max="2586" width="10.5703125" customWidth="1"/>
    <col min="2587" max="2588" width="8.140625" customWidth="1"/>
    <col min="2589" max="2599" width="9.42578125" customWidth="1"/>
    <col min="2830" max="2830" width="4.42578125" customWidth="1"/>
    <col min="2831" max="2831" width="25.85546875" customWidth="1"/>
    <col min="2832" max="2832" width="55" bestFit="1" customWidth="1"/>
    <col min="2833" max="2833" width="42.42578125" customWidth="1"/>
    <col min="2834" max="2834" width="11.85546875" customWidth="1"/>
    <col min="2835" max="2835" width="8.140625" customWidth="1"/>
    <col min="2836" max="2836" width="12" customWidth="1"/>
    <col min="2837" max="2837" width="11.85546875" customWidth="1"/>
    <col min="2838" max="2838" width="12.42578125" customWidth="1"/>
    <col min="2839" max="2839" width="10.5703125" bestFit="1" customWidth="1"/>
    <col min="2840" max="2840" width="11" customWidth="1"/>
    <col min="2841" max="2842" width="10.5703125" customWidth="1"/>
    <col min="2843" max="2844" width="8.140625" customWidth="1"/>
    <col min="2845" max="2855" width="9.42578125" customWidth="1"/>
    <col min="3086" max="3086" width="4.42578125" customWidth="1"/>
    <col min="3087" max="3087" width="25.85546875" customWidth="1"/>
    <col min="3088" max="3088" width="55" bestFit="1" customWidth="1"/>
    <col min="3089" max="3089" width="42.42578125" customWidth="1"/>
    <col min="3090" max="3090" width="11.85546875" customWidth="1"/>
    <col min="3091" max="3091" width="8.140625" customWidth="1"/>
    <col min="3092" max="3092" width="12" customWidth="1"/>
    <col min="3093" max="3093" width="11.85546875" customWidth="1"/>
    <col min="3094" max="3094" width="12.42578125" customWidth="1"/>
    <col min="3095" max="3095" width="10.5703125" bestFit="1" customWidth="1"/>
    <col min="3096" max="3096" width="11" customWidth="1"/>
    <col min="3097" max="3098" width="10.5703125" customWidth="1"/>
    <col min="3099" max="3100" width="8.140625" customWidth="1"/>
    <col min="3101" max="3111" width="9.42578125" customWidth="1"/>
    <col min="3342" max="3342" width="4.42578125" customWidth="1"/>
    <col min="3343" max="3343" width="25.85546875" customWidth="1"/>
    <col min="3344" max="3344" width="55" bestFit="1" customWidth="1"/>
    <col min="3345" max="3345" width="42.42578125" customWidth="1"/>
    <col min="3346" max="3346" width="11.85546875" customWidth="1"/>
    <col min="3347" max="3347" width="8.140625" customWidth="1"/>
    <col min="3348" max="3348" width="12" customWidth="1"/>
    <col min="3349" max="3349" width="11.85546875" customWidth="1"/>
    <col min="3350" max="3350" width="12.42578125" customWidth="1"/>
    <col min="3351" max="3351" width="10.5703125" bestFit="1" customWidth="1"/>
    <col min="3352" max="3352" width="11" customWidth="1"/>
    <col min="3353" max="3354" width="10.5703125" customWidth="1"/>
    <col min="3355" max="3356" width="8.140625" customWidth="1"/>
    <col min="3357" max="3367" width="9.42578125" customWidth="1"/>
    <col min="3598" max="3598" width="4.42578125" customWidth="1"/>
    <col min="3599" max="3599" width="25.85546875" customWidth="1"/>
    <col min="3600" max="3600" width="55" bestFit="1" customWidth="1"/>
    <col min="3601" max="3601" width="42.42578125" customWidth="1"/>
    <col min="3602" max="3602" width="11.85546875" customWidth="1"/>
    <col min="3603" max="3603" width="8.140625" customWidth="1"/>
    <col min="3604" max="3604" width="12" customWidth="1"/>
    <col min="3605" max="3605" width="11.85546875" customWidth="1"/>
    <col min="3606" max="3606" width="12.42578125" customWidth="1"/>
    <col min="3607" max="3607" width="10.5703125" bestFit="1" customWidth="1"/>
    <col min="3608" max="3608" width="11" customWidth="1"/>
    <col min="3609" max="3610" width="10.5703125" customWidth="1"/>
    <col min="3611" max="3612" width="8.140625" customWidth="1"/>
    <col min="3613" max="3623" width="9.42578125" customWidth="1"/>
    <col min="3854" max="3854" width="4.42578125" customWidth="1"/>
    <col min="3855" max="3855" width="25.85546875" customWidth="1"/>
    <col min="3856" max="3856" width="55" bestFit="1" customWidth="1"/>
    <col min="3857" max="3857" width="42.42578125" customWidth="1"/>
    <col min="3858" max="3858" width="11.85546875" customWidth="1"/>
    <col min="3859" max="3859" width="8.140625" customWidth="1"/>
    <col min="3860" max="3860" width="12" customWidth="1"/>
    <col min="3861" max="3861" width="11.85546875" customWidth="1"/>
    <col min="3862" max="3862" width="12.42578125" customWidth="1"/>
    <col min="3863" max="3863" width="10.5703125" bestFit="1" customWidth="1"/>
    <col min="3864" max="3864" width="11" customWidth="1"/>
    <col min="3865" max="3866" width="10.5703125" customWidth="1"/>
    <col min="3867" max="3868" width="8.140625" customWidth="1"/>
    <col min="3869" max="3879" width="9.42578125" customWidth="1"/>
    <col min="4110" max="4110" width="4.42578125" customWidth="1"/>
    <col min="4111" max="4111" width="25.85546875" customWidth="1"/>
    <col min="4112" max="4112" width="55" bestFit="1" customWidth="1"/>
    <col min="4113" max="4113" width="42.42578125" customWidth="1"/>
    <col min="4114" max="4114" width="11.85546875" customWidth="1"/>
    <col min="4115" max="4115" width="8.140625" customWidth="1"/>
    <col min="4116" max="4116" width="12" customWidth="1"/>
    <col min="4117" max="4117" width="11.85546875" customWidth="1"/>
    <col min="4118" max="4118" width="12.42578125" customWidth="1"/>
    <col min="4119" max="4119" width="10.5703125" bestFit="1" customWidth="1"/>
    <col min="4120" max="4120" width="11" customWidth="1"/>
    <col min="4121" max="4122" width="10.5703125" customWidth="1"/>
    <col min="4123" max="4124" width="8.140625" customWidth="1"/>
    <col min="4125" max="4135" width="9.42578125" customWidth="1"/>
    <col min="4366" max="4366" width="4.42578125" customWidth="1"/>
    <col min="4367" max="4367" width="25.85546875" customWidth="1"/>
    <col min="4368" max="4368" width="55" bestFit="1" customWidth="1"/>
    <col min="4369" max="4369" width="42.42578125" customWidth="1"/>
    <col min="4370" max="4370" width="11.85546875" customWidth="1"/>
    <col min="4371" max="4371" width="8.140625" customWidth="1"/>
    <col min="4372" max="4372" width="12" customWidth="1"/>
    <col min="4373" max="4373" width="11.85546875" customWidth="1"/>
    <col min="4374" max="4374" width="12.42578125" customWidth="1"/>
    <col min="4375" max="4375" width="10.5703125" bestFit="1" customWidth="1"/>
    <col min="4376" max="4376" width="11" customWidth="1"/>
    <col min="4377" max="4378" width="10.5703125" customWidth="1"/>
    <col min="4379" max="4380" width="8.140625" customWidth="1"/>
    <col min="4381" max="4391" width="9.42578125" customWidth="1"/>
    <col min="4622" max="4622" width="4.42578125" customWidth="1"/>
    <col min="4623" max="4623" width="25.85546875" customWidth="1"/>
    <col min="4624" max="4624" width="55" bestFit="1" customWidth="1"/>
    <col min="4625" max="4625" width="42.42578125" customWidth="1"/>
    <col min="4626" max="4626" width="11.85546875" customWidth="1"/>
    <col min="4627" max="4627" width="8.140625" customWidth="1"/>
    <col min="4628" max="4628" width="12" customWidth="1"/>
    <col min="4629" max="4629" width="11.85546875" customWidth="1"/>
    <col min="4630" max="4630" width="12.42578125" customWidth="1"/>
    <col min="4631" max="4631" width="10.5703125" bestFit="1" customWidth="1"/>
    <col min="4632" max="4632" width="11" customWidth="1"/>
    <col min="4633" max="4634" width="10.5703125" customWidth="1"/>
    <col min="4635" max="4636" width="8.140625" customWidth="1"/>
    <col min="4637" max="4647" width="9.42578125" customWidth="1"/>
    <col min="4878" max="4878" width="4.42578125" customWidth="1"/>
    <col min="4879" max="4879" width="25.85546875" customWidth="1"/>
    <col min="4880" max="4880" width="55" bestFit="1" customWidth="1"/>
    <col min="4881" max="4881" width="42.42578125" customWidth="1"/>
    <col min="4882" max="4882" width="11.85546875" customWidth="1"/>
    <col min="4883" max="4883" width="8.140625" customWidth="1"/>
    <col min="4884" max="4884" width="12" customWidth="1"/>
    <col min="4885" max="4885" width="11.85546875" customWidth="1"/>
    <col min="4886" max="4886" width="12.42578125" customWidth="1"/>
    <col min="4887" max="4887" width="10.5703125" bestFit="1" customWidth="1"/>
    <col min="4888" max="4888" width="11" customWidth="1"/>
    <col min="4889" max="4890" width="10.5703125" customWidth="1"/>
    <col min="4891" max="4892" width="8.140625" customWidth="1"/>
    <col min="4893" max="4903" width="9.42578125" customWidth="1"/>
    <col min="5134" max="5134" width="4.42578125" customWidth="1"/>
    <col min="5135" max="5135" width="25.85546875" customWidth="1"/>
    <col min="5136" max="5136" width="55" bestFit="1" customWidth="1"/>
    <col min="5137" max="5137" width="42.42578125" customWidth="1"/>
    <col min="5138" max="5138" width="11.85546875" customWidth="1"/>
    <col min="5139" max="5139" width="8.140625" customWidth="1"/>
    <col min="5140" max="5140" width="12" customWidth="1"/>
    <col min="5141" max="5141" width="11.85546875" customWidth="1"/>
    <col min="5142" max="5142" width="12.42578125" customWidth="1"/>
    <col min="5143" max="5143" width="10.5703125" bestFit="1" customWidth="1"/>
    <col min="5144" max="5144" width="11" customWidth="1"/>
    <col min="5145" max="5146" width="10.5703125" customWidth="1"/>
    <col min="5147" max="5148" width="8.140625" customWidth="1"/>
    <col min="5149" max="5159" width="9.42578125" customWidth="1"/>
    <col min="5390" max="5390" width="4.42578125" customWidth="1"/>
    <col min="5391" max="5391" width="25.85546875" customWidth="1"/>
    <col min="5392" max="5392" width="55" bestFit="1" customWidth="1"/>
    <col min="5393" max="5393" width="42.42578125" customWidth="1"/>
    <col min="5394" max="5394" width="11.85546875" customWidth="1"/>
    <col min="5395" max="5395" width="8.140625" customWidth="1"/>
    <col min="5396" max="5396" width="12" customWidth="1"/>
    <col min="5397" max="5397" width="11.85546875" customWidth="1"/>
    <col min="5398" max="5398" width="12.42578125" customWidth="1"/>
    <col min="5399" max="5399" width="10.5703125" bestFit="1" customWidth="1"/>
    <col min="5400" max="5400" width="11" customWidth="1"/>
    <col min="5401" max="5402" width="10.5703125" customWidth="1"/>
    <col min="5403" max="5404" width="8.140625" customWidth="1"/>
    <col min="5405" max="5415" width="9.42578125" customWidth="1"/>
    <col min="5646" max="5646" width="4.42578125" customWidth="1"/>
    <col min="5647" max="5647" width="25.85546875" customWidth="1"/>
    <col min="5648" max="5648" width="55" bestFit="1" customWidth="1"/>
    <col min="5649" max="5649" width="42.42578125" customWidth="1"/>
    <col min="5650" max="5650" width="11.85546875" customWidth="1"/>
    <col min="5651" max="5651" width="8.140625" customWidth="1"/>
    <col min="5652" max="5652" width="12" customWidth="1"/>
    <col min="5653" max="5653" width="11.85546875" customWidth="1"/>
    <col min="5654" max="5654" width="12.42578125" customWidth="1"/>
    <col min="5655" max="5655" width="10.5703125" bestFit="1" customWidth="1"/>
    <col min="5656" max="5656" width="11" customWidth="1"/>
    <col min="5657" max="5658" width="10.5703125" customWidth="1"/>
    <col min="5659" max="5660" width="8.140625" customWidth="1"/>
    <col min="5661" max="5671" width="9.42578125" customWidth="1"/>
    <col min="5902" max="5902" width="4.42578125" customWidth="1"/>
    <col min="5903" max="5903" width="25.85546875" customWidth="1"/>
    <col min="5904" max="5904" width="55" bestFit="1" customWidth="1"/>
    <col min="5905" max="5905" width="42.42578125" customWidth="1"/>
    <col min="5906" max="5906" width="11.85546875" customWidth="1"/>
    <col min="5907" max="5907" width="8.140625" customWidth="1"/>
    <col min="5908" max="5908" width="12" customWidth="1"/>
    <col min="5909" max="5909" width="11.85546875" customWidth="1"/>
    <col min="5910" max="5910" width="12.42578125" customWidth="1"/>
    <col min="5911" max="5911" width="10.5703125" bestFit="1" customWidth="1"/>
    <col min="5912" max="5912" width="11" customWidth="1"/>
    <col min="5913" max="5914" width="10.5703125" customWidth="1"/>
    <col min="5915" max="5916" width="8.140625" customWidth="1"/>
    <col min="5917" max="5927" width="9.42578125" customWidth="1"/>
    <col min="6158" max="6158" width="4.42578125" customWidth="1"/>
    <col min="6159" max="6159" width="25.85546875" customWidth="1"/>
    <col min="6160" max="6160" width="55" bestFit="1" customWidth="1"/>
    <col min="6161" max="6161" width="42.42578125" customWidth="1"/>
    <col min="6162" max="6162" width="11.85546875" customWidth="1"/>
    <col min="6163" max="6163" width="8.140625" customWidth="1"/>
    <col min="6164" max="6164" width="12" customWidth="1"/>
    <col min="6165" max="6165" width="11.85546875" customWidth="1"/>
    <col min="6166" max="6166" width="12.42578125" customWidth="1"/>
    <col min="6167" max="6167" width="10.5703125" bestFit="1" customWidth="1"/>
    <col min="6168" max="6168" width="11" customWidth="1"/>
    <col min="6169" max="6170" width="10.5703125" customWidth="1"/>
    <col min="6171" max="6172" width="8.140625" customWidth="1"/>
    <col min="6173" max="6183" width="9.42578125" customWidth="1"/>
    <col min="6414" max="6414" width="4.42578125" customWidth="1"/>
    <col min="6415" max="6415" width="25.85546875" customWidth="1"/>
    <col min="6416" max="6416" width="55" bestFit="1" customWidth="1"/>
    <col min="6417" max="6417" width="42.42578125" customWidth="1"/>
    <col min="6418" max="6418" width="11.85546875" customWidth="1"/>
    <col min="6419" max="6419" width="8.140625" customWidth="1"/>
    <col min="6420" max="6420" width="12" customWidth="1"/>
    <col min="6421" max="6421" width="11.85546875" customWidth="1"/>
    <col min="6422" max="6422" width="12.42578125" customWidth="1"/>
    <col min="6423" max="6423" width="10.5703125" bestFit="1" customWidth="1"/>
    <col min="6424" max="6424" width="11" customWidth="1"/>
    <col min="6425" max="6426" width="10.5703125" customWidth="1"/>
    <col min="6427" max="6428" width="8.140625" customWidth="1"/>
    <col min="6429" max="6439" width="9.42578125" customWidth="1"/>
    <col min="6670" max="6670" width="4.42578125" customWidth="1"/>
    <col min="6671" max="6671" width="25.85546875" customWidth="1"/>
    <col min="6672" max="6672" width="55" bestFit="1" customWidth="1"/>
    <col min="6673" max="6673" width="42.42578125" customWidth="1"/>
    <col min="6674" max="6674" width="11.85546875" customWidth="1"/>
    <col min="6675" max="6675" width="8.140625" customWidth="1"/>
    <col min="6676" max="6676" width="12" customWidth="1"/>
    <col min="6677" max="6677" width="11.85546875" customWidth="1"/>
    <col min="6678" max="6678" width="12.42578125" customWidth="1"/>
    <col min="6679" max="6679" width="10.5703125" bestFit="1" customWidth="1"/>
    <col min="6680" max="6680" width="11" customWidth="1"/>
    <col min="6681" max="6682" width="10.5703125" customWidth="1"/>
    <col min="6683" max="6684" width="8.140625" customWidth="1"/>
    <col min="6685" max="6695" width="9.42578125" customWidth="1"/>
    <col min="6926" max="6926" width="4.42578125" customWidth="1"/>
    <col min="6927" max="6927" width="25.85546875" customWidth="1"/>
    <col min="6928" max="6928" width="55" bestFit="1" customWidth="1"/>
    <col min="6929" max="6929" width="42.42578125" customWidth="1"/>
    <col min="6930" max="6930" width="11.85546875" customWidth="1"/>
    <col min="6931" max="6931" width="8.140625" customWidth="1"/>
    <col min="6932" max="6932" width="12" customWidth="1"/>
    <col min="6933" max="6933" width="11.85546875" customWidth="1"/>
    <col min="6934" max="6934" width="12.42578125" customWidth="1"/>
    <col min="6935" max="6935" width="10.5703125" bestFit="1" customWidth="1"/>
    <col min="6936" max="6936" width="11" customWidth="1"/>
    <col min="6937" max="6938" width="10.5703125" customWidth="1"/>
    <col min="6939" max="6940" width="8.140625" customWidth="1"/>
    <col min="6941" max="6951" width="9.42578125" customWidth="1"/>
    <col min="7182" max="7182" width="4.42578125" customWidth="1"/>
    <col min="7183" max="7183" width="25.85546875" customWidth="1"/>
    <col min="7184" max="7184" width="55" bestFit="1" customWidth="1"/>
    <col min="7185" max="7185" width="42.42578125" customWidth="1"/>
    <col min="7186" max="7186" width="11.85546875" customWidth="1"/>
    <col min="7187" max="7187" width="8.140625" customWidth="1"/>
    <col min="7188" max="7188" width="12" customWidth="1"/>
    <col min="7189" max="7189" width="11.85546875" customWidth="1"/>
    <col min="7190" max="7190" width="12.42578125" customWidth="1"/>
    <col min="7191" max="7191" width="10.5703125" bestFit="1" customWidth="1"/>
    <col min="7192" max="7192" width="11" customWidth="1"/>
    <col min="7193" max="7194" width="10.5703125" customWidth="1"/>
    <col min="7195" max="7196" width="8.140625" customWidth="1"/>
    <col min="7197" max="7207" width="9.42578125" customWidth="1"/>
    <col min="7438" max="7438" width="4.42578125" customWidth="1"/>
    <col min="7439" max="7439" width="25.85546875" customWidth="1"/>
    <col min="7440" max="7440" width="55" bestFit="1" customWidth="1"/>
    <col min="7441" max="7441" width="42.42578125" customWidth="1"/>
    <col min="7442" max="7442" width="11.85546875" customWidth="1"/>
    <col min="7443" max="7443" width="8.140625" customWidth="1"/>
    <col min="7444" max="7444" width="12" customWidth="1"/>
    <col min="7445" max="7445" width="11.85546875" customWidth="1"/>
    <col min="7446" max="7446" width="12.42578125" customWidth="1"/>
    <col min="7447" max="7447" width="10.5703125" bestFit="1" customWidth="1"/>
    <col min="7448" max="7448" width="11" customWidth="1"/>
    <col min="7449" max="7450" width="10.5703125" customWidth="1"/>
    <col min="7451" max="7452" width="8.140625" customWidth="1"/>
    <col min="7453" max="7463" width="9.42578125" customWidth="1"/>
    <col min="7694" max="7694" width="4.42578125" customWidth="1"/>
    <col min="7695" max="7695" width="25.85546875" customWidth="1"/>
    <col min="7696" max="7696" width="55" bestFit="1" customWidth="1"/>
    <col min="7697" max="7697" width="42.42578125" customWidth="1"/>
    <col min="7698" max="7698" width="11.85546875" customWidth="1"/>
    <col min="7699" max="7699" width="8.140625" customWidth="1"/>
    <col min="7700" max="7700" width="12" customWidth="1"/>
    <col min="7701" max="7701" width="11.85546875" customWidth="1"/>
    <col min="7702" max="7702" width="12.42578125" customWidth="1"/>
    <col min="7703" max="7703" width="10.5703125" bestFit="1" customWidth="1"/>
    <col min="7704" max="7704" width="11" customWidth="1"/>
    <col min="7705" max="7706" width="10.5703125" customWidth="1"/>
    <col min="7707" max="7708" width="8.140625" customWidth="1"/>
    <col min="7709" max="7719" width="9.42578125" customWidth="1"/>
    <col min="7950" max="7950" width="4.42578125" customWidth="1"/>
    <col min="7951" max="7951" width="25.85546875" customWidth="1"/>
    <col min="7952" max="7952" width="55" bestFit="1" customWidth="1"/>
    <col min="7953" max="7953" width="42.42578125" customWidth="1"/>
    <col min="7954" max="7954" width="11.85546875" customWidth="1"/>
    <col min="7955" max="7955" width="8.140625" customWidth="1"/>
    <col min="7956" max="7956" width="12" customWidth="1"/>
    <col min="7957" max="7957" width="11.85546875" customWidth="1"/>
    <col min="7958" max="7958" width="12.42578125" customWidth="1"/>
    <col min="7959" max="7959" width="10.5703125" bestFit="1" customWidth="1"/>
    <col min="7960" max="7960" width="11" customWidth="1"/>
    <col min="7961" max="7962" width="10.5703125" customWidth="1"/>
    <col min="7963" max="7964" width="8.140625" customWidth="1"/>
    <col min="7965" max="7975" width="9.42578125" customWidth="1"/>
    <col min="8206" max="8206" width="4.42578125" customWidth="1"/>
    <col min="8207" max="8207" width="25.85546875" customWidth="1"/>
    <col min="8208" max="8208" width="55" bestFit="1" customWidth="1"/>
    <col min="8209" max="8209" width="42.42578125" customWidth="1"/>
    <col min="8210" max="8210" width="11.85546875" customWidth="1"/>
    <col min="8211" max="8211" width="8.140625" customWidth="1"/>
    <col min="8212" max="8212" width="12" customWidth="1"/>
    <col min="8213" max="8213" width="11.85546875" customWidth="1"/>
    <col min="8214" max="8214" width="12.42578125" customWidth="1"/>
    <col min="8215" max="8215" width="10.5703125" bestFit="1" customWidth="1"/>
    <col min="8216" max="8216" width="11" customWidth="1"/>
    <col min="8217" max="8218" width="10.5703125" customWidth="1"/>
    <col min="8219" max="8220" width="8.140625" customWidth="1"/>
    <col min="8221" max="8231" width="9.42578125" customWidth="1"/>
    <col min="8462" max="8462" width="4.42578125" customWidth="1"/>
    <col min="8463" max="8463" width="25.85546875" customWidth="1"/>
    <col min="8464" max="8464" width="55" bestFit="1" customWidth="1"/>
    <col min="8465" max="8465" width="42.42578125" customWidth="1"/>
    <col min="8466" max="8466" width="11.85546875" customWidth="1"/>
    <col min="8467" max="8467" width="8.140625" customWidth="1"/>
    <col min="8468" max="8468" width="12" customWidth="1"/>
    <col min="8469" max="8469" width="11.85546875" customWidth="1"/>
    <col min="8470" max="8470" width="12.42578125" customWidth="1"/>
    <col min="8471" max="8471" width="10.5703125" bestFit="1" customWidth="1"/>
    <col min="8472" max="8472" width="11" customWidth="1"/>
    <col min="8473" max="8474" width="10.5703125" customWidth="1"/>
    <col min="8475" max="8476" width="8.140625" customWidth="1"/>
    <col min="8477" max="8487" width="9.42578125" customWidth="1"/>
    <col min="8718" max="8718" width="4.42578125" customWidth="1"/>
    <col min="8719" max="8719" width="25.85546875" customWidth="1"/>
    <col min="8720" max="8720" width="55" bestFit="1" customWidth="1"/>
    <col min="8721" max="8721" width="42.42578125" customWidth="1"/>
    <col min="8722" max="8722" width="11.85546875" customWidth="1"/>
    <col min="8723" max="8723" width="8.140625" customWidth="1"/>
    <col min="8724" max="8724" width="12" customWidth="1"/>
    <col min="8725" max="8725" width="11.85546875" customWidth="1"/>
    <col min="8726" max="8726" width="12.42578125" customWidth="1"/>
    <col min="8727" max="8727" width="10.5703125" bestFit="1" customWidth="1"/>
    <col min="8728" max="8728" width="11" customWidth="1"/>
    <col min="8729" max="8730" width="10.5703125" customWidth="1"/>
    <col min="8731" max="8732" width="8.140625" customWidth="1"/>
    <col min="8733" max="8743" width="9.42578125" customWidth="1"/>
    <col min="8974" max="8974" width="4.42578125" customWidth="1"/>
    <col min="8975" max="8975" width="25.85546875" customWidth="1"/>
    <col min="8976" max="8976" width="55" bestFit="1" customWidth="1"/>
    <col min="8977" max="8977" width="42.42578125" customWidth="1"/>
    <col min="8978" max="8978" width="11.85546875" customWidth="1"/>
    <col min="8979" max="8979" width="8.140625" customWidth="1"/>
    <col min="8980" max="8980" width="12" customWidth="1"/>
    <col min="8981" max="8981" width="11.85546875" customWidth="1"/>
    <col min="8982" max="8982" width="12.42578125" customWidth="1"/>
    <col min="8983" max="8983" width="10.5703125" bestFit="1" customWidth="1"/>
    <col min="8984" max="8984" width="11" customWidth="1"/>
    <col min="8985" max="8986" width="10.5703125" customWidth="1"/>
    <col min="8987" max="8988" width="8.140625" customWidth="1"/>
    <col min="8989" max="8999" width="9.42578125" customWidth="1"/>
    <col min="9230" max="9230" width="4.42578125" customWidth="1"/>
    <col min="9231" max="9231" width="25.85546875" customWidth="1"/>
    <col min="9232" max="9232" width="55" bestFit="1" customWidth="1"/>
    <col min="9233" max="9233" width="42.42578125" customWidth="1"/>
    <col min="9234" max="9234" width="11.85546875" customWidth="1"/>
    <col min="9235" max="9235" width="8.140625" customWidth="1"/>
    <col min="9236" max="9236" width="12" customWidth="1"/>
    <col min="9237" max="9237" width="11.85546875" customWidth="1"/>
    <col min="9238" max="9238" width="12.42578125" customWidth="1"/>
    <col min="9239" max="9239" width="10.5703125" bestFit="1" customWidth="1"/>
    <col min="9240" max="9240" width="11" customWidth="1"/>
    <col min="9241" max="9242" width="10.5703125" customWidth="1"/>
    <col min="9243" max="9244" width="8.140625" customWidth="1"/>
    <col min="9245" max="9255" width="9.42578125" customWidth="1"/>
    <col min="9486" max="9486" width="4.42578125" customWidth="1"/>
    <col min="9487" max="9487" width="25.85546875" customWidth="1"/>
    <col min="9488" max="9488" width="55" bestFit="1" customWidth="1"/>
    <col min="9489" max="9489" width="42.42578125" customWidth="1"/>
    <col min="9490" max="9490" width="11.85546875" customWidth="1"/>
    <col min="9491" max="9491" width="8.140625" customWidth="1"/>
    <col min="9492" max="9492" width="12" customWidth="1"/>
    <col min="9493" max="9493" width="11.85546875" customWidth="1"/>
    <col min="9494" max="9494" width="12.42578125" customWidth="1"/>
    <col min="9495" max="9495" width="10.5703125" bestFit="1" customWidth="1"/>
    <col min="9496" max="9496" width="11" customWidth="1"/>
    <col min="9497" max="9498" width="10.5703125" customWidth="1"/>
    <col min="9499" max="9500" width="8.140625" customWidth="1"/>
    <col min="9501" max="9511" width="9.42578125" customWidth="1"/>
    <col min="9742" max="9742" width="4.42578125" customWidth="1"/>
    <col min="9743" max="9743" width="25.85546875" customWidth="1"/>
    <col min="9744" max="9744" width="55" bestFit="1" customWidth="1"/>
    <col min="9745" max="9745" width="42.42578125" customWidth="1"/>
    <col min="9746" max="9746" width="11.85546875" customWidth="1"/>
    <col min="9747" max="9747" width="8.140625" customWidth="1"/>
    <col min="9748" max="9748" width="12" customWidth="1"/>
    <col min="9749" max="9749" width="11.85546875" customWidth="1"/>
    <col min="9750" max="9750" width="12.42578125" customWidth="1"/>
    <col min="9751" max="9751" width="10.5703125" bestFit="1" customWidth="1"/>
    <col min="9752" max="9752" width="11" customWidth="1"/>
    <col min="9753" max="9754" width="10.5703125" customWidth="1"/>
    <col min="9755" max="9756" width="8.140625" customWidth="1"/>
    <col min="9757" max="9767" width="9.42578125" customWidth="1"/>
    <col min="9998" max="9998" width="4.42578125" customWidth="1"/>
    <col min="9999" max="9999" width="25.85546875" customWidth="1"/>
    <col min="10000" max="10000" width="55" bestFit="1" customWidth="1"/>
    <col min="10001" max="10001" width="42.42578125" customWidth="1"/>
    <col min="10002" max="10002" width="11.85546875" customWidth="1"/>
    <col min="10003" max="10003" width="8.140625" customWidth="1"/>
    <col min="10004" max="10004" width="12" customWidth="1"/>
    <col min="10005" max="10005" width="11.85546875" customWidth="1"/>
    <col min="10006" max="10006" width="12.42578125" customWidth="1"/>
    <col min="10007" max="10007" width="10.5703125" bestFit="1" customWidth="1"/>
    <col min="10008" max="10008" width="11" customWidth="1"/>
    <col min="10009" max="10010" width="10.5703125" customWidth="1"/>
    <col min="10011" max="10012" width="8.140625" customWidth="1"/>
    <col min="10013" max="10023" width="9.42578125" customWidth="1"/>
    <col min="10254" max="10254" width="4.42578125" customWidth="1"/>
    <col min="10255" max="10255" width="25.85546875" customWidth="1"/>
    <col min="10256" max="10256" width="55" bestFit="1" customWidth="1"/>
    <col min="10257" max="10257" width="42.42578125" customWidth="1"/>
    <col min="10258" max="10258" width="11.85546875" customWidth="1"/>
    <col min="10259" max="10259" width="8.140625" customWidth="1"/>
    <col min="10260" max="10260" width="12" customWidth="1"/>
    <col min="10261" max="10261" width="11.85546875" customWidth="1"/>
    <col min="10262" max="10262" width="12.42578125" customWidth="1"/>
    <col min="10263" max="10263" width="10.5703125" bestFit="1" customWidth="1"/>
    <col min="10264" max="10264" width="11" customWidth="1"/>
    <col min="10265" max="10266" width="10.5703125" customWidth="1"/>
    <col min="10267" max="10268" width="8.140625" customWidth="1"/>
    <col min="10269" max="10279" width="9.42578125" customWidth="1"/>
    <col min="10510" max="10510" width="4.42578125" customWidth="1"/>
    <col min="10511" max="10511" width="25.85546875" customWidth="1"/>
    <col min="10512" max="10512" width="55" bestFit="1" customWidth="1"/>
    <col min="10513" max="10513" width="42.42578125" customWidth="1"/>
    <col min="10514" max="10514" width="11.85546875" customWidth="1"/>
    <col min="10515" max="10515" width="8.140625" customWidth="1"/>
    <col min="10516" max="10516" width="12" customWidth="1"/>
    <col min="10517" max="10517" width="11.85546875" customWidth="1"/>
    <col min="10518" max="10518" width="12.42578125" customWidth="1"/>
    <col min="10519" max="10519" width="10.5703125" bestFit="1" customWidth="1"/>
    <col min="10520" max="10520" width="11" customWidth="1"/>
    <col min="10521" max="10522" width="10.5703125" customWidth="1"/>
    <col min="10523" max="10524" width="8.140625" customWidth="1"/>
    <col min="10525" max="10535" width="9.42578125" customWidth="1"/>
    <col min="10766" max="10766" width="4.42578125" customWidth="1"/>
    <col min="10767" max="10767" width="25.85546875" customWidth="1"/>
    <col min="10768" max="10768" width="55" bestFit="1" customWidth="1"/>
    <col min="10769" max="10769" width="42.42578125" customWidth="1"/>
    <col min="10770" max="10770" width="11.85546875" customWidth="1"/>
    <col min="10771" max="10771" width="8.140625" customWidth="1"/>
    <col min="10772" max="10772" width="12" customWidth="1"/>
    <col min="10773" max="10773" width="11.85546875" customWidth="1"/>
    <col min="10774" max="10774" width="12.42578125" customWidth="1"/>
    <col min="10775" max="10775" width="10.5703125" bestFit="1" customWidth="1"/>
    <col min="10776" max="10776" width="11" customWidth="1"/>
    <col min="10777" max="10778" width="10.5703125" customWidth="1"/>
    <col min="10779" max="10780" width="8.140625" customWidth="1"/>
    <col min="10781" max="10791" width="9.42578125" customWidth="1"/>
    <col min="11022" max="11022" width="4.42578125" customWidth="1"/>
    <col min="11023" max="11023" width="25.85546875" customWidth="1"/>
    <col min="11024" max="11024" width="55" bestFit="1" customWidth="1"/>
    <col min="11025" max="11025" width="42.42578125" customWidth="1"/>
    <col min="11026" max="11026" width="11.85546875" customWidth="1"/>
    <col min="11027" max="11027" width="8.140625" customWidth="1"/>
    <col min="11028" max="11028" width="12" customWidth="1"/>
    <col min="11029" max="11029" width="11.85546875" customWidth="1"/>
    <col min="11030" max="11030" width="12.42578125" customWidth="1"/>
    <col min="11031" max="11031" width="10.5703125" bestFit="1" customWidth="1"/>
    <col min="11032" max="11032" width="11" customWidth="1"/>
    <col min="11033" max="11034" width="10.5703125" customWidth="1"/>
    <col min="11035" max="11036" width="8.140625" customWidth="1"/>
    <col min="11037" max="11047" width="9.42578125" customWidth="1"/>
    <col min="11278" max="11278" width="4.42578125" customWidth="1"/>
    <col min="11279" max="11279" width="25.85546875" customWidth="1"/>
    <col min="11280" max="11280" width="55" bestFit="1" customWidth="1"/>
    <col min="11281" max="11281" width="42.42578125" customWidth="1"/>
    <col min="11282" max="11282" width="11.85546875" customWidth="1"/>
    <col min="11283" max="11283" width="8.140625" customWidth="1"/>
    <col min="11284" max="11284" width="12" customWidth="1"/>
    <col min="11285" max="11285" width="11.85546875" customWidth="1"/>
    <col min="11286" max="11286" width="12.42578125" customWidth="1"/>
    <col min="11287" max="11287" width="10.5703125" bestFit="1" customWidth="1"/>
    <col min="11288" max="11288" width="11" customWidth="1"/>
    <col min="11289" max="11290" width="10.5703125" customWidth="1"/>
    <col min="11291" max="11292" width="8.140625" customWidth="1"/>
    <col min="11293" max="11303" width="9.42578125" customWidth="1"/>
    <col min="11534" max="11534" width="4.42578125" customWidth="1"/>
    <col min="11535" max="11535" width="25.85546875" customWidth="1"/>
    <col min="11536" max="11536" width="55" bestFit="1" customWidth="1"/>
    <col min="11537" max="11537" width="42.42578125" customWidth="1"/>
    <col min="11538" max="11538" width="11.85546875" customWidth="1"/>
    <col min="11539" max="11539" width="8.140625" customWidth="1"/>
    <col min="11540" max="11540" width="12" customWidth="1"/>
    <col min="11541" max="11541" width="11.85546875" customWidth="1"/>
    <col min="11542" max="11542" width="12.42578125" customWidth="1"/>
    <col min="11543" max="11543" width="10.5703125" bestFit="1" customWidth="1"/>
    <col min="11544" max="11544" width="11" customWidth="1"/>
    <col min="11545" max="11546" width="10.5703125" customWidth="1"/>
    <col min="11547" max="11548" width="8.140625" customWidth="1"/>
    <col min="11549" max="11559" width="9.42578125" customWidth="1"/>
    <col min="11790" max="11790" width="4.42578125" customWidth="1"/>
    <col min="11791" max="11791" width="25.85546875" customWidth="1"/>
    <col min="11792" max="11792" width="55" bestFit="1" customWidth="1"/>
    <col min="11793" max="11793" width="42.42578125" customWidth="1"/>
    <col min="11794" max="11794" width="11.85546875" customWidth="1"/>
    <col min="11795" max="11795" width="8.140625" customWidth="1"/>
    <col min="11796" max="11796" width="12" customWidth="1"/>
    <col min="11797" max="11797" width="11.85546875" customWidth="1"/>
    <col min="11798" max="11798" width="12.42578125" customWidth="1"/>
    <col min="11799" max="11799" width="10.5703125" bestFit="1" customWidth="1"/>
    <col min="11800" max="11800" width="11" customWidth="1"/>
    <col min="11801" max="11802" width="10.5703125" customWidth="1"/>
    <col min="11803" max="11804" width="8.140625" customWidth="1"/>
    <col min="11805" max="11815" width="9.42578125" customWidth="1"/>
    <col min="12046" max="12046" width="4.42578125" customWidth="1"/>
    <col min="12047" max="12047" width="25.85546875" customWidth="1"/>
    <col min="12048" max="12048" width="55" bestFit="1" customWidth="1"/>
    <col min="12049" max="12049" width="42.42578125" customWidth="1"/>
    <col min="12050" max="12050" width="11.85546875" customWidth="1"/>
    <col min="12051" max="12051" width="8.140625" customWidth="1"/>
    <col min="12052" max="12052" width="12" customWidth="1"/>
    <col min="12053" max="12053" width="11.85546875" customWidth="1"/>
    <col min="12054" max="12054" width="12.42578125" customWidth="1"/>
    <col min="12055" max="12055" width="10.5703125" bestFit="1" customWidth="1"/>
    <col min="12056" max="12056" width="11" customWidth="1"/>
    <col min="12057" max="12058" width="10.5703125" customWidth="1"/>
    <col min="12059" max="12060" width="8.140625" customWidth="1"/>
    <col min="12061" max="12071" width="9.42578125" customWidth="1"/>
    <col min="12302" max="12302" width="4.42578125" customWidth="1"/>
    <col min="12303" max="12303" width="25.85546875" customWidth="1"/>
    <col min="12304" max="12304" width="55" bestFit="1" customWidth="1"/>
    <col min="12305" max="12305" width="42.42578125" customWidth="1"/>
    <col min="12306" max="12306" width="11.85546875" customWidth="1"/>
    <col min="12307" max="12307" width="8.140625" customWidth="1"/>
    <col min="12308" max="12308" width="12" customWidth="1"/>
    <col min="12309" max="12309" width="11.85546875" customWidth="1"/>
    <col min="12310" max="12310" width="12.42578125" customWidth="1"/>
    <col min="12311" max="12311" width="10.5703125" bestFit="1" customWidth="1"/>
    <col min="12312" max="12312" width="11" customWidth="1"/>
    <col min="12313" max="12314" width="10.5703125" customWidth="1"/>
    <col min="12315" max="12316" width="8.140625" customWidth="1"/>
    <col min="12317" max="12327" width="9.42578125" customWidth="1"/>
    <col min="12558" max="12558" width="4.42578125" customWidth="1"/>
    <col min="12559" max="12559" width="25.85546875" customWidth="1"/>
    <col min="12560" max="12560" width="55" bestFit="1" customWidth="1"/>
    <col min="12561" max="12561" width="42.42578125" customWidth="1"/>
    <col min="12562" max="12562" width="11.85546875" customWidth="1"/>
    <col min="12563" max="12563" width="8.140625" customWidth="1"/>
    <col min="12564" max="12564" width="12" customWidth="1"/>
    <col min="12565" max="12565" width="11.85546875" customWidth="1"/>
    <col min="12566" max="12566" width="12.42578125" customWidth="1"/>
    <col min="12567" max="12567" width="10.5703125" bestFit="1" customWidth="1"/>
    <col min="12568" max="12568" width="11" customWidth="1"/>
    <col min="12569" max="12570" width="10.5703125" customWidth="1"/>
    <col min="12571" max="12572" width="8.140625" customWidth="1"/>
    <col min="12573" max="12583" width="9.42578125" customWidth="1"/>
    <col min="12814" max="12814" width="4.42578125" customWidth="1"/>
    <col min="12815" max="12815" width="25.85546875" customWidth="1"/>
    <col min="12816" max="12816" width="55" bestFit="1" customWidth="1"/>
    <col min="12817" max="12817" width="42.42578125" customWidth="1"/>
    <col min="12818" max="12818" width="11.85546875" customWidth="1"/>
    <col min="12819" max="12819" width="8.140625" customWidth="1"/>
    <col min="12820" max="12820" width="12" customWidth="1"/>
    <col min="12821" max="12821" width="11.85546875" customWidth="1"/>
    <col min="12822" max="12822" width="12.42578125" customWidth="1"/>
    <col min="12823" max="12823" width="10.5703125" bestFit="1" customWidth="1"/>
    <col min="12824" max="12824" width="11" customWidth="1"/>
    <col min="12825" max="12826" width="10.5703125" customWidth="1"/>
    <col min="12827" max="12828" width="8.140625" customWidth="1"/>
    <col min="12829" max="12839" width="9.42578125" customWidth="1"/>
    <col min="13070" max="13070" width="4.42578125" customWidth="1"/>
    <col min="13071" max="13071" width="25.85546875" customWidth="1"/>
    <col min="13072" max="13072" width="55" bestFit="1" customWidth="1"/>
    <col min="13073" max="13073" width="42.42578125" customWidth="1"/>
    <col min="13074" max="13074" width="11.85546875" customWidth="1"/>
    <col min="13075" max="13075" width="8.140625" customWidth="1"/>
    <col min="13076" max="13076" width="12" customWidth="1"/>
    <col min="13077" max="13077" width="11.85546875" customWidth="1"/>
    <col min="13078" max="13078" width="12.42578125" customWidth="1"/>
    <col min="13079" max="13079" width="10.5703125" bestFit="1" customWidth="1"/>
    <col min="13080" max="13080" width="11" customWidth="1"/>
    <col min="13081" max="13082" width="10.5703125" customWidth="1"/>
    <col min="13083" max="13084" width="8.140625" customWidth="1"/>
    <col min="13085" max="13095" width="9.42578125" customWidth="1"/>
    <col min="13326" max="13326" width="4.42578125" customWidth="1"/>
    <col min="13327" max="13327" width="25.85546875" customWidth="1"/>
    <col min="13328" max="13328" width="55" bestFit="1" customWidth="1"/>
    <col min="13329" max="13329" width="42.42578125" customWidth="1"/>
    <col min="13330" max="13330" width="11.85546875" customWidth="1"/>
    <col min="13331" max="13331" width="8.140625" customWidth="1"/>
    <col min="13332" max="13332" width="12" customWidth="1"/>
    <col min="13333" max="13333" width="11.85546875" customWidth="1"/>
    <col min="13334" max="13334" width="12.42578125" customWidth="1"/>
    <col min="13335" max="13335" width="10.5703125" bestFit="1" customWidth="1"/>
    <col min="13336" max="13336" width="11" customWidth="1"/>
    <col min="13337" max="13338" width="10.5703125" customWidth="1"/>
    <col min="13339" max="13340" width="8.140625" customWidth="1"/>
    <col min="13341" max="13351" width="9.42578125" customWidth="1"/>
    <col min="13582" max="13582" width="4.42578125" customWidth="1"/>
    <col min="13583" max="13583" width="25.85546875" customWidth="1"/>
    <col min="13584" max="13584" width="55" bestFit="1" customWidth="1"/>
    <col min="13585" max="13585" width="42.42578125" customWidth="1"/>
    <col min="13586" max="13586" width="11.85546875" customWidth="1"/>
    <col min="13587" max="13587" width="8.140625" customWidth="1"/>
    <col min="13588" max="13588" width="12" customWidth="1"/>
    <col min="13589" max="13589" width="11.85546875" customWidth="1"/>
    <col min="13590" max="13590" width="12.42578125" customWidth="1"/>
    <col min="13591" max="13591" width="10.5703125" bestFit="1" customWidth="1"/>
    <col min="13592" max="13592" width="11" customWidth="1"/>
    <col min="13593" max="13594" width="10.5703125" customWidth="1"/>
    <col min="13595" max="13596" width="8.140625" customWidth="1"/>
    <col min="13597" max="13607" width="9.42578125" customWidth="1"/>
    <col min="13838" max="13838" width="4.42578125" customWidth="1"/>
    <col min="13839" max="13839" width="25.85546875" customWidth="1"/>
    <col min="13840" max="13840" width="55" bestFit="1" customWidth="1"/>
    <col min="13841" max="13841" width="42.42578125" customWidth="1"/>
    <col min="13842" max="13842" width="11.85546875" customWidth="1"/>
    <col min="13843" max="13843" width="8.140625" customWidth="1"/>
    <col min="13844" max="13844" width="12" customWidth="1"/>
    <col min="13845" max="13845" width="11.85546875" customWidth="1"/>
    <col min="13846" max="13846" width="12.42578125" customWidth="1"/>
    <col min="13847" max="13847" width="10.5703125" bestFit="1" customWidth="1"/>
    <col min="13848" max="13848" width="11" customWidth="1"/>
    <col min="13849" max="13850" width="10.5703125" customWidth="1"/>
    <col min="13851" max="13852" width="8.140625" customWidth="1"/>
    <col min="13853" max="13863" width="9.42578125" customWidth="1"/>
    <col min="14094" max="14094" width="4.42578125" customWidth="1"/>
    <col min="14095" max="14095" width="25.85546875" customWidth="1"/>
    <col min="14096" max="14096" width="55" bestFit="1" customWidth="1"/>
    <col min="14097" max="14097" width="42.42578125" customWidth="1"/>
    <col min="14098" max="14098" width="11.85546875" customWidth="1"/>
    <col min="14099" max="14099" width="8.140625" customWidth="1"/>
    <col min="14100" max="14100" width="12" customWidth="1"/>
    <col min="14101" max="14101" width="11.85546875" customWidth="1"/>
    <col min="14102" max="14102" width="12.42578125" customWidth="1"/>
    <col min="14103" max="14103" width="10.5703125" bestFit="1" customWidth="1"/>
    <col min="14104" max="14104" width="11" customWidth="1"/>
    <col min="14105" max="14106" width="10.5703125" customWidth="1"/>
    <col min="14107" max="14108" width="8.140625" customWidth="1"/>
    <col min="14109" max="14119" width="9.42578125" customWidth="1"/>
    <col min="14350" max="14350" width="4.42578125" customWidth="1"/>
    <col min="14351" max="14351" width="25.85546875" customWidth="1"/>
    <col min="14352" max="14352" width="55" bestFit="1" customWidth="1"/>
    <col min="14353" max="14353" width="42.42578125" customWidth="1"/>
    <col min="14354" max="14354" width="11.85546875" customWidth="1"/>
    <col min="14355" max="14355" width="8.140625" customWidth="1"/>
    <col min="14356" max="14356" width="12" customWidth="1"/>
    <col min="14357" max="14357" width="11.85546875" customWidth="1"/>
    <col min="14358" max="14358" width="12.42578125" customWidth="1"/>
    <col min="14359" max="14359" width="10.5703125" bestFit="1" customWidth="1"/>
    <col min="14360" max="14360" width="11" customWidth="1"/>
    <col min="14361" max="14362" width="10.5703125" customWidth="1"/>
    <col min="14363" max="14364" width="8.140625" customWidth="1"/>
    <col min="14365" max="14375" width="9.42578125" customWidth="1"/>
    <col min="14606" max="14606" width="4.42578125" customWidth="1"/>
    <col min="14607" max="14607" width="25.85546875" customWidth="1"/>
    <col min="14608" max="14608" width="55" bestFit="1" customWidth="1"/>
    <col min="14609" max="14609" width="42.42578125" customWidth="1"/>
    <col min="14610" max="14610" width="11.85546875" customWidth="1"/>
    <col min="14611" max="14611" width="8.140625" customWidth="1"/>
    <col min="14612" max="14612" width="12" customWidth="1"/>
    <col min="14613" max="14613" width="11.85546875" customWidth="1"/>
    <col min="14614" max="14614" width="12.42578125" customWidth="1"/>
    <col min="14615" max="14615" width="10.5703125" bestFit="1" customWidth="1"/>
    <col min="14616" max="14616" width="11" customWidth="1"/>
    <col min="14617" max="14618" width="10.5703125" customWidth="1"/>
    <col min="14619" max="14620" width="8.140625" customWidth="1"/>
    <col min="14621" max="14631" width="9.42578125" customWidth="1"/>
    <col min="14862" max="14862" width="4.42578125" customWidth="1"/>
    <col min="14863" max="14863" width="25.85546875" customWidth="1"/>
    <col min="14864" max="14864" width="55" bestFit="1" customWidth="1"/>
    <col min="14865" max="14865" width="42.42578125" customWidth="1"/>
    <col min="14866" max="14866" width="11.85546875" customWidth="1"/>
    <col min="14867" max="14867" width="8.140625" customWidth="1"/>
    <col min="14868" max="14868" width="12" customWidth="1"/>
    <col min="14869" max="14869" width="11.85546875" customWidth="1"/>
    <col min="14870" max="14870" width="12.42578125" customWidth="1"/>
    <col min="14871" max="14871" width="10.5703125" bestFit="1" customWidth="1"/>
    <col min="14872" max="14872" width="11" customWidth="1"/>
    <col min="14873" max="14874" width="10.5703125" customWidth="1"/>
    <col min="14875" max="14876" width="8.140625" customWidth="1"/>
    <col min="14877" max="14887" width="9.42578125" customWidth="1"/>
    <col min="15118" max="15118" width="4.42578125" customWidth="1"/>
    <col min="15119" max="15119" width="25.85546875" customWidth="1"/>
    <col min="15120" max="15120" width="55" bestFit="1" customWidth="1"/>
    <col min="15121" max="15121" width="42.42578125" customWidth="1"/>
    <col min="15122" max="15122" width="11.85546875" customWidth="1"/>
    <col min="15123" max="15123" width="8.140625" customWidth="1"/>
    <col min="15124" max="15124" width="12" customWidth="1"/>
    <col min="15125" max="15125" width="11.85546875" customWidth="1"/>
    <col min="15126" max="15126" width="12.42578125" customWidth="1"/>
    <col min="15127" max="15127" width="10.5703125" bestFit="1" customWidth="1"/>
    <col min="15128" max="15128" width="11" customWidth="1"/>
    <col min="15129" max="15130" width="10.5703125" customWidth="1"/>
    <col min="15131" max="15132" width="8.140625" customWidth="1"/>
    <col min="15133" max="15143" width="9.42578125" customWidth="1"/>
    <col min="15374" max="15374" width="4.42578125" customWidth="1"/>
    <col min="15375" max="15375" width="25.85546875" customWidth="1"/>
    <col min="15376" max="15376" width="55" bestFit="1" customWidth="1"/>
    <col min="15377" max="15377" width="42.42578125" customWidth="1"/>
    <col min="15378" max="15378" width="11.85546875" customWidth="1"/>
    <col min="15379" max="15379" width="8.140625" customWidth="1"/>
    <col min="15380" max="15380" width="12" customWidth="1"/>
    <col min="15381" max="15381" width="11.85546875" customWidth="1"/>
    <col min="15382" max="15382" width="12.42578125" customWidth="1"/>
    <col min="15383" max="15383" width="10.5703125" bestFit="1" customWidth="1"/>
    <col min="15384" max="15384" width="11" customWidth="1"/>
    <col min="15385" max="15386" width="10.5703125" customWidth="1"/>
    <col min="15387" max="15388" width="8.140625" customWidth="1"/>
    <col min="15389" max="15399" width="9.42578125" customWidth="1"/>
    <col min="15630" max="15630" width="4.42578125" customWidth="1"/>
    <col min="15631" max="15631" width="25.85546875" customWidth="1"/>
    <col min="15632" max="15632" width="55" bestFit="1" customWidth="1"/>
    <col min="15633" max="15633" width="42.42578125" customWidth="1"/>
    <col min="15634" max="15634" width="11.85546875" customWidth="1"/>
    <col min="15635" max="15635" width="8.140625" customWidth="1"/>
    <col min="15636" max="15636" width="12" customWidth="1"/>
    <col min="15637" max="15637" width="11.85546875" customWidth="1"/>
    <col min="15638" max="15638" width="12.42578125" customWidth="1"/>
    <col min="15639" max="15639" width="10.5703125" bestFit="1" customWidth="1"/>
    <col min="15640" max="15640" width="11" customWidth="1"/>
    <col min="15641" max="15642" width="10.5703125" customWidth="1"/>
    <col min="15643" max="15644" width="8.140625" customWidth="1"/>
    <col min="15645" max="15655" width="9.42578125" customWidth="1"/>
    <col min="15886" max="15886" width="4.42578125" customWidth="1"/>
    <col min="15887" max="15887" width="25.85546875" customWidth="1"/>
    <col min="15888" max="15888" width="55" bestFit="1" customWidth="1"/>
    <col min="15889" max="15889" width="42.42578125" customWidth="1"/>
    <col min="15890" max="15890" width="11.85546875" customWidth="1"/>
    <col min="15891" max="15891" width="8.140625" customWidth="1"/>
    <col min="15892" max="15892" width="12" customWidth="1"/>
    <col min="15893" max="15893" width="11.85546875" customWidth="1"/>
    <col min="15894" max="15894" width="12.42578125" customWidth="1"/>
    <col min="15895" max="15895" width="10.5703125" bestFit="1" customWidth="1"/>
    <col min="15896" max="15896" width="11" customWidth="1"/>
    <col min="15897" max="15898" width="10.5703125" customWidth="1"/>
    <col min="15899" max="15900" width="8.140625" customWidth="1"/>
    <col min="15901" max="15911" width="9.42578125" customWidth="1"/>
    <col min="16142" max="16142" width="4.42578125" customWidth="1"/>
    <col min="16143" max="16143" width="25.85546875" customWidth="1"/>
    <col min="16144" max="16144" width="55" bestFit="1" customWidth="1"/>
    <col min="16145" max="16145" width="42.42578125" customWidth="1"/>
    <col min="16146" max="16146" width="11.85546875" customWidth="1"/>
    <col min="16147" max="16147" width="8.140625" customWidth="1"/>
    <col min="16148" max="16148" width="12" customWidth="1"/>
    <col min="16149" max="16149" width="11.85546875" customWidth="1"/>
    <col min="16150" max="16150" width="12.42578125" customWidth="1"/>
    <col min="16151" max="16151" width="10.5703125" bestFit="1" customWidth="1"/>
    <col min="16152" max="16152" width="11" customWidth="1"/>
    <col min="16153" max="16154" width="10.5703125" customWidth="1"/>
    <col min="16155" max="16156" width="8.140625" customWidth="1"/>
    <col min="16157" max="16167" width="9.42578125" customWidth="1"/>
  </cols>
  <sheetData>
    <row r="1" spans="2:59" ht="23.25">
      <c r="B1" s="14" t="s">
        <v>95</v>
      </c>
      <c r="C1" s="15"/>
    </row>
    <row r="2" spans="2:59">
      <c r="B2" s="1" t="s">
        <v>97</v>
      </c>
      <c r="C2" s="1"/>
    </row>
    <row r="3" spans="2:59">
      <c r="B3" s="1" t="s">
        <v>96</v>
      </c>
    </row>
    <row r="4" spans="2:59">
      <c r="B4" s="1" t="s">
        <v>100</v>
      </c>
    </row>
    <row r="5" spans="2:59">
      <c r="E5" s="33"/>
      <c r="F5" s="33"/>
      <c r="G5" s="34"/>
      <c r="H5" s="34"/>
    </row>
    <row r="6" spans="2:59">
      <c r="E6" s="3" t="s">
        <v>2967</v>
      </c>
      <c r="F6" s="34"/>
      <c r="G6" s="34"/>
      <c r="H6" s="34"/>
      <c r="AO6" s="3" t="s">
        <v>37</v>
      </c>
      <c r="AP6" s="36"/>
      <c r="AQ6" s="37"/>
      <c r="AR6" s="37"/>
      <c r="AS6" s="37"/>
      <c r="AT6" s="37"/>
      <c r="AU6" s="37"/>
      <c r="AV6" s="37"/>
      <c r="AX6" s="3" t="s">
        <v>65</v>
      </c>
      <c r="AY6" s="11"/>
      <c r="AZ6" s="11"/>
      <c r="BA6" s="11"/>
      <c r="BB6" s="11"/>
      <c r="BC6" s="11"/>
      <c r="BD6" s="11"/>
      <c r="BE6" s="11"/>
    </row>
    <row r="7" spans="2:59" ht="25.5">
      <c r="B7" s="4" t="s">
        <v>17</v>
      </c>
      <c r="C7" s="5" t="s">
        <v>18</v>
      </c>
      <c r="D7" s="4" t="s">
        <v>19</v>
      </c>
      <c r="E7" s="4" t="s">
        <v>20</v>
      </c>
      <c r="F7" s="6" t="s">
        <v>75</v>
      </c>
      <c r="G7" s="6" t="s">
        <v>76</v>
      </c>
      <c r="H7" s="6" t="s">
        <v>77</v>
      </c>
      <c r="I7" s="6" t="s">
        <v>78</v>
      </c>
      <c r="J7" s="6" t="s">
        <v>79</v>
      </c>
      <c r="K7" s="7" t="s">
        <v>31</v>
      </c>
      <c r="L7" s="7" t="s">
        <v>21</v>
      </c>
      <c r="M7" s="7" t="s">
        <v>22</v>
      </c>
      <c r="N7" s="7" t="s">
        <v>23</v>
      </c>
      <c r="O7" s="7" t="s">
        <v>66</v>
      </c>
      <c r="P7" s="7" t="s">
        <v>67</v>
      </c>
      <c r="Q7" s="7" t="s">
        <v>24</v>
      </c>
      <c r="R7" s="7" t="s">
        <v>25</v>
      </c>
      <c r="S7" s="7" t="s">
        <v>26</v>
      </c>
      <c r="T7" s="7" t="s">
        <v>68</v>
      </c>
      <c r="U7" s="7" t="s">
        <v>69</v>
      </c>
      <c r="V7" s="7" t="s">
        <v>27</v>
      </c>
      <c r="W7" s="7" t="s">
        <v>28</v>
      </c>
      <c r="X7" s="7" t="s">
        <v>29</v>
      </c>
      <c r="Y7" s="7" t="s">
        <v>70</v>
      </c>
      <c r="Z7" s="7" t="s">
        <v>71</v>
      </c>
      <c r="AA7" s="43" t="s">
        <v>114</v>
      </c>
      <c r="AB7" s="43" t="s">
        <v>114</v>
      </c>
      <c r="AC7" s="43" t="s">
        <v>113</v>
      </c>
      <c r="AD7" s="43" t="s">
        <v>113</v>
      </c>
      <c r="AE7" s="7" t="s">
        <v>30</v>
      </c>
      <c r="AF7" s="7" t="s">
        <v>32</v>
      </c>
      <c r="AG7" s="7" t="s">
        <v>128</v>
      </c>
      <c r="AH7" s="7" t="s">
        <v>129</v>
      </c>
      <c r="AI7" s="7" t="s">
        <v>130</v>
      </c>
      <c r="AJ7" s="7" t="s">
        <v>131</v>
      </c>
      <c r="AK7" s="7" t="s">
        <v>132</v>
      </c>
      <c r="AO7" s="5" t="s">
        <v>38</v>
      </c>
      <c r="AP7" s="5" t="s">
        <v>17</v>
      </c>
      <c r="AQ7" s="5" t="s">
        <v>39</v>
      </c>
      <c r="AR7" s="5" t="s">
        <v>40</v>
      </c>
      <c r="AS7" s="5" t="s">
        <v>41</v>
      </c>
      <c r="AT7" s="5" t="s">
        <v>42</v>
      </c>
      <c r="AU7" s="5" t="s">
        <v>43</v>
      </c>
      <c r="AV7" s="5" t="s">
        <v>44</v>
      </c>
      <c r="AX7" s="12" t="s">
        <v>51</v>
      </c>
      <c r="AY7" s="12" t="s">
        <v>52</v>
      </c>
      <c r="AZ7" s="12" t="s">
        <v>53</v>
      </c>
      <c r="BA7" s="13" t="s">
        <v>0</v>
      </c>
      <c r="BB7" s="13" t="s">
        <v>54</v>
      </c>
      <c r="BC7" s="13" t="s">
        <v>55</v>
      </c>
      <c r="BD7" s="13" t="s">
        <v>56</v>
      </c>
      <c r="BE7" s="13" t="s">
        <v>57</v>
      </c>
    </row>
    <row r="8" spans="2:59" s="35" customFormat="1" ht="30.75" customHeight="1">
      <c r="B8" s="38" t="s">
        <v>33</v>
      </c>
      <c r="C8" s="38" t="s">
        <v>34</v>
      </c>
      <c r="D8" s="38" t="s">
        <v>35</v>
      </c>
      <c r="E8" s="38" t="s">
        <v>36</v>
      </c>
      <c r="F8" s="41" t="s">
        <v>80</v>
      </c>
      <c r="G8" s="39"/>
      <c r="H8" s="39"/>
      <c r="I8" s="39"/>
      <c r="J8" s="39"/>
      <c r="K8" s="40"/>
      <c r="L8" s="41" t="s">
        <v>115</v>
      </c>
      <c r="M8" s="40"/>
      <c r="N8" s="40"/>
      <c r="O8" s="40"/>
      <c r="P8" s="40"/>
      <c r="Q8" s="41" t="s">
        <v>89</v>
      </c>
      <c r="R8" s="40"/>
      <c r="S8" s="40"/>
      <c r="T8" s="40"/>
      <c r="U8" s="40"/>
      <c r="V8" s="42" t="s">
        <v>116</v>
      </c>
      <c r="W8" s="42"/>
      <c r="X8" s="42"/>
      <c r="Y8" s="42"/>
      <c r="Z8" s="42"/>
      <c r="AA8" s="42" t="s">
        <v>111</v>
      </c>
      <c r="AB8" s="42" t="s">
        <v>112</v>
      </c>
      <c r="AC8" s="42" t="s">
        <v>111</v>
      </c>
      <c r="AD8" s="42" t="s">
        <v>112</v>
      </c>
      <c r="AE8" s="40" t="s">
        <v>74</v>
      </c>
      <c r="AF8" s="40"/>
      <c r="AG8" s="41" t="s">
        <v>1</v>
      </c>
      <c r="AH8" s="41"/>
      <c r="AI8" s="41"/>
      <c r="AJ8" s="41"/>
      <c r="AK8" s="41"/>
      <c r="AL8"/>
      <c r="AM8"/>
      <c r="AN8"/>
      <c r="AO8" s="10" t="s">
        <v>92</v>
      </c>
      <c r="AP8" s="10" t="s">
        <v>46</v>
      </c>
      <c r="AQ8" s="10" t="s">
        <v>34</v>
      </c>
      <c r="AR8" s="10" t="s">
        <v>47</v>
      </c>
      <c r="AS8" s="10" t="s">
        <v>48</v>
      </c>
      <c r="AT8" s="10" t="s">
        <v>93</v>
      </c>
      <c r="AU8" s="10" t="s">
        <v>94</v>
      </c>
      <c r="AV8" s="10" t="s">
        <v>50</v>
      </c>
      <c r="AW8"/>
      <c r="AX8" s="10" t="s">
        <v>58</v>
      </c>
      <c r="AY8" s="10" t="s">
        <v>59</v>
      </c>
      <c r="AZ8" s="10" t="s">
        <v>60</v>
      </c>
      <c r="BA8" s="10" t="s">
        <v>0</v>
      </c>
      <c r="BB8" s="10" t="s">
        <v>61</v>
      </c>
      <c r="BC8" s="10" t="s">
        <v>62</v>
      </c>
      <c r="BD8" s="10" t="s">
        <v>63</v>
      </c>
      <c r="BE8" s="10" t="s">
        <v>64</v>
      </c>
    </row>
    <row r="9" spans="2:59">
      <c r="B9" s="24" t="s">
        <v>2810</v>
      </c>
      <c r="C9" s="25" t="str">
        <f t="shared" ref="C9:C20" si="0">"New Power Plant - "&amp;BG9</f>
        <v xml:space="preserve">New Power Plant - Pulverised coal supercritical CCS post-combustion_Moneypoint Kinsale </v>
      </c>
      <c r="D9" s="25" t="s">
        <v>2820</v>
      </c>
      <c r="E9" s="24" t="str">
        <f t="shared" ref="E9:E20" si="1">"ELCC, "&amp;$AY$9</f>
        <v>ELCC, PWRCO2S</v>
      </c>
      <c r="F9" s="26">
        <f>IF(ELC_EGP!G$29="","",ELC_EGP!G$29)</f>
        <v>0.34</v>
      </c>
      <c r="G9" s="26">
        <f>IF(ELC_EGP!H$29="","",ELC_EGP!H$29)</f>
        <v>0.35</v>
      </c>
      <c r="H9" s="26">
        <f>IF(ELC_EGP!I$29="","",ELC_EGP!I$29)</f>
        <v>0.35</v>
      </c>
      <c r="I9" s="26">
        <f>IF(ELC_EGP!J$29="","",ELC_EGP!J$29)</f>
        <v>0.38</v>
      </c>
      <c r="J9" s="26">
        <f>IF(ELC_EGP!K$29="","",ELC_EGP!K$29)</f>
        <v>0.38</v>
      </c>
      <c r="K9" s="24">
        <f>IF(ELC_EGP!L$29="","",ELC_EGP!L$29)</f>
        <v>2030</v>
      </c>
      <c r="L9" s="114"/>
      <c r="M9" s="114"/>
      <c r="N9" s="114">
        <f>IF(ELC_EGP!O$29="","",ELC_EGP!O$29)+SUM($AA9:$AB9)</f>
        <v>3102.3218727488452</v>
      </c>
      <c r="O9" s="114">
        <f>IF(ELC_EGP!P$29="","",ELC_EGP!P$29)+SUM($AA9:$AB9)</f>
        <v>2952.3218727488452</v>
      </c>
      <c r="P9" s="114">
        <f>IF(ELC_EGP!Q$29="","",ELC_EGP!Q$29)+SUM($AA9:$AB9)</f>
        <v>2932.3218727488452</v>
      </c>
      <c r="Q9" s="114">
        <f>IF(ELC_EGP!R$29="","",ELC_EGP!R$29)</f>
        <v>75</v>
      </c>
      <c r="R9" s="114">
        <f>IF(ELC_EGP!S$29="","",ELC_EGP!S$29)</f>
        <v>67.5</v>
      </c>
      <c r="S9" s="114">
        <f>IF(ELC_EGP!T$29="","",ELC_EGP!T$29)</f>
        <v>63.75</v>
      </c>
      <c r="T9" s="114">
        <f>IF(ELC_EGP!U$29="","",ELC_EGP!U$29)</f>
        <v>63.75</v>
      </c>
      <c r="U9" s="114">
        <f>IF(ELC_EGP!V$29="","",ELC_EGP!V$29)</f>
        <v>63.75</v>
      </c>
      <c r="V9" s="115">
        <f>IF(ELC_EGP!W$29="","",ELC_EGP!W$29)+SUM($AC9:$AD9)</f>
        <v>0.87577647963278493</v>
      </c>
      <c r="W9" s="115">
        <f>IF(ELC_EGP!X$29="","",ELC_EGP!X$29)+SUM($AC9:$AD9)</f>
        <v>0.85927647963278486</v>
      </c>
      <c r="X9" s="115">
        <f>IF(ELC_EGP!Y$29="","",ELC_EGP!Y$29)+SUM($AC9:$AD9)</f>
        <v>0.85102647963278488</v>
      </c>
      <c r="Y9" s="115">
        <f>IF(ELC_EGP!Z$29="","",ELC_EGP!Z$29)+SUM($AC9:$AD9)</f>
        <v>0.85102647963278488</v>
      </c>
      <c r="Z9" s="115">
        <f>IF(ELC_EGP!AA$29="","",ELC_EGP!AA$29)+SUM($AC9:$AD9)</f>
        <v>0.85102647963278488</v>
      </c>
      <c r="AA9" s="116">
        <f>231.039345996009*(131.215852099895/100)</f>
        <v>303.16024653468781</v>
      </c>
      <c r="AB9" s="116">
        <f>45.0872552876596*(131.215852099895/100)</f>
        <v>59.161626214157508</v>
      </c>
      <c r="AC9" s="117">
        <f>0.45069361273084*(131.215852099895/100)</f>
        <v>0.5913814643045725</v>
      </c>
      <c r="AD9" s="117">
        <f>0.0909913043412747*(131.215852099895/100)</f>
        <v>0.11939501532821234</v>
      </c>
      <c r="AE9" s="24">
        <f>IF(ELC_EGP!AB$29="","",ELC_EGP!AB$29)</f>
        <v>40</v>
      </c>
      <c r="AF9" s="27">
        <f>IF(ELC_EGP!AE$29="","",ELC_EGP!AE$29)</f>
        <v>31.536000000000001</v>
      </c>
      <c r="AG9" s="26">
        <f>IF(ELC_EGP!AF$29="","",ELC_EGP!AF$29)</f>
        <v>0.9</v>
      </c>
      <c r="AH9" s="26" t="str">
        <f>IF(ELC_EGP!AG$29="","",ELC_EGP!AG$29)</f>
        <v/>
      </c>
      <c r="AI9" s="26" t="str">
        <f>IF(ELC_EGP!AH$29="","",ELC_EGP!AH$29)</f>
        <v/>
      </c>
      <c r="AJ9" s="26" t="str">
        <f>IF(ELC_EGP!AI$29="","",ELC_EGP!AI$29)</f>
        <v/>
      </c>
      <c r="AK9" s="26" t="str">
        <f>IF(ELC_EGP!AJ$29="","",ELC_EGP!AJ$29)</f>
        <v/>
      </c>
      <c r="AO9" s="37" t="s">
        <v>83</v>
      </c>
      <c r="AP9" s="37" t="str">
        <f t="shared" ref="AP9:AP20" si="2">B9</f>
        <v>P-TH-SC-COA-CCS04-MP1</v>
      </c>
      <c r="AQ9" s="37" t="str">
        <f t="shared" ref="AQ9:AQ20" si="3">C9</f>
        <v xml:space="preserve">New Power Plant - Pulverised coal supercritical CCS post-combustion_Moneypoint Kinsale </v>
      </c>
      <c r="AR9" s="37" t="s">
        <v>84</v>
      </c>
      <c r="AS9" s="37" t="s">
        <v>2</v>
      </c>
      <c r="AT9" t="s">
        <v>91</v>
      </c>
      <c r="AU9" s="1"/>
      <c r="AV9" s="37"/>
      <c r="AX9" t="s">
        <v>98</v>
      </c>
      <c r="AY9" t="s">
        <v>2839</v>
      </c>
      <c r="AZ9" t="s">
        <v>2840</v>
      </c>
      <c r="BA9" t="s">
        <v>99</v>
      </c>
      <c r="BG9" s="35" t="s">
        <v>101</v>
      </c>
    </row>
    <row r="10" spans="2:59">
      <c r="B10" s="24" t="s">
        <v>2811</v>
      </c>
      <c r="C10" s="25" t="str">
        <f t="shared" si="0"/>
        <v xml:space="preserve">New Power Plant - IGCC coal CCS pre-combustion_Moneypoint Kinsale </v>
      </c>
      <c r="D10" s="25" t="s">
        <v>2820</v>
      </c>
      <c r="E10" s="24" t="str">
        <f t="shared" si="1"/>
        <v>ELCC, PWRCO2S</v>
      </c>
      <c r="F10" s="26">
        <f>IF(ELC_EGP!G$32="","",ELC_EGP!G$32)</f>
        <v>0.35</v>
      </c>
      <c r="G10" s="26">
        <f>IF(ELC_EGP!H$32="","",ELC_EGP!H$32)</f>
        <v>0.37</v>
      </c>
      <c r="H10" s="26">
        <f>IF(ELC_EGP!I$32="","",ELC_EGP!I$32)</f>
        <v>0.4</v>
      </c>
      <c r="I10" s="26">
        <f>IF(ELC_EGP!J$32="","",ELC_EGP!J$32)</f>
        <v>0.41</v>
      </c>
      <c r="J10" s="26">
        <f>IF(ELC_EGP!K$32="","",ELC_EGP!K$32)</f>
        <v>0.44</v>
      </c>
      <c r="K10" s="24">
        <f>IF(ELC_EGP!L$32="","",ELC_EGP!L$32)</f>
        <v>2030</v>
      </c>
      <c r="L10" s="114"/>
      <c r="M10" s="114"/>
      <c r="N10" s="114">
        <f>IF(ELC_EGP!O$32="","",ELC_EGP!O$32)+SUM($AA10:$AB10)</f>
        <v>2902.3218727488452</v>
      </c>
      <c r="O10" s="114">
        <f>IF(ELC_EGP!P$32="","",ELC_EGP!P$32)+SUM($AA10:$AB10)</f>
        <v>2582.3218727488452</v>
      </c>
      <c r="P10" s="114">
        <f>IF(ELC_EGP!Q$32="","",ELC_EGP!Q$32)+SUM($AA10:$AB10)</f>
        <v>2542.3218727488452</v>
      </c>
      <c r="Q10" s="114">
        <f>IF(ELC_EGP!R$32="","",ELC_EGP!R$32)</f>
        <v>93</v>
      </c>
      <c r="R10" s="114">
        <f>IF(ELC_EGP!S$32="","",ELC_EGP!S$32)</f>
        <v>86.55</v>
      </c>
      <c r="S10" s="114">
        <f>IF(ELC_EGP!T$32="","",ELC_EGP!T$32)</f>
        <v>84.75</v>
      </c>
      <c r="T10" s="114">
        <f>IF(ELC_EGP!U$32="","",ELC_EGP!U$32)</f>
        <v>84.75</v>
      </c>
      <c r="U10" s="114">
        <f>IF(ELC_EGP!V$32="","",ELC_EGP!V$32)</f>
        <v>84.75</v>
      </c>
      <c r="V10" s="115">
        <f>IF(ELC_EGP!W$32="","",ELC_EGP!W$32)+SUM($AC10:$AD10)</f>
        <v>0.89677647963278484</v>
      </c>
      <c r="W10" s="115">
        <f>IF(ELC_EGP!X$32="","",ELC_EGP!X$32)+SUM($AC10:$AD10)</f>
        <v>0.88387647963278493</v>
      </c>
      <c r="X10" s="115">
        <f>IF(ELC_EGP!Y$32="","",ELC_EGP!Y$32)+SUM($AC10:$AD10)</f>
        <v>0.88027647963278488</v>
      </c>
      <c r="Y10" s="115">
        <f>IF(ELC_EGP!Z$32="","",ELC_EGP!Z$32)+SUM($AC10:$AD10)</f>
        <v>0.88027647963278488</v>
      </c>
      <c r="Z10" s="115">
        <f>IF(ELC_EGP!AA$32="","",ELC_EGP!AA$32)+SUM($AC10:$AD10)</f>
        <v>0.88027647963278488</v>
      </c>
      <c r="AA10" s="116">
        <f>231.039345996009*(131.215852099895/100)</f>
        <v>303.16024653468781</v>
      </c>
      <c r="AB10" s="116">
        <f>45.0872552876596*(131.215852099895/100)</f>
        <v>59.161626214157508</v>
      </c>
      <c r="AC10" s="117">
        <f>0.45069361273084*(131.215852099895/100)</f>
        <v>0.5913814643045725</v>
      </c>
      <c r="AD10" s="117">
        <f>0.0909913043412747*(131.215852099895/100)</f>
        <v>0.11939501532821234</v>
      </c>
      <c r="AE10" s="24">
        <f>IF(ELC_EGP!AB$32="","",ELC_EGP!AB$32)</f>
        <v>35</v>
      </c>
      <c r="AF10" s="27">
        <f>IF(ELC_EGP!AE$32="","",ELC_EGP!AE$32)</f>
        <v>31.536000000000001</v>
      </c>
      <c r="AG10" s="26">
        <f>IF(ELC_EGP!AF$32="","",ELC_EGP!AF$32)</f>
        <v>0.9</v>
      </c>
      <c r="AH10" s="26" t="str">
        <f>IF(ELC_EGP!AG$32="","",ELC_EGP!AG$32)</f>
        <v/>
      </c>
      <c r="AI10" s="26" t="str">
        <f>IF(ELC_EGP!AH$32="","",ELC_EGP!AH$32)</f>
        <v/>
      </c>
      <c r="AJ10" s="26" t="str">
        <f>IF(ELC_EGP!AI$32="","",ELC_EGP!AI$32)</f>
        <v/>
      </c>
      <c r="AK10" s="26" t="str">
        <f>IF(ELC_EGP!AJ$32="","",ELC_EGP!AJ$32)</f>
        <v/>
      </c>
      <c r="AO10" s="37" t="s">
        <v>83</v>
      </c>
      <c r="AP10" s="37" t="str">
        <f t="shared" si="2"/>
        <v>P-TH-IGCC-COA-CCS06-MP1</v>
      </c>
      <c r="AQ10" s="37" t="str">
        <f t="shared" si="3"/>
        <v xml:space="preserve">New Power Plant - IGCC coal CCS pre-combustion_Moneypoint Kinsale </v>
      </c>
      <c r="AR10" s="37" t="s">
        <v>84</v>
      </c>
      <c r="AS10" s="37" t="s">
        <v>2</v>
      </c>
      <c r="AT10" t="s">
        <v>91</v>
      </c>
      <c r="AU10" s="1"/>
      <c r="AV10" s="37"/>
      <c r="BG10" t="s">
        <v>122</v>
      </c>
    </row>
    <row r="11" spans="2:59">
      <c r="B11" s="24" t="s">
        <v>2812</v>
      </c>
      <c r="C11" s="25" t="str">
        <f t="shared" si="0"/>
        <v xml:space="preserve">New Power Plant - Pulverised coal supercritical CCS post-combustion_Moneypoint Spanish Point </v>
      </c>
      <c r="D11" s="25" t="s">
        <v>2820</v>
      </c>
      <c r="E11" s="24" t="str">
        <f t="shared" si="1"/>
        <v>ELCC, PWRCO2S</v>
      </c>
      <c r="F11" s="26">
        <f>IF(ELC_EGP!G$29="","",ELC_EGP!G$29)</f>
        <v>0.34</v>
      </c>
      <c r="G11" s="26">
        <f>IF(ELC_EGP!H$29="","",ELC_EGP!H$29)</f>
        <v>0.35</v>
      </c>
      <c r="H11" s="26">
        <f>IF(ELC_EGP!I$29="","",ELC_EGP!I$29)</f>
        <v>0.35</v>
      </c>
      <c r="I11" s="26">
        <f>IF(ELC_EGP!J$29="","",ELC_EGP!J$29)</f>
        <v>0.38</v>
      </c>
      <c r="J11" s="26">
        <f>IF(ELC_EGP!K$29="","",ELC_EGP!K$29)</f>
        <v>0.38</v>
      </c>
      <c r="K11" s="24">
        <f>IF(ELC_EGP!L$29="","",ELC_EGP!L$29)</f>
        <v>2030</v>
      </c>
      <c r="L11" s="114"/>
      <c r="M11" s="114"/>
      <c r="N11" s="114">
        <f>IF(ELC_EGP!O$29="","",ELC_EGP!O$29)+SUM($AA11:$AB11)</f>
        <v>3451.1153371708269</v>
      </c>
      <c r="O11" s="114">
        <f>IF(ELC_EGP!P$29="","",ELC_EGP!P$29)+SUM($AA11:$AB11)</f>
        <v>3301.1153371708269</v>
      </c>
      <c r="P11" s="114">
        <f>IF(ELC_EGP!Q$29="","",ELC_EGP!Q$29)+SUM($AA11:$AB11)</f>
        <v>3281.1153371708269</v>
      </c>
      <c r="Q11" s="114">
        <f>IF(ELC_EGP!R$29="","",ELC_EGP!R$29)</f>
        <v>75</v>
      </c>
      <c r="R11" s="114">
        <f>IF(ELC_EGP!S$29="","",ELC_EGP!S$29)</f>
        <v>67.5</v>
      </c>
      <c r="S11" s="114">
        <f>IF(ELC_EGP!T$29="","",ELC_EGP!T$29)</f>
        <v>63.75</v>
      </c>
      <c r="T11" s="114">
        <f>IF(ELC_EGP!U$29="","",ELC_EGP!U$29)</f>
        <v>63.75</v>
      </c>
      <c r="U11" s="114">
        <f>IF(ELC_EGP!V$29="","",ELC_EGP!V$29)</f>
        <v>63.75</v>
      </c>
      <c r="V11" s="115">
        <f>IF(ELC_EGP!W$29="","",ELC_EGP!W$29)+SUM($AC11:$AD11)</f>
        <v>0.83067111371124924</v>
      </c>
      <c r="W11" s="115">
        <f>IF(ELC_EGP!X$29="","",ELC_EGP!X$29)+SUM($AC11:$AD11)</f>
        <v>0.81417111371124917</v>
      </c>
      <c r="X11" s="115">
        <f>IF(ELC_EGP!Y$29="","",ELC_EGP!Y$29)+SUM($AC11:$AD11)</f>
        <v>0.80592111371124919</v>
      </c>
      <c r="Y11" s="115">
        <f>IF(ELC_EGP!Z$29="","",ELC_EGP!Z$29)+SUM($AC11:$AD11)</f>
        <v>0.80592111371124919</v>
      </c>
      <c r="Z11" s="115">
        <f>IF(ELC_EGP!AA$29="","",ELC_EGP!AA$29)+SUM($AC11:$AD11)</f>
        <v>0.80592111371124919</v>
      </c>
      <c r="AA11" s="116">
        <f>496.855906144888*(131.215852099895/100)</f>
        <v>651.9537109566694</v>
      </c>
      <c r="AB11" s="116">
        <f>45.0872552876596*(131.215852099895/100)</f>
        <v>59.161626214157508</v>
      </c>
      <c r="AC11" s="117">
        <f>0.416318676166623*(131.215852099895/100)</f>
        <v>0.54627609838303681</v>
      </c>
      <c r="AD11" s="117">
        <f>0.0909913043412747*(131.215852099895/100)</f>
        <v>0.11939501532821234</v>
      </c>
      <c r="AE11" s="24">
        <f>IF(ELC_EGP!AB$29="","",ELC_EGP!AB$29)</f>
        <v>40</v>
      </c>
      <c r="AF11" s="27">
        <f>IF(ELC_EGP!AE$29="","",ELC_EGP!AE$29)</f>
        <v>31.536000000000001</v>
      </c>
      <c r="AG11" s="26">
        <f>IF(ELC_EGP!AF$29="","",ELC_EGP!AF$29)</f>
        <v>0.9</v>
      </c>
      <c r="AH11" s="26" t="str">
        <f>IF(ELC_EGP!AG$29="","",ELC_EGP!AG$29)</f>
        <v/>
      </c>
      <c r="AI11" s="26" t="str">
        <f>IF(ELC_EGP!AH$29="","",ELC_EGP!AH$29)</f>
        <v/>
      </c>
      <c r="AJ11" s="26" t="str">
        <f>IF(ELC_EGP!AI$29="","",ELC_EGP!AI$29)</f>
        <v/>
      </c>
      <c r="AK11" s="26" t="str">
        <f>IF(ELC_EGP!AJ$29="","",ELC_EGP!AJ$29)</f>
        <v/>
      </c>
      <c r="AO11" s="37" t="s">
        <v>83</v>
      </c>
      <c r="AP11" s="37" t="str">
        <f t="shared" si="2"/>
        <v>P-TH-SC-COA-CCS04-MP2</v>
      </c>
      <c r="AQ11" s="37" t="str">
        <f t="shared" si="3"/>
        <v xml:space="preserve">New Power Plant - Pulverised coal supercritical CCS post-combustion_Moneypoint Spanish Point </v>
      </c>
      <c r="AR11" s="37" t="s">
        <v>84</v>
      </c>
      <c r="AS11" s="37" t="s">
        <v>2</v>
      </c>
      <c r="AT11" t="s">
        <v>91</v>
      </c>
      <c r="AU11" s="1"/>
      <c r="AV11" s="37"/>
      <c r="BG11" s="35" t="s">
        <v>102</v>
      </c>
    </row>
    <row r="12" spans="2:59">
      <c r="B12" s="24" t="s">
        <v>2813</v>
      </c>
      <c r="C12" s="25" t="str">
        <f t="shared" si="0"/>
        <v xml:space="preserve">New Power Plant - IGCC coal CCS pre-combustion_Moneypoint Spanish Point </v>
      </c>
      <c r="D12" s="25" t="s">
        <v>2820</v>
      </c>
      <c r="E12" s="24" t="str">
        <f t="shared" si="1"/>
        <v>ELCC, PWRCO2S</v>
      </c>
      <c r="F12" s="26">
        <f>IF(ELC_EGP!G$32="","",ELC_EGP!G$32)</f>
        <v>0.35</v>
      </c>
      <c r="G12" s="26">
        <f>IF(ELC_EGP!H$32="","",ELC_EGP!H$32)</f>
        <v>0.37</v>
      </c>
      <c r="H12" s="26">
        <f>IF(ELC_EGP!I$32="","",ELC_EGP!I$32)</f>
        <v>0.4</v>
      </c>
      <c r="I12" s="26">
        <f>IF(ELC_EGP!J$32="","",ELC_EGP!J$32)</f>
        <v>0.41</v>
      </c>
      <c r="J12" s="26">
        <f>IF(ELC_EGP!K$32="","",ELC_EGP!K$32)</f>
        <v>0.44</v>
      </c>
      <c r="K12" s="24">
        <f>IF(ELC_EGP!L$32="","",ELC_EGP!L$32)</f>
        <v>2030</v>
      </c>
      <c r="L12" s="114"/>
      <c r="M12" s="114"/>
      <c r="N12" s="114">
        <f>IF(ELC_EGP!O$32="","",ELC_EGP!O$32)+SUM($AA12:$AB12)</f>
        <v>3310.2769633849844</v>
      </c>
      <c r="O12" s="114">
        <f>IF(ELC_EGP!P$32="","",ELC_EGP!P$32)+SUM($AA12:$AB12)</f>
        <v>2990.2769633849844</v>
      </c>
      <c r="P12" s="114">
        <f>IF(ELC_EGP!Q$32="","",ELC_EGP!Q$32)+SUM($AA12:$AB12)</f>
        <v>2950.2769633849844</v>
      </c>
      <c r="Q12" s="114">
        <f>IF(ELC_EGP!R$32="","",ELC_EGP!R$32)</f>
        <v>93</v>
      </c>
      <c r="R12" s="114">
        <f>IF(ELC_EGP!S$32="","",ELC_EGP!S$32)</f>
        <v>86.55</v>
      </c>
      <c r="S12" s="114">
        <f>IF(ELC_EGP!T$32="","",ELC_EGP!T$32)</f>
        <v>84.75</v>
      </c>
      <c r="T12" s="114">
        <f>IF(ELC_EGP!U$32="","",ELC_EGP!U$32)</f>
        <v>84.75</v>
      </c>
      <c r="U12" s="114">
        <f>IF(ELC_EGP!V$32="","",ELC_EGP!V$32)</f>
        <v>84.75</v>
      </c>
      <c r="V12" s="115">
        <f>IF(ELC_EGP!W$32="","",ELC_EGP!W$32)+SUM($AC12:$AD12)</f>
        <v>0.85167111371124915</v>
      </c>
      <c r="W12" s="115">
        <f>IF(ELC_EGP!X$32="","",ELC_EGP!X$32)+SUM($AC12:$AD12)</f>
        <v>0.83877111371124924</v>
      </c>
      <c r="X12" s="115">
        <f>IF(ELC_EGP!Y$32="","",ELC_EGP!Y$32)+SUM($AC12:$AD12)</f>
        <v>0.83517111371124919</v>
      </c>
      <c r="Y12" s="115">
        <f>IF(ELC_EGP!Z$32="","",ELC_EGP!Z$32)+SUM($AC12:$AD12)</f>
        <v>0.83517111371124919</v>
      </c>
      <c r="Z12" s="115">
        <f>IF(ELC_EGP!AA$32="","",ELC_EGP!AA$32)+SUM($AC12:$AD12)</f>
        <v>0.83517111371124919</v>
      </c>
      <c r="AA12" s="116">
        <f>496.855906144888*(131.215852099895/100)</f>
        <v>651.9537109566694</v>
      </c>
      <c r="AB12" s="116">
        <f>90.1745105753192*(131.215852099895/100)</f>
        <v>118.32325242831502</v>
      </c>
      <c r="AC12" s="117">
        <f>0.416318676166623*(131.215852099895/100)</f>
        <v>0.54627609838303681</v>
      </c>
      <c r="AD12" s="117">
        <f>0.0909913043412747*(131.215852099895/100)</f>
        <v>0.11939501532821234</v>
      </c>
      <c r="AE12" s="24">
        <f>IF(ELC_EGP!AB$32="","",ELC_EGP!AB$32)</f>
        <v>35</v>
      </c>
      <c r="AF12" s="27">
        <f>IF(ELC_EGP!AE$32="","",ELC_EGP!AE$32)</f>
        <v>31.536000000000001</v>
      </c>
      <c r="AG12" s="26">
        <f>IF(ELC_EGP!AF$32="","",ELC_EGP!AF$32)</f>
        <v>0.9</v>
      </c>
      <c r="AH12" s="26" t="str">
        <f>IF(ELC_EGP!AG$32="","",ELC_EGP!AG$32)</f>
        <v/>
      </c>
      <c r="AI12" s="26" t="str">
        <f>IF(ELC_EGP!AH$32="","",ELC_EGP!AH$32)</f>
        <v/>
      </c>
      <c r="AJ12" s="26" t="str">
        <f>IF(ELC_EGP!AI$32="","",ELC_EGP!AI$32)</f>
        <v/>
      </c>
      <c r="AK12" s="26" t="str">
        <f>IF(ELC_EGP!AJ$32="","",ELC_EGP!AJ$32)</f>
        <v/>
      </c>
      <c r="AO12" s="37" t="s">
        <v>83</v>
      </c>
      <c r="AP12" s="37" t="str">
        <f t="shared" si="2"/>
        <v>P-TH-IGCC-COA-CCS06-MP2</v>
      </c>
      <c r="AQ12" s="37" t="str">
        <f t="shared" si="3"/>
        <v xml:space="preserve">New Power Plant - IGCC coal CCS pre-combustion_Moneypoint Spanish Point </v>
      </c>
      <c r="AR12" s="37" t="s">
        <v>84</v>
      </c>
      <c r="AS12" s="37" t="s">
        <v>2</v>
      </c>
      <c r="AT12" t="s">
        <v>91</v>
      </c>
      <c r="AU12" s="1"/>
      <c r="AV12" s="37"/>
      <c r="BG12" t="s">
        <v>121</v>
      </c>
    </row>
    <row r="13" spans="2:59">
      <c r="B13" s="24" t="s">
        <v>2803</v>
      </c>
      <c r="C13" s="25" t="str">
        <f t="shared" si="0"/>
        <v>New Power Plant - CCGT advanced CCS post combustion_Cork Kinsale</v>
      </c>
      <c r="D13" s="25" t="s">
        <v>2819</v>
      </c>
      <c r="E13" s="24" t="str">
        <f t="shared" si="1"/>
        <v>ELCC, PWRCO2S</v>
      </c>
      <c r="F13" s="26">
        <f>IF(ELC_EGP!G$28="","",ELC_EGP!G$28)</f>
        <v>0.5</v>
      </c>
      <c r="G13" s="26">
        <f>IF(ELC_EGP!H$28="","",ELC_EGP!H$28)</f>
        <v>0.52</v>
      </c>
      <c r="H13" s="26">
        <f>IF(ELC_EGP!I$28="","",ELC_EGP!I$28)</f>
        <v>0.55000000000000004</v>
      </c>
      <c r="I13" s="26">
        <f>IF(ELC_EGP!J$28="","",ELC_EGP!J$28)</f>
        <v>0.55000000000000004</v>
      </c>
      <c r="J13" s="26">
        <f>IF(ELC_EGP!K$28="","",ELC_EGP!K$28)</f>
        <v>0.55000000000000004</v>
      </c>
      <c r="K13" s="24">
        <f>IF(ELC_EGP!L$28="","",ELC_EGP!L$28)</f>
        <v>2030</v>
      </c>
      <c r="L13" s="114"/>
      <c r="M13" s="114"/>
      <c r="N13" s="114">
        <f>IF(ELC_EGP!O$28="","",ELC_EGP!O$28)+SUM($AA13:$AB13)</f>
        <v>1491.5258714841596</v>
      </c>
      <c r="O13" s="114">
        <f>IF(ELC_EGP!P$28="","",ELC_EGP!P$28)+SUM($AA13:$AB13)</f>
        <v>1411.5258714841596</v>
      </c>
      <c r="P13" s="114">
        <f>IF(ELC_EGP!Q$28="","",ELC_EGP!Q$28)+SUM($AA13:$AB13)</f>
        <v>1381.5258714841596</v>
      </c>
      <c r="Q13" s="114">
        <f>IF(ELC_EGP!R$28="","",ELC_EGP!R$28)</f>
        <v>37.5</v>
      </c>
      <c r="R13" s="114">
        <f>IF(ELC_EGP!S$28="","",ELC_EGP!S$28)</f>
        <v>37.5</v>
      </c>
      <c r="S13" s="114">
        <f>IF(ELC_EGP!T$28="","",ELC_EGP!T$28)</f>
        <v>37.5</v>
      </c>
      <c r="T13" s="114">
        <f>IF(ELC_EGP!U$28="","",ELC_EGP!U$28)</f>
        <v>37.5</v>
      </c>
      <c r="U13" s="114">
        <f>IF(ELC_EGP!V$28="","",ELC_EGP!V$28)</f>
        <v>37.5</v>
      </c>
      <c r="V13" s="115">
        <f>IF(ELC_EGP!W$28="","",ELC_EGP!W$28)+SUM($AC13:$AD13)</f>
        <v>0.24714745993078663</v>
      </c>
      <c r="W13" s="115">
        <f>IF(ELC_EGP!X$28="","",ELC_EGP!X$28)+SUM($AC13:$AD13)</f>
        <v>0.24714745993078663</v>
      </c>
      <c r="X13" s="115">
        <f>IF(ELC_EGP!Y$28="","",ELC_EGP!Y$28)+SUM($AC13:$AD13)</f>
        <v>0.24714745993078663</v>
      </c>
      <c r="Y13" s="115">
        <f>IF(ELC_EGP!Z$28="","",ELC_EGP!Z$28)+SUM($AC13:$AD13)</f>
        <v>0.24714745993078663</v>
      </c>
      <c r="Z13" s="115">
        <f>IF(ELC_EGP!AA$28="","",ELC_EGP!AA$28)+SUM($AC13:$AD13)</f>
        <v>0.24714745993078663</v>
      </c>
      <c r="AA13" s="116">
        <f>51.846136548894*(131.215852099895/100)</f>
        <v>68.030349853506351</v>
      </c>
      <c r="AB13" s="116">
        <f>25.5270389168779*(131.215852099895/100)</f>
        <v>33.495521630653137</v>
      </c>
      <c r="AC13" s="117">
        <f>0.0932556484566934*(131.215852099895/100)</f>
        <v>0.12236619375373282</v>
      </c>
      <c r="AD13" s="117">
        <f>0.0493699999964453*(131.215852099895/100)</f>
        <v>6.478126617705382E-2</v>
      </c>
      <c r="AE13" s="24">
        <f>IF(ELC_EGP!AB$28="","",ELC_EGP!AB$28)</f>
        <v>30</v>
      </c>
      <c r="AF13" s="27">
        <f>IF(ELC_EGP!AE$28="","",ELC_EGP!AE$28)</f>
        <v>31.536000000000001</v>
      </c>
      <c r="AG13" s="26">
        <f>IF(ELC_EGP!AF$28="","",ELC_EGP!AF$28)</f>
        <v>0.9</v>
      </c>
      <c r="AH13" s="26" t="str">
        <f>IF(ELC_EGP!AG$28="","",ELC_EGP!AG$28)</f>
        <v/>
      </c>
      <c r="AI13" s="26" t="str">
        <f>IF(ELC_EGP!AH$28="","",ELC_EGP!AH$28)</f>
        <v/>
      </c>
      <c r="AJ13" s="26" t="str">
        <f>IF(ELC_EGP!AI$28="","",ELC_EGP!AI$28)</f>
        <v/>
      </c>
      <c r="AK13" s="26" t="str">
        <f>IF(ELC_EGP!AJ$28="","",ELC_EGP!AJ$28)</f>
        <v/>
      </c>
      <c r="AO13" s="37" t="s">
        <v>83</v>
      </c>
      <c r="AP13" s="37" t="str">
        <f t="shared" si="2"/>
        <v>P-TH-CCGT-GAS-CCS04-Cork1</v>
      </c>
      <c r="AQ13" s="37" t="str">
        <f t="shared" si="3"/>
        <v>New Power Plant - CCGT advanced CCS post combustion_Cork Kinsale</v>
      </c>
      <c r="AR13" s="37" t="s">
        <v>84</v>
      </c>
      <c r="AS13" s="37" t="s">
        <v>2</v>
      </c>
      <c r="AT13" t="s">
        <v>91</v>
      </c>
      <c r="AU13" s="1"/>
      <c r="AV13" s="37"/>
      <c r="BG13" t="s">
        <v>103</v>
      </c>
    </row>
    <row r="14" spans="2:59">
      <c r="B14" s="24" t="s">
        <v>2804</v>
      </c>
      <c r="C14" s="25" t="str">
        <f t="shared" si="0"/>
        <v>New Power Plant - CCGT advanced CCS post combustion_Cork Spanish Point</v>
      </c>
      <c r="D14" s="25" t="s">
        <v>2819</v>
      </c>
      <c r="E14" s="24" t="str">
        <f t="shared" si="1"/>
        <v>ELCC, PWRCO2S</v>
      </c>
      <c r="F14" s="26">
        <f>IF(ELC_EGP!G$28="","",ELC_EGP!G$28)</f>
        <v>0.5</v>
      </c>
      <c r="G14" s="26">
        <f>IF(ELC_EGP!H$28="","",ELC_EGP!H$28)</f>
        <v>0.52</v>
      </c>
      <c r="H14" s="26">
        <f>IF(ELC_EGP!I$28="","",ELC_EGP!I$28)</f>
        <v>0.55000000000000004</v>
      </c>
      <c r="I14" s="26">
        <f>IF(ELC_EGP!J$28="","",ELC_EGP!J$28)</f>
        <v>0.55000000000000004</v>
      </c>
      <c r="J14" s="26">
        <f>IF(ELC_EGP!K$28="","",ELC_EGP!K$28)</f>
        <v>0.55000000000000004</v>
      </c>
      <c r="K14" s="24">
        <f>IF(ELC_EGP!L$28="","",ELC_EGP!L$28)</f>
        <v>2030</v>
      </c>
      <c r="L14" s="114"/>
      <c r="M14" s="114"/>
      <c r="N14" s="114">
        <f>IF(ELC_EGP!O$28="","",ELC_EGP!O$28)+SUM($AA14:$AB14)</f>
        <v>2499.5521807077503</v>
      </c>
      <c r="O14" s="114">
        <f>IF(ELC_EGP!P$28="","",ELC_EGP!P$28)+SUM($AA14:$AB14)</f>
        <v>2419.5521807077503</v>
      </c>
      <c r="P14" s="114">
        <f>IF(ELC_EGP!Q$28="","",ELC_EGP!Q$28)+SUM($AA14:$AB14)</f>
        <v>2389.5521807077503</v>
      </c>
      <c r="Q14" s="114">
        <f>IF(ELC_EGP!R$28="","",ELC_EGP!R$28)</f>
        <v>37.5</v>
      </c>
      <c r="R14" s="114">
        <f>IF(ELC_EGP!S$28="","",ELC_EGP!S$28)</f>
        <v>37.5</v>
      </c>
      <c r="S14" s="114">
        <f>IF(ELC_EGP!T$28="","",ELC_EGP!T$28)</f>
        <v>37.5</v>
      </c>
      <c r="T14" s="114">
        <f>IF(ELC_EGP!U$28="","",ELC_EGP!U$28)</f>
        <v>37.5</v>
      </c>
      <c r="U14" s="114">
        <f>IF(ELC_EGP!V$28="","",ELC_EGP!V$28)</f>
        <v>37.5</v>
      </c>
      <c r="V14" s="115">
        <f>IF(ELC_EGP!W$28="","",ELC_EGP!W$28)+SUM($AC14:$AD14)</f>
        <v>0.76539312097108803</v>
      </c>
      <c r="W14" s="115">
        <f>IF(ELC_EGP!X$28="","",ELC_EGP!X$28)+SUM($AC14:$AD14)</f>
        <v>0.76539312097108803</v>
      </c>
      <c r="X14" s="115">
        <f>IF(ELC_EGP!Y$28="","",ELC_EGP!Y$28)+SUM($AC14:$AD14)</f>
        <v>0.76539312097108803</v>
      </c>
      <c r="Y14" s="115">
        <f>IF(ELC_EGP!Z$28="","",ELC_EGP!Z$28)+SUM($AC14:$AD14)</f>
        <v>0.76539312097108803</v>
      </c>
      <c r="Z14" s="115">
        <f>IF(ELC_EGP!AA$28="","",ELC_EGP!AA$28)+SUM($AC14:$AD14)</f>
        <v>0.76539312097108803</v>
      </c>
      <c r="AA14" s="116">
        <f>794.539013969699*(131.215852099895/100)</f>
        <v>1042.5611374464443</v>
      </c>
      <c r="AB14" s="116">
        <f>51.0540778337558*(131.215852099895/100)</f>
        <v>66.991043261306274</v>
      </c>
      <c r="AC14" s="117">
        <f>0.446590938720387*(131.215852099895/100)</f>
        <v>0.58599810564287569</v>
      </c>
      <c r="AD14" s="117">
        <f>0.0909913043412747*(131.215852099895/100)</f>
        <v>0.11939501532821234</v>
      </c>
      <c r="AE14" s="24">
        <f>IF(ELC_EGP!AB$28="","",ELC_EGP!AB$28)</f>
        <v>30</v>
      </c>
      <c r="AF14" s="27">
        <f>IF(ELC_EGP!AE$28="","",ELC_EGP!AE$28)</f>
        <v>31.536000000000001</v>
      </c>
      <c r="AG14" s="26">
        <f>IF(ELC_EGP!AF$28="","",ELC_EGP!AF$28)</f>
        <v>0.9</v>
      </c>
      <c r="AH14" s="26" t="str">
        <f>IF(ELC_EGP!AG$28="","",ELC_EGP!AG$28)</f>
        <v/>
      </c>
      <c r="AI14" s="26" t="str">
        <f>IF(ELC_EGP!AH$28="","",ELC_EGP!AH$28)</f>
        <v/>
      </c>
      <c r="AJ14" s="26" t="str">
        <f>IF(ELC_EGP!AI$28="","",ELC_EGP!AI$28)</f>
        <v/>
      </c>
      <c r="AK14" s="26" t="str">
        <f>IF(ELC_EGP!AJ$28="","",ELC_EGP!AJ$28)</f>
        <v/>
      </c>
      <c r="AO14" s="37" t="s">
        <v>83</v>
      </c>
      <c r="AP14" s="37" t="str">
        <f t="shared" si="2"/>
        <v>P-TH-CCGT-GAS-CCS04-Cork2</v>
      </c>
      <c r="AQ14" s="37" t="str">
        <f t="shared" si="3"/>
        <v>New Power Plant - CCGT advanced CCS post combustion_Cork Spanish Point</v>
      </c>
      <c r="AR14" s="37" t="s">
        <v>84</v>
      </c>
      <c r="AS14" s="37" t="s">
        <v>2</v>
      </c>
      <c r="AT14" t="s">
        <v>91</v>
      </c>
      <c r="AU14" s="1"/>
      <c r="AV14" s="37"/>
      <c r="BG14" t="s">
        <v>104</v>
      </c>
    </row>
    <row r="15" spans="2:59">
      <c r="B15" s="24" t="s">
        <v>2805</v>
      </c>
      <c r="C15" s="25" t="str">
        <f t="shared" si="0"/>
        <v>New Power Plant - IGCC peat CCS pre combustion_Offaly Kinsale</v>
      </c>
      <c r="D15" s="25" t="s">
        <v>2821</v>
      </c>
      <c r="E15" s="24" t="str">
        <f t="shared" si="1"/>
        <v>ELCC, PWRCO2S</v>
      </c>
      <c r="F15" s="26">
        <f>IF(ELC_EGP!G$32="","",ELC_EGP!G$32)</f>
        <v>0.35</v>
      </c>
      <c r="G15" s="26">
        <f>IF(ELC_EGP!H$32="","",ELC_EGP!H$32)</f>
        <v>0.37</v>
      </c>
      <c r="H15" s="26">
        <f>IF(ELC_EGP!I$32="","",ELC_EGP!I$32)</f>
        <v>0.4</v>
      </c>
      <c r="I15" s="26">
        <f>IF(ELC_EGP!J$32="","",ELC_EGP!J$32)</f>
        <v>0.41</v>
      </c>
      <c r="J15" s="26">
        <f>IF(ELC_EGP!K$32="","",ELC_EGP!K$32)</f>
        <v>0.44</v>
      </c>
      <c r="K15" s="24">
        <f>IF(ELC_EGP!L$32="","",ELC_EGP!L$32)</f>
        <v>2030</v>
      </c>
      <c r="L15" s="114">
        <f>IF(ELC_EGP!M$35="","",ELC_EGP!M$35)+SUM($AA15:$AB15)</f>
        <v>3473.8169826521967</v>
      </c>
      <c r="M15" s="114">
        <f>IF(ELC_EGP!N$35="","",ELC_EGP!N$35)+SUM($AA15:$AB15)</f>
        <v>3133.8169826521967</v>
      </c>
      <c r="N15" s="114">
        <f>IF(ELC_EGP!O$35="","",ELC_EGP!O$35)+SUM($AA15:$AB15)</f>
        <v>2843.8169826521967</v>
      </c>
      <c r="O15" s="114">
        <f>IF(ELC_EGP!P$35="","",ELC_EGP!P$35)+SUM($AA15:$AB15)</f>
        <v>2573.8169826521967</v>
      </c>
      <c r="P15" s="114">
        <f>IF(ELC_EGP!Q$35="","",ELC_EGP!Q$35)+SUM($AA15:$AB15)</f>
        <v>2343.8169826521967</v>
      </c>
      <c r="Q15" s="114">
        <f>IF(ELC_EGP!R$32="","",ELC_EGP!R$32)</f>
        <v>93</v>
      </c>
      <c r="R15" s="114">
        <f>IF(ELC_EGP!S$32="","",ELC_EGP!S$32)</f>
        <v>86.55</v>
      </c>
      <c r="S15" s="114">
        <f>IF(ELC_EGP!T$32="","",ELC_EGP!T$32)</f>
        <v>84.75</v>
      </c>
      <c r="T15" s="114">
        <f>IF(ELC_EGP!U$32="","",ELC_EGP!U$32)</f>
        <v>84.75</v>
      </c>
      <c r="U15" s="114">
        <f>IF(ELC_EGP!V$32="","",ELC_EGP!V$32)</f>
        <v>84.75</v>
      </c>
      <c r="V15" s="115">
        <f>IF(ELC_EGP!W$35="","",ELC_EGP!W$35)+SUM($AC15:$AD15)</f>
        <v>0.96521308960250429</v>
      </c>
      <c r="W15" s="115">
        <f>IF(ELC_EGP!X$35="","",ELC_EGP!X$35)+SUM($AC15:$AD15)</f>
        <v>0.95229308960250425</v>
      </c>
      <c r="X15" s="115">
        <f>IF(ELC_EGP!Y$35="","",ELC_EGP!Y$35)+SUM($AC15:$AD15)</f>
        <v>0.94127308960250433</v>
      </c>
      <c r="Y15" s="115">
        <f>IF(ELC_EGP!Z$35="","",ELC_EGP!Z$35)+SUM($AC15:$AD15)</f>
        <v>0.93101308960250428</v>
      </c>
      <c r="Z15" s="115">
        <f>IF(ELC_EGP!AA$35="","",ELC_EGP!AA$35)+SUM($AC15:$AD15)</f>
        <v>0.92227308960250431</v>
      </c>
      <c r="AA15" s="116">
        <f>301.406974763073*(131.215852099895/100)</f>
        <v>395.49373022388164</v>
      </c>
      <c r="AB15" s="116">
        <f>90.1745105753192*(131.215852099895/100)</f>
        <v>118.32325242831502</v>
      </c>
      <c r="AC15" s="117">
        <f>0.558879176973221*(131.215852099895/100)</f>
        <v>0.73333807427429198</v>
      </c>
      <c r="AD15" s="117">
        <f>0.0909913043412747*(131.215852099895/100)</f>
        <v>0.11939501532821234</v>
      </c>
      <c r="AE15" s="24">
        <f>IF(ELC_EGP!AB$32="","",ELC_EGP!AB$32)</f>
        <v>35</v>
      </c>
      <c r="AF15" s="27">
        <f>IF(ELC_EGP!AE$32="","",ELC_EGP!AE$32)</f>
        <v>31.536000000000001</v>
      </c>
      <c r="AG15" s="26">
        <f>IF(ELC_EGP!AF$32="","",ELC_EGP!AF$32)</f>
        <v>0.9</v>
      </c>
      <c r="AH15" s="26" t="str">
        <f>IF(ELC_EGP!AG$32="","",ELC_EGP!AG$32)</f>
        <v/>
      </c>
      <c r="AI15" s="26" t="str">
        <f>IF(ELC_EGP!AH$32="","",ELC_EGP!AH$32)</f>
        <v/>
      </c>
      <c r="AJ15" s="26" t="str">
        <f>IF(ELC_EGP!AI$32="","",ELC_EGP!AI$32)</f>
        <v/>
      </c>
      <c r="AK15" s="26" t="str">
        <f>IF(ELC_EGP!AJ$32="","",ELC_EGP!AJ$32)</f>
        <v/>
      </c>
      <c r="AO15" s="37" t="s">
        <v>83</v>
      </c>
      <c r="AP15" s="37" t="str">
        <f t="shared" si="2"/>
        <v>P-TH-IGCC-PEA-CCS05-Offaly1</v>
      </c>
      <c r="AQ15" s="37" t="str">
        <f t="shared" si="3"/>
        <v>New Power Plant - IGCC peat CCS pre combustion_Offaly Kinsale</v>
      </c>
      <c r="AR15" s="37" t="s">
        <v>84</v>
      </c>
      <c r="AS15" s="37" t="s">
        <v>2</v>
      </c>
      <c r="AT15" t="s">
        <v>91</v>
      </c>
      <c r="AU15" s="1"/>
      <c r="AV15" s="37"/>
      <c r="BG15" t="s">
        <v>107</v>
      </c>
    </row>
    <row r="16" spans="2:59">
      <c r="B16" s="24" t="s">
        <v>2806</v>
      </c>
      <c r="C16" s="25" t="str">
        <f t="shared" si="0"/>
        <v>New Power Plant - IGCC peat CCS pre combustion_Offaly East Irish Sea</v>
      </c>
      <c r="D16" s="25" t="s">
        <v>2821</v>
      </c>
      <c r="E16" s="24" t="str">
        <f t="shared" si="1"/>
        <v>ELCC, PWRCO2S</v>
      </c>
      <c r="F16" s="26">
        <f>IF(ELC_EGP!G$32="","",ELC_EGP!G$32)</f>
        <v>0.35</v>
      </c>
      <c r="G16" s="26">
        <f>IF(ELC_EGP!H$32="","",ELC_EGP!H$32)</f>
        <v>0.37</v>
      </c>
      <c r="H16" s="26">
        <f>IF(ELC_EGP!I$32="","",ELC_EGP!I$32)</f>
        <v>0.4</v>
      </c>
      <c r="I16" s="26">
        <f>IF(ELC_EGP!J$32="","",ELC_EGP!J$32)</f>
        <v>0.41</v>
      </c>
      <c r="J16" s="26">
        <f>IF(ELC_EGP!K$32="","",ELC_EGP!K$32)</f>
        <v>0.44</v>
      </c>
      <c r="K16" s="24">
        <f>IF(ELC_EGP!L$32="","",ELC_EGP!L$32)</f>
        <v>2030</v>
      </c>
      <c r="L16" s="114">
        <f>IF(ELC_EGP!M$35="","",ELC_EGP!M$35)+SUM($AA16:$AB16)</f>
        <v>3625.7907106963135</v>
      </c>
      <c r="M16" s="114">
        <f>IF(ELC_EGP!N$35="","",ELC_EGP!N$35)+SUM($AA16:$AB16)</f>
        <v>3285.7907106963135</v>
      </c>
      <c r="N16" s="114">
        <f>IF(ELC_EGP!O$35="","",ELC_EGP!O$35)+SUM($AA16:$AB16)</f>
        <v>2995.7907106963135</v>
      </c>
      <c r="O16" s="114">
        <f>IF(ELC_EGP!P$35="","",ELC_EGP!P$35)+SUM($AA16:$AB16)</f>
        <v>2725.7907106963135</v>
      </c>
      <c r="P16" s="114">
        <f>IF(ELC_EGP!Q$35="","",ELC_EGP!Q$35)+SUM($AA16:$AB16)</f>
        <v>2495.7907106963135</v>
      </c>
      <c r="Q16" s="114">
        <f>IF(ELC_EGP!R$32="","",ELC_EGP!R$32)</f>
        <v>93</v>
      </c>
      <c r="R16" s="114">
        <f>IF(ELC_EGP!S$32="","",ELC_EGP!S$32)</f>
        <v>86.55</v>
      </c>
      <c r="S16" s="114">
        <f>IF(ELC_EGP!T$32="","",ELC_EGP!T$32)</f>
        <v>84.75</v>
      </c>
      <c r="T16" s="114">
        <f>IF(ELC_EGP!U$32="","",ELC_EGP!U$32)</f>
        <v>84.75</v>
      </c>
      <c r="U16" s="114">
        <f>IF(ELC_EGP!V$32="","",ELC_EGP!V$32)</f>
        <v>84.75</v>
      </c>
      <c r="V16" s="115">
        <f>IF(ELC_EGP!W$35="","",ELC_EGP!W$35)+SUM($AC16:$AD16)</f>
        <v>0.86936418701924245</v>
      </c>
      <c r="W16" s="115">
        <f>IF(ELC_EGP!X$35="","",ELC_EGP!X$35)+SUM($AC16:$AD16)</f>
        <v>0.85644418701924241</v>
      </c>
      <c r="X16" s="115">
        <f>IF(ELC_EGP!Y$35="","",ELC_EGP!Y$35)+SUM($AC16:$AD16)</f>
        <v>0.84542418701924249</v>
      </c>
      <c r="Y16" s="115">
        <f>IF(ELC_EGP!Z$35="","",ELC_EGP!Z$35)+SUM($AC16:$AD16)</f>
        <v>0.83516418701924244</v>
      </c>
      <c r="Z16" s="115">
        <f>IF(ELC_EGP!AA$35="","",ELC_EGP!AA$35)+SUM($AC16:$AD16)</f>
        <v>0.82642418701924247</v>
      </c>
      <c r="AA16" s="116">
        <f>417.22661515867*(131.215852099895/100)</f>
        <v>547.4674582679985</v>
      </c>
      <c r="AB16" s="116">
        <f>90.1745105753192*(131.215852099895/100)</f>
        <v>118.32325242831502</v>
      </c>
      <c r="AC16" s="117">
        <f>0.485832436774261*(131.215852099895/100)</f>
        <v>0.63748917169103014</v>
      </c>
      <c r="AD16" s="117">
        <f>0.0909913043412747*(131.215852099895/100)</f>
        <v>0.11939501532821234</v>
      </c>
      <c r="AE16" s="24">
        <f>IF(ELC_EGP!AB$32="","",ELC_EGP!AB$32)</f>
        <v>35</v>
      </c>
      <c r="AF16" s="27">
        <f>IF(ELC_EGP!AE$32="","",ELC_EGP!AE$32)</f>
        <v>31.536000000000001</v>
      </c>
      <c r="AG16" s="26">
        <f>IF(ELC_EGP!AF$32="","",ELC_EGP!AF$32)</f>
        <v>0.9</v>
      </c>
      <c r="AH16" s="26" t="str">
        <f>IF(ELC_EGP!AG$32="","",ELC_EGP!AG$32)</f>
        <v/>
      </c>
      <c r="AI16" s="26" t="str">
        <f>IF(ELC_EGP!AH$32="","",ELC_EGP!AH$32)</f>
        <v/>
      </c>
      <c r="AJ16" s="26" t="str">
        <f>IF(ELC_EGP!AI$32="","",ELC_EGP!AI$32)</f>
        <v/>
      </c>
      <c r="AK16" s="26" t="str">
        <f>IF(ELC_EGP!AJ$32="","",ELC_EGP!AJ$32)</f>
        <v/>
      </c>
      <c r="AO16" s="37" t="s">
        <v>83</v>
      </c>
      <c r="AP16" s="37" t="str">
        <f t="shared" si="2"/>
        <v>P-TH-IGCC-PEA-CCS05-Offaly2</v>
      </c>
      <c r="AQ16" s="37" t="str">
        <f t="shared" si="3"/>
        <v>New Power Plant - IGCC peat CCS pre combustion_Offaly East Irish Sea</v>
      </c>
      <c r="AR16" s="37" t="s">
        <v>84</v>
      </c>
      <c r="AS16" s="37" t="s">
        <v>2</v>
      </c>
      <c r="AT16" t="s">
        <v>91</v>
      </c>
      <c r="AU16" s="1"/>
      <c r="AV16" s="37"/>
      <c r="BG16" t="s">
        <v>108</v>
      </c>
    </row>
    <row r="17" spans="2:59">
      <c r="B17" s="24" t="s">
        <v>2807</v>
      </c>
      <c r="C17" s="25" t="str">
        <f t="shared" si="0"/>
        <v>New Power Plant - IGCC peat CCS pre combustion_Offaly Central Irish Sea</v>
      </c>
      <c r="D17" s="25" t="s">
        <v>2821</v>
      </c>
      <c r="E17" s="24" t="str">
        <f t="shared" si="1"/>
        <v>ELCC, PWRCO2S</v>
      </c>
      <c r="F17" s="26">
        <f>IF(ELC_EGP!G$32="","",ELC_EGP!G$32)</f>
        <v>0.35</v>
      </c>
      <c r="G17" s="26">
        <f>IF(ELC_EGP!H$32="","",ELC_EGP!H$32)</f>
        <v>0.37</v>
      </c>
      <c r="H17" s="26">
        <f>IF(ELC_EGP!I$32="","",ELC_EGP!I$32)</f>
        <v>0.4</v>
      </c>
      <c r="I17" s="26">
        <f>IF(ELC_EGP!J$32="","",ELC_EGP!J$32)</f>
        <v>0.41</v>
      </c>
      <c r="J17" s="26">
        <f>IF(ELC_EGP!K$32="","",ELC_EGP!K$32)</f>
        <v>0.44</v>
      </c>
      <c r="K17" s="24">
        <f>IF(ELC_EGP!L$32="","",ELC_EGP!L$32)</f>
        <v>2030</v>
      </c>
      <c r="L17" s="114">
        <f>IF(ELC_EGP!M$35="","",ELC_EGP!M$35)+SUM($AA17:$AB17)</f>
        <v>3532.6197381021461</v>
      </c>
      <c r="M17" s="114">
        <f>IF(ELC_EGP!N$35="","",ELC_EGP!N$35)+SUM($AA17:$AB17)</f>
        <v>3192.6197381021461</v>
      </c>
      <c r="N17" s="114">
        <f>IF(ELC_EGP!O$35="","",ELC_EGP!O$35)+SUM($AA17:$AB17)</f>
        <v>2902.6197381021461</v>
      </c>
      <c r="O17" s="114">
        <f>IF(ELC_EGP!P$35="","",ELC_EGP!P$35)+SUM($AA17:$AB17)</f>
        <v>2632.6197381021461</v>
      </c>
      <c r="P17" s="114">
        <f>IF(ELC_EGP!Q$35="","",ELC_EGP!Q$35)+SUM($AA17:$AB17)</f>
        <v>2402.6197381021461</v>
      </c>
      <c r="Q17" s="114">
        <f>IF(ELC_EGP!R$32="","",ELC_EGP!R$32)</f>
        <v>93</v>
      </c>
      <c r="R17" s="114">
        <f>IF(ELC_EGP!S$32="","",ELC_EGP!S$32)</f>
        <v>86.55</v>
      </c>
      <c r="S17" s="114">
        <f>IF(ELC_EGP!T$32="","",ELC_EGP!T$32)</f>
        <v>84.75</v>
      </c>
      <c r="T17" s="114">
        <f>IF(ELC_EGP!U$32="","",ELC_EGP!U$32)</f>
        <v>84.75</v>
      </c>
      <c r="U17" s="114">
        <f>IF(ELC_EGP!V$32="","",ELC_EGP!V$32)</f>
        <v>84.75</v>
      </c>
      <c r="V17" s="115">
        <f>IF(ELC_EGP!W$35="","",ELC_EGP!W$35)+SUM($AC17:$AD17)</f>
        <v>0.79418857715001712</v>
      </c>
      <c r="W17" s="115">
        <f>IF(ELC_EGP!X$35="","",ELC_EGP!X$35)+SUM($AC17:$AD17)</f>
        <v>0.78126857715001707</v>
      </c>
      <c r="X17" s="115">
        <f>IF(ELC_EGP!Y$35="","",ELC_EGP!Y$35)+SUM($AC17:$AD17)</f>
        <v>0.77024857715001716</v>
      </c>
      <c r="Y17" s="115">
        <f>IF(ELC_EGP!Z$35="","",ELC_EGP!Z$35)+SUM($AC17:$AD17)</f>
        <v>0.75998857715001711</v>
      </c>
      <c r="Z17" s="115">
        <f>IF(ELC_EGP!AA$35="","",ELC_EGP!AA$35)+SUM($AC17:$AD17)</f>
        <v>0.75124857715001714</v>
      </c>
      <c r="AA17" s="116">
        <f>346.220733549765*(131.215852099895/100)</f>
        <v>454.29648567383117</v>
      </c>
      <c r="AB17" s="116">
        <f>90.1745105753192*(131.215852099895/100)</f>
        <v>118.32325242831502</v>
      </c>
      <c r="AC17" s="117">
        <f>0.4285408758339*(131.215852099895/100)</f>
        <v>0.56231356182180481</v>
      </c>
      <c r="AD17" s="117">
        <f>0.0909913043412747*(131.215852099895/100)</f>
        <v>0.11939501532821234</v>
      </c>
      <c r="AE17" s="24">
        <f>IF(ELC_EGP!AB$32="","",ELC_EGP!AB$32)</f>
        <v>35</v>
      </c>
      <c r="AF17" s="27">
        <f>IF(ELC_EGP!AE$32="","",ELC_EGP!AE$32)</f>
        <v>31.536000000000001</v>
      </c>
      <c r="AG17" s="26">
        <f>IF(ELC_EGP!AF$32="","",ELC_EGP!AF$32)</f>
        <v>0.9</v>
      </c>
      <c r="AH17" s="26" t="str">
        <f>IF(ELC_EGP!AG$32="","",ELC_EGP!AG$32)</f>
        <v/>
      </c>
      <c r="AI17" s="26" t="str">
        <f>IF(ELC_EGP!AH$32="","",ELC_EGP!AH$32)</f>
        <v/>
      </c>
      <c r="AJ17" s="26" t="str">
        <f>IF(ELC_EGP!AI$32="","",ELC_EGP!AI$32)</f>
        <v/>
      </c>
      <c r="AK17" s="26" t="str">
        <f>IF(ELC_EGP!AJ$32="","",ELC_EGP!AJ$32)</f>
        <v/>
      </c>
      <c r="AO17" s="37" t="s">
        <v>83</v>
      </c>
      <c r="AP17" s="37" t="str">
        <f t="shared" si="2"/>
        <v>P-TH-IGCC-PEA-CCS05-Offaly3</v>
      </c>
      <c r="AQ17" s="37" t="str">
        <f t="shared" si="3"/>
        <v>New Power Plant - IGCC peat CCS pre combustion_Offaly Central Irish Sea</v>
      </c>
      <c r="AR17" s="37" t="s">
        <v>84</v>
      </c>
      <c r="AS17" s="37" t="s">
        <v>2</v>
      </c>
      <c r="AT17" t="s">
        <v>91</v>
      </c>
      <c r="AU17" s="1"/>
      <c r="AV17" s="37"/>
      <c r="BG17" t="s">
        <v>109</v>
      </c>
    </row>
    <row r="18" spans="2:59">
      <c r="B18" s="24" t="s">
        <v>2945</v>
      </c>
      <c r="C18" s="25" t="str">
        <f t="shared" si="0"/>
        <v>New Power Plant - CCGT advanced CCS post combustion_Dublin East Irish Sea</v>
      </c>
      <c r="D18" s="25" t="s">
        <v>2819</v>
      </c>
      <c r="E18" s="24" t="str">
        <f t="shared" si="1"/>
        <v>ELCC, PWRCO2S</v>
      </c>
      <c r="F18" s="26">
        <f>IF(ELC_EGP!G$28="","",ELC_EGP!G$28)</f>
        <v>0.5</v>
      </c>
      <c r="G18" s="26">
        <f>IF(ELC_EGP!H$28="","",ELC_EGP!H$28)</f>
        <v>0.52</v>
      </c>
      <c r="H18" s="26">
        <f>IF(ELC_EGP!I$28="","",ELC_EGP!I$28)</f>
        <v>0.55000000000000004</v>
      </c>
      <c r="I18" s="26">
        <f>IF(ELC_EGP!J$28="","",ELC_EGP!J$28)</f>
        <v>0.55000000000000004</v>
      </c>
      <c r="J18" s="26">
        <f>IF(ELC_EGP!K$28="","",ELC_EGP!K$28)</f>
        <v>0.55000000000000004</v>
      </c>
      <c r="K18" s="24">
        <f>IF(ELC_EGP!L$28="","",ELC_EGP!L$28)</f>
        <v>2030</v>
      </c>
      <c r="L18" s="114"/>
      <c r="M18" s="114"/>
      <c r="N18" s="114">
        <f>IF(ELC_EGP!O$28="","",ELC_EGP!O$28)+SUM($AA18:$AB18)</f>
        <v>1748.6566965995676</v>
      </c>
      <c r="O18" s="114">
        <f>IF(ELC_EGP!P$28="","",ELC_EGP!P$28)+SUM($AA18:$AB18)</f>
        <v>1668.6566965995676</v>
      </c>
      <c r="P18" s="114">
        <f>IF(ELC_EGP!Q$28="","",ELC_EGP!Q$28)+SUM($AA18:$AB18)</f>
        <v>1638.6566965995676</v>
      </c>
      <c r="Q18" s="114">
        <f>IF(ELC_EGP!R$28="","",ELC_EGP!R$28)</f>
        <v>37.5</v>
      </c>
      <c r="R18" s="114">
        <f>IF(ELC_EGP!S$28="","",ELC_EGP!S$28)</f>
        <v>37.5</v>
      </c>
      <c r="S18" s="114">
        <f>IF(ELC_EGP!T$28="","",ELC_EGP!T$28)</f>
        <v>37.5</v>
      </c>
      <c r="T18" s="114">
        <f>IF(ELC_EGP!U$28="","",ELC_EGP!U$28)</f>
        <v>37.5</v>
      </c>
      <c r="U18" s="114">
        <f>IF(ELC_EGP!V$28="","",ELC_EGP!V$28)</f>
        <v>37.5</v>
      </c>
      <c r="V18" s="115">
        <f>IF(ELC_EGP!W$28="","",ELC_EGP!W$28)+SUM($AC18:$AD18)</f>
        <v>0.24714745993078663</v>
      </c>
      <c r="W18" s="115">
        <f>IF(ELC_EGP!X$28="","",ELC_EGP!X$28)+SUM($AC18:$AD18)</f>
        <v>0.24714745993078663</v>
      </c>
      <c r="X18" s="115">
        <f>IF(ELC_EGP!Y$28="","",ELC_EGP!Y$28)+SUM($AC18:$AD18)</f>
        <v>0.24714745993078663</v>
      </c>
      <c r="Y18" s="115">
        <f>IF(ELC_EGP!Z$28="","",ELC_EGP!Z$28)+SUM($AC18:$AD18)</f>
        <v>0.24714745993078663</v>
      </c>
      <c r="Z18" s="115">
        <f>IF(ELC_EGP!AA$28="","",ELC_EGP!AA$28)+SUM($AC18:$AD18)</f>
        <v>0.24714745993078663</v>
      </c>
      <c r="AA18" s="116">
        <f>222.27928155831*(131.215852099895/100)</f>
        <v>291.66565333826122</v>
      </c>
      <c r="AB18" s="116">
        <f>51.0540778337558*(131.215852099895/100)</f>
        <v>66.991043261306274</v>
      </c>
      <c r="AC18" s="117">
        <f>0.0932556484566934*(131.215852099895/100)</f>
        <v>0.12236619375373282</v>
      </c>
      <c r="AD18" s="117">
        <f>0.0493699999964453*(131.215852099895/100)</f>
        <v>6.478126617705382E-2</v>
      </c>
      <c r="AE18" s="24">
        <f>IF(ELC_EGP!AB$28="","",ELC_EGP!AB$28)</f>
        <v>30</v>
      </c>
      <c r="AF18" s="27">
        <f>IF(ELC_EGP!AE$28="","",ELC_EGP!AE$28)</f>
        <v>31.536000000000001</v>
      </c>
      <c r="AG18" s="26">
        <f>IF(ELC_EGP!AF$28="","",ELC_EGP!AF$28)</f>
        <v>0.9</v>
      </c>
      <c r="AH18" s="26" t="str">
        <f>IF(ELC_EGP!AG$28="","",ELC_EGP!AG$28)</f>
        <v/>
      </c>
      <c r="AI18" s="26" t="str">
        <f>IF(ELC_EGP!AH$28="","",ELC_EGP!AH$28)</f>
        <v/>
      </c>
      <c r="AJ18" s="26" t="str">
        <f>IF(ELC_EGP!AI$28="","",ELC_EGP!AI$28)</f>
        <v/>
      </c>
      <c r="AK18" s="26" t="str">
        <f>IF(ELC_EGP!AJ$28="","",ELC_EGP!AJ$28)</f>
        <v/>
      </c>
      <c r="AO18" s="37" t="s">
        <v>83</v>
      </c>
      <c r="AP18" s="37" t="str">
        <f t="shared" si="2"/>
        <v>P-TH-CCGT-GAS-CCS04-Dublin1</v>
      </c>
      <c r="AQ18" s="37" t="str">
        <f t="shared" si="3"/>
        <v>New Power Plant - CCGT advanced CCS post combustion_Dublin East Irish Sea</v>
      </c>
      <c r="AR18" s="37" t="s">
        <v>84</v>
      </c>
      <c r="AS18" s="37" t="s">
        <v>2</v>
      </c>
      <c r="AT18" t="s">
        <v>91</v>
      </c>
      <c r="AU18" s="1"/>
      <c r="AV18" s="37"/>
      <c r="BG18" t="s">
        <v>105</v>
      </c>
    </row>
    <row r="19" spans="2:59">
      <c r="B19" s="24" t="s">
        <v>2808</v>
      </c>
      <c r="C19" s="25" t="str">
        <f t="shared" si="0"/>
        <v>New Power Plant - CCGT advanced CCS post combustion_Dublin Central Irish Sea</v>
      </c>
      <c r="D19" s="25" t="s">
        <v>2819</v>
      </c>
      <c r="E19" s="24" t="str">
        <f t="shared" si="1"/>
        <v>ELCC, PWRCO2S</v>
      </c>
      <c r="F19" s="26">
        <f>IF(ELC_EGP!G$28="","",ELC_EGP!G$28)</f>
        <v>0.5</v>
      </c>
      <c r="G19" s="26">
        <f>IF(ELC_EGP!H$28="","",ELC_EGP!H$28)</f>
        <v>0.52</v>
      </c>
      <c r="H19" s="26">
        <f>IF(ELC_EGP!I$28="","",ELC_EGP!I$28)</f>
        <v>0.55000000000000004</v>
      </c>
      <c r="I19" s="26">
        <f>IF(ELC_EGP!J$28="","",ELC_EGP!J$28)</f>
        <v>0.55000000000000004</v>
      </c>
      <c r="J19" s="26">
        <f>IF(ELC_EGP!K$28="","",ELC_EGP!K$28)</f>
        <v>0.55000000000000004</v>
      </c>
      <c r="K19" s="24">
        <f>IF(ELC_EGP!L$28="","",ELC_EGP!L$28)</f>
        <v>2030</v>
      </c>
      <c r="L19" s="114"/>
      <c r="M19" s="114"/>
      <c r="N19" s="114">
        <f>IF(ELC_EGP!O$28="","",ELC_EGP!O$28)+SUM($AA19:$AB19)</f>
        <v>1651.4348121534804</v>
      </c>
      <c r="O19" s="114">
        <f>IF(ELC_EGP!P$28="","",ELC_EGP!P$28)+SUM($AA19:$AB19)</f>
        <v>1571.4348121534804</v>
      </c>
      <c r="P19" s="114">
        <f>IF(ELC_EGP!Q$28="","",ELC_EGP!Q$28)+SUM($AA19:$AB19)</f>
        <v>1541.4348121534804</v>
      </c>
      <c r="Q19" s="114">
        <f>IF(ELC_EGP!R$28="","",ELC_EGP!R$28)</f>
        <v>37.5</v>
      </c>
      <c r="R19" s="114">
        <f>IF(ELC_EGP!S$28="","",ELC_EGP!S$28)</f>
        <v>37.5</v>
      </c>
      <c r="S19" s="114">
        <f>IF(ELC_EGP!T$28="","",ELC_EGP!T$28)</f>
        <v>37.5</v>
      </c>
      <c r="T19" s="114">
        <f>IF(ELC_EGP!U$28="","",ELC_EGP!U$28)</f>
        <v>37.5</v>
      </c>
      <c r="U19" s="114">
        <f>IF(ELC_EGP!V$28="","",ELC_EGP!V$28)</f>
        <v>37.5</v>
      </c>
      <c r="V19" s="115">
        <f>IF(ELC_EGP!W$28="","",ELC_EGP!W$28)+SUM($AC19:$AD19)</f>
        <v>0.20635872867954241</v>
      </c>
      <c r="W19" s="115">
        <f>IF(ELC_EGP!X$28="","",ELC_EGP!X$28)+SUM($AC19:$AD19)</f>
        <v>0.20635872867954241</v>
      </c>
      <c r="X19" s="115">
        <f>IF(ELC_EGP!Y$28="","",ELC_EGP!Y$28)+SUM($AC19:$AD19)</f>
        <v>0.20635872867954241</v>
      </c>
      <c r="Y19" s="115">
        <f>IF(ELC_EGP!Z$28="","",ELC_EGP!Z$28)+SUM($AC19:$AD19)</f>
        <v>0.20635872867954241</v>
      </c>
      <c r="Z19" s="115">
        <f>IF(ELC_EGP!AA$28="","",ELC_EGP!AA$28)+SUM($AC19:$AD19)</f>
        <v>0.20635872867954241</v>
      </c>
      <c r="AA19" s="116">
        <f>148.18618770554*(131.215852099895/100)</f>
        <v>194.44376889217412</v>
      </c>
      <c r="AB19" s="116">
        <f>51.0540778337558*(131.215852099895/100)</f>
        <v>66.991043261306274</v>
      </c>
      <c r="AC19" s="117">
        <f>0.0621704323044623*(131.215852099895/100)</f>
        <v>8.1577462502488596E-2</v>
      </c>
      <c r="AD19" s="117">
        <f>0.0493699999964453*(131.215852099895/100)</f>
        <v>6.478126617705382E-2</v>
      </c>
      <c r="AE19" s="24">
        <f>IF(ELC_EGP!AB$28="","",ELC_EGP!AB$28)</f>
        <v>30</v>
      </c>
      <c r="AF19" s="27">
        <f>IF(ELC_EGP!AE$28="","",ELC_EGP!AE$28)</f>
        <v>31.536000000000001</v>
      </c>
      <c r="AG19" s="26">
        <f>IF(ELC_EGP!AF$28="","",ELC_EGP!AF$28)</f>
        <v>0.9</v>
      </c>
      <c r="AH19" s="26" t="str">
        <f>IF(ELC_EGP!AG$28="","",ELC_EGP!AG$28)</f>
        <v/>
      </c>
      <c r="AI19" s="26" t="str">
        <f>IF(ELC_EGP!AH$28="","",ELC_EGP!AH$28)</f>
        <v/>
      </c>
      <c r="AJ19" s="26" t="str">
        <f>IF(ELC_EGP!AI$28="","",ELC_EGP!AI$28)</f>
        <v/>
      </c>
      <c r="AK19" s="26" t="str">
        <f>IF(ELC_EGP!AJ$28="","",ELC_EGP!AJ$28)</f>
        <v/>
      </c>
      <c r="AO19" s="37" t="s">
        <v>83</v>
      </c>
      <c r="AP19" s="37" t="str">
        <f t="shared" si="2"/>
        <v>P-TH-CCGT-GAS-CCS04-Dublin2</v>
      </c>
      <c r="AQ19" s="37" t="str">
        <f t="shared" si="3"/>
        <v>New Power Plant - CCGT advanced CCS post combustion_Dublin Central Irish Sea</v>
      </c>
      <c r="AR19" s="37" t="s">
        <v>84</v>
      </c>
      <c r="AS19" s="37" t="s">
        <v>2</v>
      </c>
      <c r="AT19" t="s">
        <v>91</v>
      </c>
      <c r="AU19" s="1"/>
      <c r="AV19" s="37"/>
      <c r="BG19" t="s">
        <v>106</v>
      </c>
    </row>
    <row r="20" spans="2:59">
      <c r="B20" s="118" t="s">
        <v>2809</v>
      </c>
      <c r="C20" s="19" t="str">
        <f t="shared" si="0"/>
        <v>New Power Plant - Pulverised coal supercritical CCS post-combustion_Kilroot Portpatrick</v>
      </c>
      <c r="D20" s="19" t="s">
        <v>2820</v>
      </c>
      <c r="E20" s="118" t="str">
        <f t="shared" si="1"/>
        <v>ELCC, PWRCO2S</v>
      </c>
      <c r="F20" s="20">
        <f>IF(ELC_EGP!G$29="","",ELC_EGP!G$29)</f>
        <v>0.34</v>
      </c>
      <c r="G20" s="20">
        <f>IF(ELC_EGP!H$29="","",ELC_EGP!H$29)</f>
        <v>0.35</v>
      </c>
      <c r="H20" s="20">
        <f>IF(ELC_EGP!I$29="","",ELC_EGP!I$29)</f>
        <v>0.35</v>
      </c>
      <c r="I20" s="20">
        <f>IF(ELC_EGP!J$29="","",ELC_EGP!J$29)</f>
        <v>0.38</v>
      </c>
      <c r="J20" s="20">
        <f>IF(ELC_EGP!K$29="","",ELC_EGP!K$29)</f>
        <v>0.38</v>
      </c>
      <c r="K20" s="118">
        <f>IF(ELC_EGP!L$29="","",ELC_EGP!L$29)</f>
        <v>2030</v>
      </c>
      <c r="L20" s="119"/>
      <c r="M20" s="119"/>
      <c r="N20" s="119">
        <f>IF(ELC_EGP!O$29="","",ELC_EGP!O$29)+SUM($AA20:$AB20)</f>
        <v>2982.5512158872043</v>
      </c>
      <c r="O20" s="119">
        <f>IF(ELC_EGP!P$29="","",ELC_EGP!P$29)+SUM($AA20:$AB20)</f>
        <v>2832.5512158872043</v>
      </c>
      <c r="P20" s="119">
        <f>IF(ELC_EGP!Q$29="","",ELC_EGP!Q$29)+SUM($AA20:$AB20)</f>
        <v>2812.5512158872043</v>
      </c>
      <c r="Q20" s="120">
        <f>IF(ELC_EGP!R$29="","",ELC_EGP!R$29)</f>
        <v>75</v>
      </c>
      <c r="R20" s="120">
        <f>IF(ELC_EGP!S$29="","",ELC_EGP!S$29)</f>
        <v>67.5</v>
      </c>
      <c r="S20" s="120">
        <f>IF(ELC_EGP!T$29="","",ELC_EGP!T$29)</f>
        <v>63.75</v>
      </c>
      <c r="T20" s="120">
        <f>IF(ELC_EGP!U$29="","",ELC_EGP!U$29)</f>
        <v>63.75</v>
      </c>
      <c r="U20" s="120">
        <f>IF(ELC_EGP!V$29="","",ELC_EGP!V$29)</f>
        <v>63.75</v>
      </c>
      <c r="V20" s="121">
        <f>IF(ELC_EGP!W$29="","",ELC_EGP!W$29)+SUM($AC20:$AD20)</f>
        <v>0.38462916182051266</v>
      </c>
      <c r="W20" s="121">
        <f>IF(ELC_EGP!X$29="","",ELC_EGP!X$29)+SUM($AC20:$AD20)</f>
        <v>0.3681291618205127</v>
      </c>
      <c r="X20" s="121">
        <f>IF(ELC_EGP!Y$29="","",ELC_EGP!Y$29)+SUM($AC20:$AD20)</f>
        <v>0.35987916182051272</v>
      </c>
      <c r="Y20" s="121">
        <f>IF(ELC_EGP!Z$29="","",ELC_EGP!Z$29)+SUM($AC20:$AD20)</f>
        <v>0.35987916182051272</v>
      </c>
      <c r="Z20" s="121">
        <f>IF(ELC_EGP!AA$29="","",ELC_EGP!AA$29)+SUM($AC20:$AD20)</f>
        <v>0.35987916182051272</v>
      </c>
      <c r="AA20" s="122">
        <f>94.6745088118728*(131.215852099895/100)</f>
        <v>124.22796345888906</v>
      </c>
      <c r="AB20" s="122">
        <f>90.1745105753192*(131.215852099895/100)</f>
        <v>118.32325242831502</v>
      </c>
      <c r="AC20" s="123">
        <f>0.0763887479204813*(131.215852099895/100)</f>
        <v>0.10023414649230035</v>
      </c>
      <c r="AD20" s="123">
        <f>0.0909913043412747*(131.215852099895/100)</f>
        <v>0.11939501532821234</v>
      </c>
      <c r="AE20" s="118">
        <f>IF(ELC_EGP!AB$29="","",ELC_EGP!AB$29)</f>
        <v>40</v>
      </c>
      <c r="AF20" s="124">
        <f>IF(ELC_EGP!AE$29="","",ELC_EGP!AE$29)</f>
        <v>31.536000000000001</v>
      </c>
      <c r="AG20" s="20">
        <f>IF(ELC_EGP!AF$29="","",ELC_EGP!AF$29)</f>
        <v>0.9</v>
      </c>
      <c r="AH20" s="20" t="str">
        <f>IF(ELC_EGP!AG$29="","",ELC_EGP!AG$29)</f>
        <v/>
      </c>
      <c r="AI20" s="20" t="str">
        <f>IF(ELC_EGP!AH$29="","",ELC_EGP!AH$29)</f>
        <v/>
      </c>
      <c r="AJ20" s="20" t="str">
        <f>IF(ELC_EGP!AI$29="","",ELC_EGP!AI$29)</f>
        <v/>
      </c>
      <c r="AK20" s="20" t="str">
        <f>IF(ELC_EGP!AJ$29="","",ELC_EGP!AJ$29)</f>
        <v/>
      </c>
      <c r="AO20" s="37" t="s">
        <v>83</v>
      </c>
      <c r="AP20" s="37" t="str">
        <f t="shared" si="2"/>
        <v>P-TH-SC-COA-CCS04-Kilroot1</v>
      </c>
      <c r="AQ20" s="37" t="str">
        <f t="shared" si="3"/>
        <v>New Power Plant - Pulverised coal supercritical CCS post-combustion_Kilroot Portpatrick</v>
      </c>
      <c r="AR20" s="37" t="s">
        <v>84</v>
      </c>
      <c r="AS20" s="37" t="s">
        <v>2</v>
      </c>
      <c r="AT20" t="s">
        <v>91</v>
      </c>
      <c r="AU20" s="1"/>
      <c r="AV20" s="37"/>
      <c r="BG20" s="35" t="s">
        <v>110</v>
      </c>
    </row>
    <row r="24" spans="2:59">
      <c r="B24" s="1"/>
      <c r="C24" s="1"/>
      <c r="D24" s="1"/>
      <c r="E24" s="125" t="s">
        <v>2828</v>
      </c>
      <c r="F24" s="1"/>
      <c r="G24" s="1"/>
      <c r="H24" s="1"/>
      <c r="I24" s="1"/>
      <c r="J24" s="1"/>
      <c r="K24" s="1"/>
      <c r="L24" s="1"/>
      <c r="M24" s="1"/>
      <c r="N24" s="1"/>
      <c r="AA24">
        <f>131.215852099895/100</f>
        <v>1.3121585209989499</v>
      </c>
      <c r="AB24" s="51" t="s">
        <v>119</v>
      </c>
      <c r="AC24" t="s">
        <v>118</v>
      </c>
    </row>
    <row r="25" spans="2:59">
      <c r="B25" s="129" t="s">
        <v>17</v>
      </c>
      <c r="C25" s="129" t="s">
        <v>19</v>
      </c>
      <c r="D25" s="129" t="s">
        <v>2829</v>
      </c>
      <c r="E25" s="129" t="s">
        <v>2830</v>
      </c>
      <c r="F25" s="129" t="s">
        <v>2831</v>
      </c>
      <c r="G25" s="129" t="s">
        <v>2832</v>
      </c>
      <c r="H25" s="129" t="s">
        <v>2833</v>
      </c>
      <c r="I25" s="129" t="s">
        <v>2834</v>
      </c>
      <c r="J25" s="130" t="s">
        <v>2835</v>
      </c>
      <c r="K25" s="129" t="s">
        <v>75</v>
      </c>
      <c r="L25" s="129" t="s">
        <v>21</v>
      </c>
      <c r="M25" s="129" t="s">
        <v>24</v>
      </c>
      <c r="N25" s="129" t="s">
        <v>27</v>
      </c>
      <c r="AA25" t="s">
        <v>120</v>
      </c>
    </row>
    <row r="26" spans="2:59">
      <c r="B26" t="s">
        <v>2838</v>
      </c>
      <c r="C26" s="128" t="s">
        <v>2822</v>
      </c>
      <c r="D26" s="128" t="s">
        <v>133</v>
      </c>
      <c r="E26" s="1">
        <v>2018</v>
      </c>
      <c r="F26" s="1">
        <v>2019</v>
      </c>
      <c r="G26" s="1">
        <v>20</v>
      </c>
      <c r="H26" s="1">
        <v>0.61</v>
      </c>
      <c r="I26" s="1">
        <v>31.536000000000001</v>
      </c>
      <c r="J26" s="126">
        <v>8.2000000000000003E-2</v>
      </c>
      <c r="K26" s="126">
        <v>0.34</v>
      </c>
      <c r="L26" s="127">
        <v>3373</v>
      </c>
      <c r="M26" s="127">
        <v>118</v>
      </c>
      <c r="N26" s="127"/>
      <c r="R26" s="1" t="s">
        <v>2836</v>
      </c>
    </row>
    <row r="27" spans="2:59">
      <c r="E27" s="1">
        <v>2020</v>
      </c>
      <c r="J27" s="1">
        <v>0.09</v>
      </c>
      <c r="K27" s="1">
        <v>0.34</v>
      </c>
      <c r="L27" s="1">
        <v>3373</v>
      </c>
      <c r="M27" s="1">
        <v>118</v>
      </c>
    </row>
    <row r="28" spans="2:59">
      <c r="E28" s="1">
        <v>2030</v>
      </c>
      <c r="J28" s="1">
        <v>0.09</v>
      </c>
      <c r="K28" s="1">
        <v>0.35</v>
      </c>
      <c r="L28" s="1">
        <v>2652</v>
      </c>
      <c r="M28" s="1">
        <v>93</v>
      </c>
    </row>
    <row r="29" spans="2:59">
      <c r="E29" s="19">
        <v>2050</v>
      </c>
      <c r="F29" s="19"/>
      <c r="H29" s="19"/>
      <c r="I29" s="19"/>
      <c r="J29" s="19">
        <v>0.09</v>
      </c>
      <c r="K29" s="1">
        <v>0.36</v>
      </c>
      <c r="L29" s="19">
        <v>2321</v>
      </c>
      <c r="M29" s="1">
        <v>81</v>
      </c>
    </row>
    <row r="32" spans="2:59">
      <c r="B32" s="131" t="s">
        <v>37</v>
      </c>
      <c r="C32" s="9"/>
      <c r="D32" s="9"/>
      <c r="E32" s="9"/>
      <c r="F32" s="9"/>
      <c r="G32" s="9"/>
      <c r="H32" s="9"/>
      <c r="I32" s="9"/>
    </row>
    <row r="33" spans="2:9">
      <c r="B33" s="132" t="s">
        <v>38</v>
      </c>
      <c r="C33" s="133" t="s">
        <v>17</v>
      </c>
      <c r="D33" s="133" t="s">
        <v>39</v>
      </c>
      <c r="E33" s="133" t="s">
        <v>40</v>
      </c>
      <c r="F33" s="133" t="s">
        <v>41</v>
      </c>
      <c r="G33" s="133" t="s">
        <v>42</v>
      </c>
      <c r="H33" s="133" t="s">
        <v>43</v>
      </c>
      <c r="I33" s="134" t="s">
        <v>44</v>
      </c>
    </row>
    <row r="34" spans="2:9">
      <c r="B34" s="1" t="s">
        <v>83</v>
      </c>
      <c r="C34" t="s">
        <v>2838</v>
      </c>
      <c r="D34" s="1" t="s">
        <v>2837</v>
      </c>
      <c r="E34" s="1" t="s">
        <v>84</v>
      </c>
      <c r="F34" s="1" t="s">
        <v>2</v>
      </c>
      <c r="G34" s="1" t="s">
        <v>91</v>
      </c>
      <c r="I34" s="9"/>
    </row>
  </sheetData>
  <phoneticPr fontId="15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E0C20-3C37-4B95-AF67-7102433BAAB7}">
  <sheetPr codeName="Sheet5"/>
  <dimension ref="A1:V1937"/>
  <sheetViews>
    <sheetView workbookViewId="0">
      <selection activeCell="V1" sqref="V1"/>
    </sheetView>
  </sheetViews>
  <sheetFormatPr defaultRowHeight="15"/>
  <sheetData>
    <row r="1" spans="1:22" ht="92.25">
      <c r="A1" s="58" t="s">
        <v>154</v>
      </c>
      <c r="B1" s="58" t="s">
        <v>155</v>
      </c>
      <c r="C1" s="58" t="s">
        <v>156</v>
      </c>
      <c r="D1" s="58" t="s">
        <v>157</v>
      </c>
      <c r="E1" s="58" t="s">
        <v>158</v>
      </c>
      <c r="F1" s="58" t="s">
        <v>159</v>
      </c>
      <c r="G1" s="58" t="s">
        <v>160</v>
      </c>
      <c r="H1" s="58" t="s">
        <v>161</v>
      </c>
      <c r="I1" s="58" t="s">
        <v>162</v>
      </c>
      <c r="J1" s="58" t="s">
        <v>163</v>
      </c>
      <c r="K1" s="58" t="s">
        <v>164</v>
      </c>
      <c r="L1" s="74" t="s">
        <v>165</v>
      </c>
      <c r="M1" s="75" t="s">
        <v>166</v>
      </c>
      <c r="N1" s="74" t="s">
        <v>167</v>
      </c>
      <c r="O1" s="58" t="s">
        <v>168</v>
      </c>
      <c r="P1" s="76" t="s">
        <v>169</v>
      </c>
      <c r="Q1" s="77" t="s">
        <v>170</v>
      </c>
      <c r="R1" s="78" t="s">
        <v>170</v>
      </c>
      <c r="S1" s="79" t="s">
        <v>171</v>
      </c>
      <c r="T1" s="80" t="s">
        <v>172</v>
      </c>
      <c r="U1" s="79" t="s">
        <v>173</v>
      </c>
      <c r="V1" s="81" t="s">
        <v>174</v>
      </c>
    </row>
    <row r="2" spans="1:22">
      <c r="A2" s="82">
        <v>1</v>
      </c>
      <c r="B2" s="82">
        <v>1</v>
      </c>
      <c r="C2" s="82" t="s">
        <v>175</v>
      </c>
      <c r="D2" s="58" t="s">
        <v>176</v>
      </c>
      <c r="E2" s="58" t="s">
        <v>176</v>
      </c>
      <c r="F2" s="82" t="s">
        <v>177</v>
      </c>
      <c r="G2" s="82" t="s">
        <v>178</v>
      </c>
      <c r="H2" s="82" t="s">
        <v>179</v>
      </c>
      <c r="I2" s="82">
        <v>38000</v>
      </c>
      <c r="J2" s="83">
        <v>38000</v>
      </c>
      <c r="K2" s="83">
        <v>20000</v>
      </c>
      <c r="L2" s="84">
        <v>15.861000000000001</v>
      </c>
      <c r="M2" s="85">
        <v>16</v>
      </c>
      <c r="N2" s="84">
        <v>0.122</v>
      </c>
      <c r="O2" s="83">
        <v>1</v>
      </c>
      <c r="P2" s="84">
        <v>0.122</v>
      </c>
      <c r="Q2" s="86">
        <v>3.45</v>
      </c>
      <c r="R2" s="85">
        <v>3.45</v>
      </c>
      <c r="S2" s="87">
        <v>1703340</v>
      </c>
      <c r="T2" s="1">
        <v>1</v>
      </c>
      <c r="U2" s="88">
        <v>493721.73913043475</v>
      </c>
      <c r="V2" s="59">
        <v>2.0254323857832257</v>
      </c>
    </row>
    <row r="3" spans="1:22">
      <c r="A3" s="58">
        <v>2</v>
      </c>
      <c r="B3" s="58">
        <v>2</v>
      </c>
      <c r="C3" s="58" t="s">
        <v>180</v>
      </c>
      <c r="D3" s="58" t="s">
        <v>176</v>
      </c>
      <c r="E3" s="58" t="s">
        <v>176</v>
      </c>
      <c r="F3" s="58" t="s">
        <v>177</v>
      </c>
      <c r="G3" s="58" t="s">
        <v>178</v>
      </c>
      <c r="H3" s="58" t="s">
        <v>179</v>
      </c>
      <c r="I3">
        <v>38000</v>
      </c>
      <c r="J3">
        <v>38000</v>
      </c>
      <c r="K3">
        <v>20000</v>
      </c>
      <c r="L3" s="74">
        <v>5.42</v>
      </c>
      <c r="M3" s="85">
        <v>6</v>
      </c>
      <c r="N3" s="74">
        <v>0.26300000000000001</v>
      </c>
      <c r="O3">
        <v>1</v>
      </c>
      <c r="P3" s="84">
        <v>0.26300000000000001</v>
      </c>
      <c r="Q3" s="86">
        <v>3.45</v>
      </c>
      <c r="R3" s="85">
        <v>3.45</v>
      </c>
      <c r="S3" s="87">
        <v>769410</v>
      </c>
      <c r="T3" s="1">
        <v>4</v>
      </c>
      <c r="U3" s="88">
        <v>223017.39130434781</v>
      </c>
      <c r="V3" s="59">
        <v>4.4839552384294459</v>
      </c>
    </row>
    <row r="4" spans="1:22">
      <c r="A4" s="58">
        <v>3</v>
      </c>
      <c r="B4" s="58">
        <v>3</v>
      </c>
      <c r="C4" s="58" t="s">
        <v>181</v>
      </c>
      <c r="D4" s="58" t="s">
        <v>182</v>
      </c>
      <c r="E4" s="58" t="s">
        <v>182</v>
      </c>
      <c r="F4" s="58" t="s">
        <v>183</v>
      </c>
      <c r="G4" s="58" t="s">
        <v>184</v>
      </c>
      <c r="H4" s="58" t="s">
        <v>179</v>
      </c>
      <c r="I4">
        <v>38000</v>
      </c>
      <c r="J4">
        <v>38000</v>
      </c>
      <c r="K4" s="58" t="s">
        <v>185</v>
      </c>
      <c r="L4" s="74">
        <v>11.691000000000001</v>
      </c>
      <c r="M4" s="85">
        <v>12</v>
      </c>
      <c r="N4" s="74">
        <v>0.13300000000000001</v>
      </c>
      <c r="O4">
        <v>1</v>
      </c>
      <c r="P4" s="84">
        <v>0.13300000000000001</v>
      </c>
      <c r="Q4" s="86">
        <v>3.45</v>
      </c>
      <c r="R4" s="85">
        <v>3.45</v>
      </c>
      <c r="S4" s="87">
        <v>1492540</v>
      </c>
      <c r="T4" s="1">
        <v>1</v>
      </c>
      <c r="U4" s="88">
        <v>432620.28985507245</v>
      </c>
      <c r="V4" s="59">
        <v>2.3114958393074891</v>
      </c>
    </row>
    <row r="5" spans="1:22">
      <c r="A5" s="58">
        <v>4</v>
      </c>
      <c r="B5" s="58">
        <v>4</v>
      </c>
      <c r="C5" s="58" t="s">
        <v>186</v>
      </c>
      <c r="D5" s="58" t="s">
        <v>187</v>
      </c>
      <c r="E5" s="58" t="s">
        <v>187</v>
      </c>
      <c r="F5" s="58" t="s">
        <v>188</v>
      </c>
      <c r="G5" s="58" t="s">
        <v>189</v>
      </c>
      <c r="H5" s="58" t="s">
        <v>179</v>
      </c>
      <c r="I5">
        <v>38000</v>
      </c>
      <c r="J5">
        <v>38000</v>
      </c>
      <c r="K5">
        <v>10000</v>
      </c>
      <c r="L5" s="74">
        <v>13.24</v>
      </c>
      <c r="M5" s="85">
        <v>14</v>
      </c>
      <c r="N5" s="74">
        <v>0.13300000000000001</v>
      </c>
      <c r="O5">
        <v>1</v>
      </c>
      <c r="P5" s="84">
        <v>0.13300000000000001</v>
      </c>
      <c r="Q5" s="86">
        <v>3.45</v>
      </c>
      <c r="R5" s="85">
        <v>3.45</v>
      </c>
      <c r="S5" s="87">
        <v>1597940</v>
      </c>
      <c r="T5" s="1">
        <v>1</v>
      </c>
      <c r="U5" s="88">
        <v>463171.0144927536</v>
      </c>
      <c r="V5" s="59">
        <v>2.1590297508041605</v>
      </c>
    </row>
    <row r="6" spans="1:22">
      <c r="A6" s="58">
        <v>5</v>
      </c>
      <c r="B6" s="58">
        <v>5</v>
      </c>
      <c r="C6" s="58" t="s">
        <v>190</v>
      </c>
      <c r="D6" s="58" t="s">
        <v>187</v>
      </c>
      <c r="E6" s="58" t="s">
        <v>187</v>
      </c>
      <c r="F6" s="58" t="s">
        <v>191</v>
      </c>
      <c r="G6" s="58" t="s">
        <v>192</v>
      </c>
      <c r="H6" s="58" t="s">
        <v>179</v>
      </c>
      <c r="I6">
        <v>38000</v>
      </c>
      <c r="J6">
        <v>38000</v>
      </c>
      <c r="K6" s="58" t="s">
        <v>185</v>
      </c>
      <c r="L6" s="74">
        <v>9.9619999999999997</v>
      </c>
      <c r="M6" s="85">
        <v>10</v>
      </c>
      <c r="N6" s="74">
        <v>0.157</v>
      </c>
      <c r="O6">
        <v>1</v>
      </c>
      <c r="P6" s="84">
        <v>0.157</v>
      </c>
      <c r="Q6" s="86">
        <v>3.45</v>
      </c>
      <c r="R6" s="85">
        <v>3.45</v>
      </c>
      <c r="S6" s="87">
        <v>1387140</v>
      </c>
      <c r="T6" s="1">
        <v>1</v>
      </c>
      <c r="U6" s="88">
        <v>402069.5652173913</v>
      </c>
      <c r="V6" s="59">
        <v>2.487131796357974</v>
      </c>
    </row>
    <row r="7" spans="1:22">
      <c r="A7" s="58">
        <v>6</v>
      </c>
      <c r="B7" s="58">
        <v>6</v>
      </c>
      <c r="C7" s="58" t="s">
        <v>193</v>
      </c>
      <c r="D7" s="58" t="s">
        <v>187</v>
      </c>
      <c r="E7" s="58" t="s">
        <v>187</v>
      </c>
      <c r="F7" s="58" t="s">
        <v>194</v>
      </c>
      <c r="G7" s="58" t="s">
        <v>195</v>
      </c>
      <c r="H7" s="58" t="s">
        <v>179</v>
      </c>
      <c r="I7">
        <v>38000</v>
      </c>
      <c r="J7" s="58" t="s">
        <v>185</v>
      </c>
      <c r="K7">
        <v>38000</v>
      </c>
      <c r="L7" s="74">
        <v>10.638999999999999</v>
      </c>
      <c r="M7" s="85">
        <v>11</v>
      </c>
      <c r="N7" s="74">
        <v>9.2999999999999999E-2</v>
      </c>
      <c r="O7">
        <v>1</v>
      </c>
      <c r="P7" s="84">
        <v>9.2999999999999999E-2</v>
      </c>
      <c r="Q7" s="86">
        <v>3.45</v>
      </c>
      <c r="R7" s="85">
        <v>3.45</v>
      </c>
      <c r="S7" s="87">
        <v>1439840</v>
      </c>
      <c r="T7" s="1">
        <v>1</v>
      </c>
      <c r="U7" s="88">
        <v>417344.92753623187</v>
      </c>
      <c r="V7" s="59">
        <v>2.396099566618513</v>
      </c>
    </row>
    <row r="8" spans="1:22">
      <c r="A8" s="58">
        <v>7</v>
      </c>
      <c r="B8" s="58">
        <v>7</v>
      </c>
      <c r="C8" s="58" t="s">
        <v>196</v>
      </c>
      <c r="D8" s="58" t="s">
        <v>197</v>
      </c>
      <c r="E8" s="58" t="s">
        <v>197</v>
      </c>
      <c r="F8" s="58" t="s">
        <v>198</v>
      </c>
      <c r="H8" s="58" t="s">
        <v>199</v>
      </c>
      <c r="I8">
        <v>110000</v>
      </c>
      <c r="J8" s="58" t="s">
        <v>200</v>
      </c>
      <c r="K8">
        <v>110000</v>
      </c>
      <c r="L8" s="74">
        <v>1.526</v>
      </c>
      <c r="M8" s="85">
        <v>2</v>
      </c>
      <c r="N8" s="74">
        <v>0.126</v>
      </c>
      <c r="O8">
        <v>1</v>
      </c>
      <c r="P8" s="84">
        <v>0.126</v>
      </c>
      <c r="Q8" s="86">
        <v>3.45</v>
      </c>
      <c r="R8" s="85">
        <v>3.45</v>
      </c>
      <c r="S8" s="87">
        <v>1340080</v>
      </c>
      <c r="T8" s="1">
        <v>11</v>
      </c>
      <c r="U8" s="88">
        <v>388428.98550724634</v>
      </c>
      <c r="V8" s="59">
        <v>2.5744731657811473</v>
      </c>
    </row>
    <row r="9" spans="1:22">
      <c r="A9" s="58">
        <v>8</v>
      </c>
      <c r="B9" s="58">
        <v>8</v>
      </c>
      <c r="C9" s="58" t="s">
        <v>201</v>
      </c>
      <c r="D9" s="58" t="s">
        <v>202</v>
      </c>
      <c r="E9" s="58" t="s">
        <v>202</v>
      </c>
      <c r="F9" s="58" t="s">
        <v>203</v>
      </c>
      <c r="G9" s="58" t="s">
        <v>204</v>
      </c>
      <c r="H9" s="58" t="s">
        <v>179</v>
      </c>
      <c r="I9">
        <v>38000</v>
      </c>
      <c r="J9">
        <v>38000</v>
      </c>
      <c r="K9">
        <v>10000</v>
      </c>
      <c r="L9" s="74">
        <v>6.0090000000000003</v>
      </c>
      <c r="M9" s="85">
        <v>7</v>
      </c>
      <c r="N9" s="74">
        <v>0.28000000000000003</v>
      </c>
      <c r="O9">
        <v>1</v>
      </c>
      <c r="P9" s="84">
        <v>0.28000000000000003</v>
      </c>
      <c r="Q9" s="86">
        <v>3.45</v>
      </c>
      <c r="R9" s="85">
        <v>3.45</v>
      </c>
      <c r="S9" s="87">
        <v>839680</v>
      </c>
      <c r="T9" s="1">
        <v>4</v>
      </c>
      <c r="U9" s="88">
        <v>243385.5072463768</v>
      </c>
      <c r="V9" s="59">
        <v>4.1087080792682924</v>
      </c>
    </row>
    <row r="10" spans="1:22">
      <c r="A10" s="58">
        <v>9</v>
      </c>
      <c r="B10" s="58">
        <v>9</v>
      </c>
      <c r="C10" s="58" t="s">
        <v>205</v>
      </c>
      <c r="D10" s="58" t="s">
        <v>202</v>
      </c>
      <c r="E10" s="58" t="s">
        <v>202</v>
      </c>
      <c r="F10" s="58" t="s">
        <v>203</v>
      </c>
      <c r="G10" s="58" t="s">
        <v>204</v>
      </c>
      <c r="H10" s="58" t="s">
        <v>179</v>
      </c>
      <c r="I10">
        <v>38000</v>
      </c>
      <c r="J10">
        <v>38000</v>
      </c>
      <c r="K10">
        <v>10000</v>
      </c>
      <c r="L10" s="74">
        <v>5.282</v>
      </c>
      <c r="M10" s="85">
        <v>6</v>
      </c>
      <c r="N10" s="74">
        <v>0.17799999999999999</v>
      </c>
      <c r="O10">
        <v>1</v>
      </c>
      <c r="P10" s="84">
        <v>0.17799999999999999</v>
      </c>
      <c r="Q10" s="86">
        <v>3.45</v>
      </c>
      <c r="R10" s="85">
        <v>3.45</v>
      </c>
      <c r="S10" s="87">
        <v>769410</v>
      </c>
      <c r="T10" s="1">
        <v>4</v>
      </c>
      <c r="U10" s="88">
        <v>223017.39130434781</v>
      </c>
      <c r="V10" s="59">
        <v>4.4839552384294459</v>
      </c>
    </row>
    <row r="11" spans="1:22">
      <c r="A11" s="58">
        <v>10</v>
      </c>
      <c r="B11" s="58">
        <v>10</v>
      </c>
      <c r="C11" s="58" t="s">
        <v>206</v>
      </c>
      <c r="D11" s="58" t="s">
        <v>207</v>
      </c>
      <c r="E11" s="58" t="s">
        <v>207</v>
      </c>
      <c r="F11" s="58" t="s">
        <v>208</v>
      </c>
      <c r="G11" s="58" t="s">
        <v>209</v>
      </c>
      <c r="H11" s="58" t="s">
        <v>199</v>
      </c>
      <c r="I11">
        <v>110000</v>
      </c>
      <c r="J11">
        <v>110000</v>
      </c>
      <c r="K11">
        <v>38000</v>
      </c>
      <c r="L11" s="74">
        <v>4.6950000000000003</v>
      </c>
      <c r="M11" s="85">
        <v>5</v>
      </c>
      <c r="N11" s="74">
        <v>0.2</v>
      </c>
      <c r="O11">
        <v>1</v>
      </c>
      <c r="P11" s="84">
        <v>0.2</v>
      </c>
      <c r="Q11" s="86">
        <v>3.45</v>
      </c>
      <c r="R11" s="85">
        <v>3.45</v>
      </c>
      <c r="S11" s="87">
        <v>1679970</v>
      </c>
      <c r="T11" s="1">
        <v>7</v>
      </c>
      <c r="U11" s="88">
        <v>486947.82608695648</v>
      </c>
      <c r="V11" s="59">
        <v>2.0536081001446456</v>
      </c>
    </row>
    <row r="12" spans="1:22">
      <c r="A12" s="58">
        <v>11</v>
      </c>
      <c r="B12" s="58">
        <v>11</v>
      </c>
      <c r="C12" s="58" t="s">
        <v>210</v>
      </c>
      <c r="D12" s="58" t="s">
        <v>207</v>
      </c>
      <c r="E12" s="58" t="s">
        <v>207</v>
      </c>
      <c r="F12" s="58" t="s">
        <v>208</v>
      </c>
      <c r="G12" s="58" t="s">
        <v>209</v>
      </c>
      <c r="H12" s="58" t="s">
        <v>199</v>
      </c>
      <c r="I12">
        <v>110000</v>
      </c>
      <c r="J12">
        <v>110000</v>
      </c>
      <c r="K12">
        <v>38000</v>
      </c>
      <c r="L12" s="74">
        <v>5.6079999999999997</v>
      </c>
      <c r="M12" s="85">
        <v>6</v>
      </c>
      <c r="N12" s="74">
        <v>0.11600000000000001</v>
      </c>
      <c r="O12">
        <v>1</v>
      </c>
      <c r="P12" s="84">
        <v>0.11600000000000001</v>
      </c>
      <c r="Q12" s="86">
        <v>3.45</v>
      </c>
      <c r="R12" s="85">
        <v>3.45</v>
      </c>
      <c r="S12" s="87">
        <v>1732670</v>
      </c>
      <c r="T12" s="1">
        <v>7</v>
      </c>
      <c r="U12" s="88">
        <v>502223.18840579706</v>
      </c>
      <c r="V12" s="59">
        <v>1.991146611876468</v>
      </c>
    </row>
    <row r="13" spans="1:22">
      <c r="A13" s="58">
        <v>12</v>
      </c>
      <c r="B13" s="58">
        <v>12</v>
      </c>
      <c r="C13" s="58" t="s">
        <v>211</v>
      </c>
      <c r="D13" s="58" t="s">
        <v>207</v>
      </c>
      <c r="E13" s="58" t="s">
        <v>207</v>
      </c>
      <c r="F13" s="58" t="s">
        <v>212</v>
      </c>
      <c r="G13" s="58" t="s">
        <v>213</v>
      </c>
      <c r="H13" s="58" t="s">
        <v>179</v>
      </c>
      <c r="I13">
        <v>38000</v>
      </c>
      <c r="J13">
        <v>38000</v>
      </c>
      <c r="K13" s="58" t="s">
        <v>185</v>
      </c>
      <c r="L13" s="74">
        <v>5.9240000000000004</v>
      </c>
      <c r="M13" s="85">
        <v>6</v>
      </c>
      <c r="N13" s="74">
        <v>0.13400000000000001</v>
      </c>
      <c r="O13">
        <v>1</v>
      </c>
      <c r="P13" s="84">
        <v>0.13400000000000001</v>
      </c>
      <c r="Q13" s="86">
        <v>3.45</v>
      </c>
      <c r="R13" s="85">
        <v>3.45</v>
      </c>
      <c r="S13" s="87">
        <v>769410</v>
      </c>
      <c r="T13" s="1">
        <v>4</v>
      </c>
      <c r="U13" s="88">
        <v>223017.39130434781</v>
      </c>
      <c r="V13" s="59">
        <v>4.4839552384294459</v>
      </c>
    </row>
    <row r="14" spans="1:22">
      <c r="A14" s="58">
        <v>13</v>
      </c>
      <c r="B14" s="58">
        <v>13</v>
      </c>
      <c r="C14" s="58" t="s">
        <v>214</v>
      </c>
      <c r="D14" s="58" t="s">
        <v>215</v>
      </c>
      <c r="E14" s="58" t="s">
        <v>215</v>
      </c>
      <c r="F14" s="58" t="s">
        <v>216</v>
      </c>
      <c r="G14" s="58" t="s">
        <v>217</v>
      </c>
      <c r="H14" s="58" t="s">
        <v>179</v>
      </c>
      <c r="I14">
        <v>38000</v>
      </c>
      <c r="J14">
        <v>38000</v>
      </c>
      <c r="K14" s="58" t="s">
        <v>185</v>
      </c>
      <c r="L14" s="74">
        <v>8.843</v>
      </c>
      <c r="M14" s="85">
        <v>9</v>
      </c>
      <c r="N14" s="74">
        <v>0.13900000000000001</v>
      </c>
      <c r="O14">
        <v>1</v>
      </c>
      <c r="P14" s="84">
        <v>0.13900000000000001</v>
      </c>
      <c r="Q14" s="86">
        <v>3.45</v>
      </c>
      <c r="R14" s="85">
        <v>3.45</v>
      </c>
      <c r="S14" s="87">
        <v>1334440</v>
      </c>
      <c r="T14" s="1">
        <v>1</v>
      </c>
      <c r="U14" s="88">
        <v>386794.20289855072</v>
      </c>
      <c r="V14" s="59">
        <v>2.585354156050478</v>
      </c>
    </row>
    <row r="15" spans="1:22">
      <c r="A15" s="58">
        <v>14</v>
      </c>
      <c r="B15" s="58">
        <v>14</v>
      </c>
      <c r="C15" s="58" t="s">
        <v>218</v>
      </c>
      <c r="D15" s="58" t="s">
        <v>207</v>
      </c>
      <c r="E15" s="58" t="s">
        <v>207</v>
      </c>
      <c r="F15" s="58" t="s">
        <v>219</v>
      </c>
      <c r="G15" s="58" t="s">
        <v>220</v>
      </c>
      <c r="H15" s="58" t="s">
        <v>199</v>
      </c>
      <c r="I15">
        <v>110000</v>
      </c>
      <c r="J15">
        <v>110000</v>
      </c>
      <c r="K15">
        <v>38000</v>
      </c>
      <c r="L15" s="74">
        <v>4.5419999999999998</v>
      </c>
      <c r="M15" s="85">
        <v>5</v>
      </c>
      <c r="N15" s="74">
        <v>0.154</v>
      </c>
      <c r="O15">
        <v>1</v>
      </c>
      <c r="P15" s="84">
        <v>0.154</v>
      </c>
      <c r="Q15" s="86">
        <v>3.45</v>
      </c>
      <c r="R15" s="85">
        <v>3.45</v>
      </c>
      <c r="S15" s="87">
        <v>1679970</v>
      </c>
      <c r="T15" s="1">
        <v>7</v>
      </c>
      <c r="U15" s="88">
        <v>486947.82608695648</v>
      </c>
      <c r="V15" s="59">
        <v>2.0536081001446456</v>
      </c>
    </row>
    <row r="16" spans="1:22">
      <c r="A16" s="58">
        <v>15</v>
      </c>
      <c r="B16" s="58">
        <v>15</v>
      </c>
      <c r="C16" s="58" t="s">
        <v>221</v>
      </c>
      <c r="D16" s="58" t="s">
        <v>176</v>
      </c>
      <c r="E16" s="58" t="s">
        <v>176</v>
      </c>
      <c r="F16" s="58" t="s">
        <v>222</v>
      </c>
      <c r="G16" s="58" t="s">
        <v>223</v>
      </c>
      <c r="H16" s="58" t="s">
        <v>179</v>
      </c>
      <c r="I16">
        <v>38000</v>
      </c>
      <c r="J16">
        <v>38000</v>
      </c>
      <c r="K16">
        <v>20000</v>
      </c>
      <c r="L16" s="74">
        <v>11.994999999999999</v>
      </c>
      <c r="M16" s="85">
        <v>12</v>
      </c>
      <c r="N16" s="74">
        <v>0.155</v>
      </c>
      <c r="O16">
        <v>1</v>
      </c>
      <c r="P16" s="84">
        <v>0.155</v>
      </c>
      <c r="Q16" s="86">
        <v>3.45</v>
      </c>
      <c r="R16" s="85">
        <v>3.45</v>
      </c>
      <c r="S16" s="87">
        <v>1492540</v>
      </c>
      <c r="T16" s="1">
        <v>1</v>
      </c>
      <c r="U16" s="88">
        <v>432620.28985507245</v>
      </c>
      <c r="V16" s="59">
        <v>2.3114958393074891</v>
      </c>
    </row>
    <row r="17" spans="1:22">
      <c r="A17" s="58">
        <v>16</v>
      </c>
      <c r="B17" s="58">
        <v>16</v>
      </c>
      <c r="C17" s="58" t="s">
        <v>224</v>
      </c>
      <c r="D17" s="58" t="s">
        <v>215</v>
      </c>
      <c r="E17" s="58" t="s">
        <v>215</v>
      </c>
      <c r="F17" s="58" t="s">
        <v>225</v>
      </c>
      <c r="G17" s="58" t="s">
        <v>226</v>
      </c>
      <c r="H17" s="58" t="s">
        <v>179</v>
      </c>
      <c r="I17">
        <v>38000</v>
      </c>
      <c r="J17">
        <v>38000</v>
      </c>
      <c r="K17">
        <v>20000</v>
      </c>
      <c r="L17" s="74">
        <v>11.179</v>
      </c>
      <c r="M17" s="85">
        <v>12</v>
      </c>
      <c r="N17" s="74">
        <v>0.10100000000000001</v>
      </c>
      <c r="O17">
        <v>1</v>
      </c>
      <c r="P17" s="84">
        <v>0.10100000000000001</v>
      </c>
      <c r="Q17" s="86">
        <v>3.45</v>
      </c>
      <c r="R17" s="85">
        <v>3.45</v>
      </c>
      <c r="S17" s="87">
        <v>1492540</v>
      </c>
      <c r="T17" s="1">
        <v>1</v>
      </c>
      <c r="U17" s="88">
        <v>432620.28985507245</v>
      </c>
      <c r="V17" s="59">
        <v>2.3114958393074891</v>
      </c>
    </row>
    <row r="18" spans="1:22">
      <c r="A18" s="58">
        <v>17</v>
      </c>
      <c r="B18" s="58">
        <v>17</v>
      </c>
      <c r="C18" s="58" t="s">
        <v>227</v>
      </c>
      <c r="D18" s="58" t="s">
        <v>187</v>
      </c>
      <c r="E18" s="58" t="s">
        <v>187</v>
      </c>
      <c r="F18" s="58" t="s">
        <v>228</v>
      </c>
      <c r="G18" s="58" t="s">
        <v>229</v>
      </c>
      <c r="H18" s="58" t="s">
        <v>179</v>
      </c>
      <c r="I18">
        <v>38000</v>
      </c>
      <c r="J18">
        <v>38000</v>
      </c>
      <c r="K18" s="58" t="s">
        <v>185</v>
      </c>
      <c r="L18" s="74">
        <v>14.864000000000001</v>
      </c>
      <c r="M18" s="85">
        <v>15</v>
      </c>
      <c r="N18" s="74">
        <v>0.14899999999999999</v>
      </c>
      <c r="O18">
        <v>1</v>
      </c>
      <c r="P18" s="84">
        <v>0.14899999999999999</v>
      </c>
      <c r="Q18" s="86">
        <v>3.45</v>
      </c>
      <c r="R18" s="85">
        <v>3.45</v>
      </c>
      <c r="S18" s="87">
        <v>1650640</v>
      </c>
      <c r="T18" s="1">
        <v>1</v>
      </c>
      <c r="U18" s="88">
        <v>478446.37681159418</v>
      </c>
      <c r="V18" s="59">
        <v>2.0900983860805504</v>
      </c>
    </row>
    <row r="19" spans="1:22">
      <c r="A19" s="58">
        <v>18</v>
      </c>
      <c r="B19" s="58">
        <v>18</v>
      </c>
      <c r="C19" s="58" t="s">
        <v>230</v>
      </c>
      <c r="D19" s="58" t="s">
        <v>187</v>
      </c>
      <c r="E19" s="58" t="s">
        <v>187</v>
      </c>
      <c r="F19" s="58" t="s">
        <v>231</v>
      </c>
      <c r="G19" s="58" t="s">
        <v>232</v>
      </c>
      <c r="H19" s="58" t="s">
        <v>179</v>
      </c>
      <c r="I19">
        <v>38000</v>
      </c>
      <c r="J19" s="58" t="s">
        <v>185</v>
      </c>
      <c r="K19">
        <v>38000</v>
      </c>
      <c r="L19" s="74">
        <v>2.2170000000000001</v>
      </c>
      <c r="M19" s="85">
        <v>3</v>
      </c>
      <c r="N19" s="74">
        <v>0.25900000000000001</v>
      </c>
      <c r="O19">
        <v>1</v>
      </c>
      <c r="P19" s="84">
        <v>0.25900000000000001</v>
      </c>
      <c r="Q19" s="86">
        <v>3.45</v>
      </c>
      <c r="R19" s="85">
        <v>3.45</v>
      </c>
      <c r="S19" s="87">
        <v>558600</v>
      </c>
      <c r="T19" s="1">
        <v>4</v>
      </c>
      <c r="U19" s="88">
        <v>161913.04347826086</v>
      </c>
      <c r="V19" s="59">
        <v>6.176154672395274</v>
      </c>
    </row>
    <row r="20" spans="1:22">
      <c r="A20" s="58">
        <v>19</v>
      </c>
      <c r="B20" s="58">
        <v>19</v>
      </c>
      <c r="C20" s="58" t="s">
        <v>233</v>
      </c>
      <c r="D20" s="58" t="s">
        <v>234</v>
      </c>
      <c r="E20" s="58" t="s">
        <v>234</v>
      </c>
      <c r="F20" s="58" t="s">
        <v>235</v>
      </c>
      <c r="G20" s="58" t="s">
        <v>236</v>
      </c>
      <c r="H20" s="58" t="s">
        <v>179</v>
      </c>
      <c r="I20">
        <v>38000</v>
      </c>
      <c r="J20">
        <v>38000</v>
      </c>
      <c r="K20">
        <v>20000</v>
      </c>
      <c r="L20" s="74">
        <v>7.8869999999999996</v>
      </c>
      <c r="M20" s="85">
        <v>8</v>
      </c>
      <c r="N20" s="74">
        <v>0.33700000000000002</v>
      </c>
      <c r="O20">
        <v>1</v>
      </c>
      <c r="P20" s="84">
        <v>0.33700000000000002</v>
      </c>
      <c r="Q20" s="86">
        <v>3.45</v>
      </c>
      <c r="R20" s="85">
        <v>3.45</v>
      </c>
      <c r="S20" s="87">
        <v>909950</v>
      </c>
      <c r="T20" s="1">
        <v>4</v>
      </c>
      <c r="U20" s="88">
        <v>263753.62318840576</v>
      </c>
      <c r="V20" s="59">
        <v>3.7914171108302654</v>
      </c>
    </row>
    <row r="21" spans="1:22">
      <c r="A21" s="58">
        <v>20</v>
      </c>
      <c r="B21" s="58">
        <v>20</v>
      </c>
      <c r="C21" s="58" t="s">
        <v>237</v>
      </c>
      <c r="D21" s="58" t="s">
        <v>187</v>
      </c>
      <c r="E21" s="58" t="s">
        <v>187</v>
      </c>
      <c r="F21" s="58" t="s">
        <v>238</v>
      </c>
      <c r="G21" s="58" t="s">
        <v>239</v>
      </c>
      <c r="H21" s="58" t="s">
        <v>179</v>
      </c>
      <c r="I21">
        <v>38000</v>
      </c>
      <c r="J21">
        <v>38000</v>
      </c>
      <c r="K21">
        <v>10000</v>
      </c>
      <c r="L21" s="74">
        <v>8.548</v>
      </c>
      <c r="M21" s="85">
        <v>9</v>
      </c>
      <c r="N21" s="74">
        <v>0.52300000000000002</v>
      </c>
      <c r="O21">
        <v>1</v>
      </c>
      <c r="P21" s="84">
        <v>0.52300000000000002</v>
      </c>
      <c r="Q21" s="86">
        <v>3.45</v>
      </c>
      <c r="R21" s="85">
        <v>3.45</v>
      </c>
      <c r="S21" s="87">
        <v>1334440</v>
      </c>
      <c r="T21" s="1">
        <v>1</v>
      </c>
      <c r="U21" s="88">
        <v>386794.20289855072</v>
      </c>
      <c r="V21" s="59">
        <v>2.585354156050478</v>
      </c>
    </row>
    <row r="22" spans="1:22">
      <c r="A22" s="58">
        <v>21</v>
      </c>
      <c r="B22" s="58">
        <v>21</v>
      </c>
      <c r="C22" s="58" t="s">
        <v>240</v>
      </c>
      <c r="D22" s="58" t="s">
        <v>176</v>
      </c>
      <c r="E22" s="58" t="s">
        <v>176</v>
      </c>
      <c r="F22" s="58" t="s">
        <v>177</v>
      </c>
      <c r="G22" s="58" t="s">
        <v>178</v>
      </c>
      <c r="H22" s="58" t="s">
        <v>179</v>
      </c>
      <c r="I22">
        <v>38000</v>
      </c>
      <c r="J22">
        <v>38000</v>
      </c>
      <c r="K22">
        <v>20000</v>
      </c>
      <c r="L22" s="74">
        <v>13.635</v>
      </c>
      <c r="M22" s="85">
        <v>14</v>
      </c>
      <c r="N22" s="74">
        <v>0.28899999999999998</v>
      </c>
      <c r="O22">
        <v>1</v>
      </c>
      <c r="P22" s="84">
        <v>0.28899999999999998</v>
      </c>
      <c r="Q22" s="86">
        <v>3.45</v>
      </c>
      <c r="R22" s="85">
        <v>3.45</v>
      </c>
      <c r="S22" s="87">
        <v>1597940</v>
      </c>
      <c r="T22" s="1">
        <v>1</v>
      </c>
      <c r="U22" s="88">
        <v>463171.0144927536</v>
      </c>
      <c r="V22" s="59">
        <v>2.1590297508041605</v>
      </c>
    </row>
    <row r="23" spans="1:22">
      <c r="A23" s="58">
        <v>22</v>
      </c>
      <c r="B23" s="58">
        <v>22</v>
      </c>
      <c r="C23" s="58" t="s">
        <v>241</v>
      </c>
      <c r="D23" s="58" t="s">
        <v>207</v>
      </c>
      <c r="E23" s="58" t="s">
        <v>207</v>
      </c>
      <c r="F23" s="58" t="s">
        <v>242</v>
      </c>
      <c r="G23" s="58" t="s">
        <v>243</v>
      </c>
      <c r="H23" s="58" t="s">
        <v>179</v>
      </c>
      <c r="I23">
        <v>38000</v>
      </c>
      <c r="J23">
        <v>38000</v>
      </c>
      <c r="K23">
        <v>20000</v>
      </c>
      <c r="L23" s="74">
        <v>7.06</v>
      </c>
      <c r="M23" s="85">
        <v>8</v>
      </c>
      <c r="N23" s="74">
        <v>0.32500000000000001</v>
      </c>
      <c r="O23">
        <v>1</v>
      </c>
      <c r="P23" s="84">
        <v>0.32500000000000001</v>
      </c>
      <c r="Q23" s="86">
        <v>3.45</v>
      </c>
      <c r="R23" s="85">
        <v>3.45</v>
      </c>
      <c r="S23" s="87">
        <v>909950</v>
      </c>
      <c r="T23" s="1">
        <v>4</v>
      </c>
      <c r="U23" s="88">
        <v>263753.62318840576</v>
      </c>
      <c r="V23" s="59">
        <v>3.7914171108302654</v>
      </c>
    </row>
    <row r="24" spans="1:22">
      <c r="A24" s="58">
        <v>23</v>
      </c>
      <c r="B24" s="58">
        <v>23</v>
      </c>
      <c r="C24" s="58" t="s">
        <v>244</v>
      </c>
      <c r="D24" s="58" t="s">
        <v>187</v>
      </c>
      <c r="E24" s="58" t="s">
        <v>187</v>
      </c>
      <c r="F24" s="58" t="s">
        <v>231</v>
      </c>
      <c r="G24" s="58" t="s">
        <v>232</v>
      </c>
      <c r="H24" s="58" t="s">
        <v>179</v>
      </c>
      <c r="I24">
        <v>38000</v>
      </c>
      <c r="J24" s="58" t="s">
        <v>185</v>
      </c>
      <c r="K24">
        <v>38000</v>
      </c>
      <c r="L24" s="74">
        <v>4.8760000000000003</v>
      </c>
      <c r="M24" s="85">
        <v>5</v>
      </c>
      <c r="N24" s="74">
        <v>0.61399999999999999</v>
      </c>
      <c r="O24">
        <v>1</v>
      </c>
      <c r="P24" s="84">
        <v>0.46050000000000002</v>
      </c>
      <c r="Q24" s="86">
        <v>3.45</v>
      </c>
      <c r="R24" s="85">
        <v>3.45</v>
      </c>
      <c r="S24" s="87">
        <v>699140</v>
      </c>
      <c r="T24" s="1">
        <v>4</v>
      </c>
      <c r="U24" s="88">
        <v>202649.27536231882</v>
      </c>
      <c r="V24" s="59">
        <v>4.9346339788883489</v>
      </c>
    </row>
    <row r="25" spans="1:22">
      <c r="A25" s="58">
        <v>24</v>
      </c>
      <c r="B25" s="58">
        <v>24</v>
      </c>
      <c r="C25" s="58" t="s">
        <v>245</v>
      </c>
      <c r="D25" s="58" t="s">
        <v>187</v>
      </c>
      <c r="E25" s="58" t="s">
        <v>187</v>
      </c>
      <c r="F25" s="58" t="s">
        <v>246</v>
      </c>
      <c r="G25" s="58" t="s">
        <v>247</v>
      </c>
      <c r="H25" s="58" t="s">
        <v>199</v>
      </c>
      <c r="I25">
        <v>110000</v>
      </c>
      <c r="J25">
        <v>33000</v>
      </c>
      <c r="K25">
        <v>110000</v>
      </c>
      <c r="L25" s="74">
        <v>12.664</v>
      </c>
      <c r="M25" s="85">
        <v>13</v>
      </c>
      <c r="N25" s="74">
        <v>0.20899999999999999</v>
      </c>
      <c r="O25">
        <v>1</v>
      </c>
      <c r="P25" s="84">
        <v>0.20899999999999999</v>
      </c>
      <c r="Q25" s="86">
        <v>3.45</v>
      </c>
      <c r="R25" s="85">
        <v>3.45</v>
      </c>
      <c r="S25" s="87">
        <v>2101570</v>
      </c>
      <c r="T25" s="1">
        <v>7</v>
      </c>
      <c r="U25" s="88">
        <v>609150.72463768115</v>
      </c>
      <c r="V25" s="59">
        <v>1.6416298291277474</v>
      </c>
    </row>
    <row r="26" spans="1:22">
      <c r="A26" s="58">
        <v>25</v>
      </c>
      <c r="B26" s="58">
        <v>25</v>
      </c>
      <c r="C26" s="58" t="s">
        <v>248</v>
      </c>
      <c r="D26" s="58" t="s">
        <v>249</v>
      </c>
      <c r="E26" s="58" t="s">
        <v>249</v>
      </c>
      <c r="F26" s="58" t="s">
        <v>250</v>
      </c>
      <c r="G26" s="58" t="s">
        <v>251</v>
      </c>
      <c r="H26" s="58" t="s">
        <v>199</v>
      </c>
      <c r="I26">
        <v>110000</v>
      </c>
      <c r="L26" s="74">
        <v>10.904999999999999</v>
      </c>
      <c r="M26" s="85">
        <v>11</v>
      </c>
      <c r="N26" s="74">
        <v>0.78600000000000003</v>
      </c>
      <c r="O26">
        <v>1</v>
      </c>
      <c r="P26" s="84">
        <v>0.58950000000000002</v>
      </c>
      <c r="Q26" s="86">
        <v>3.45</v>
      </c>
      <c r="R26" s="85">
        <v>3.45</v>
      </c>
      <c r="S26" s="87">
        <v>1996170</v>
      </c>
      <c r="T26" s="1">
        <v>7</v>
      </c>
      <c r="U26" s="88">
        <v>578600</v>
      </c>
      <c r="V26" s="59">
        <v>1.7283097131005876</v>
      </c>
    </row>
    <row r="27" spans="1:22">
      <c r="A27" s="58">
        <v>26</v>
      </c>
      <c r="B27" s="58">
        <v>26</v>
      </c>
      <c r="C27" s="58" t="s">
        <v>252</v>
      </c>
      <c r="D27" s="58" t="s">
        <v>253</v>
      </c>
      <c r="E27" s="58" t="s">
        <v>253</v>
      </c>
      <c r="F27" s="58" t="s">
        <v>254</v>
      </c>
      <c r="G27" s="58" t="s">
        <v>255</v>
      </c>
      <c r="H27" s="58" t="s">
        <v>179</v>
      </c>
      <c r="I27">
        <v>38000</v>
      </c>
      <c r="J27">
        <v>38000</v>
      </c>
      <c r="K27" s="58" t="s">
        <v>185</v>
      </c>
      <c r="L27" s="74">
        <v>4.9939999999999998</v>
      </c>
      <c r="M27" s="85">
        <v>5</v>
      </c>
      <c r="N27" s="74">
        <v>0.21099999999999999</v>
      </c>
      <c r="O27">
        <v>1</v>
      </c>
      <c r="P27" s="84">
        <v>0.21099999999999999</v>
      </c>
      <c r="Q27" s="86">
        <v>3.45</v>
      </c>
      <c r="R27" s="85">
        <v>3.45</v>
      </c>
      <c r="S27" s="87">
        <v>699140</v>
      </c>
      <c r="T27" s="1">
        <v>4</v>
      </c>
      <c r="U27" s="88">
        <v>202649.27536231882</v>
      </c>
      <c r="V27" s="59">
        <v>4.9346339788883489</v>
      </c>
    </row>
    <row r="28" spans="1:22">
      <c r="A28" s="58">
        <v>27</v>
      </c>
      <c r="B28" s="58">
        <v>27</v>
      </c>
      <c r="C28" s="58" t="s">
        <v>256</v>
      </c>
      <c r="D28" s="58" t="s">
        <v>215</v>
      </c>
      <c r="E28" s="58" t="s">
        <v>215</v>
      </c>
      <c r="F28" s="58" t="s">
        <v>257</v>
      </c>
      <c r="G28" s="58" t="s">
        <v>258</v>
      </c>
      <c r="H28" s="58" t="s">
        <v>179</v>
      </c>
      <c r="I28">
        <v>38000</v>
      </c>
      <c r="J28">
        <v>38000</v>
      </c>
      <c r="K28">
        <v>20000</v>
      </c>
      <c r="L28" s="74">
        <v>12.641</v>
      </c>
      <c r="M28" s="85">
        <v>13</v>
      </c>
      <c r="N28" s="74">
        <v>0.28100000000000003</v>
      </c>
      <c r="O28">
        <v>1</v>
      </c>
      <c r="P28" s="84">
        <v>0.28100000000000003</v>
      </c>
      <c r="Q28" s="86">
        <v>3.45</v>
      </c>
      <c r="R28" s="85">
        <v>3.45</v>
      </c>
      <c r="S28" s="87">
        <v>1545240</v>
      </c>
      <c r="T28" s="1">
        <v>1</v>
      </c>
      <c r="U28" s="88">
        <v>447895.65217391303</v>
      </c>
      <c r="V28" s="59">
        <v>2.2326628873184746</v>
      </c>
    </row>
    <row r="29" spans="1:22">
      <c r="A29" s="58">
        <v>28</v>
      </c>
      <c r="B29" s="58">
        <v>28</v>
      </c>
      <c r="C29" s="58" t="s">
        <v>259</v>
      </c>
      <c r="D29" s="58" t="s">
        <v>176</v>
      </c>
      <c r="E29" s="58" t="s">
        <v>176</v>
      </c>
      <c r="F29" s="58" t="s">
        <v>257</v>
      </c>
      <c r="G29" s="58" t="s">
        <v>258</v>
      </c>
      <c r="H29" s="58" t="s">
        <v>179</v>
      </c>
      <c r="I29">
        <v>38000</v>
      </c>
      <c r="J29">
        <v>38000</v>
      </c>
      <c r="K29">
        <v>20000</v>
      </c>
      <c r="L29" s="74">
        <v>12.848000000000001</v>
      </c>
      <c r="M29" s="85">
        <v>13</v>
      </c>
      <c r="N29" s="74">
        <v>0.13400000000000001</v>
      </c>
      <c r="O29">
        <v>1</v>
      </c>
      <c r="P29" s="84">
        <v>0.13400000000000001</v>
      </c>
      <c r="Q29" s="86">
        <v>3.45</v>
      </c>
      <c r="R29" s="85">
        <v>3.45</v>
      </c>
      <c r="S29" s="87">
        <v>1545240</v>
      </c>
      <c r="T29" s="1">
        <v>1</v>
      </c>
      <c r="U29" s="88">
        <v>447895.65217391303</v>
      </c>
      <c r="V29" s="59">
        <v>2.2326628873184746</v>
      </c>
    </row>
    <row r="30" spans="1:22">
      <c r="A30" s="58">
        <v>29</v>
      </c>
      <c r="B30" s="58">
        <v>29</v>
      </c>
      <c r="C30" s="58" t="s">
        <v>260</v>
      </c>
      <c r="D30" s="58" t="s">
        <v>215</v>
      </c>
      <c r="E30" s="58" t="s">
        <v>215</v>
      </c>
      <c r="F30" s="58" t="s">
        <v>225</v>
      </c>
      <c r="G30" s="58" t="s">
        <v>226</v>
      </c>
      <c r="H30" s="58" t="s">
        <v>179</v>
      </c>
      <c r="I30">
        <v>38000</v>
      </c>
      <c r="J30">
        <v>38000</v>
      </c>
      <c r="K30">
        <v>20000</v>
      </c>
      <c r="L30" s="74">
        <v>12.044</v>
      </c>
      <c r="M30" s="85">
        <v>13</v>
      </c>
      <c r="N30" s="74">
        <v>0.17</v>
      </c>
      <c r="O30">
        <v>1</v>
      </c>
      <c r="P30" s="84">
        <v>0.17</v>
      </c>
      <c r="Q30" s="86">
        <v>3.45</v>
      </c>
      <c r="R30" s="85">
        <v>3.45</v>
      </c>
      <c r="S30" s="87">
        <v>1545240</v>
      </c>
      <c r="T30" s="1">
        <v>1</v>
      </c>
      <c r="U30" s="88">
        <v>447895.65217391303</v>
      </c>
      <c r="V30" s="59">
        <v>2.2326628873184746</v>
      </c>
    </row>
    <row r="31" spans="1:22">
      <c r="A31" s="58">
        <v>30</v>
      </c>
      <c r="B31" s="58">
        <v>30</v>
      </c>
      <c r="C31" s="58" t="s">
        <v>261</v>
      </c>
      <c r="D31" s="58" t="s">
        <v>176</v>
      </c>
      <c r="E31" s="58" t="s">
        <v>176</v>
      </c>
      <c r="F31" s="58" t="s">
        <v>262</v>
      </c>
      <c r="G31" s="58" t="s">
        <v>263</v>
      </c>
      <c r="H31" s="58" t="s">
        <v>179</v>
      </c>
      <c r="I31">
        <v>38000</v>
      </c>
      <c r="J31" s="58" t="s">
        <v>185</v>
      </c>
      <c r="K31">
        <v>38000</v>
      </c>
      <c r="L31" s="74">
        <v>13.637</v>
      </c>
      <c r="M31" s="85">
        <v>14</v>
      </c>
      <c r="N31" s="74">
        <v>0.496</v>
      </c>
      <c r="O31">
        <v>1</v>
      </c>
      <c r="P31" s="84">
        <v>0.496</v>
      </c>
      <c r="Q31" s="86">
        <v>3.45</v>
      </c>
      <c r="R31" s="85">
        <v>3.45</v>
      </c>
      <c r="S31" s="87">
        <v>1597940</v>
      </c>
      <c r="T31" s="1">
        <v>1</v>
      </c>
      <c r="U31" s="88">
        <v>463171.0144927536</v>
      </c>
      <c r="V31" s="59">
        <v>2.1590297508041605</v>
      </c>
    </row>
    <row r="32" spans="1:22">
      <c r="A32" s="58">
        <v>31</v>
      </c>
      <c r="B32" s="58">
        <v>31</v>
      </c>
      <c r="C32" s="58" t="s">
        <v>264</v>
      </c>
      <c r="D32" s="58" t="s">
        <v>176</v>
      </c>
      <c r="E32" s="58" t="s">
        <v>176</v>
      </c>
      <c r="F32" s="58" t="s">
        <v>265</v>
      </c>
      <c r="G32" s="58" t="s">
        <v>266</v>
      </c>
      <c r="H32" s="58" t="s">
        <v>179</v>
      </c>
      <c r="I32">
        <v>38000</v>
      </c>
      <c r="J32">
        <v>38000</v>
      </c>
      <c r="K32" s="58" t="s">
        <v>185</v>
      </c>
      <c r="L32" s="74">
        <v>12.786</v>
      </c>
      <c r="M32" s="85">
        <v>13</v>
      </c>
      <c r="N32" s="74">
        <v>0.35099999999999998</v>
      </c>
      <c r="O32">
        <v>1</v>
      </c>
      <c r="P32" s="84">
        <v>0.35099999999999998</v>
      </c>
      <c r="Q32" s="86">
        <v>3.45</v>
      </c>
      <c r="R32" s="85">
        <v>3.45</v>
      </c>
      <c r="S32" s="87">
        <v>1545240</v>
      </c>
      <c r="T32" s="1">
        <v>1</v>
      </c>
      <c r="U32" s="88">
        <v>447895.65217391303</v>
      </c>
      <c r="V32" s="59">
        <v>2.2326628873184746</v>
      </c>
    </row>
    <row r="33" spans="1:22">
      <c r="A33" s="58">
        <v>32</v>
      </c>
      <c r="B33" s="58">
        <v>32</v>
      </c>
      <c r="C33" s="58" t="s">
        <v>267</v>
      </c>
      <c r="D33" s="58" t="s">
        <v>176</v>
      </c>
      <c r="E33" s="58" t="s">
        <v>176</v>
      </c>
      <c r="F33" s="58" t="s">
        <v>265</v>
      </c>
      <c r="G33" s="58" t="s">
        <v>266</v>
      </c>
      <c r="H33" s="58" t="s">
        <v>179</v>
      </c>
      <c r="I33">
        <v>38000</v>
      </c>
      <c r="J33">
        <v>38000</v>
      </c>
      <c r="K33" s="58" t="s">
        <v>185</v>
      </c>
      <c r="L33" s="74">
        <v>14.48</v>
      </c>
      <c r="M33" s="85">
        <v>15</v>
      </c>
      <c r="N33" s="74">
        <v>0.438</v>
      </c>
      <c r="O33">
        <v>1</v>
      </c>
      <c r="P33" s="84">
        <v>0.438</v>
      </c>
      <c r="Q33" s="86">
        <v>3.45</v>
      </c>
      <c r="R33" s="85">
        <v>3.45</v>
      </c>
      <c r="S33" s="87">
        <v>1650640</v>
      </c>
      <c r="T33" s="1">
        <v>1</v>
      </c>
      <c r="U33" s="88">
        <v>478446.37681159418</v>
      </c>
      <c r="V33" s="59">
        <v>2.0900983860805504</v>
      </c>
    </row>
    <row r="34" spans="1:22">
      <c r="A34" s="58">
        <v>33</v>
      </c>
      <c r="B34" s="58">
        <v>33</v>
      </c>
      <c r="C34" s="58" t="s">
        <v>268</v>
      </c>
      <c r="D34" s="58" t="s">
        <v>176</v>
      </c>
      <c r="E34" s="58" t="s">
        <v>176</v>
      </c>
      <c r="F34" s="58" t="s">
        <v>269</v>
      </c>
      <c r="G34" s="58" t="s">
        <v>270</v>
      </c>
      <c r="H34" s="58" t="s">
        <v>179</v>
      </c>
      <c r="I34">
        <v>38000</v>
      </c>
      <c r="J34">
        <v>38000</v>
      </c>
      <c r="K34">
        <v>20000</v>
      </c>
      <c r="L34" s="74">
        <v>11.712999999999999</v>
      </c>
      <c r="M34" s="85">
        <v>12</v>
      </c>
      <c r="N34" s="74">
        <v>0.121</v>
      </c>
      <c r="O34">
        <v>1</v>
      </c>
      <c r="P34" s="84">
        <v>0.121</v>
      </c>
      <c r="Q34" s="86">
        <v>3.45</v>
      </c>
      <c r="R34" s="85">
        <v>3.45</v>
      </c>
      <c r="S34" s="87">
        <v>1492540</v>
      </c>
      <c r="T34" s="1">
        <v>1</v>
      </c>
      <c r="U34" s="88">
        <v>432620.28985507245</v>
      </c>
      <c r="V34" s="59">
        <v>2.3114958393074891</v>
      </c>
    </row>
    <row r="35" spans="1:22">
      <c r="A35" s="58">
        <v>34</v>
      </c>
      <c r="B35" s="58">
        <v>34</v>
      </c>
      <c r="C35" s="58" t="s">
        <v>271</v>
      </c>
      <c r="D35" s="58" t="s">
        <v>176</v>
      </c>
      <c r="E35" s="58" t="s">
        <v>176</v>
      </c>
      <c r="F35" s="58" t="s">
        <v>272</v>
      </c>
      <c r="G35" s="58" t="s">
        <v>273</v>
      </c>
      <c r="H35" s="58" t="s">
        <v>179</v>
      </c>
      <c r="I35">
        <v>38000</v>
      </c>
      <c r="J35">
        <v>38000</v>
      </c>
      <c r="K35" s="58" t="s">
        <v>185</v>
      </c>
      <c r="L35" s="74">
        <v>11.301</v>
      </c>
      <c r="M35" s="85">
        <v>12</v>
      </c>
      <c r="N35" s="74">
        <v>0.23699999999999999</v>
      </c>
      <c r="O35">
        <v>1</v>
      </c>
      <c r="P35" s="84">
        <v>0.23699999999999999</v>
      </c>
      <c r="Q35" s="86">
        <v>3.45</v>
      </c>
      <c r="R35" s="85">
        <v>3.45</v>
      </c>
      <c r="S35" s="87">
        <v>1492540</v>
      </c>
      <c r="T35" s="1">
        <v>1</v>
      </c>
      <c r="U35" s="88">
        <v>432620.28985507245</v>
      </c>
      <c r="V35" s="59">
        <v>2.3114958393074891</v>
      </c>
    </row>
    <row r="36" spans="1:22">
      <c r="A36" s="58">
        <v>35</v>
      </c>
      <c r="B36" s="58">
        <v>35</v>
      </c>
      <c r="C36" s="58" t="s">
        <v>274</v>
      </c>
      <c r="D36" s="58" t="s">
        <v>176</v>
      </c>
      <c r="E36" s="58" t="s">
        <v>176</v>
      </c>
      <c r="F36" s="58" t="s">
        <v>265</v>
      </c>
      <c r="G36" s="58" t="s">
        <v>266</v>
      </c>
      <c r="H36" s="58" t="s">
        <v>179</v>
      </c>
      <c r="I36">
        <v>38000</v>
      </c>
      <c r="J36">
        <v>38000</v>
      </c>
      <c r="K36" s="58" t="s">
        <v>185</v>
      </c>
      <c r="L36" s="74">
        <v>15.65</v>
      </c>
      <c r="M36" s="85">
        <v>16</v>
      </c>
      <c r="N36" s="74">
        <v>0.26200000000000001</v>
      </c>
      <c r="O36">
        <v>1</v>
      </c>
      <c r="P36" s="84">
        <v>0.26200000000000001</v>
      </c>
      <c r="Q36" s="86">
        <v>3.45</v>
      </c>
      <c r="R36" s="85">
        <v>3.45</v>
      </c>
      <c r="S36" s="87">
        <v>1703340</v>
      </c>
      <c r="T36" s="1">
        <v>1</v>
      </c>
      <c r="U36" s="88">
        <v>493721.73913043475</v>
      </c>
      <c r="V36" s="59">
        <v>2.0254323857832257</v>
      </c>
    </row>
    <row r="37" spans="1:22">
      <c r="A37" s="58">
        <v>36</v>
      </c>
      <c r="B37" s="58">
        <v>36</v>
      </c>
      <c r="C37" s="58" t="s">
        <v>275</v>
      </c>
      <c r="D37" s="58" t="s">
        <v>176</v>
      </c>
      <c r="E37" s="58" t="s">
        <v>176</v>
      </c>
      <c r="F37" s="58" t="s">
        <v>177</v>
      </c>
      <c r="G37" s="58" t="s">
        <v>178</v>
      </c>
      <c r="H37" s="58" t="s">
        <v>179</v>
      </c>
      <c r="I37">
        <v>38000</v>
      </c>
      <c r="J37">
        <v>38000</v>
      </c>
      <c r="K37">
        <v>20000</v>
      </c>
      <c r="L37" s="74">
        <v>4.0910000000000002</v>
      </c>
      <c r="M37" s="85">
        <v>5</v>
      </c>
      <c r="N37" s="74">
        <v>0.56699999999999995</v>
      </c>
      <c r="O37">
        <v>1</v>
      </c>
      <c r="P37" s="84">
        <v>0.56699999999999995</v>
      </c>
      <c r="Q37" s="86">
        <v>3.45</v>
      </c>
      <c r="R37" s="85">
        <v>3.45</v>
      </c>
      <c r="S37" s="87">
        <v>699140</v>
      </c>
      <c r="T37" s="1">
        <v>4</v>
      </c>
      <c r="U37" s="88">
        <v>202649.27536231882</v>
      </c>
      <c r="V37" s="59">
        <v>4.9346339788883489</v>
      </c>
    </row>
    <row r="38" spans="1:22">
      <c r="A38" s="58">
        <v>37</v>
      </c>
      <c r="B38" s="58">
        <v>37</v>
      </c>
      <c r="C38" s="58" t="s">
        <v>276</v>
      </c>
      <c r="D38" s="58" t="s">
        <v>176</v>
      </c>
      <c r="E38" s="58" t="s">
        <v>176</v>
      </c>
      <c r="F38" s="58" t="s">
        <v>262</v>
      </c>
      <c r="G38" s="58" t="s">
        <v>263</v>
      </c>
      <c r="H38" s="58" t="s">
        <v>179</v>
      </c>
      <c r="I38">
        <v>38000</v>
      </c>
      <c r="J38" s="58" t="s">
        <v>185</v>
      </c>
      <c r="K38">
        <v>38000</v>
      </c>
      <c r="L38" s="74">
        <v>2.79</v>
      </c>
      <c r="M38" s="85">
        <v>3</v>
      </c>
      <c r="N38" s="74">
        <v>0.39900000000000002</v>
      </c>
      <c r="O38">
        <v>1</v>
      </c>
      <c r="P38" s="84">
        <v>0.39900000000000002</v>
      </c>
      <c r="Q38" s="86">
        <v>3.45</v>
      </c>
      <c r="R38" s="85">
        <v>3.45</v>
      </c>
      <c r="S38" s="87">
        <v>558600</v>
      </c>
      <c r="T38" s="1">
        <v>4</v>
      </c>
      <c r="U38" s="88">
        <v>161913.04347826086</v>
      </c>
      <c r="V38" s="59">
        <v>6.176154672395274</v>
      </c>
    </row>
    <row r="39" spans="1:22">
      <c r="A39" s="58">
        <v>38</v>
      </c>
      <c r="B39" s="58">
        <v>38</v>
      </c>
      <c r="C39" s="58" t="s">
        <v>277</v>
      </c>
      <c r="D39" s="58" t="s">
        <v>176</v>
      </c>
      <c r="E39" s="58" t="s">
        <v>176</v>
      </c>
      <c r="F39" s="58" t="s">
        <v>262</v>
      </c>
      <c r="G39" s="58" t="s">
        <v>263</v>
      </c>
      <c r="H39" s="58" t="s">
        <v>179</v>
      </c>
      <c r="I39">
        <v>38000</v>
      </c>
      <c r="J39" s="58" t="s">
        <v>185</v>
      </c>
      <c r="K39">
        <v>38000</v>
      </c>
      <c r="L39" s="74">
        <v>14.268000000000001</v>
      </c>
      <c r="M39" s="85">
        <v>15</v>
      </c>
      <c r="N39" s="74">
        <v>0.109</v>
      </c>
      <c r="O39">
        <v>1</v>
      </c>
      <c r="P39" s="84">
        <v>0.109</v>
      </c>
      <c r="Q39" s="86">
        <v>3.45</v>
      </c>
      <c r="R39" s="85">
        <v>3.45</v>
      </c>
      <c r="S39" s="87">
        <v>1650640</v>
      </c>
      <c r="T39" s="1">
        <v>1</v>
      </c>
      <c r="U39" s="88">
        <v>478446.37681159418</v>
      </c>
      <c r="V39" s="59">
        <v>2.0900983860805504</v>
      </c>
    </row>
    <row r="40" spans="1:22">
      <c r="A40" s="58">
        <v>39</v>
      </c>
      <c r="B40" s="58">
        <v>39</v>
      </c>
      <c r="C40" s="58" t="s">
        <v>278</v>
      </c>
      <c r="D40" s="58" t="s">
        <v>176</v>
      </c>
      <c r="E40" s="58" t="s">
        <v>176</v>
      </c>
      <c r="F40" s="58" t="s">
        <v>262</v>
      </c>
      <c r="G40" s="58" t="s">
        <v>263</v>
      </c>
      <c r="H40" s="58" t="s">
        <v>179</v>
      </c>
      <c r="I40">
        <v>38000</v>
      </c>
      <c r="J40" s="58" t="s">
        <v>185</v>
      </c>
      <c r="K40">
        <v>38000</v>
      </c>
      <c r="L40" s="74">
        <v>9.7449999999999992</v>
      </c>
      <c r="M40" s="85">
        <v>10</v>
      </c>
      <c r="N40" s="74">
        <v>0.123</v>
      </c>
      <c r="O40">
        <v>1</v>
      </c>
      <c r="P40" s="84">
        <v>0.123</v>
      </c>
      <c r="Q40" s="86">
        <v>3.45</v>
      </c>
      <c r="R40" s="85">
        <v>3.45</v>
      </c>
      <c r="S40" s="87">
        <v>1387140</v>
      </c>
      <c r="T40" s="1">
        <v>1</v>
      </c>
      <c r="U40" s="88">
        <v>402069.5652173913</v>
      </c>
      <c r="V40" s="59">
        <v>2.487131796357974</v>
      </c>
    </row>
    <row r="41" spans="1:22">
      <c r="A41" s="58">
        <v>40</v>
      </c>
      <c r="B41" s="58">
        <v>40</v>
      </c>
      <c r="C41" s="58" t="s">
        <v>279</v>
      </c>
      <c r="D41" s="58" t="s">
        <v>176</v>
      </c>
      <c r="E41" s="58" t="s">
        <v>176</v>
      </c>
      <c r="F41" s="58" t="s">
        <v>262</v>
      </c>
      <c r="G41" s="58" t="s">
        <v>263</v>
      </c>
      <c r="H41" s="58" t="s">
        <v>179</v>
      </c>
      <c r="I41">
        <v>38000</v>
      </c>
      <c r="J41" s="58" t="s">
        <v>185</v>
      </c>
      <c r="K41">
        <v>38000</v>
      </c>
      <c r="L41" s="74">
        <v>9.6120000000000001</v>
      </c>
      <c r="M41" s="85">
        <v>10</v>
      </c>
      <c r="N41" s="74">
        <v>9.9000000000000005E-2</v>
      </c>
      <c r="O41">
        <v>1</v>
      </c>
      <c r="P41" s="84">
        <v>9.9000000000000005E-2</v>
      </c>
      <c r="Q41" s="86">
        <v>3.45</v>
      </c>
      <c r="R41" s="85">
        <v>3.45</v>
      </c>
      <c r="S41" s="87">
        <v>1387140</v>
      </c>
      <c r="T41" s="1">
        <v>1</v>
      </c>
      <c r="U41" s="88">
        <v>402069.5652173913</v>
      </c>
      <c r="V41" s="59">
        <v>2.487131796357974</v>
      </c>
    </row>
    <row r="42" spans="1:22">
      <c r="A42" s="58">
        <v>41</v>
      </c>
      <c r="B42" s="58">
        <v>41</v>
      </c>
      <c r="C42" s="58" t="s">
        <v>280</v>
      </c>
      <c r="D42" s="58" t="s">
        <v>176</v>
      </c>
      <c r="E42" s="58" t="s">
        <v>176</v>
      </c>
      <c r="F42" s="58" t="s">
        <v>262</v>
      </c>
      <c r="G42" s="58" t="s">
        <v>263</v>
      </c>
      <c r="H42" s="58" t="s">
        <v>179</v>
      </c>
      <c r="I42">
        <v>38000</v>
      </c>
      <c r="J42" s="58" t="s">
        <v>185</v>
      </c>
      <c r="K42">
        <v>38000</v>
      </c>
      <c r="L42" s="74">
        <v>15.118</v>
      </c>
      <c r="M42" s="85">
        <v>16</v>
      </c>
      <c r="N42" s="74">
        <v>0.109</v>
      </c>
      <c r="O42">
        <v>1</v>
      </c>
      <c r="P42" s="84">
        <v>0.109</v>
      </c>
      <c r="Q42" s="86">
        <v>3.45</v>
      </c>
      <c r="R42" s="85">
        <v>3.45</v>
      </c>
      <c r="S42" s="87">
        <v>1703340</v>
      </c>
      <c r="T42" s="1">
        <v>1</v>
      </c>
      <c r="U42" s="88">
        <v>493721.73913043475</v>
      </c>
      <c r="V42" s="59">
        <v>2.0254323857832257</v>
      </c>
    </row>
    <row r="43" spans="1:22">
      <c r="A43" s="58">
        <v>42</v>
      </c>
      <c r="B43" s="58">
        <v>42</v>
      </c>
      <c r="C43" s="58" t="s">
        <v>281</v>
      </c>
      <c r="D43" s="58" t="s">
        <v>215</v>
      </c>
      <c r="E43" s="58" t="s">
        <v>215</v>
      </c>
      <c r="F43" s="58" t="s">
        <v>257</v>
      </c>
      <c r="G43" s="58" t="s">
        <v>258</v>
      </c>
      <c r="H43" s="58" t="s">
        <v>179</v>
      </c>
      <c r="I43">
        <v>38000</v>
      </c>
      <c r="J43">
        <v>38000</v>
      </c>
      <c r="K43">
        <v>20000</v>
      </c>
      <c r="L43" s="74">
        <v>1.996</v>
      </c>
      <c r="M43" s="85">
        <v>2</v>
      </c>
      <c r="N43" s="74">
        <v>0.14000000000000001</v>
      </c>
      <c r="O43">
        <v>1</v>
      </c>
      <c r="P43" s="84">
        <v>0.14000000000000001</v>
      </c>
      <c r="Q43" s="86">
        <v>3.45</v>
      </c>
      <c r="R43" s="85">
        <v>3.45</v>
      </c>
      <c r="S43" s="87">
        <v>488330</v>
      </c>
      <c r="T43" s="1">
        <v>4</v>
      </c>
      <c r="U43" s="88">
        <v>141544.92753623187</v>
      </c>
      <c r="V43" s="59">
        <v>7.0648946409190509</v>
      </c>
    </row>
    <row r="44" spans="1:22">
      <c r="A44" s="58">
        <v>43</v>
      </c>
      <c r="B44" s="58">
        <v>43</v>
      </c>
      <c r="C44" s="58" t="s">
        <v>282</v>
      </c>
      <c r="D44" s="58" t="s">
        <v>215</v>
      </c>
      <c r="E44" s="58" t="s">
        <v>215</v>
      </c>
      <c r="F44" s="58" t="s">
        <v>257</v>
      </c>
      <c r="G44" s="58" t="s">
        <v>258</v>
      </c>
      <c r="H44" s="58" t="s">
        <v>179</v>
      </c>
      <c r="I44">
        <v>38000</v>
      </c>
      <c r="J44">
        <v>38000</v>
      </c>
      <c r="K44">
        <v>20000</v>
      </c>
      <c r="L44" s="74">
        <v>2.3929999999999998</v>
      </c>
      <c r="M44" s="85">
        <v>3</v>
      </c>
      <c r="N44" s="74">
        <v>9.2999999999999999E-2</v>
      </c>
      <c r="O44">
        <v>1</v>
      </c>
      <c r="P44" s="84">
        <v>9.2999999999999999E-2</v>
      </c>
      <c r="Q44" s="86">
        <v>3.45</v>
      </c>
      <c r="R44" s="85">
        <v>3.45</v>
      </c>
      <c r="S44" s="87">
        <v>558600</v>
      </c>
      <c r="T44" s="1">
        <v>4</v>
      </c>
      <c r="U44" s="88">
        <v>161913.04347826086</v>
      </c>
      <c r="V44" s="59">
        <v>6.176154672395274</v>
      </c>
    </row>
    <row r="45" spans="1:22">
      <c r="A45" s="58">
        <v>44</v>
      </c>
      <c r="B45" s="58">
        <v>44</v>
      </c>
      <c r="C45" s="58" t="s">
        <v>283</v>
      </c>
      <c r="D45" s="58" t="s">
        <v>215</v>
      </c>
      <c r="E45" s="58" t="s">
        <v>176</v>
      </c>
      <c r="F45" s="58" t="s">
        <v>257</v>
      </c>
      <c r="G45" s="58" t="s">
        <v>258</v>
      </c>
      <c r="H45" s="58" t="s">
        <v>179</v>
      </c>
      <c r="I45">
        <v>38000</v>
      </c>
      <c r="J45">
        <v>38000</v>
      </c>
      <c r="K45">
        <v>20000</v>
      </c>
      <c r="L45" s="74">
        <v>4.3159999999999998</v>
      </c>
      <c r="M45" s="85">
        <v>5</v>
      </c>
      <c r="N45" s="74">
        <v>0.219</v>
      </c>
      <c r="O45">
        <v>1</v>
      </c>
      <c r="P45" s="84">
        <v>0.219</v>
      </c>
      <c r="Q45" s="86">
        <v>3.45</v>
      </c>
      <c r="R45" s="85">
        <v>3.45</v>
      </c>
      <c r="S45" s="87">
        <v>699140</v>
      </c>
      <c r="T45" s="1">
        <v>4</v>
      </c>
      <c r="U45" s="88">
        <v>202649.27536231882</v>
      </c>
      <c r="V45" s="59">
        <v>4.9346339788883489</v>
      </c>
    </row>
    <row r="46" spans="1:22">
      <c r="A46" s="58">
        <v>45</v>
      </c>
      <c r="B46" s="58">
        <v>45</v>
      </c>
      <c r="C46" s="58" t="s">
        <v>284</v>
      </c>
      <c r="D46" s="58" t="s">
        <v>176</v>
      </c>
      <c r="E46" s="58" t="s">
        <v>176</v>
      </c>
      <c r="F46" s="58" t="s">
        <v>285</v>
      </c>
      <c r="G46" s="58" t="s">
        <v>286</v>
      </c>
      <c r="H46" s="58" t="s">
        <v>179</v>
      </c>
      <c r="I46">
        <v>38000</v>
      </c>
      <c r="J46">
        <v>38000</v>
      </c>
      <c r="K46">
        <v>20000</v>
      </c>
      <c r="L46" s="74">
        <v>4.375</v>
      </c>
      <c r="M46" s="85">
        <v>5</v>
      </c>
      <c r="N46" s="74">
        <v>0.16300000000000001</v>
      </c>
      <c r="O46">
        <v>1</v>
      </c>
      <c r="P46" s="84">
        <v>0.16300000000000001</v>
      </c>
      <c r="Q46" s="86">
        <v>3.45</v>
      </c>
      <c r="R46" s="85">
        <v>3.45</v>
      </c>
      <c r="S46" s="87">
        <v>699140</v>
      </c>
      <c r="T46" s="1">
        <v>4</v>
      </c>
      <c r="U46" s="88">
        <v>202649.27536231882</v>
      </c>
      <c r="V46" s="59">
        <v>4.9346339788883489</v>
      </c>
    </row>
    <row r="47" spans="1:22">
      <c r="A47" s="58">
        <v>46</v>
      </c>
      <c r="B47" s="58">
        <v>46</v>
      </c>
      <c r="C47" s="58" t="s">
        <v>287</v>
      </c>
      <c r="D47" s="58" t="s">
        <v>176</v>
      </c>
      <c r="E47" s="58" t="s">
        <v>176</v>
      </c>
      <c r="F47" s="58" t="s">
        <v>285</v>
      </c>
      <c r="G47" s="58" t="s">
        <v>286</v>
      </c>
      <c r="H47" s="58" t="s">
        <v>179</v>
      </c>
      <c r="I47">
        <v>38000</v>
      </c>
      <c r="J47">
        <v>38000</v>
      </c>
      <c r="K47">
        <v>20000</v>
      </c>
      <c r="L47" s="74">
        <v>5.5890000000000004</v>
      </c>
      <c r="M47" s="85">
        <v>6</v>
      </c>
      <c r="N47" s="74">
        <v>0.25600000000000001</v>
      </c>
      <c r="O47">
        <v>1</v>
      </c>
      <c r="P47" s="84">
        <v>0.25600000000000001</v>
      </c>
      <c r="Q47" s="86">
        <v>3.45</v>
      </c>
      <c r="R47" s="85">
        <v>3.45</v>
      </c>
      <c r="S47" s="87">
        <v>769410</v>
      </c>
      <c r="T47" s="1">
        <v>4</v>
      </c>
      <c r="U47" s="88">
        <v>223017.39130434781</v>
      </c>
      <c r="V47" s="59">
        <v>4.4839552384294459</v>
      </c>
    </row>
    <row r="48" spans="1:22">
      <c r="A48" s="58">
        <v>47</v>
      </c>
      <c r="B48" s="58">
        <v>47</v>
      </c>
      <c r="C48" s="58" t="s">
        <v>288</v>
      </c>
      <c r="D48" s="58" t="s">
        <v>176</v>
      </c>
      <c r="E48" s="58" t="s">
        <v>176</v>
      </c>
      <c r="F48" s="58" t="s">
        <v>222</v>
      </c>
      <c r="G48" s="58" t="s">
        <v>223</v>
      </c>
      <c r="H48" s="58" t="s">
        <v>179</v>
      </c>
      <c r="I48">
        <v>38000</v>
      </c>
      <c r="J48">
        <v>38000</v>
      </c>
      <c r="K48">
        <v>20000</v>
      </c>
      <c r="L48" s="74">
        <v>10.077</v>
      </c>
      <c r="M48" s="85">
        <v>11</v>
      </c>
      <c r="N48" s="74">
        <v>0.34899999999999998</v>
      </c>
      <c r="O48">
        <v>1</v>
      </c>
      <c r="P48" s="84">
        <v>0.34899999999999998</v>
      </c>
      <c r="Q48" s="86">
        <v>3.45</v>
      </c>
      <c r="R48" s="85">
        <v>3.45</v>
      </c>
      <c r="S48" s="87">
        <v>1439840</v>
      </c>
      <c r="T48" s="1">
        <v>1</v>
      </c>
      <c r="U48" s="88">
        <v>417344.92753623187</v>
      </c>
      <c r="V48" s="59">
        <v>2.396099566618513</v>
      </c>
    </row>
    <row r="49" spans="1:22">
      <c r="A49" s="58">
        <v>48</v>
      </c>
      <c r="B49" s="58">
        <v>48</v>
      </c>
      <c r="C49" s="58" t="s">
        <v>289</v>
      </c>
      <c r="D49" s="58" t="s">
        <v>176</v>
      </c>
      <c r="E49" s="58" t="s">
        <v>176</v>
      </c>
      <c r="F49" s="58" t="s">
        <v>290</v>
      </c>
      <c r="G49" s="58" t="s">
        <v>291</v>
      </c>
      <c r="H49" s="58" t="s">
        <v>179</v>
      </c>
      <c r="I49">
        <v>38000</v>
      </c>
      <c r="J49">
        <v>38000</v>
      </c>
      <c r="K49">
        <v>20000</v>
      </c>
      <c r="L49" s="74">
        <v>7.851</v>
      </c>
      <c r="M49" s="85">
        <v>8</v>
      </c>
      <c r="N49" s="74">
        <v>0.59099999999999997</v>
      </c>
      <c r="O49">
        <v>1</v>
      </c>
      <c r="P49" s="84">
        <v>0.59099999999999997</v>
      </c>
      <c r="Q49" s="86">
        <v>3.45</v>
      </c>
      <c r="R49" s="85">
        <v>3.45</v>
      </c>
      <c r="S49" s="87">
        <v>909950</v>
      </c>
      <c r="T49" s="1">
        <v>4</v>
      </c>
      <c r="U49" s="88">
        <v>263753.62318840576</v>
      </c>
      <c r="V49" s="59">
        <v>3.7914171108302654</v>
      </c>
    </row>
    <row r="50" spans="1:22">
      <c r="A50" s="58">
        <v>49</v>
      </c>
      <c r="B50" s="58">
        <v>49</v>
      </c>
      <c r="C50" s="58" t="s">
        <v>292</v>
      </c>
      <c r="D50" s="58" t="s">
        <v>176</v>
      </c>
      <c r="E50" s="58" t="s">
        <v>176</v>
      </c>
      <c r="F50" s="58" t="s">
        <v>293</v>
      </c>
      <c r="G50" s="58" t="s">
        <v>294</v>
      </c>
      <c r="H50" s="58" t="s">
        <v>179</v>
      </c>
      <c r="I50">
        <v>38000</v>
      </c>
      <c r="J50">
        <v>38000</v>
      </c>
      <c r="K50">
        <v>10000</v>
      </c>
      <c r="L50" s="74">
        <v>4.7709999999999999</v>
      </c>
      <c r="M50" s="85">
        <v>5</v>
      </c>
      <c r="N50" s="74">
        <v>0.38100000000000001</v>
      </c>
      <c r="O50">
        <v>1</v>
      </c>
      <c r="P50" s="84">
        <v>0.38100000000000001</v>
      </c>
      <c r="Q50" s="86">
        <v>3.45</v>
      </c>
      <c r="R50" s="85">
        <v>3.45</v>
      </c>
      <c r="S50" s="87">
        <v>699140</v>
      </c>
      <c r="T50" s="1">
        <v>4</v>
      </c>
      <c r="U50" s="88">
        <v>202649.27536231882</v>
      </c>
      <c r="V50" s="59">
        <v>4.9346339788883489</v>
      </c>
    </row>
    <row r="51" spans="1:22">
      <c r="A51" s="58">
        <v>50</v>
      </c>
      <c r="B51" s="58">
        <v>50</v>
      </c>
      <c r="C51" s="58" t="s">
        <v>295</v>
      </c>
      <c r="D51" s="58" t="s">
        <v>197</v>
      </c>
      <c r="E51" s="58" t="s">
        <v>197</v>
      </c>
      <c r="F51" s="58" t="s">
        <v>296</v>
      </c>
      <c r="G51" s="58" t="s">
        <v>297</v>
      </c>
      <c r="H51" s="58" t="s">
        <v>179</v>
      </c>
      <c r="I51">
        <v>38000</v>
      </c>
      <c r="J51">
        <v>38000</v>
      </c>
      <c r="K51" s="58" t="s">
        <v>185</v>
      </c>
      <c r="L51" s="74">
        <v>23.475999999999999</v>
      </c>
      <c r="M51" s="85">
        <v>24</v>
      </c>
      <c r="N51" s="74">
        <v>0.19500000000000001</v>
      </c>
      <c r="O51">
        <v>1</v>
      </c>
      <c r="P51" s="84">
        <v>0.19500000000000001</v>
      </c>
      <c r="Q51" s="86">
        <v>3.45</v>
      </c>
      <c r="R51" s="85">
        <v>3.45</v>
      </c>
      <c r="S51" s="87">
        <v>2124940</v>
      </c>
      <c r="T51" s="1">
        <v>1</v>
      </c>
      <c r="U51" s="88">
        <v>615924.63768115942</v>
      </c>
      <c r="V51" s="59">
        <v>1.6235752538895216</v>
      </c>
    </row>
    <row r="52" spans="1:22">
      <c r="A52" s="58">
        <v>51</v>
      </c>
      <c r="B52" s="58">
        <v>51</v>
      </c>
      <c r="C52" s="58" t="s">
        <v>298</v>
      </c>
      <c r="D52" s="58" t="s">
        <v>197</v>
      </c>
      <c r="E52" s="58" t="s">
        <v>197</v>
      </c>
      <c r="F52" s="58" t="s">
        <v>299</v>
      </c>
      <c r="G52" s="58" t="s">
        <v>300</v>
      </c>
      <c r="H52" s="58" t="s">
        <v>179</v>
      </c>
      <c r="I52">
        <v>38000</v>
      </c>
      <c r="J52">
        <v>38000</v>
      </c>
      <c r="K52" s="58" t="s">
        <v>185</v>
      </c>
      <c r="L52" s="74">
        <v>15.891</v>
      </c>
      <c r="M52" s="85">
        <v>16</v>
      </c>
      <c r="N52" s="74">
        <v>0.111</v>
      </c>
      <c r="O52">
        <v>1</v>
      </c>
      <c r="P52" s="84">
        <v>0.111</v>
      </c>
      <c r="Q52" s="86">
        <v>3.45</v>
      </c>
      <c r="R52" s="85">
        <v>3.45</v>
      </c>
      <c r="S52" s="87">
        <v>1703340</v>
      </c>
      <c r="T52" s="1">
        <v>1</v>
      </c>
      <c r="U52" s="88">
        <v>493721.73913043475</v>
      </c>
      <c r="V52" s="59">
        <v>2.0254323857832257</v>
      </c>
    </row>
    <row r="53" spans="1:22">
      <c r="A53" s="58">
        <v>52</v>
      </c>
      <c r="B53" s="58">
        <v>52</v>
      </c>
      <c r="C53" s="58" t="s">
        <v>301</v>
      </c>
      <c r="D53" s="58" t="s">
        <v>182</v>
      </c>
      <c r="E53" s="58" t="s">
        <v>182</v>
      </c>
      <c r="F53" s="58" t="s">
        <v>302</v>
      </c>
      <c r="G53" s="58" t="s">
        <v>303</v>
      </c>
      <c r="H53" s="58" t="s">
        <v>179</v>
      </c>
      <c r="I53">
        <v>38000</v>
      </c>
      <c r="J53">
        <v>38000</v>
      </c>
      <c r="K53" s="58" t="s">
        <v>185</v>
      </c>
      <c r="L53" s="74">
        <v>15.805999999999999</v>
      </c>
      <c r="M53" s="85">
        <v>16</v>
      </c>
      <c r="N53" s="74">
        <v>0.437</v>
      </c>
      <c r="O53">
        <v>1</v>
      </c>
      <c r="P53" s="84">
        <v>0.437</v>
      </c>
      <c r="Q53" s="86">
        <v>3.45</v>
      </c>
      <c r="R53" s="85">
        <v>3.45</v>
      </c>
      <c r="S53" s="87">
        <v>1703340</v>
      </c>
      <c r="T53" s="1">
        <v>1</v>
      </c>
      <c r="U53" s="88">
        <v>493721.73913043475</v>
      </c>
      <c r="V53" s="59">
        <v>2.0254323857832257</v>
      </c>
    </row>
    <row r="54" spans="1:22">
      <c r="A54" s="58">
        <v>53</v>
      </c>
      <c r="B54" s="58">
        <v>53</v>
      </c>
      <c r="C54" s="58" t="s">
        <v>304</v>
      </c>
      <c r="D54" s="58" t="s">
        <v>182</v>
      </c>
      <c r="E54" s="58" t="s">
        <v>182</v>
      </c>
      <c r="F54" s="58" t="s">
        <v>183</v>
      </c>
      <c r="G54" s="58" t="s">
        <v>184</v>
      </c>
      <c r="H54" s="58" t="s">
        <v>179</v>
      </c>
      <c r="I54">
        <v>38000</v>
      </c>
      <c r="J54">
        <v>38000</v>
      </c>
      <c r="K54" s="58" t="s">
        <v>185</v>
      </c>
      <c r="L54" s="74">
        <v>11.451000000000001</v>
      </c>
      <c r="M54" s="85">
        <v>12</v>
      </c>
      <c r="N54" s="74">
        <v>0.189</v>
      </c>
      <c r="O54">
        <v>1</v>
      </c>
      <c r="P54" s="84">
        <v>0.189</v>
      </c>
      <c r="Q54" s="86">
        <v>3.45</v>
      </c>
      <c r="R54" s="85">
        <v>3.45</v>
      </c>
      <c r="S54" s="87">
        <v>1492540</v>
      </c>
      <c r="T54" s="1">
        <v>1</v>
      </c>
      <c r="U54" s="88">
        <v>432620.28985507245</v>
      </c>
      <c r="V54" s="59">
        <v>2.3114958393074891</v>
      </c>
    </row>
    <row r="55" spans="1:22">
      <c r="A55" s="58">
        <v>54</v>
      </c>
      <c r="B55" s="58">
        <v>54</v>
      </c>
      <c r="C55" s="58" t="s">
        <v>305</v>
      </c>
      <c r="D55" s="58" t="s">
        <v>182</v>
      </c>
      <c r="E55" s="58" t="s">
        <v>182</v>
      </c>
      <c r="F55" s="58" t="s">
        <v>183</v>
      </c>
      <c r="G55" s="58" t="s">
        <v>184</v>
      </c>
      <c r="H55" s="58" t="s">
        <v>179</v>
      </c>
      <c r="I55">
        <v>38000</v>
      </c>
      <c r="J55">
        <v>38000</v>
      </c>
      <c r="K55" s="58" t="s">
        <v>185</v>
      </c>
      <c r="L55" s="74">
        <v>5.7149999999999999</v>
      </c>
      <c r="M55" s="85">
        <v>6</v>
      </c>
      <c r="N55" s="74">
        <v>0.33100000000000002</v>
      </c>
      <c r="O55">
        <v>1</v>
      </c>
      <c r="P55" s="84">
        <v>0.33100000000000002</v>
      </c>
      <c r="Q55" s="86">
        <v>3.45</v>
      </c>
      <c r="R55" s="85">
        <v>3.45</v>
      </c>
      <c r="S55" s="87">
        <v>769410</v>
      </c>
      <c r="T55" s="1">
        <v>4</v>
      </c>
      <c r="U55" s="88">
        <v>223017.39130434781</v>
      </c>
      <c r="V55" s="59">
        <v>4.4839552384294459</v>
      </c>
    </row>
    <row r="56" spans="1:22">
      <c r="A56" s="58">
        <v>55</v>
      </c>
      <c r="B56" s="58">
        <v>55</v>
      </c>
      <c r="C56" s="58" t="s">
        <v>306</v>
      </c>
      <c r="D56" s="58" t="s">
        <v>182</v>
      </c>
      <c r="E56" s="58" t="s">
        <v>182</v>
      </c>
      <c r="F56" s="58" t="s">
        <v>302</v>
      </c>
      <c r="G56" s="58" t="s">
        <v>303</v>
      </c>
      <c r="H56" s="58" t="s">
        <v>179</v>
      </c>
      <c r="I56">
        <v>38000</v>
      </c>
      <c r="J56">
        <v>38000</v>
      </c>
      <c r="K56" s="58" t="s">
        <v>185</v>
      </c>
      <c r="L56" s="74">
        <v>4.7460000000000004</v>
      </c>
      <c r="M56" s="85">
        <v>5</v>
      </c>
      <c r="N56" s="74">
        <v>0.316</v>
      </c>
      <c r="O56">
        <v>1</v>
      </c>
      <c r="P56" s="84">
        <v>0.316</v>
      </c>
      <c r="Q56" s="86">
        <v>3.45</v>
      </c>
      <c r="R56" s="85">
        <v>3.45</v>
      </c>
      <c r="S56" s="87">
        <v>699140</v>
      </c>
      <c r="T56" s="1">
        <v>4</v>
      </c>
      <c r="U56" s="88">
        <v>202649.27536231882</v>
      </c>
      <c r="V56" s="59">
        <v>4.9346339788883489</v>
      </c>
    </row>
    <row r="57" spans="1:22">
      <c r="A57" s="58">
        <v>56</v>
      </c>
      <c r="B57" s="58">
        <v>56</v>
      </c>
      <c r="C57" s="58" t="s">
        <v>307</v>
      </c>
      <c r="D57" s="58" t="s">
        <v>182</v>
      </c>
      <c r="E57" s="58" t="s">
        <v>182</v>
      </c>
      <c r="F57" s="58" t="s">
        <v>302</v>
      </c>
      <c r="G57" s="58" t="s">
        <v>303</v>
      </c>
      <c r="H57" s="58" t="s">
        <v>179</v>
      </c>
      <c r="I57">
        <v>38000</v>
      </c>
      <c r="J57">
        <v>38000</v>
      </c>
      <c r="K57" s="58" t="s">
        <v>185</v>
      </c>
      <c r="L57" s="74">
        <v>14.997999999999999</v>
      </c>
      <c r="M57" s="85">
        <v>15</v>
      </c>
      <c r="N57" s="74">
        <v>0.39400000000000002</v>
      </c>
      <c r="O57">
        <v>1</v>
      </c>
      <c r="P57" s="84">
        <v>0.39400000000000002</v>
      </c>
      <c r="Q57" s="86">
        <v>3.45</v>
      </c>
      <c r="R57" s="85">
        <v>3.45</v>
      </c>
      <c r="S57" s="87">
        <v>1650640</v>
      </c>
      <c r="T57" s="1">
        <v>1</v>
      </c>
      <c r="U57" s="88">
        <v>478446.37681159418</v>
      </c>
      <c r="V57" s="59">
        <v>2.0900983860805504</v>
      </c>
    </row>
    <row r="58" spans="1:22">
      <c r="A58" s="58">
        <v>57</v>
      </c>
      <c r="B58" s="58">
        <v>57</v>
      </c>
      <c r="C58" s="58" t="s">
        <v>308</v>
      </c>
      <c r="D58" s="58" t="s">
        <v>234</v>
      </c>
      <c r="E58" s="58" t="s">
        <v>234</v>
      </c>
      <c r="F58" s="58" t="s">
        <v>309</v>
      </c>
      <c r="G58" s="58" t="s">
        <v>310</v>
      </c>
      <c r="H58" s="58" t="s">
        <v>179</v>
      </c>
      <c r="I58">
        <v>38000</v>
      </c>
      <c r="J58">
        <v>38000</v>
      </c>
      <c r="K58">
        <v>20000</v>
      </c>
      <c r="L58" s="74">
        <v>15.493</v>
      </c>
      <c r="M58" s="85">
        <v>16</v>
      </c>
      <c r="N58" s="74">
        <v>0.104</v>
      </c>
      <c r="O58">
        <v>1</v>
      </c>
      <c r="P58" s="84">
        <v>0.104</v>
      </c>
      <c r="Q58" s="86">
        <v>3.45</v>
      </c>
      <c r="R58" s="85">
        <v>3.45</v>
      </c>
      <c r="S58" s="87">
        <v>1703340</v>
      </c>
      <c r="T58" s="1">
        <v>1</v>
      </c>
      <c r="U58" s="88">
        <v>493721.73913043475</v>
      </c>
      <c r="V58" s="59">
        <v>2.0254323857832257</v>
      </c>
    </row>
    <row r="59" spans="1:22">
      <c r="A59" s="58">
        <v>58</v>
      </c>
      <c r="B59" s="58">
        <v>58</v>
      </c>
      <c r="C59" s="58" t="s">
        <v>311</v>
      </c>
      <c r="D59" s="58" t="s">
        <v>182</v>
      </c>
      <c r="E59" s="58" t="s">
        <v>182</v>
      </c>
      <c r="F59" s="58" t="s">
        <v>312</v>
      </c>
      <c r="G59" s="58" t="s">
        <v>313</v>
      </c>
      <c r="H59" s="58" t="s">
        <v>179</v>
      </c>
      <c r="I59">
        <v>38000</v>
      </c>
      <c r="J59">
        <v>38000</v>
      </c>
      <c r="K59">
        <v>10000</v>
      </c>
      <c r="L59" s="74">
        <v>12.648</v>
      </c>
      <c r="M59" s="85">
        <v>13</v>
      </c>
      <c r="N59" s="74">
        <v>0.377</v>
      </c>
      <c r="O59">
        <v>1</v>
      </c>
      <c r="P59" s="84">
        <v>0.377</v>
      </c>
      <c r="Q59" s="86">
        <v>3.45</v>
      </c>
      <c r="R59" s="85">
        <v>3.45</v>
      </c>
      <c r="S59" s="87">
        <v>1545240</v>
      </c>
      <c r="T59" s="1">
        <v>1</v>
      </c>
      <c r="U59" s="88">
        <v>447895.65217391303</v>
      </c>
      <c r="V59" s="59">
        <v>2.2326628873184746</v>
      </c>
    </row>
    <row r="60" spans="1:22">
      <c r="A60" s="58">
        <v>59</v>
      </c>
      <c r="B60" s="58">
        <v>59</v>
      </c>
      <c r="C60" s="58" t="s">
        <v>314</v>
      </c>
      <c r="D60" s="58" t="s">
        <v>182</v>
      </c>
      <c r="E60" s="58" t="s">
        <v>182</v>
      </c>
      <c r="F60" s="58" t="s">
        <v>312</v>
      </c>
      <c r="G60" s="58" t="s">
        <v>313</v>
      </c>
      <c r="H60" s="58" t="s">
        <v>179</v>
      </c>
      <c r="I60">
        <v>38000</v>
      </c>
      <c r="J60">
        <v>38000</v>
      </c>
      <c r="K60">
        <v>10000</v>
      </c>
      <c r="L60" s="74">
        <v>8.6959999999999997</v>
      </c>
      <c r="M60" s="85">
        <v>9</v>
      </c>
      <c r="N60" s="74">
        <v>0.246</v>
      </c>
      <c r="O60">
        <v>1</v>
      </c>
      <c r="P60" s="84">
        <v>0.246</v>
      </c>
      <c r="Q60" s="86">
        <v>3.45</v>
      </c>
      <c r="R60" s="85">
        <v>3.45</v>
      </c>
      <c r="S60" s="87">
        <v>1334440</v>
      </c>
      <c r="T60" s="1">
        <v>1</v>
      </c>
      <c r="U60" s="88">
        <v>386794.20289855072</v>
      </c>
      <c r="V60" s="59">
        <v>2.585354156050478</v>
      </c>
    </row>
    <row r="61" spans="1:22">
      <c r="A61" s="58">
        <v>60</v>
      </c>
      <c r="B61" s="58">
        <v>60</v>
      </c>
      <c r="C61" s="58" t="s">
        <v>315</v>
      </c>
      <c r="D61" s="58" t="s">
        <v>234</v>
      </c>
      <c r="E61" s="58" t="s">
        <v>234</v>
      </c>
      <c r="F61" s="58" t="s">
        <v>316</v>
      </c>
      <c r="G61" s="58" t="s">
        <v>317</v>
      </c>
      <c r="H61" s="58" t="s">
        <v>199</v>
      </c>
      <c r="I61">
        <v>110000</v>
      </c>
      <c r="J61">
        <v>110000</v>
      </c>
      <c r="K61">
        <v>38000</v>
      </c>
      <c r="L61" s="74">
        <v>23.515999999999998</v>
      </c>
      <c r="M61" s="85">
        <v>24</v>
      </c>
      <c r="N61" s="74">
        <v>0.218</v>
      </c>
      <c r="O61">
        <v>1</v>
      </c>
      <c r="P61" s="84">
        <v>0.218</v>
      </c>
      <c r="Q61" s="86">
        <v>3.45</v>
      </c>
      <c r="R61" s="85">
        <v>3.45</v>
      </c>
      <c r="S61" s="87">
        <v>2681270</v>
      </c>
      <c r="T61" s="1">
        <v>7</v>
      </c>
      <c r="U61" s="88">
        <v>777179.71014492749</v>
      </c>
      <c r="V61" s="59">
        <v>1.2867036889235326</v>
      </c>
    </row>
    <row r="62" spans="1:22">
      <c r="A62" s="58">
        <v>61</v>
      </c>
      <c r="B62" s="58">
        <v>61</v>
      </c>
      <c r="C62" s="58" t="s">
        <v>318</v>
      </c>
      <c r="D62" s="58" t="s">
        <v>234</v>
      </c>
      <c r="E62" s="58" t="s">
        <v>234</v>
      </c>
      <c r="F62" s="58" t="s">
        <v>316</v>
      </c>
      <c r="G62" s="58" t="s">
        <v>317</v>
      </c>
      <c r="H62" s="58" t="s">
        <v>199</v>
      </c>
      <c r="I62">
        <v>110000</v>
      </c>
      <c r="J62">
        <v>110000</v>
      </c>
      <c r="K62">
        <v>38000</v>
      </c>
      <c r="L62" s="74">
        <v>23.132999999999999</v>
      </c>
      <c r="M62" s="85">
        <v>24</v>
      </c>
      <c r="N62" s="74">
        <v>0.191</v>
      </c>
      <c r="O62">
        <v>1</v>
      </c>
      <c r="P62" s="84">
        <v>0.191</v>
      </c>
      <c r="Q62" s="86">
        <v>3.45</v>
      </c>
      <c r="R62" s="85">
        <v>3.45</v>
      </c>
      <c r="S62" s="87">
        <v>2681270</v>
      </c>
      <c r="T62" s="1">
        <v>7</v>
      </c>
      <c r="U62" s="88">
        <v>777179.71014492749</v>
      </c>
      <c r="V62" s="59">
        <v>1.2867036889235326</v>
      </c>
    </row>
    <row r="63" spans="1:22">
      <c r="A63" s="58">
        <v>62</v>
      </c>
      <c r="B63" s="58">
        <v>62</v>
      </c>
      <c r="C63" s="58" t="s">
        <v>319</v>
      </c>
      <c r="D63" s="58" t="s">
        <v>234</v>
      </c>
      <c r="E63" s="58" t="s">
        <v>234</v>
      </c>
      <c r="F63" s="58" t="s">
        <v>316</v>
      </c>
      <c r="G63" s="58" t="s">
        <v>317</v>
      </c>
      <c r="H63" s="58" t="s">
        <v>199</v>
      </c>
      <c r="I63">
        <v>110000</v>
      </c>
      <c r="J63">
        <v>110000</v>
      </c>
      <c r="K63">
        <v>38000</v>
      </c>
      <c r="L63" s="74">
        <v>20.873999999999999</v>
      </c>
      <c r="M63" s="85">
        <v>21</v>
      </c>
      <c r="N63" s="74">
        <v>0.106</v>
      </c>
      <c r="O63">
        <v>1</v>
      </c>
      <c r="P63" s="84">
        <v>0.106</v>
      </c>
      <c r="Q63" s="86">
        <v>3.45</v>
      </c>
      <c r="R63" s="85">
        <v>3.45</v>
      </c>
      <c r="S63" s="87">
        <v>2523170</v>
      </c>
      <c r="T63" s="1">
        <v>7</v>
      </c>
      <c r="U63" s="88">
        <v>731353.62318840576</v>
      </c>
      <c r="V63" s="59">
        <v>1.3673276077315442</v>
      </c>
    </row>
    <row r="64" spans="1:22">
      <c r="A64" s="58">
        <v>63</v>
      </c>
      <c r="B64" s="58">
        <v>63</v>
      </c>
      <c r="C64" s="58" t="s">
        <v>320</v>
      </c>
      <c r="D64" s="58" t="s">
        <v>182</v>
      </c>
      <c r="E64" s="58" t="s">
        <v>182</v>
      </c>
      <c r="F64" s="58" t="s">
        <v>302</v>
      </c>
      <c r="G64" s="58" t="s">
        <v>303</v>
      </c>
      <c r="H64" s="58" t="s">
        <v>179</v>
      </c>
      <c r="I64">
        <v>38000</v>
      </c>
      <c r="J64">
        <v>38000</v>
      </c>
      <c r="K64" s="58" t="s">
        <v>185</v>
      </c>
      <c r="L64" s="74">
        <v>3.98</v>
      </c>
      <c r="M64" s="85">
        <v>4</v>
      </c>
      <c r="N64" s="74">
        <v>0.27900000000000003</v>
      </c>
      <c r="O64">
        <v>1</v>
      </c>
      <c r="P64" s="84">
        <v>0.27900000000000003</v>
      </c>
      <c r="Q64" s="86">
        <v>3.45</v>
      </c>
      <c r="R64" s="85">
        <v>3.45</v>
      </c>
      <c r="S64" s="87">
        <v>628870</v>
      </c>
      <c r="T64" s="1">
        <v>4</v>
      </c>
      <c r="U64" s="88">
        <v>182281.15942028986</v>
      </c>
      <c r="V64" s="59">
        <v>5.4860304991492681</v>
      </c>
    </row>
    <row r="65" spans="1:22">
      <c r="A65" s="58">
        <v>64</v>
      </c>
      <c r="B65" s="58">
        <v>64</v>
      </c>
      <c r="C65" s="58" t="s">
        <v>321</v>
      </c>
      <c r="D65" s="58" t="s">
        <v>182</v>
      </c>
      <c r="E65" s="58" t="s">
        <v>182</v>
      </c>
      <c r="F65" s="58" t="s">
        <v>302</v>
      </c>
      <c r="G65" s="58" t="s">
        <v>303</v>
      </c>
      <c r="H65" s="58" t="s">
        <v>179</v>
      </c>
      <c r="I65">
        <v>38000</v>
      </c>
      <c r="J65">
        <v>38000</v>
      </c>
      <c r="K65" s="58" t="s">
        <v>185</v>
      </c>
      <c r="L65" s="74">
        <v>11.894</v>
      </c>
      <c r="M65" s="85">
        <v>12</v>
      </c>
      <c r="N65" s="74">
        <v>0.27600000000000002</v>
      </c>
      <c r="O65">
        <v>1</v>
      </c>
      <c r="P65" s="84">
        <v>0.27600000000000002</v>
      </c>
      <c r="Q65" s="86">
        <v>3.45</v>
      </c>
      <c r="R65" s="85">
        <v>3.45</v>
      </c>
      <c r="S65" s="87">
        <v>1492540</v>
      </c>
      <c r="T65" s="1">
        <v>1</v>
      </c>
      <c r="U65" s="88">
        <v>432620.28985507245</v>
      </c>
      <c r="V65" s="59">
        <v>2.3114958393074891</v>
      </c>
    </row>
    <row r="66" spans="1:22">
      <c r="A66" s="58">
        <v>65</v>
      </c>
      <c r="B66" s="58">
        <v>65</v>
      </c>
      <c r="C66" s="58" t="s">
        <v>322</v>
      </c>
      <c r="D66" s="58" t="s">
        <v>234</v>
      </c>
      <c r="E66" s="58" t="s">
        <v>234</v>
      </c>
      <c r="F66" s="58" t="s">
        <v>323</v>
      </c>
      <c r="G66" s="58" t="s">
        <v>324</v>
      </c>
      <c r="H66" s="58" t="s">
        <v>179</v>
      </c>
      <c r="I66">
        <v>38000</v>
      </c>
      <c r="J66">
        <v>38000</v>
      </c>
      <c r="K66">
        <v>20000</v>
      </c>
      <c r="L66" s="74">
        <v>11.804</v>
      </c>
      <c r="M66" s="85">
        <v>12</v>
      </c>
      <c r="N66" s="74">
        <v>0.16700000000000001</v>
      </c>
      <c r="O66">
        <v>1</v>
      </c>
      <c r="P66" s="84">
        <v>0.16700000000000001</v>
      </c>
      <c r="Q66" s="86">
        <v>3.45</v>
      </c>
      <c r="R66" s="85">
        <v>3.45</v>
      </c>
      <c r="S66" s="87">
        <v>1492540</v>
      </c>
      <c r="T66" s="1">
        <v>1</v>
      </c>
      <c r="U66" s="88">
        <v>432620.28985507245</v>
      </c>
      <c r="V66" s="59">
        <v>2.3114958393074891</v>
      </c>
    </row>
    <row r="67" spans="1:22">
      <c r="A67" s="58">
        <v>66</v>
      </c>
      <c r="B67" s="58">
        <v>66</v>
      </c>
      <c r="C67" s="58" t="s">
        <v>325</v>
      </c>
      <c r="D67" s="58" t="s">
        <v>234</v>
      </c>
      <c r="E67" s="58" t="s">
        <v>234</v>
      </c>
      <c r="F67" s="58" t="s">
        <v>326</v>
      </c>
      <c r="G67" s="58" t="s">
        <v>327</v>
      </c>
      <c r="H67" s="58" t="s">
        <v>199</v>
      </c>
      <c r="I67">
        <v>110000</v>
      </c>
      <c r="J67">
        <v>110000</v>
      </c>
      <c r="K67">
        <v>38000</v>
      </c>
      <c r="L67" s="74">
        <v>10.284000000000001</v>
      </c>
      <c r="M67" s="85">
        <v>11</v>
      </c>
      <c r="N67" s="74">
        <v>9.4E-2</v>
      </c>
      <c r="O67">
        <v>1</v>
      </c>
      <c r="P67" s="84">
        <v>9.4E-2</v>
      </c>
      <c r="Q67" s="86">
        <v>3.45</v>
      </c>
      <c r="R67" s="85">
        <v>3.45</v>
      </c>
      <c r="S67" s="87">
        <v>1996170</v>
      </c>
      <c r="T67" s="1">
        <v>7</v>
      </c>
      <c r="U67" s="88">
        <v>578600</v>
      </c>
      <c r="V67" s="59">
        <v>1.7283097131005876</v>
      </c>
    </row>
    <row r="68" spans="1:22">
      <c r="A68" s="58">
        <v>67</v>
      </c>
      <c r="B68" s="58">
        <v>67</v>
      </c>
      <c r="C68" s="58" t="s">
        <v>328</v>
      </c>
      <c r="D68" s="58" t="s">
        <v>234</v>
      </c>
      <c r="E68" s="58" t="s">
        <v>234</v>
      </c>
      <c r="F68" s="58" t="s">
        <v>329</v>
      </c>
      <c r="G68" s="58" t="s">
        <v>330</v>
      </c>
      <c r="H68" s="58" t="s">
        <v>179</v>
      </c>
      <c r="I68">
        <v>38000</v>
      </c>
      <c r="J68">
        <v>38000</v>
      </c>
      <c r="K68" s="58" t="s">
        <v>185</v>
      </c>
      <c r="L68" s="74">
        <v>5.5430000000000001</v>
      </c>
      <c r="M68" s="85">
        <v>6</v>
      </c>
      <c r="N68" s="74">
        <v>0.69799999999999995</v>
      </c>
      <c r="O68">
        <v>1</v>
      </c>
      <c r="P68" s="84">
        <v>0.52349999999999997</v>
      </c>
      <c r="Q68" s="86">
        <v>3.45</v>
      </c>
      <c r="R68" s="85">
        <v>3.45</v>
      </c>
      <c r="S68" s="87">
        <v>769410</v>
      </c>
      <c r="T68" s="1">
        <v>4</v>
      </c>
      <c r="U68" s="88">
        <v>223017.39130434781</v>
      </c>
      <c r="V68" s="59">
        <v>4.4839552384294459</v>
      </c>
    </row>
    <row r="69" spans="1:22">
      <c r="A69" s="58">
        <v>68</v>
      </c>
      <c r="B69" s="58">
        <v>68</v>
      </c>
      <c r="C69" s="58" t="s">
        <v>331</v>
      </c>
      <c r="D69" s="58" t="s">
        <v>234</v>
      </c>
      <c r="E69" s="58" t="s">
        <v>234</v>
      </c>
      <c r="F69" s="58" t="s">
        <v>329</v>
      </c>
      <c r="G69" s="58" t="s">
        <v>330</v>
      </c>
      <c r="H69" s="58" t="s">
        <v>179</v>
      </c>
      <c r="I69">
        <v>38000</v>
      </c>
      <c r="J69">
        <v>38000</v>
      </c>
      <c r="K69" s="58" t="s">
        <v>185</v>
      </c>
      <c r="L69" s="74">
        <v>14.459</v>
      </c>
      <c r="M69" s="85">
        <v>15</v>
      </c>
      <c r="N69" s="74">
        <v>0.28799999999999998</v>
      </c>
      <c r="O69">
        <v>1</v>
      </c>
      <c r="P69" s="84">
        <v>0.28799999999999998</v>
      </c>
      <c r="Q69" s="86">
        <v>3.45</v>
      </c>
      <c r="R69" s="85">
        <v>3.45</v>
      </c>
      <c r="S69" s="87">
        <v>1650640</v>
      </c>
      <c r="T69" s="1">
        <v>1</v>
      </c>
      <c r="U69" s="88">
        <v>478446.37681159418</v>
      </c>
      <c r="V69" s="59">
        <v>2.0900983860805504</v>
      </c>
    </row>
    <row r="70" spans="1:22">
      <c r="A70" s="58">
        <v>69</v>
      </c>
      <c r="B70" s="58">
        <v>69</v>
      </c>
      <c r="C70" s="58" t="s">
        <v>332</v>
      </c>
      <c r="D70" s="58" t="s">
        <v>234</v>
      </c>
      <c r="E70" s="58" t="s">
        <v>234</v>
      </c>
      <c r="F70" s="58" t="s">
        <v>329</v>
      </c>
      <c r="G70" s="58" t="s">
        <v>330</v>
      </c>
      <c r="H70" s="58" t="s">
        <v>179</v>
      </c>
      <c r="I70">
        <v>38000</v>
      </c>
      <c r="J70">
        <v>38000</v>
      </c>
      <c r="K70" s="58" t="s">
        <v>185</v>
      </c>
      <c r="L70" s="74">
        <v>15.611000000000001</v>
      </c>
      <c r="M70" s="85">
        <v>16</v>
      </c>
      <c r="N70" s="74">
        <v>0.14799999999999999</v>
      </c>
      <c r="O70">
        <v>1</v>
      </c>
      <c r="P70" s="84">
        <v>0.14799999999999999</v>
      </c>
      <c r="Q70" s="86">
        <v>3.45</v>
      </c>
      <c r="R70" s="85">
        <v>3.45</v>
      </c>
      <c r="S70" s="87">
        <v>1703340</v>
      </c>
      <c r="T70" s="1">
        <v>1</v>
      </c>
      <c r="U70" s="88">
        <v>493721.73913043475</v>
      </c>
      <c r="V70" s="59">
        <v>2.0254323857832257</v>
      </c>
    </row>
    <row r="71" spans="1:22">
      <c r="A71" s="58">
        <v>70</v>
      </c>
      <c r="B71" s="58">
        <v>70</v>
      </c>
      <c r="C71" s="58" t="s">
        <v>333</v>
      </c>
      <c r="D71" s="58" t="s">
        <v>234</v>
      </c>
      <c r="E71" s="58" t="s">
        <v>234</v>
      </c>
      <c r="F71" s="58" t="s">
        <v>329</v>
      </c>
      <c r="G71" s="58" t="s">
        <v>330</v>
      </c>
      <c r="H71" s="58" t="s">
        <v>179</v>
      </c>
      <c r="I71">
        <v>38000</v>
      </c>
      <c r="J71">
        <v>38000</v>
      </c>
      <c r="K71" s="58" t="s">
        <v>185</v>
      </c>
      <c r="L71" s="74">
        <v>15.467000000000001</v>
      </c>
      <c r="M71" s="85">
        <v>16</v>
      </c>
      <c r="N71" s="74">
        <v>0.187</v>
      </c>
      <c r="O71">
        <v>1</v>
      </c>
      <c r="P71" s="84">
        <v>0.187</v>
      </c>
      <c r="Q71" s="86">
        <v>3.45</v>
      </c>
      <c r="R71" s="85">
        <v>3.45</v>
      </c>
      <c r="S71" s="87">
        <v>1703340</v>
      </c>
      <c r="T71" s="1">
        <v>1</v>
      </c>
      <c r="U71" s="88">
        <v>493721.73913043475</v>
      </c>
      <c r="V71" s="59">
        <v>2.0254323857832257</v>
      </c>
    </row>
    <row r="72" spans="1:22">
      <c r="A72" s="58">
        <v>71</v>
      </c>
      <c r="B72" s="58">
        <v>71</v>
      </c>
      <c r="C72" s="58" t="s">
        <v>334</v>
      </c>
      <c r="D72" s="58" t="s">
        <v>234</v>
      </c>
      <c r="E72" s="58" t="s">
        <v>234</v>
      </c>
      <c r="F72" s="58" t="s">
        <v>329</v>
      </c>
      <c r="G72" s="58" t="s">
        <v>330</v>
      </c>
      <c r="H72" s="58" t="s">
        <v>179</v>
      </c>
      <c r="I72">
        <v>38000</v>
      </c>
      <c r="J72">
        <v>38000</v>
      </c>
      <c r="K72" s="58" t="s">
        <v>185</v>
      </c>
      <c r="L72" s="74">
        <v>16.38</v>
      </c>
      <c r="M72" s="85">
        <v>17</v>
      </c>
      <c r="N72" s="74">
        <v>0.13100000000000001</v>
      </c>
      <c r="O72">
        <v>1</v>
      </c>
      <c r="P72" s="84">
        <v>0.13100000000000001</v>
      </c>
      <c r="Q72" s="86">
        <v>3.45</v>
      </c>
      <c r="R72" s="85">
        <v>3.45</v>
      </c>
      <c r="S72" s="87">
        <v>1756040</v>
      </c>
      <c r="T72" s="1">
        <v>1</v>
      </c>
      <c r="U72" s="88">
        <v>508997.10144927533</v>
      </c>
      <c r="V72" s="59">
        <v>1.9646477301200429</v>
      </c>
    </row>
    <row r="73" spans="1:22">
      <c r="A73" s="58">
        <v>72</v>
      </c>
      <c r="B73" s="58">
        <v>72</v>
      </c>
      <c r="C73" s="58" t="s">
        <v>335</v>
      </c>
      <c r="D73" s="58" t="s">
        <v>234</v>
      </c>
      <c r="E73" s="58" t="s">
        <v>234</v>
      </c>
      <c r="F73" s="58" t="s">
        <v>329</v>
      </c>
      <c r="G73" s="58" t="s">
        <v>330</v>
      </c>
      <c r="H73" s="58" t="s">
        <v>179</v>
      </c>
      <c r="I73">
        <v>38000</v>
      </c>
      <c r="J73">
        <v>38000</v>
      </c>
      <c r="K73" s="58" t="s">
        <v>185</v>
      </c>
      <c r="L73" s="74">
        <v>1.724</v>
      </c>
      <c r="M73" s="85">
        <v>2</v>
      </c>
      <c r="N73" s="74">
        <v>0.68799999999999994</v>
      </c>
      <c r="O73">
        <v>1</v>
      </c>
      <c r="P73" s="84">
        <v>0.51600000000000001</v>
      </c>
      <c r="Q73" s="86">
        <v>3.45</v>
      </c>
      <c r="R73" s="85">
        <v>3.45</v>
      </c>
      <c r="S73" s="87">
        <v>488330</v>
      </c>
      <c r="T73" s="1">
        <v>4</v>
      </c>
      <c r="U73" s="88">
        <v>141544.92753623187</v>
      </c>
      <c r="V73" s="59">
        <v>7.0648946409190509</v>
      </c>
    </row>
    <row r="74" spans="1:22">
      <c r="A74" s="58">
        <v>73</v>
      </c>
      <c r="B74" s="58">
        <v>73</v>
      </c>
      <c r="C74" s="58" t="s">
        <v>336</v>
      </c>
      <c r="D74" s="58" t="s">
        <v>234</v>
      </c>
      <c r="E74" s="58" t="s">
        <v>234</v>
      </c>
      <c r="F74" s="58" t="s">
        <v>337</v>
      </c>
      <c r="G74" s="58" t="s">
        <v>338</v>
      </c>
      <c r="H74" s="58" t="s">
        <v>179</v>
      </c>
      <c r="I74">
        <v>38000</v>
      </c>
      <c r="J74">
        <v>38000</v>
      </c>
      <c r="K74" s="58" t="s">
        <v>185</v>
      </c>
      <c r="L74" s="74">
        <v>13.238</v>
      </c>
      <c r="M74" s="85">
        <v>14</v>
      </c>
      <c r="N74" s="74">
        <v>0.59599999999999997</v>
      </c>
      <c r="O74">
        <v>1</v>
      </c>
      <c r="P74" s="84">
        <v>0.44699999999999995</v>
      </c>
      <c r="Q74" s="86">
        <v>3.45</v>
      </c>
      <c r="R74" s="85">
        <v>3.45</v>
      </c>
      <c r="S74" s="87">
        <v>1597940</v>
      </c>
      <c r="T74" s="1">
        <v>1</v>
      </c>
      <c r="U74" s="88">
        <v>463171.0144927536</v>
      </c>
      <c r="V74" s="59">
        <v>2.1590297508041605</v>
      </c>
    </row>
    <row r="75" spans="1:22">
      <c r="A75" s="58">
        <v>74</v>
      </c>
      <c r="B75" s="58">
        <v>74</v>
      </c>
      <c r="C75" s="58" t="s">
        <v>339</v>
      </c>
      <c r="D75" s="58" t="s">
        <v>234</v>
      </c>
      <c r="E75" s="58" t="s">
        <v>234</v>
      </c>
      <c r="F75" s="58" t="s">
        <v>326</v>
      </c>
      <c r="G75" s="58" t="s">
        <v>327</v>
      </c>
      <c r="H75" s="58" t="s">
        <v>199</v>
      </c>
      <c r="I75">
        <v>110000</v>
      </c>
      <c r="J75">
        <v>110000</v>
      </c>
      <c r="K75">
        <v>38000</v>
      </c>
      <c r="L75" s="74">
        <v>13.919</v>
      </c>
      <c r="M75" s="85">
        <v>14</v>
      </c>
      <c r="N75" s="74">
        <v>0.61899999999999999</v>
      </c>
      <c r="O75">
        <v>1</v>
      </c>
      <c r="P75" s="84">
        <v>0.46425</v>
      </c>
      <c r="Q75" s="86">
        <v>3.45</v>
      </c>
      <c r="R75" s="85">
        <v>3.45</v>
      </c>
      <c r="S75" s="87">
        <v>2154270</v>
      </c>
      <c r="T75" s="1">
        <v>7</v>
      </c>
      <c r="U75" s="88">
        <v>624426.08695652173</v>
      </c>
      <c r="V75" s="59">
        <v>1.6014705677561309</v>
      </c>
    </row>
    <row r="76" spans="1:22">
      <c r="A76" s="58">
        <v>75</v>
      </c>
      <c r="B76" s="58">
        <v>75</v>
      </c>
      <c r="C76" s="58" t="s">
        <v>340</v>
      </c>
      <c r="D76" s="58" t="s">
        <v>234</v>
      </c>
      <c r="E76" s="58" t="s">
        <v>234</v>
      </c>
      <c r="F76" s="58" t="s">
        <v>341</v>
      </c>
      <c r="G76" s="58" t="s">
        <v>342</v>
      </c>
      <c r="H76" s="58" t="s">
        <v>199</v>
      </c>
      <c r="I76">
        <v>110000</v>
      </c>
      <c r="J76" s="58" t="s">
        <v>185</v>
      </c>
      <c r="K76">
        <v>110000</v>
      </c>
      <c r="L76" s="74">
        <v>14.333</v>
      </c>
      <c r="M76" s="85">
        <v>15</v>
      </c>
      <c r="N76" s="74">
        <v>0.10299999999999999</v>
      </c>
      <c r="O76">
        <v>1</v>
      </c>
      <c r="P76" s="84">
        <v>0.10299999999999999</v>
      </c>
      <c r="Q76" s="86">
        <v>3.45</v>
      </c>
      <c r="R76" s="85">
        <v>3.45</v>
      </c>
      <c r="S76" s="87">
        <v>2206970</v>
      </c>
      <c r="T76" s="1">
        <v>7</v>
      </c>
      <c r="U76" s="88">
        <v>639701.44927536231</v>
      </c>
      <c r="V76" s="59">
        <v>1.5632292237773961</v>
      </c>
    </row>
    <row r="77" spans="1:22">
      <c r="A77" s="58">
        <v>76</v>
      </c>
      <c r="B77" s="58">
        <v>76</v>
      </c>
      <c r="C77" s="58" t="s">
        <v>343</v>
      </c>
      <c r="D77" s="58" t="s">
        <v>234</v>
      </c>
      <c r="E77" s="58" t="s">
        <v>234</v>
      </c>
      <c r="F77" s="58" t="s">
        <v>341</v>
      </c>
      <c r="G77" s="58" t="s">
        <v>342</v>
      </c>
      <c r="H77" s="58" t="s">
        <v>199</v>
      </c>
      <c r="I77">
        <v>110000</v>
      </c>
      <c r="J77" s="58" t="s">
        <v>185</v>
      </c>
      <c r="K77">
        <v>110000</v>
      </c>
      <c r="L77" s="74">
        <v>16.962</v>
      </c>
      <c r="M77" s="85">
        <v>17</v>
      </c>
      <c r="N77" s="74">
        <v>0.32500000000000001</v>
      </c>
      <c r="O77">
        <v>1</v>
      </c>
      <c r="P77" s="84">
        <v>0.32500000000000001</v>
      </c>
      <c r="Q77" s="86">
        <v>3.45</v>
      </c>
      <c r="R77" s="85">
        <v>3.45</v>
      </c>
      <c r="S77" s="87">
        <v>2312370</v>
      </c>
      <c r="T77" s="1">
        <v>7</v>
      </c>
      <c r="U77" s="88">
        <v>670252.17391304346</v>
      </c>
      <c r="V77" s="59">
        <v>1.4919757651240935</v>
      </c>
    </row>
    <row r="78" spans="1:22">
      <c r="A78" s="58">
        <v>77</v>
      </c>
      <c r="B78" s="58">
        <v>77</v>
      </c>
      <c r="C78" s="58" t="s">
        <v>344</v>
      </c>
      <c r="D78" s="58" t="s">
        <v>234</v>
      </c>
      <c r="E78" s="58" t="s">
        <v>234</v>
      </c>
      <c r="F78" s="58" t="s">
        <v>329</v>
      </c>
      <c r="G78" s="58" t="s">
        <v>330</v>
      </c>
      <c r="H78" s="58" t="s">
        <v>179</v>
      </c>
      <c r="I78">
        <v>38000</v>
      </c>
      <c r="J78">
        <v>38000</v>
      </c>
      <c r="K78" s="58" t="s">
        <v>185</v>
      </c>
      <c r="L78" s="74">
        <v>7.99</v>
      </c>
      <c r="M78" s="85">
        <v>8</v>
      </c>
      <c r="N78" s="74">
        <v>0.129</v>
      </c>
      <c r="O78">
        <v>1</v>
      </c>
      <c r="P78" s="84">
        <v>0.129</v>
      </c>
      <c r="Q78" s="86">
        <v>3.45</v>
      </c>
      <c r="R78" s="85">
        <v>3.45</v>
      </c>
      <c r="S78" s="87">
        <v>909950</v>
      </c>
      <c r="T78" s="1">
        <v>4</v>
      </c>
      <c r="U78" s="88">
        <v>263753.62318840576</v>
      </c>
      <c r="V78" s="59">
        <v>3.7914171108302654</v>
      </c>
    </row>
    <row r="79" spans="1:22">
      <c r="A79" s="58">
        <v>78</v>
      </c>
      <c r="B79" s="58">
        <v>78</v>
      </c>
      <c r="C79" s="58" t="s">
        <v>345</v>
      </c>
      <c r="D79" s="58" t="s">
        <v>346</v>
      </c>
      <c r="E79" s="58" t="s">
        <v>346</v>
      </c>
      <c r="F79" s="58" t="s">
        <v>347</v>
      </c>
      <c r="G79" s="58" t="s">
        <v>348</v>
      </c>
      <c r="H79" s="58" t="s">
        <v>199</v>
      </c>
      <c r="I79">
        <v>110000</v>
      </c>
      <c r="J79">
        <v>110000</v>
      </c>
      <c r="K79" s="58" t="s">
        <v>200</v>
      </c>
      <c r="L79" s="74">
        <v>11.375</v>
      </c>
      <c r="M79" s="85">
        <v>12</v>
      </c>
      <c r="N79" s="74">
        <v>0.246</v>
      </c>
      <c r="O79">
        <v>1</v>
      </c>
      <c r="P79" s="84">
        <v>0.246</v>
      </c>
      <c r="Q79" s="86">
        <v>3.45</v>
      </c>
      <c r="R79" s="85">
        <v>3.45</v>
      </c>
      <c r="S79" s="87">
        <v>2048870</v>
      </c>
      <c r="T79" s="1">
        <v>7</v>
      </c>
      <c r="U79" s="88">
        <v>593875.36231884058</v>
      </c>
      <c r="V79" s="59">
        <v>1.6838550030016546</v>
      </c>
    </row>
    <row r="80" spans="1:22">
      <c r="A80" s="58">
        <v>79</v>
      </c>
      <c r="B80" s="58">
        <v>79</v>
      </c>
      <c r="C80" s="58" t="s">
        <v>349</v>
      </c>
      <c r="D80" s="58" t="s">
        <v>346</v>
      </c>
      <c r="E80" s="58" t="s">
        <v>346</v>
      </c>
      <c r="F80" s="58" t="s">
        <v>347</v>
      </c>
      <c r="G80" s="58" t="s">
        <v>348</v>
      </c>
      <c r="H80" s="58" t="s">
        <v>199</v>
      </c>
      <c r="I80">
        <v>110000</v>
      </c>
      <c r="J80">
        <v>110000</v>
      </c>
      <c r="K80" s="58" t="s">
        <v>200</v>
      </c>
      <c r="L80" s="74">
        <v>11.206</v>
      </c>
      <c r="M80" s="85">
        <v>12</v>
      </c>
      <c r="N80" s="74">
        <v>0.24199999999999999</v>
      </c>
      <c r="O80">
        <v>1</v>
      </c>
      <c r="P80" s="84">
        <v>0.24199999999999999</v>
      </c>
      <c r="Q80" s="86">
        <v>3.45</v>
      </c>
      <c r="R80" s="85">
        <v>3.45</v>
      </c>
      <c r="S80" s="87">
        <v>2048870</v>
      </c>
      <c r="T80" s="1">
        <v>7</v>
      </c>
      <c r="U80" s="88">
        <v>593875.36231884058</v>
      </c>
      <c r="V80" s="59">
        <v>1.6838550030016546</v>
      </c>
    </row>
    <row r="81" spans="1:22">
      <c r="A81" s="58">
        <v>80</v>
      </c>
      <c r="B81" s="58">
        <v>80</v>
      </c>
      <c r="C81" s="58" t="s">
        <v>350</v>
      </c>
      <c r="D81" s="58" t="s">
        <v>346</v>
      </c>
      <c r="E81" s="58" t="s">
        <v>351</v>
      </c>
      <c r="F81" s="58" t="s">
        <v>352</v>
      </c>
      <c r="G81" s="58" t="s">
        <v>353</v>
      </c>
      <c r="H81" s="58" t="s">
        <v>179</v>
      </c>
      <c r="I81">
        <v>38000</v>
      </c>
      <c r="J81">
        <v>38000</v>
      </c>
      <c r="K81">
        <v>10000</v>
      </c>
      <c r="L81" s="74">
        <v>10.220000000000001</v>
      </c>
      <c r="M81" s="85">
        <v>11</v>
      </c>
      <c r="N81" s="74">
        <v>0.20599999999999999</v>
      </c>
      <c r="O81">
        <v>1</v>
      </c>
      <c r="P81" s="84">
        <v>0.20599999999999999</v>
      </c>
      <c r="Q81" s="86">
        <v>3.45</v>
      </c>
      <c r="R81" s="85">
        <v>3.45</v>
      </c>
      <c r="S81" s="87">
        <v>1439840</v>
      </c>
      <c r="T81" s="1">
        <v>1</v>
      </c>
      <c r="U81" s="88">
        <v>417344.92753623187</v>
      </c>
      <c r="V81" s="59">
        <v>2.396099566618513</v>
      </c>
    </row>
    <row r="82" spans="1:22">
      <c r="A82" s="58">
        <v>81</v>
      </c>
      <c r="B82" s="58">
        <v>81</v>
      </c>
      <c r="C82" s="58" t="s">
        <v>354</v>
      </c>
      <c r="D82" s="58" t="s">
        <v>346</v>
      </c>
      <c r="E82" s="58" t="s">
        <v>346</v>
      </c>
      <c r="F82" s="58" t="s">
        <v>352</v>
      </c>
      <c r="G82" s="58" t="s">
        <v>353</v>
      </c>
      <c r="H82" s="58" t="s">
        <v>179</v>
      </c>
      <c r="I82">
        <v>38000</v>
      </c>
      <c r="J82">
        <v>38000</v>
      </c>
      <c r="K82">
        <v>10000</v>
      </c>
      <c r="L82" s="74">
        <v>8.6880000000000006</v>
      </c>
      <c r="M82" s="85">
        <v>9</v>
      </c>
      <c r="N82" s="74">
        <v>0.249</v>
      </c>
      <c r="O82">
        <v>1</v>
      </c>
      <c r="P82" s="84">
        <v>0.249</v>
      </c>
      <c r="Q82" s="86">
        <v>3.45</v>
      </c>
      <c r="R82" s="85">
        <v>3.45</v>
      </c>
      <c r="S82" s="87">
        <v>1334440</v>
      </c>
      <c r="T82" s="1">
        <v>1</v>
      </c>
      <c r="U82" s="88">
        <v>386794.20289855072</v>
      </c>
      <c r="V82" s="59">
        <v>2.585354156050478</v>
      </c>
    </row>
    <row r="83" spans="1:22">
      <c r="A83" s="58">
        <v>82</v>
      </c>
      <c r="B83" s="58">
        <v>82</v>
      </c>
      <c r="C83" s="58" t="s">
        <v>355</v>
      </c>
      <c r="D83" s="58" t="s">
        <v>346</v>
      </c>
      <c r="E83" s="58" t="s">
        <v>346</v>
      </c>
      <c r="F83" s="58" t="s">
        <v>352</v>
      </c>
      <c r="G83" s="58" t="s">
        <v>353</v>
      </c>
      <c r="H83" s="58" t="s">
        <v>179</v>
      </c>
      <c r="I83">
        <v>38000</v>
      </c>
      <c r="J83">
        <v>38000</v>
      </c>
      <c r="K83">
        <v>10000</v>
      </c>
      <c r="L83" s="74">
        <v>8.2360000000000007</v>
      </c>
      <c r="M83" s="85">
        <v>9</v>
      </c>
      <c r="N83" s="74">
        <v>0.13200000000000001</v>
      </c>
      <c r="O83">
        <v>1</v>
      </c>
      <c r="P83" s="84">
        <v>0.13200000000000001</v>
      </c>
      <c r="Q83" s="86">
        <v>3.45</v>
      </c>
      <c r="R83" s="85">
        <v>3.45</v>
      </c>
      <c r="S83" s="87">
        <v>1334440</v>
      </c>
      <c r="T83" s="1">
        <v>1</v>
      </c>
      <c r="U83" s="88">
        <v>386794.20289855072</v>
      </c>
      <c r="V83" s="59">
        <v>2.585354156050478</v>
      </c>
    </row>
    <row r="84" spans="1:22">
      <c r="A84" s="58">
        <v>83</v>
      </c>
      <c r="B84" s="58">
        <v>83</v>
      </c>
      <c r="C84" s="58" t="s">
        <v>356</v>
      </c>
      <c r="D84" s="58" t="s">
        <v>187</v>
      </c>
      <c r="E84" s="58" t="s">
        <v>187</v>
      </c>
      <c r="F84" s="58" t="s">
        <v>188</v>
      </c>
      <c r="G84" s="58" t="s">
        <v>189</v>
      </c>
      <c r="H84" s="58" t="s">
        <v>179</v>
      </c>
      <c r="I84">
        <v>38000</v>
      </c>
      <c r="J84">
        <v>38000</v>
      </c>
      <c r="K84">
        <v>10000</v>
      </c>
      <c r="L84" s="74">
        <v>4.9290000000000003</v>
      </c>
      <c r="M84" s="85">
        <v>5</v>
      </c>
      <c r="N84" s="74">
        <v>0.52700000000000002</v>
      </c>
      <c r="O84">
        <v>1</v>
      </c>
      <c r="P84" s="84">
        <v>0.52700000000000002</v>
      </c>
      <c r="Q84" s="86">
        <v>3.45</v>
      </c>
      <c r="R84" s="85">
        <v>3.45</v>
      </c>
      <c r="S84" s="87">
        <v>699140</v>
      </c>
      <c r="T84" s="1">
        <v>4</v>
      </c>
      <c r="U84" s="88">
        <v>202649.27536231882</v>
      </c>
      <c r="V84" s="59">
        <v>4.9346339788883489</v>
      </c>
    </row>
    <row r="85" spans="1:22">
      <c r="A85" s="58">
        <v>84</v>
      </c>
      <c r="B85" s="58">
        <v>84</v>
      </c>
      <c r="C85" s="58" t="s">
        <v>357</v>
      </c>
      <c r="D85" s="58" t="s">
        <v>187</v>
      </c>
      <c r="E85" s="58" t="s">
        <v>187</v>
      </c>
      <c r="F85" s="58" t="s">
        <v>188</v>
      </c>
      <c r="G85" s="58" t="s">
        <v>189</v>
      </c>
      <c r="H85" s="58" t="s">
        <v>179</v>
      </c>
      <c r="I85">
        <v>38000</v>
      </c>
      <c r="J85">
        <v>38000</v>
      </c>
      <c r="K85">
        <v>10000</v>
      </c>
      <c r="L85" s="74">
        <v>13.065</v>
      </c>
      <c r="M85" s="85">
        <v>14</v>
      </c>
      <c r="N85" s="74">
        <v>0.10100000000000001</v>
      </c>
      <c r="O85">
        <v>1</v>
      </c>
      <c r="P85" s="84">
        <v>0.10100000000000001</v>
      </c>
      <c r="Q85" s="86">
        <v>3.45</v>
      </c>
      <c r="R85" s="85">
        <v>3.45</v>
      </c>
      <c r="S85" s="87">
        <v>1597940</v>
      </c>
      <c r="T85" s="1">
        <v>1</v>
      </c>
      <c r="U85" s="88">
        <v>463171.0144927536</v>
      </c>
      <c r="V85" s="59">
        <v>2.1590297508041605</v>
      </c>
    </row>
    <row r="86" spans="1:22">
      <c r="A86" s="58">
        <v>85</v>
      </c>
      <c r="B86" s="58">
        <v>85</v>
      </c>
      <c r="C86" s="58" t="s">
        <v>358</v>
      </c>
      <c r="D86" s="58" t="s">
        <v>187</v>
      </c>
      <c r="E86" s="58" t="s">
        <v>187</v>
      </c>
      <c r="F86" s="58" t="s">
        <v>359</v>
      </c>
      <c r="G86" s="58" t="s">
        <v>360</v>
      </c>
      <c r="H86" s="58" t="s">
        <v>179</v>
      </c>
      <c r="I86">
        <v>38000</v>
      </c>
      <c r="J86" s="58" t="s">
        <v>185</v>
      </c>
      <c r="K86">
        <v>38000</v>
      </c>
      <c r="L86" s="74">
        <v>9.1430000000000007</v>
      </c>
      <c r="M86" s="85">
        <v>10</v>
      </c>
      <c r="N86" s="74">
        <v>0.59899999999999998</v>
      </c>
      <c r="O86">
        <v>1</v>
      </c>
      <c r="P86" s="84">
        <v>0.44924999999999998</v>
      </c>
      <c r="Q86" s="86">
        <v>3.45</v>
      </c>
      <c r="R86" s="85">
        <v>3.45</v>
      </c>
      <c r="S86" s="87">
        <v>1387140</v>
      </c>
      <c r="T86" s="1">
        <v>1</v>
      </c>
      <c r="U86" s="88">
        <v>402069.5652173913</v>
      </c>
      <c r="V86" s="59">
        <v>2.487131796357974</v>
      </c>
    </row>
    <row r="87" spans="1:22">
      <c r="A87" s="58">
        <v>86</v>
      </c>
      <c r="B87" s="58">
        <v>86</v>
      </c>
      <c r="C87" s="58" t="s">
        <v>361</v>
      </c>
      <c r="D87" s="58" t="s">
        <v>187</v>
      </c>
      <c r="E87" s="58" t="s">
        <v>187</v>
      </c>
      <c r="F87" s="58" t="s">
        <v>188</v>
      </c>
      <c r="G87" s="58" t="s">
        <v>189</v>
      </c>
      <c r="H87" s="58" t="s">
        <v>179</v>
      </c>
      <c r="I87">
        <v>38000</v>
      </c>
      <c r="J87">
        <v>38000</v>
      </c>
      <c r="K87">
        <v>10000</v>
      </c>
      <c r="L87" s="74">
        <v>11.022</v>
      </c>
      <c r="M87" s="85">
        <v>12</v>
      </c>
      <c r="N87" s="74">
        <v>0.20499999999999999</v>
      </c>
      <c r="O87">
        <v>1</v>
      </c>
      <c r="P87" s="84">
        <v>0.20499999999999999</v>
      </c>
      <c r="Q87" s="86">
        <v>3.45</v>
      </c>
      <c r="R87" s="85">
        <v>3.45</v>
      </c>
      <c r="S87" s="87">
        <v>1492540</v>
      </c>
      <c r="T87" s="1">
        <v>1</v>
      </c>
      <c r="U87" s="88">
        <v>432620.28985507245</v>
      </c>
      <c r="V87" s="59">
        <v>2.3114958393074891</v>
      </c>
    </row>
    <row r="88" spans="1:22">
      <c r="A88" s="58">
        <v>87</v>
      </c>
      <c r="B88" s="58">
        <v>87</v>
      </c>
      <c r="C88" s="58" t="s">
        <v>362</v>
      </c>
      <c r="D88" s="58" t="s">
        <v>187</v>
      </c>
      <c r="E88" s="58" t="s">
        <v>187</v>
      </c>
      <c r="F88" s="58" t="s">
        <v>188</v>
      </c>
      <c r="G88" s="58" t="s">
        <v>189</v>
      </c>
      <c r="H88" s="58" t="s">
        <v>179</v>
      </c>
      <c r="I88">
        <v>38000</v>
      </c>
      <c r="J88">
        <v>38000</v>
      </c>
      <c r="K88">
        <v>10000</v>
      </c>
      <c r="L88" s="74">
        <v>3.3159999999999998</v>
      </c>
      <c r="M88" s="85">
        <v>4</v>
      </c>
      <c r="N88" s="74">
        <v>0.442</v>
      </c>
      <c r="O88">
        <v>1</v>
      </c>
      <c r="P88" s="84">
        <v>0.442</v>
      </c>
      <c r="Q88" s="86">
        <v>3.45</v>
      </c>
      <c r="R88" s="85">
        <v>3.45</v>
      </c>
      <c r="S88" s="87">
        <v>628870</v>
      </c>
      <c r="T88" s="1">
        <v>4</v>
      </c>
      <c r="U88" s="88">
        <v>182281.15942028986</v>
      </c>
      <c r="V88" s="59">
        <v>5.4860304991492681</v>
      </c>
    </row>
    <row r="89" spans="1:22">
      <c r="A89" s="58">
        <v>88</v>
      </c>
      <c r="B89" s="58">
        <v>88</v>
      </c>
      <c r="C89" s="58" t="s">
        <v>363</v>
      </c>
      <c r="D89" s="58" t="s">
        <v>187</v>
      </c>
      <c r="E89" s="58" t="s">
        <v>187</v>
      </c>
      <c r="F89" s="58" t="s">
        <v>188</v>
      </c>
      <c r="G89" s="58" t="s">
        <v>189</v>
      </c>
      <c r="H89" s="58" t="s">
        <v>179</v>
      </c>
      <c r="I89">
        <v>38000</v>
      </c>
      <c r="J89">
        <v>38000</v>
      </c>
      <c r="K89">
        <v>10000</v>
      </c>
      <c r="L89" s="74">
        <v>2.2429999999999999</v>
      </c>
      <c r="M89" s="85">
        <v>3</v>
      </c>
      <c r="N89" s="74">
        <v>9.7000000000000003E-2</v>
      </c>
      <c r="O89">
        <v>1</v>
      </c>
      <c r="P89" s="84">
        <v>9.7000000000000003E-2</v>
      </c>
      <c r="Q89" s="86">
        <v>3.45</v>
      </c>
      <c r="R89" s="85">
        <v>3.45</v>
      </c>
      <c r="S89" s="87">
        <v>558600</v>
      </c>
      <c r="T89" s="1">
        <v>4</v>
      </c>
      <c r="U89" s="88">
        <v>161913.04347826086</v>
      </c>
      <c r="V89" s="59">
        <v>6.176154672395274</v>
      </c>
    </row>
    <row r="90" spans="1:22">
      <c r="A90" s="58">
        <v>89</v>
      </c>
      <c r="B90" s="58">
        <v>89</v>
      </c>
      <c r="C90" s="58" t="s">
        <v>364</v>
      </c>
      <c r="D90" s="58" t="s">
        <v>187</v>
      </c>
      <c r="E90" s="58" t="s">
        <v>187</v>
      </c>
      <c r="F90" s="58" t="s">
        <v>365</v>
      </c>
      <c r="G90" s="58" t="s">
        <v>366</v>
      </c>
      <c r="H90" s="58" t="s">
        <v>179</v>
      </c>
      <c r="I90">
        <v>38000</v>
      </c>
      <c r="J90">
        <v>38000</v>
      </c>
      <c r="K90">
        <v>10000</v>
      </c>
      <c r="L90" s="74">
        <v>4.306</v>
      </c>
      <c r="M90" s="85">
        <v>5</v>
      </c>
      <c r="N90" s="74">
        <v>0.19700000000000001</v>
      </c>
      <c r="O90">
        <v>1</v>
      </c>
      <c r="P90" s="84">
        <v>0.19700000000000001</v>
      </c>
      <c r="Q90" s="86">
        <v>3.45</v>
      </c>
      <c r="R90" s="85">
        <v>3.45</v>
      </c>
      <c r="S90" s="87">
        <v>699140</v>
      </c>
      <c r="T90" s="1">
        <v>4</v>
      </c>
      <c r="U90" s="88">
        <v>202649.27536231882</v>
      </c>
      <c r="V90" s="59">
        <v>4.9346339788883489</v>
      </c>
    </row>
    <row r="91" spans="1:22">
      <c r="A91" s="58">
        <v>90</v>
      </c>
      <c r="B91" s="58">
        <v>90</v>
      </c>
      <c r="C91" s="58" t="s">
        <v>367</v>
      </c>
      <c r="D91" s="58" t="s">
        <v>187</v>
      </c>
      <c r="E91" s="58" t="s">
        <v>187</v>
      </c>
      <c r="F91" s="58" t="s">
        <v>368</v>
      </c>
      <c r="G91" s="58" t="s">
        <v>369</v>
      </c>
      <c r="H91" s="58" t="s">
        <v>199</v>
      </c>
      <c r="I91">
        <v>110000</v>
      </c>
      <c r="J91">
        <v>110000</v>
      </c>
      <c r="K91">
        <v>38000</v>
      </c>
      <c r="L91" s="74">
        <v>3.7869999999999999</v>
      </c>
      <c r="M91" s="85">
        <v>4</v>
      </c>
      <c r="N91" s="74">
        <v>0.318</v>
      </c>
      <c r="O91">
        <v>1</v>
      </c>
      <c r="P91" s="84">
        <v>0.318</v>
      </c>
      <c r="Q91" s="86">
        <v>3.45</v>
      </c>
      <c r="R91" s="85">
        <v>3.45</v>
      </c>
      <c r="S91" s="87">
        <v>1627270</v>
      </c>
      <c r="T91" s="1">
        <v>7</v>
      </c>
      <c r="U91" s="88">
        <v>471672.46376811591</v>
      </c>
      <c r="V91" s="59">
        <v>2.1201152851094163</v>
      </c>
    </row>
    <row r="92" spans="1:22">
      <c r="A92" s="58">
        <v>91</v>
      </c>
      <c r="B92" s="58">
        <v>91</v>
      </c>
      <c r="C92" s="58" t="s">
        <v>370</v>
      </c>
      <c r="D92" s="58" t="s">
        <v>187</v>
      </c>
      <c r="E92" s="58" t="s">
        <v>187</v>
      </c>
      <c r="F92" s="58" t="s">
        <v>368</v>
      </c>
      <c r="G92" s="58" t="s">
        <v>369</v>
      </c>
      <c r="H92" s="58" t="s">
        <v>199</v>
      </c>
      <c r="I92">
        <v>110000</v>
      </c>
      <c r="J92">
        <v>110000</v>
      </c>
      <c r="K92">
        <v>38000</v>
      </c>
      <c r="L92" s="74">
        <v>3.504</v>
      </c>
      <c r="M92" s="85">
        <v>4</v>
      </c>
      <c r="N92" s="74">
        <v>0.39500000000000002</v>
      </c>
      <c r="O92">
        <v>1</v>
      </c>
      <c r="P92" s="84">
        <v>0.39500000000000002</v>
      </c>
      <c r="Q92" s="86">
        <v>3.45</v>
      </c>
      <c r="R92" s="85">
        <v>3.45</v>
      </c>
      <c r="S92" s="87">
        <v>1627270</v>
      </c>
      <c r="T92" s="1">
        <v>7</v>
      </c>
      <c r="U92" s="88">
        <v>471672.46376811591</v>
      </c>
      <c r="V92" s="59">
        <v>2.1201152851094163</v>
      </c>
    </row>
    <row r="93" spans="1:22">
      <c r="A93" s="58">
        <v>92</v>
      </c>
      <c r="B93" s="58">
        <v>92</v>
      </c>
      <c r="C93" s="58" t="s">
        <v>371</v>
      </c>
      <c r="D93" s="58" t="s">
        <v>187</v>
      </c>
      <c r="E93" s="58" t="s">
        <v>187</v>
      </c>
      <c r="F93" s="58" t="s">
        <v>238</v>
      </c>
      <c r="G93" s="58" t="s">
        <v>239</v>
      </c>
      <c r="H93" s="58" t="s">
        <v>179</v>
      </c>
      <c r="I93">
        <v>38000</v>
      </c>
      <c r="J93">
        <v>38000</v>
      </c>
      <c r="K93">
        <v>10000</v>
      </c>
      <c r="L93" s="74">
        <v>10.189</v>
      </c>
      <c r="M93" s="85">
        <v>11</v>
      </c>
      <c r="N93" s="74">
        <v>0.28599999999999998</v>
      </c>
      <c r="O93">
        <v>1</v>
      </c>
      <c r="P93" s="84">
        <v>0.28599999999999998</v>
      </c>
      <c r="Q93" s="86">
        <v>3.45</v>
      </c>
      <c r="R93" s="85">
        <v>3.45</v>
      </c>
      <c r="S93" s="87">
        <v>1439840</v>
      </c>
      <c r="T93" s="1">
        <v>1</v>
      </c>
      <c r="U93" s="88">
        <v>417344.92753623187</v>
      </c>
      <c r="V93" s="59">
        <v>2.396099566618513</v>
      </c>
    </row>
    <row r="94" spans="1:22">
      <c r="A94" s="58">
        <v>93</v>
      </c>
      <c r="B94" s="58">
        <v>93</v>
      </c>
      <c r="C94" s="58" t="s">
        <v>372</v>
      </c>
      <c r="D94" s="58" t="s">
        <v>187</v>
      </c>
      <c r="E94" s="58" t="s">
        <v>187</v>
      </c>
      <c r="F94" s="58" t="s">
        <v>194</v>
      </c>
      <c r="G94" s="58" t="s">
        <v>195</v>
      </c>
      <c r="H94" s="58" t="s">
        <v>179</v>
      </c>
      <c r="I94">
        <v>38000</v>
      </c>
      <c r="J94" s="58" t="s">
        <v>185</v>
      </c>
      <c r="K94">
        <v>38000</v>
      </c>
      <c r="L94" s="74">
        <v>1.583</v>
      </c>
      <c r="M94" s="85">
        <v>2</v>
      </c>
      <c r="N94" s="74">
        <v>0.16600000000000001</v>
      </c>
      <c r="O94">
        <v>1</v>
      </c>
      <c r="P94" s="84">
        <v>0.16600000000000001</v>
      </c>
      <c r="Q94" s="86">
        <v>3.45</v>
      </c>
      <c r="R94" s="85">
        <v>3.45</v>
      </c>
      <c r="S94" s="87">
        <v>488330</v>
      </c>
      <c r="T94" s="1">
        <v>4</v>
      </c>
      <c r="U94" s="88">
        <v>141544.92753623187</v>
      </c>
      <c r="V94" s="59">
        <v>7.0648946409190509</v>
      </c>
    </row>
    <row r="95" spans="1:22">
      <c r="A95" s="58">
        <v>94</v>
      </c>
      <c r="B95" s="58">
        <v>94</v>
      </c>
      <c r="C95" s="58" t="s">
        <v>373</v>
      </c>
      <c r="D95" s="58" t="s">
        <v>187</v>
      </c>
      <c r="E95" s="58" t="s">
        <v>187</v>
      </c>
      <c r="F95" s="58" t="s">
        <v>374</v>
      </c>
      <c r="G95" s="58" t="s">
        <v>375</v>
      </c>
      <c r="H95" s="58" t="s">
        <v>179</v>
      </c>
      <c r="I95">
        <v>38000</v>
      </c>
      <c r="J95">
        <v>38000</v>
      </c>
      <c r="K95">
        <v>20000</v>
      </c>
      <c r="L95" s="74">
        <v>3.2959999999999998</v>
      </c>
      <c r="M95" s="85">
        <v>4</v>
      </c>
      <c r="N95" s="74">
        <v>0.115</v>
      </c>
      <c r="O95">
        <v>1</v>
      </c>
      <c r="P95" s="84">
        <v>0.115</v>
      </c>
      <c r="Q95" s="86">
        <v>3.45</v>
      </c>
      <c r="R95" s="85">
        <v>3.45</v>
      </c>
      <c r="S95" s="87">
        <v>628870</v>
      </c>
      <c r="T95" s="1">
        <v>4</v>
      </c>
      <c r="U95" s="88">
        <v>182281.15942028986</v>
      </c>
      <c r="V95" s="59">
        <v>5.4860304991492681</v>
      </c>
    </row>
    <row r="96" spans="1:22">
      <c r="A96" s="58">
        <v>95</v>
      </c>
      <c r="B96" s="58">
        <v>95</v>
      </c>
      <c r="C96" s="58" t="s">
        <v>376</v>
      </c>
      <c r="D96" s="58" t="s">
        <v>187</v>
      </c>
      <c r="E96" s="58" t="s">
        <v>187</v>
      </c>
      <c r="F96" s="58" t="s">
        <v>377</v>
      </c>
      <c r="H96" s="58" t="s">
        <v>179</v>
      </c>
      <c r="I96">
        <v>38000</v>
      </c>
      <c r="L96" s="74">
        <v>5.1740000000000004</v>
      </c>
      <c r="M96" s="85">
        <v>6</v>
      </c>
      <c r="N96" s="74">
        <v>0.108</v>
      </c>
      <c r="O96">
        <v>1</v>
      </c>
      <c r="P96" s="84">
        <v>0.108</v>
      </c>
      <c r="Q96" s="86">
        <v>3.45</v>
      </c>
      <c r="R96" s="85">
        <v>3.45</v>
      </c>
      <c r="S96" s="87">
        <v>769410</v>
      </c>
      <c r="T96" s="1">
        <v>4</v>
      </c>
      <c r="U96" s="88">
        <v>223017.39130434781</v>
      </c>
      <c r="V96" s="59">
        <v>4.4839552384294459</v>
      </c>
    </row>
    <row r="97" spans="1:22">
      <c r="A97" s="58">
        <v>96</v>
      </c>
      <c r="B97" s="58">
        <v>96</v>
      </c>
      <c r="C97" s="58" t="s">
        <v>378</v>
      </c>
      <c r="D97" s="58" t="s">
        <v>234</v>
      </c>
      <c r="E97" s="58" t="s">
        <v>234</v>
      </c>
      <c r="F97" s="58" t="s">
        <v>235</v>
      </c>
      <c r="G97" s="58" t="s">
        <v>236</v>
      </c>
      <c r="H97" s="58" t="s">
        <v>179</v>
      </c>
      <c r="I97">
        <v>38000</v>
      </c>
      <c r="J97">
        <v>38000</v>
      </c>
      <c r="K97">
        <v>20000</v>
      </c>
      <c r="L97" s="74">
        <v>10.712999999999999</v>
      </c>
      <c r="M97" s="85">
        <v>11</v>
      </c>
      <c r="N97" s="74">
        <v>0.108</v>
      </c>
      <c r="O97">
        <v>1</v>
      </c>
      <c r="P97" s="84">
        <v>0.108</v>
      </c>
      <c r="Q97" s="86">
        <v>3.45</v>
      </c>
      <c r="R97" s="85">
        <v>3.45</v>
      </c>
      <c r="S97" s="87">
        <v>1439840</v>
      </c>
      <c r="T97" s="1">
        <v>1</v>
      </c>
      <c r="U97" s="88">
        <v>417344.92753623187</v>
      </c>
      <c r="V97" s="59">
        <v>2.396099566618513</v>
      </c>
    </row>
    <row r="98" spans="1:22">
      <c r="A98" s="58">
        <v>97</v>
      </c>
      <c r="B98" s="58">
        <v>97</v>
      </c>
      <c r="C98" s="58" t="s">
        <v>379</v>
      </c>
      <c r="D98" s="58" t="s">
        <v>380</v>
      </c>
      <c r="E98" s="58" t="s">
        <v>380</v>
      </c>
      <c r="F98" s="58" t="s">
        <v>381</v>
      </c>
      <c r="G98" s="58" t="s">
        <v>382</v>
      </c>
      <c r="H98" s="58" t="s">
        <v>199</v>
      </c>
      <c r="I98">
        <v>110000</v>
      </c>
      <c r="J98">
        <v>20000</v>
      </c>
      <c r="K98">
        <v>110000</v>
      </c>
      <c r="L98" s="74">
        <v>10.637</v>
      </c>
      <c r="M98" s="85">
        <v>11</v>
      </c>
      <c r="N98" s="74">
        <v>0.36399999999999999</v>
      </c>
      <c r="O98">
        <v>1</v>
      </c>
      <c r="P98" s="84">
        <v>0.36399999999999999</v>
      </c>
      <c r="Q98" s="86">
        <v>3.45</v>
      </c>
      <c r="R98" s="85">
        <v>3.45</v>
      </c>
      <c r="S98" s="87">
        <v>1996170</v>
      </c>
      <c r="T98" s="1">
        <v>7</v>
      </c>
      <c r="U98" s="88">
        <v>578600</v>
      </c>
      <c r="V98" s="59">
        <v>1.7283097131005876</v>
      </c>
    </row>
    <row r="99" spans="1:22">
      <c r="A99" s="58">
        <v>98</v>
      </c>
      <c r="B99" s="58">
        <v>98</v>
      </c>
      <c r="C99" s="58" t="s">
        <v>383</v>
      </c>
      <c r="D99" s="58" t="s">
        <v>380</v>
      </c>
      <c r="E99" s="58" t="s">
        <v>384</v>
      </c>
      <c r="F99" s="58" t="s">
        <v>381</v>
      </c>
      <c r="G99" s="58" t="s">
        <v>382</v>
      </c>
      <c r="H99" s="58" t="s">
        <v>199</v>
      </c>
      <c r="I99">
        <v>110000</v>
      </c>
      <c r="J99">
        <v>20000</v>
      </c>
      <c r="K99">
        <v>110000</v>
      </c>
      <c r="L99" s="74">
        <v>9.8740000000000006</v>
      </c>
      <c r="M99" s="85">
        <v>10</v>
      </c>
      <c r="N99" s="74">
        <v>0.32800000000000001</v>
      </c>
      <c r="O99">
        <v>1</v>
      </c>
      <c r="P99" s="84">
        <v>0.32800000000000001</v>
      </c>
      <c r="Q99" s="86">
        <v>3.45</v>
      </c>
      <c r="R99" s="85">
        <v>3.45</v>
      </c>
      <c r="S99" s="87">
        <v>1943470</v>
      </c>
      <c r="T99" s="1">
        <v>7</v>
      </c>
      <c r="U99" s="88">
        <v>563324.63768115942</v>
      </c>
      <c r="V99" s="59">
        <v>1.7751753307228824</v>
      </c>
    </row>
    <row r="100" spans="1:22">
      <c r="A100" s="58">
        <v>99</v>
      </c>
      <c r="B100" s="58">
        <v>99</v>
      </c>
      <c r="C100" s="58" t="s">
        <v>385</v>
      </c>
      <c r="D100" s="58" t="s">
        <v>380</v>
      </c>
      <c r="E100" s="58" t="s">
        <v>380</v>
      </c>
      <c r="F100" s="58" t="s">
        <v>386</v>
      </c>
      <c r="G100" s="58" t="s">
        <v>387</v>
      </c>
      <c r="H100" s="58" t="s">
        <v>179</v>
      </c>
      <c r="I100">
        <v>38000</v>
      </c>
      <c r="J100">
        <v>38000</v>
      </c>
      <c r="K100">
        <v>20000</v>
      </c>
      <c r="L100" s="74">
        <v>9.9749999999999996</v>
      </c>
      <c r="M100" s="85">
        <v>10</v>
      </c>
      <c r="N100" s="74">
        <v>0.438</v>
      </c>
      <c r="O100">
        <v>1</v>
      </c>
      <c r="P100" s="84">
        <v>0.438</v>
      </c>
      <c r="Q100" s="86">
        <v>3.45</v>
      </c>
      <c r="R100" s="85">
        <v>3.45</v>
      </c>
      <c r="S100" s="87">
        <v>1387140</v>
      </c>
      <c r="T100" s="1">
        <v>1</v>
      </c>
      <c r="U100" s="88">
        <v>402069.5652173913</v>
      </c>
      <c r="V100" s="59">
        <v>2.487131796357974</v>
      </c>
    </row>
    <row r="101" spans="1:22">
      <c r="A101" s="58">
        <v>100</v>
      </c>
      <c r="B101" s="58">
        <v>100</v>
      </c>
      <c r="C101" s="58" t="s">
        <v>388</v>
      </c>
      <c r="D101" s="58" t="s">
        <v>207</v>
      </c>
      <c r="E101" s="58" t="s">
        <v>207</v>
      </c>
      <c r="F101" s="58" t="s">
        <v>389</v>
      </c>
      <c r="G101" s="58" t="s">
        <v>390</v>
      </c>
      <c r="H101" s="58" t="s">
        <v>199</v>
      </c>
      <c r="I101">
        <v>110000</v>
      </c>
      <c r="J101">
        <v>110000</v>
      </c>
      <c r="K101">
        <v>38000</v>
      </c>
      <c r="L101" s="74">
        <v>8.266</v>
      </c>
      <c r="M101" s="85">
        <v>9</v>
      </c>
      <c r="N101" s="74">
        <v>1.0329999999999999</v>
      </c>
      <c r="O101">
        <v>1</v>
      </c>
      <c r="P101" s="84">
        <v>0.77474999999999994</v>
      </c>
      <c r="Q101" s="86">
        <v>6.9</v>
      </c>
      <c r="R101" s="85">
        <v>6.9</v>
      </c>
      <c r="S101" s="87">
        <v>1890770</v>
      </c>
      <c r="T101" s="1">
        <v>7</v>
      </c>
      <c r="U101" s="88">
        <v>274024.63768115942</v>
      </c>
      <c r="V101" s="59">
        <v>3.6493068961322637</v>
      </c>
    </row>
    <row r="102" spans="1:22">
      <c r="A102" s="58">
        <v>101</v>
      </c>
      <c r="B102" s="58">
        <v>101</v>
      </c>
      <c r="C102" s="58" t="s">
        <v>391</v>
      </c>
      <c r="D102" s="58" t="s">
        <v>207</v>
      </c>
      <c r="E102" s="58" t="s">
        <v>207</v>
      </c>
      <c r="F102" s="58" t="s">
        <v>389</v>
      </c>
      <c r="G102" s="58" t="s">
        <v>390</v>
      </c>
      <c r="H102" s="58" t="s">
        <v>199</v>
      </c>
      <c r="I102">
        <v>110000</v>
      </c>
      <c r="J102">
        <v>110000</v>
      </c>
      <c r="K102">
        <v>38000</v>
      </c>
      <c r="L102" s="74">
        <v>10.241</v>
      </c>
      <c r="M102" s="85">
        <v>11</v>
      </c>
      <c r="N102" s="74">
        <v>0.10100000000000001</v>
      </c>
      <c r="O102">
        <v>1</v>
      </c>
      <c r="P102" s="84">
        <v>0.10100000000000001</v>
      </c>
      <c r="Q102" s="86">
        <v>3.45</v>
      </c>
      <c r="R102" s="85">
        <v>3.45</v>
      </c>
      <c r="S102" s="87">
        <v>1996170</v>
      </c>
      <c r="T102" s="1">
        <v>7</v>
      </c>
      <c r="U102" s="88">
        <v>578600</v>
      </c>
      <c r="V102" s="59">
        <v>1.7283097131005876</v>
      </c>
    </row>
    <row r="103" spans="1:22">
      <c r="A103" s="58">
        <v>102</v>
      </c>
      <c r="B103" s="58">
        <v>102</v>
      </c>
      <c r="C103" s="58" t="s">
        <v>392</v>
      </c>
      <c r="D103" s="58" t="s">
        <v>207</v>
      </c>
      <c r="E103" s="58" t="s">
        <v>207</v>
      </c>
      <c r="F103" s="58" t="s">
        <v>393</v>
      </c>
      <c r="G103" s="58" t="s">
        <v>394</v>
      </c>
      <c r="H103" s="58" t="s">
        <v>179</v>
      </c>
      <c r="I103">
        <v>38000</v>
      </c>
      <c r="J103">
        <v>38000</v>
      </c>
      <c r="K103" s="58" t="s">
        <v>185</v>
      </c>
      <c r="L103" s="74">
        <v>9.3130000000000006</v>
      </c>
      <c r="M103" s="85">
        <v>10</v>
      </c>
      <c r="N103" s="74">
        <v>0.157</v>
      </c>
      <c r="O103">
        <v>1</v>
      </c>
      <c r="P103" s="84">
        <v>0.157</v>
      </c>
      <c r="Q103" s="86">
        <v>3.45</v>
      </c>
      <c r="R103" s="85">
        <v>3.45</v>
      </c>
      <c r="S103" s="87">
        <v>1387140</v>
      </c>
      <c r="T103" s="1">
        <v>1</v>
      </c>
      <c r="U103" s="88">
        <v>402069.5652173913</v>
      </c>
      <c r="V103" s="59">
        <v>2.487131796357974</v>
      </c>
    </row>
    <row r="104" spans="1:22">
      <c r="A104" s="58">
        <v>103</v>
      </c>
      <c r="B104" s="58">
        <v>103</v>
      </c>
      <c r="C104" s="58" t="s">
        <v>395</v>
      </c>
      <c r="D104" s="58" t="s">
        <v>207</v>
      </c>
      <c r="E104" s="58" t="s">
        <v>207</v>
      </c>
      <c r="F104" s="58" t="s">
        <v>242</v>
      </c>
      <c r="G104" s="58" t="s">
        <v>243</v>
      </c>
      <c r="H104" s="58" t="s">
        <v>179</v>
      </c>
      <c r="I104">
        <v>38000</v>
      </c>
      <c r="J104">
        <v>38000</v>
      </c>
      <c r="K104">
        <v>20000</v>
      </c>
      <c r="L104" s="74">
        <v>6.1760000000000002</v>
      </c>
      <c r="M104" s="85">
        <v>7</v>
      </c>
      <c r="N104" s="74">
        <v>0.40500000000000003</v>
      </c>
      <c r="O104">
        <v>1</v>
      </c>
      <c r="P104" s="84">
        <v>0.40500000000000003</v>
      </c>
      <c r="Q104" s="86">
        <v>3.45</v>
      </c>
      <c r="R104" s="85">
        <v>3.45</v>
      </c>
      <c r="S104" s="87">
        <v>839680</v>
      </c>
      <c r="T104" s="1">
        <v>4</v>
      </c>
      <c r="U104" s="88">
        <v>243385.5072463768</v>
      </c>
      <c r="V104" s="59">
        <v>4.1087080792682924</v>
      </c>
    </row>
    <row r="105" spans="1:22">
      <c r="A105" s="58">
        <v>104</v>
      </c>
      <c r="B105" s="58">
        <v>104</v>
      </c>
      <c r="C105" s="58" t="s">
        <v>396</v>
      </c>
      <c r="D105" s="58" t="s">
        <v>207</v>
      </c>
      <c r="E105" s="58" t="s">
        <v>207</v>
      </c>
      <c r="F105" s="58" t="s">
        <v>242</v>
      </c>
      <c r="G105" s="58" t="s">
        <v>243</v>
      </c>
      <c r="H105" s="58" t="s">
        <v>179</v>
      </c>
      <c r="I105">
        <v>38000</v>
      </c>
      <c r="J105">
        <v>38000</v>
      </c>
      <c r="K105">
        <v>20000</v>
      </c>
      <c r="L105" s="74">
        <v>10.936999999999999</v>
      </c>
      <c r="M105" s="85">
        <v>11</v>
      </c>
      <c r="N105" s="74">
        <v>0.309</v>
      </c>
      <c r="O105">
        <v>1</v>
      </c>
      <c r="P105" s="84">
        <v>0.309</v>
      </c>
      <c r="Q105" s="86">
        <v>3.45</v>
      </c>
      <c r="R105" s="85">
        <v>3.45</v>
      </c>
      <c r="S105" s="87">
        <v>1439840</v>
      </c>
      <c r="T105" s="1">
        <v>1</v>
      </c>
      <c r="U105" s="88">
        <v>417344.92753623187</v>
      </c>
      <c r="V105" s="59">
        <v>2.396099566618513</v>
      </c>
    </row>
    <row r="106" spans="1:22">
      <c r="A106" s="58">
        <v>105</v>
      </c>
      <c r="B106" s="58">
        <v>105</v>
      </c>
      <c r="C106" s="58" t="s">
        <v>397</v>
      </c>
      <c r="D106" s="58" t="s">
        <v>202</v>
      </c>
      <c r="E106" s="58" t="s">
        <v>202</v>
      </c>
      <c r="F106" s="58" t="s">
        <v>398</v>
      </c>
      <c r="G106" s="58" t="s">
        <v>399</v>
      </c>
      <c r="H106" s="58" t="s">
        <v>179</v>
      </c>
      <c r="I106">
        <v>38000</v>
      </c>
      <c r="J106">
        <v>38000</v>
      </c>
      <c r="K106">
        <v>10000</v>
      </c>
      <c r="L106" s="74">
        <v>10.006</v>
      </c>
      <c r="M106" s="85">
        <v>11</v>
      </c>
      <c r="N106" s="74">
        <v>0.442</v>
      </c>
      <c r="O106">
        <v>1</v>
      </c>
      <c r="P106" s="84">
        <v>0.442</v>
      </c>
      <c r="Q106" s="86">
        <v>3.45</v>
      </c>
      <c r="R106" s="85">
        <v>3.45</v>
      </c>
      <c r="S106" s="87">
        <v>1439840</v>
      </c>
      <c r="T106" s="1">
        <v>1</v>
      </c>
      <c r="U106" s="88">
        <v>417344.92753623187</v>
      </c>
      <c r="V106" s="59">
        <v>2.396099566618513</v>
      </c>
    </row>
    <row r="107" spans="1:22">
      <c r="A107" s="58">
        <v>106</v>
      </c>
      <c r="B107" s="58">
        <v>106</v>
      </c>
      <c r="C107" s="58" t="s">
        <v>400</v>
      </c>
      <c r="D107" s="58" t="s">
        <v>202</v>
      </c>
      <c r="E107" s="58" t="s">
        <v>202</v>
      </c>
      <c r="F107" s="58" t="s">
        <v>401</v>
      </c>
      <c r="G107" s="58" t="s">
        <v>402</v>
      </c>
      <c r="H107" s="58" t="s">
        <v>179</v>
      </c>
      <c r="I107">
        <v>38000</v>
      </c>
      <c r="J107">
        <v>38000</v>
      </c>
      <c r="K107" s="58" t="s">
        <v>185</v>
      </c>
      <c r="L107" s="74">
        <v>3.9750000000000001</v>
      </c>
      <c r="M107" s="85">
        <v>4</v>
      </c>
      <c r="N107" s="74">
        <v>0.27900000000000003</v>
      </c>
      <c r="O107">
        <v>1</v>
      </c>
      <c r="P107" s="84">
        <v>0.27900000000000003</v>
      </c>
      <c r="Q107" s="86">
        <v>3.45</v>
      </c>
      <c r="R107" s="85">
        <v>3.45</v>
      </c>
      <c r="S107" s="87">
        <v>628870</v>
      </c>
      <c r="T107" s="1">
        <v>4</v>
      </c>
      <c r="U107" s="88">
        <v>182281.15942028986</v>
      </c>
      <c r="V107" s="59">
        <v>5.4860304991492681</v>
      </c>
    </row>
    <row r="108" spans="1:22">
      <c r="A108" s="58">
        <v>107</v>
      </c>
      <c r="B108" s="58">
        <v>107</v>
      </c>
      <c r="C108" s="58" t="s">
        <v>403</v>
      </c>
      <c r="D108" s="58" t="s">
        <v>202</v>
      </c>
      <c r="E108" s="58" t="s">
        <v>202</v>
      </c>
      <c r="F108" s="58" t="s">
        <v>398</v>
      </c>
      <c r="G108" s="58" t="s">
        <v>399</v>
      </c>
      <c r="H108" s="58" t="s">
        <v>179</v>
      </c>
      <c r="I108">
        <v>38000</v>
      </c>
      <c r="J108">
        <v>38000</v>
      </c>
      <c r="K108">
        <v>10000</v>
      </c>
      <c r="L108" s="74">
        <v>5.83</v>
      </c>
      <c r="M108" s="85">
        <v>6</v>
      </c>
      <c r="N108" s="74">
        <v>0.40500000000000003</v>
      </c>
      <c r="O108">
        <v>1</v>
      </c>
      <c r="P108" s="84">
        <v>0.40500000000000003</v>
      </c>
      <c r="Q108" s="86">
        <v>3.45</v>
      </c>
      <c r="R108" s="85">
        <v>3.45</v>
      </c>
      <c r="S108" s="87">
        <v>769410</v>
      </c>
      <c r="T108" s="1">
        <v>4</v>
      </c>
      <c r="U108" s="88">
        <v>223017.39130434781</v>
      </c>
      <c r="V108" s="59">
        <v>4.4839552384294459</v>
      </c>
    </row>
    <row r="109" spans="1:22">
      <c r="A109" s="58">
        <v>108</v>
      </c>
      <c r="B109" s="58">
        <v>108</v>
      </c>
      <c r="C109" s="58" t="s">
        <v>404</v>
      </c>
      <c r="D109" s="58" t="s">
        <v>176</v>
      </c>
      <c r="E109" s="58" t="s">
        <v>176</v>
      </c>
      <c r="F109" s="58" t="s">
        <v>285</v>
      </c>
      <c r="G109" s="58" t="s">
        <v>286</v>
      </c>
      <c r="H109" s="58" t="s">
        <v>179</v>
      </c>
      <c r="I109">
        <v>38000</v>
      </c>
      <c r="J109">
        <v>38000</v>
      </c>
      <c r="K109">
        <v>20000</v>
      </c>
      <c r="L109" s="74">
        <v>4.2859999999999996</v>
      </c>
      <c r="M109" s="85">
        <v>5</v>
      </c>
      <c r="N109" s="74">
        <v>0.503</v>
      </c>
      <c r="O109">
        <v>1</v>
      </c>
      <c r="P109" s="84">
        <v>0.503</v>
      </c>
      <c r="Q109" s="86">
        <v>3.45</v>
      </c>
      <c r="R109" s="85">
        <v>3.45</v>
      </c>
      <c r="S109" s="87">
        <v>699140</v>
      </c>
      <c r="T109" s="1">
        <v>4</v>
      </c>
      <c r="U109" s="88">
        <v>202649.27536231882</v>
      </c>
      <c r="V109" s="59">
        <v>4.9346339788883489</v>
      </c>
    </row>
    <row r="110" spans="1:22">
      <c r="A110" s="58">
        <v>109</v>
      </c>
      <c r="B110" s="58">
        <v>109</v>
      </c>
      <c r="C110" s="58" t="s">
        <v>405</v>
      </c>
      <c r="D110" s="58" t="s">
        <v>215</v>
      </c>
      <c r="E110" s="58" t="s">
        <v>215</v>
      </c>
      <c r="F110" s="58" t="s">
        <v>406</v>
      </c>
      <c r="G110" s="58" t="s">
        <v>407</v>
      </c>
      <c r="H110" s="58" t="s">
        <v>179</v>
      </c>
      <c r="I110">
        <v>38000</v>
      </c>
      <c r="J110" s="58" t="s">
        <v>185</v>
      </c>
      <c r="K110">
        <v>38000</v>
      </c>
      <c r="L110" s="74">
        <v>3.2879999999999998</v>
      </c>
      <c r="M110" s="85">
        <v>4</v>
      </c>
      <c r="N110" s="74">
        <v>0.49099999999999999</v>
      </c>
      <c r="O110">
        <v>1</v>
      </c>
      <c r="P110" s="84">
        <v>0.49099999999999999</v>
      </c>
      <c r="Q110" s="86">
        <v>3.45</v>
      </c>
      <c r="R110" s="85">
        <v>3.45</v>
      </c>
      <c r="S110" s="87">
        <v>628870</v>
      </c>
      <c r="T110" s="1">
        <v>4</v>
      </c>
      <c r="U110" s="88">
        <v>182281.15942028986</v>
      </c>
      <c r="V110" s="59">
        <v>5.4860304991492681</v>
      </c>
    </row>
    <row r="111" spans="1:22">
      <c r="A111" s="58">
        <v>110</v>
      </c>
      <c r="B111" s="58">
        <v>110</v>
      </c>
      <c r="C111" s="58" t="s">
        <v>408</v>
      </c>
      <c r="D111" s="58" t="s">
        <v>215</v>
      </c>
      <c r="E111" s="58" t="s">
        <v>215</v>
      </c>
      <c r="F111" s="58" t="s">
        <v>406</v>
      </c>
      <c r="G111" s="58" t="s">
        <v>407</v>
      </c>
      <c r="H111" s="58" t="s">
        <v>179</v>
      </c>
      <c r="I111">
        <v>38000</v>
      </c>
      <c r="J111" s="58" t="s">
        <v>185</v>
      </c>
      <c r="K111">
        <v>38000</v>
      </c>
      <c r="L111" s="74">
        <v>2.5339999999999998</v>
      </c>
      <c r="M111" s="85">
        <v>3</v>
      </c>
      <c r="N111" s="74">
        <v>0.27700000000000002</v>
      </c>
      <c r="O111">
        <v>1</v>
      </c>
      <c r="P111" s="84">
        <v>0.27700000000000002</v>
      </c>
      <c r="Q111" s="86">
        <v>3.45</v>
      </c>
      <c r="R111" s="85">
        <v>3.45</v>
      </c>
      <c r="S111" s="87">
        <v>558600</v>
      </c>
      <c r="T111" s="1">
        <v>4</v>
      </c>
      <c r="U111" s="88">
        <v>161913.04347826086</v>
      </c>
      <c r="V111" s="59">
        <v>6.176154672395274</v>
      </c>
    </row>
    <row r="112" spans="1:22">
      <c r="A112" s="58">
        <v>111</v>
      </c>
      <c r="B112" s="58">
        <v>111</v>
      </c>
      <c r="C112" s="58" t="s">
        <v>409</v>
      </c>
      <c r="D112" s="58" t="s">
        <v>410</v>
      </c>
      <c r="E112" s="58" t="s">
        <v>410</v>
      </c>
      <c r="F112" s="58" t="s">
        <v>411</v>
      </c>
      <c r="G112" s="58" t="s">
        <v>412</v>
      </c>
      <c r="H112" s="58" t="s">
        <v>179</v>
      </c>
      <c r="I112">
        <v>38000</v>
      </c>
      <c r="J112">
        <v>38000</v>
      </c>
      <c r="K112" s="58" t="s">
        <v>185</v>
      </c>
      <c r="L112" s="74">
        <v>7.3540000000000001</v>
      </c>
      <c r="M112" s="85">
        <v>8</v>
      </c>
      <c r="N112" s="74">
        <v>0.314</v>
      </c>
      <c r="O112">
        <v>1</v>
      </c>
      <c r="P112" s="84">
        <v>0.314</v>
      </c>
      <c r="Q112" s="86">
        <v>3.45</v>
      </c>
      <c r="R112" s="85">
        <v>3.45</v>
      </c>
      <c r="S112" s="87">
        <v>909950</v>
      </c>
      <c r="T112" s="1">
        <v>4</v>
      </c>
      <c r="U112" s="88">
        <v>263753.62318840576</v>
      </c>
      <c r="V112" s="59">
        <v>3.7914171108302654</v>
      </c>
    </row>
    <row r="113" spans="1:22">
      <c r="A113" s="58">
        <v>112</v>
      </c>
      <c r="B113" s="58">
        <v>112</v>
      </c>
      <c r="C113" s="58" t="s">
        <v>413</v>
      </c>
      <c r="D113" s="58" t="s">
        <v>187</v>
      </c>
      <c r="E113" s="58" t="s">
        <v>187</v>
      </c>
      <c r="F113" s="58" t="s">
        <v>368</v>
      </c>
      <c r="G113" s="58" t="s">
        <v>369</v>
      </c>
      <c r="H113" s="58" t="s">
        <v>199</v>
      </c>
      <c r="I113">
        <v>110000</v>
      </c>
      <c r="J113">
        <v>110000</v>
      </c>
      <c r="K113">
        <v>38000</v>
      </c>
      <c r="L113" s="74">
        <v>4.4960000000000004</v>
      </c>
      <c r="M113" s="85">
        <v>5</v>
      </c>
      <c r="N113" s="74">
        <v>0.154</v>
      </c>
      <c r="O113">
        <v>1</v>
      </c>
      <c r="P113" s="84">
        <v>0.154</v>
      </c>
      <c r="Q113" s="86">
        <v>3.45</v>
      </c>
      <c r="R113" s="85">
        <v>3.45</v>
      </c>
      <c r="S113" s="87">
        <v>1679970</v>
      </c>
      <c r="T113" s="1">
        <v>7</v>
      </c>
      <c r="U113" s="88">
        <v>486947.82608695648</v>
      </c>
      <c r="V113" s="59">
        <v>2.0536081001446456</v>
      </c>
    </row>
    <row r="114" spans="1:22">
      <c r="A114" s="58">
        <v>113</v>
      </c>
      <c r="B114" s="58">
        <v>113</v>
      </c>
      <c r="C114" s="58" t="s">
        <v>414</v>
      </c>
      <c r="D114" s="58" t="s">
        <v>187</v>
      </c>
      <c r="E114" s="58" t="s">
        <v>187</v>
      </c>
      <c r="F114" s="58" t="s">
        <v>415</v>
      </c>
      <c r="G114" s="58" t="s">
        <v>416</v>
      </c>
      <c r="H114" s="58" t="s">
        <v>179</v>
      </c>
      <c r="I114">
        <v>38000</v>
      </c>
      <c r="J114">
        <v>38000</v>
      </c>
      <c r="K114" s="58" t="s">
        <v>185</v>
      </c>
      <c r="L114" s="74">
        <v>8.4250000000000007</v>
      </c>
      <c r="M114" s="85">
        <v>9</v>
      </c>
      <c r="N114" s="74">
        <v>0.89400000000000002</v>
      </c>
      <c r="O114">
        <v>1</v>
      </c>
      <c r="P114" s="84">
        <v>0.67049999999999998</v>
      </c>
      <c r="Q114" s="86">
        <v>6.9</v>
      </c>
      <c r="R114" s="85">
        <v>6.9</v>
      </c>
      <c r="S114" s="87">
        <v>1379800</v>
      </c>
      <c r="T114" s="1">
        <v>2</v>
      </c>
      <c r="U114" s="88">
        <v>199971.0144927536</v>
      </c>
      <c r="V114" s="59">
        <v>5.0007247427163355</v>
      </c>
    </row>
    <row r="115" spans="1:22">
      <c r="A115" s="58">
        <v>114</v>
      </c>
      <c r="B115" s="58">
        <v>114</v>
      </c>
      <c r="C115" s="58" t="s">
        <v>417</v>
      </c>
      <c r="D115" s="58" t="s">
        <v>187</v>
      </c>
      <c r="E115" s="58" t="s">
        <v>187</v>
      </c>
      <c r="F115" s="58" t="s">
        <v>418</v>
      </c>
      <c r="G115" s="58" t="s">
        <v>419</v>
      </c>
      <c r="H115" s="58" t="s">
        <v>199</v>
      </c>
      <c r="I115">
        <v>110000</v>
      </c>
      <c r="J115" s="58" t="s">
        <v>185</v>
      </c>
      <c r="K115">
        <v>110000</v>
      </c>
      <c r="L115" s="74">
        <v>3.157</v>
      </c>
      <c r="M115" s="85">
        <v>4</v>
      </c>
      <c r="N115" s="74">
        <v>0.159</v>
      </c>
      <c r="O115">
        <v>1</v>
      </c>
      <c r="P115" s="84">
        <v>0.159</v>
      </c>
      <c r="Q115" s="86">
        <v>3.45</v>
      </c>
      <c r="R115" s="85">
        <v>3.45</v>
      </c>
      <c r="S115" s="87">
        <v>1627270</v>
      </c>
      <c r="T115" s="1">
        <v>7</v>
      </c>
      <c r="U115" s="88">
        <v>471672.46376811591</v>
      </c>
      <c r="V115" s="59">
        <v>2.1201152851094163</v>
      </c>
    </row>
    <row r="116" spans="1:22">
      <c r="A116" s="58">
        <v>115</v>
      </c>
      <c r="B116" s="58">
        <v>115</v>
      </c>
      <c r="C116" s="58" t="s">
        <v>420</v>
      </c>
      <c r="D116" s="58" t="s">
        <v>249</v>
      </c>
      <c r="E116" s="58" t="s">
        <v>351</v>
      </c>
      <c r="F116" s="58" t="s">
        <v>250</v>
      </c>
      <c r="G116" s="58" t="s">
        <v>251</v>
      </c>
      <c r="H116" s="58" t="s">
        <v>199</v>
      </c>
      <c r="I116">
        <v>110000</v>
      </c>
      <c r="L116" s="74">
        <v>10.141</v>
      </c>
      <c r="M116" s="85">
        <v>11</v>
      </c>
      <c r="N116" s="74">
        <v>0.27300000000000002</v>
      </c>
      <c r="O116">
        <v>1</v>
      </c>
      <c r="P116" s="84">
        <v>0.27300000000000002</v>
      </c>
      <c r="Q116" s="86">
        <v>3.45</v>
      </c>
      <c r="R116" s="85">
        <v>3.45</v>
      </c>
      <c r="S116" s="87">
        <v>1996170</v>
      </c>
      <c r="T116" s="1">
        <v>7</v>
      </c>
      <c r="U116" s="88">
        <v>578600</v>
      </c>
      <c r="V116" s="59">
        <v>1.7283097131005876</v>
      </c>
    </row>
    <row r="117" spans="1:22">
      <c r="A117" s="58">
        <v>116</v>
      </c>
      <c r="B117" s="58">
        <v>116</v>
      </c>
      <c r="C117" s="58" t="s">
        <v>421</v>
      </c>
      <c r="D117" s="58" t="s">
        <v>351</v>
      </c>
      <c r="E117" s="58" t="s">
        <v>351</v>
      </c>
      <c r="F117" s="58" t="s">
        <v>422</v>
      </c>
      <c r="G117" s="58" t="s">
        <v>423</v>
      </c>
      <c r="H117" s="58" t="s">
        <v>199</v>
      </c>
      <c r="I117">
        <v>110000</v>
      </c>
      <c r="J117">
        <v>110000</v>
      </c>
      <c r="K117">
        <v>20000</v>
      </c>
      <c r="L117" s="74">
        <v>9.782</v>
      </c>
      <c r="M117" s="85">
        <v>10</v>
      </c>
      <c r="N117" s="74">
        <v>0.13</v>
      </c>
      <c r="O117">
        <v>1</v>
      </c>
      <c r="P117" s="84">
        <v>0.13</v>
      </c>
      <c r="Q117" s="86">
        <v>3.45</v>
      </c>
      <c r="R117" s="85">
        <v>3.45</v>
      </c>
      <c r="S117" s="87">
        <v>1943470</v>
      </c>
      <c r="T117" s="1">
        <v>7</v>
      </c>
      <c r="U117" s="88">
        <v>563324.63768115942</v>
      </c>
      <c r="V117" s="59">
        <v>1.7751753307228824</v>
      </c>
    </row>
    <row r="118" spans="1:22">
      <c r="A118" s="58">
        <v>117</v>
      </c>
      <c r="B118" s="58">
        <v>117</v>
      </c>
      <c r="C118" s="58" t="s">
        <v>424</v>
      </c>
      <c r="D118" s="58" t="s">
        <v>346</v>
      </c>
      <c r="E118" s="58" t="s">
        <v>346</v>
      </c>
      <c r="F118" s="58" t="s">
        <v>425</v>
      </c>
      <c r="G118" s="58" t="s">
        <v>426</v>
      </c>
      <c r="H118" s="58" t="s">
        <v>199</v>
      </c>
      <c r="I118">
        <v>110000</v>
      </c>
      <c r="J118">
        <v>110000</v>
      </c>
      <c r="K118">
        <v>38000</v>
      </c>
      <c r="L118" s="74">
        <v>4.5910000000000002</v>
      </c>
      <c r="M118" s="85">
        <v>5</v>
      </c>
      <c r="N118" s="74">
        <v>0.17499999999999999</v>
      </c>
      <c r="O118">
        <v>1</v>
      </c>
      <c r="P118" s="84">
        <v>0.17499999999999999</v>
      </c>
      <c r="Q118" s="86">
        <v>3.45</v>
      </c>
      <c r="R118" s="85">
        <v>3.45</v>
      </c>
      <c r="S118" s="87">
        <v>1679970</v>
      </c>
      <c r="T118" s="1">
        <v>7</v>
      </c>
      <c r="U118" s="88">
        <v>486947.82608695648</v>
      </c>
      <c r="V118" s="59">
        <v>2.0536081001446456</v>
      </c>
    </row>
    <row r="119" spans="1:22">
      <c r="A119" s="58">
        <v>118</v>
      </c>
      <c r="B119" s="58">
        <v>118</v>
      </c>
      <c r="C119" s="58" t="s">
        <v>427</v>
      </c>
      <c r="D119" s="58" t="s">
        <v>187</v>
      </c>
      <c r="E119" s="58" t="s">
        <v>187</v>
      </c>
      <c r="F119" s="58" t="s">
        <v>418</v>
      </c>
      <c r="G119" s="58" t="s">
        <v>419</v>
      </c>
      <c r="H119" s="58" t="s">
        <v>199</v>
      </c>
      <c r="I119">
        <v>110000</v>
      </c>
      <c r="J119" s="58" t="s">
        <v>185</v>
      </c>
      <c r="K119">
        <v>110000</v>
      </c>
      <c r="L119" s="74">
        <v>3.6429999999999998</v>
      </c>
      <c r="M119" s="85">
        <v>4</v>
      </c>
      <c r="N119" s="74">
        <v>0.246</v>
      </c>
      <c r="O119">
        <v>1</v>
      </c>
      <c r="P119" s="84">
        <v>0.246</v>
      </c>
      <c r="Q119" s="86">
        <v>3.45</v>
      </c>
      <c r="R119" s="85">
        <v>3.45</v>
      </c>
      <c r="S119" s="87">
        <v>1627270</v>
      </c>
      <c r="T119" s="1">
        <v>7</v>
      </c>
      <c r="U119" s="88">
        <v>471672.46376811591</v>
      </c>
      <c r="V119" s="59">
        <v>2.1201152851094163</v>
      </c>
    </row>
    <row r="120" spans="1:22">
      <c r="A120" s="58">
        <v>119</v>
      </c>
      <c r="B120" s="58">
        <v>119</v>
      </c>
      <c r="C120" s="58" t="s">
        <v>428</v>
      </c>
      <c r="D120" s="58" t="s">
        <v>187</v>
      </c>
      <c r="E120" s="58" t="s">
        <v>187</v>
      </c>
      <c r="F120" s="58" t="s">
        <v>429</v>
      </c>
      <c r="G120" s="58" t="s">
        <v>430</v>
      </c>
      <c r="H120" s="58" t="s">
        <v>179</v>
      </c>
      <c r="I120">
        <v>38000</v>
      </c>
      <c r="J120">
        <v>38000</v>
      </c>
      <c r="K120" s="58" t="s">
        <v>185</v>
      </c>
      <c r="L120" s="74">
        <v>6.6669999999999998</v>
      </c>
      <c r="M120" s="85">
        <v>7</v>
      </c>
      <c r="N120" s="74">
        <v>0.21299999999999999</v>
      </c>
      <c r="O120">
        <v>1</v>
      </c>
      <c r="P120" s="84">
        <v>0.21299999999999999</v>
      </c>
      <c r="Q120" s="86">
        <v>3.45</v>
      </c>
      <c r="R120" s="85">
        <v>3.45</v>
      </c>
      <c r="S120" s="87">
        <v>839680</v>
      </c>
      <c r="T120" s="1">
        <v>4</v>
      </c>
      <c r="U120" s="88">
        <v>243385.5072463768</v>
      </c>
      <c r="V120" s="59">
        <v>4.1087080792682924</v>
      </c>
    </row>
    <row r="121" spans="1:22">
      <c r="A121" s="58">
        <v>120</v>
      </c>
      <c r="B121" s="58">
        <v>120</v>
      </c>
      <c r="C121" s="58" t="s">
        <v>431</v>
      </c>
      <c r="D121" s="58" t="s">
        <v>187</v>
      </c>
      <c r="E121" s="58" t="s">
        <v>187</v>
      </c>
      <c r="F121" s="58" t="s">
        <v>432</v>
      </c>
      <c r="G121" s="58" t="s">
        <v>433</v>
      </c>
      <c r="H121" s="58" t="s">
        <v>199</v>
      </c>
      <c r="I121">
        <v>110000</v>
      </c>
      <c r="L121" s="74">
        <v>4.5679999999999996</v>
      </c>
      <c r="M121" s="85">
        <v>5</v>
      </c>
      <c r="N121" s="74">
        <v>1.008</v>
      </c>
      <c r="O121">
        <v>1</v>
      </c>
      <c r="P121" s="84">
        <v>0.75600000000000001</v>
      </c>
      <c r="Q121" s="86">
        <v>6.9</v>
      </c>
      <c r="R121" s="85">
        <v>6.9</v>
      </c>
      <c r="S121" s="87">
        <v>1679970</v>
      </c>
      <c r="T121" s="1">
        <v>7</v>
      </c>
      <c r="U121" s="88">
        <v>243473.91304347824</v>
      </c>
      <c r="V121" s="59">
        <v>4.1072162002892911</v>
      </c>
    </row>
    <row r="122" spans="1:22">
      <c r="A122" s="58">
        <v>121</v>
      </c>
      <c r="B122" s="58">
        <v>121</v>
      </c>
      <c r="C122" s="58" t="s">
        <v>434</v>
      </c>
      <c r="D122" s="58" t="s">
        <v>187</v>
      </c>
      <c r="E122" s="58" t="s">
        <v>187</v>
      </c>
      <c r="F122" s="58" t="s">
        <v>435</v>
      </c>
      <c r="G122" s="58" t="s">
        <v>436</v>
      </c>
      <c r="H122" s="58" t="s">
        <v>199</v>
      </c>
      <c r="I122">
        <v>110000</v>
      </c>
      <c r="J122">
        <v>38000</v>
      </c>
      <c r="K122">
        <v>110000</v>
      </c>
      <c r="L122" s="74">
        <v>8.3970000000000002</v>
      </c>
      <c r="M122" s="85">
        <v>9</v>
      </c>
      <c r="N122" s="74">
        <v>0.14599999999999999</v>
      </c>
      <c r="O122">
        <v>1</v>
      </c>
      <c r="P122" s="84">
        <v>0.14599999999999999</v>
      </c>
      <c r="Q122" s="86">
        <v>3.45</v>
      </c>
      <c r="R122" s="85">
        <v>3.45</v>
      </c>
      <c r="S122" s="87">
        <v>1890770</v>
      </c>
      <c r="T122" s="1">
        <v>7</v>
      </c>
      <c r="U122" s="88">
        <v>548049.27536231885</v>
      </c>
      <c r="V122" s="59">
        <v>1.8246534480661318</v>
      </c>
    </row>
    <row r="123" spans="1:22">
      <c r="A123" s="58">
        <v>122</v>
      </c>
      <c r="B123" s="58">
        <v>122</v>
      </c>
      <c r="C123" s="58" t="s">
        <v>437</v>
      </c>
      <c r="D123" s="58" t="s">
        <v>187</v>
      </c>
      <c r="E123" s="58" t="s">
        <v>187</v>
      </c>
      <c r="F123" s="58" t="s">
        <v>432</v>
      </c>
      <c r="G123" s="58" t="s">
        <v>433</v>
      </c>
      <c r="H123" s="58" t="s">
        <v>199</v>
      </c>
      <c r="I123">
        <v>110000</v>
      </c>
      <c r="L123" s="74">
        <v>9.5220000000000002</v>
      </c>
      <c r="M123" s="85">
        <v>10</v>
      </c>
      <c r="N123" s="74">
        <v>0.47899999999999998</v>
      </c>
      <c r="O123">
        <v>1</v>
      </c>
      <c r="P123" s="84">
        <v>0.47899999999999998</v>
      </c>
      <c r="Q123" s="86">
        <v>3.45</v>
      </c>
      <c r="R123" s="85">
        <v>3.45</v>
      </c>
      <c r="S123" s="87">
        <v>1943470</v>
      </c>
      <c r="T123" s="1">
        <v>7</v>
      </c>
      <c r="U123" s="88">
        <v>563324.63768115942</v>
      </c>
      <c r="V123" s="59">
        <v>1.7751753307228824</v>
      </c>
    </row>
    <row r="124" spans="1:22">
      <c r="A124" s="58">
        <v>123</v>
      </c>
      <c r="B124" s="58">
        <v>123</v>
      </c>
      <c r="C124" s="58" t="s">
        <v>438</v>
      </c>
      <c r="D124" s="58" t="s">
        <v>187</v>
      </c>
      <c r="E124" s="58" t="s">
        <v>187</v>
      </c>
      <c r="F124" s="58" t="s">
        <v>368</v>
      </c>
      <c r="G124" s="58" t="s">
        <v>369</v>
      </c>
      <c r="H124" s="58" t="s">
        <v>199</v>
      </c>
      <c r="I124">
        <v>110000</v>
      </c>
      <c r="J124">
        <v>110000</v>
      </c>
      <c r="K124">
        <v>38000</v>
      </c>
      <c r="L124" s="74">
        <v>7.1059999999999999</v>
      </c>
      <c r="M124" s="85">
        <v>8</v>
      </c>
      <c r="N124" s="74">
        <v>0.52300000000000002</v>
      </c>
      <c r="O124">
        <v>1</v>
      </c>
      <c r="P124" s="84">
        <v>0.52300000000000002</v>
      </c>
      <c r="Q124" s="86">
        <v>3.45</v>
      </c>
      <c r="R124" s="85">
        <v>3.45</v>
      </c>
      <c r="S124" s="87">
        <v>1838070</v>
      </c>
      <c r="T124" s="1">
        <v>7</v>
      </c>
      <c r="U124" s="88">
        <v>532773.91304347827</v>
      </c>
      <c r="V124" s="59">
        <v>1.8769687770324308</v>
      </c>
    </row>
    <row r="125" spans="1:22">
      <c r="A125" s="58">
        <v>124</v>
      </c>
      <c r="B125" s="58">
        <v>124</v>
      </c>
      <c r="C125" s="58" t="s">
        <v>439</v>
      </c>
      <c r="D125" s="58" t="s">
        <v>182</v>
      </c>
      <c r="E125" s="58" t="s">
        <v>182</v>
      </c>
      <c r="F125" s="58" t="s">
        <v>440</v>
      </c>
      <c r="G125" s="58" t="s">
        <v>441</v>
      </c>
      <c r="H125" s="58" t="s">
        <v>199</v>
      </c>
      <c r="I125">
        <v>110000</v>
      </c>
      <c r="L125" s="74">
        <v>9.6669999999999998</v>
      </c>
      <c r="M125" s="85">
        <v>10</v>
      </c>
      <c r="N125" s="74">
        <v>0.187</v>
      </c>
      <c r="O125">
        <v>1</v>
      </c>
      <c r="P125" s="84">
        <v>0.187</v>
      </c>
      <c r="Q125" s="86">
        <v>3.45</v>
      </c>
      <c r="R125" s="85">
        <v>3.45</v>
      </c>
      <c r="S125" s="87">
        <v>1943470</v>
      </c>
      <c r="T125" s="1">
        <v>7</v>
      </c>
      <c r="U125" s="88">
        <v>563324.63768115942</v>
      </c>
      <c r="V125" s="59">
        <v>1.7751753307228824</v>
      </c>
    </row>
    <row r="126" spans="1:22">
      <c r="A126" s="58">
        <v>125</v>
      </c>
      <c r="B126" s="58">
        <v>125</v>
      </c>
      <c r="C126" s="58" t="s">
        <v>442</v>
      </c>
      <c r="D126" s="58" t="s">
        <v>182</v>
      </c>
      <c r="E126" s="58" t="s">
        <v>182</v>
      </c>
      <c r="F126" s="58" t="s">
        <v>443</v>
      </c>
      <c r="G126" s="58" t="s">
        <v>444</v>
      </c>
      <c r="H126" s="58" t="s">
        <v>199</v>
      </c>
      <c r="I126">
        <v>110000</v>
      </c>
      <c r="J126" s="58" t="s">
        <v>185</v>
      </c>
      <c r="K126">
        <v>110000</v>
      </c>
      <c r="L126" s="74">
        <v>6.4740000000000002</v>
      </c>
      <c r="M126" s="85">
        <v>7</v>
      </c>
      <c r="N126" s="74">
        <v>0.621</v>
      </c>
      <c r="O126">
        <v>1</v>
      </c>
      <c r="P126" s="84">
        <v>0.46575</v>
      </c>
      <c r="Q126" s="86">
        <v>3.45</v>
      </c>
      <c r="R126" s="85">
        <v>3.45</v>
      </c>
      <c r="S126" s="87">
        <v>1785370</v>
      </c>
      <c r="T126" s="1">
        <v>7</v>
      </c>
      <c r="U126" s="88">
        <v>517498.55072463764</v>
      </c>
      <c r="V126" s="59">
        <v>1.9323725614298437</v>
      </c>
    </row>
    <row r="127" spans="1:22">
      <c r="A127" s="58">
        <v>126</v>
      </c>
      <c r="B127" s="58">
        <v>126</v>
      </c>
      <c r="C127" s="58" t="s">
        <v>445</v>
      </c>
      <c r="D127" s="58" t="s">
        <v>182</v>
      </c>
      <c r="E127" s="58" t="s">
        <v>182</v>
      </c>
      <c r="F127" s="58" t="s">
        <v>446</v>
      </c>
      <c r="G127" s="58" t="s">
        <v>447</v>
      </c>
      <c r="H127" s="58" t="s">
        <v>199</v>
      </c>
      <c r="I127">
        <v>110000</v>
      </c>
      <c r="J127">
        <v>33000</v>
      </c>
      <c r="K127">
        <v>110000</v>
      </c>
      <c r="L127" s="74">
        <v>6.4790000000000001</v>
      </c>
      <c r="M127" s="85">
        <v>7</v>
      </c>
      <c r="N127" s="74">
        <v>0.66500000000000004</v>
      </c>
      <c r="O127">
        <v>1</v>
      </c>
      <c r="P127" s="84">
        <v>0.49875000000000003</v>
      </c>
      <c r="Q127" s="86">
        <v>3.45</v>
      </c>
      <c r="R127" s="85">
        <v>3.45</v>
      </c>
      <c r="S127" s="87">
        <v>1785370</v>
      </c>
      <c r="T127" s="1">
        <v>7</v>
      </c>
      <c r="U127" s="88">
        <v>517498.55072463764</v>
      </c>
      <c r="V127" s="59">
        <v>1.9323725614298437</v>
      </c>
    </row>
    <row r="128" spans="1:22">
      <c r="A128" s="58">
        <v>127</v>
      </c>
      <c r="B128" s="58">
        <v>127</v>
      </c>
      <c r="C128" s="58" t="s">
        <v>448</v>
      </c>
      <c r="D128" s="58" t="s">
        <v>182</v>
      </c>
      <c r="E128" s="58" t="s">
        <v>182</v>
      </c>
      <c r="F128" s="58" t="s">
        <v>440</v>
      </c>
      <c r="G128" s="58" t="s">
        <v>441</v>
      </c>
      <c r="H128" s="58" t="s">
        <v>199</v>
      </c>
      <c r="I128">
        <v>110000</v>
      </c>
      <c r="L128" s="74">
        <v>6.76</v>
      </c>
      <c r="M128" s="85">
        <v>7</v>
      </c>
      <c r="N128" s="74">
        <v>0.109</v>
      </c>
      <c r="O128">
        <v>1</v>
      </c>
      <c r="P128" s="84">
        <v>0.109</v>
      </c>
      <c r="Q128" s="86">
        <v>3.45</v>
      </c>
      <c r="R128" s="85">
        <v>3.45</v>
      </c>
      <c r="S128" s="87">
        <v>1785370</v>
      </c>
      <c r="T128" s="1">
        <v>7</v>
      </c>
      <c r="U128" s="88">
        <v>517498.55072463764</v>
      </c>
      <c r="V128" s="59">
        <v>1.9323725614298437</v>
      </c>
    </row>
    <row r="129" spans="1:22">
      <c r="A129" s="58">
        <v>128</v>
      </c>
      <c r="B129" s="58">
        <v>128</v>
      </c>
      <c r="C129" s="58" t="s">
        <v>449</v>
      </c>
      <c r="D129" s="58" t="s">
        <v>450</v>
      </c>
      <c r="E129" s="58" t="s">
        <v>410</v>
      </c>
      <c r="F129" s="58" t="s">
        <v>451</v>
      </c>
      <c r="G129" s="58" t="s">
        <v>452</v>
      </c>
      <c r="H129" s="58" t="s">
        <v>179</v>
      </c>
      <c r="I129">
        <v>38000</v>
      </c>
      <c r="J129">
        <v>38000</v>
      </c>
      <c r="K129" s="58" t="s">
        <v>185</v>
      </c>
      <c r="L129" s="74">
        <v>7.7539999999999996</v>
      </c>
      <c r="M129" s="85">
        <v>8</v>
      </c>
      <c r="N129" s="74">
        <v>0.315</v>
      </c>
      <c r="O129">
        <v>1</v>
      </c>
      <c r="P129" s="84">
        <v>0.315</v>
      </c>
      <c r="Q129" s="86">
        <v>3.45</v>
      </c>
      <c r="R129" s="85">
        <v>3.45</v>
      </c>
      <c r="S129" s="87">
        <v>909950</v>
      </c>
      <c r="T129" s="1">
        <v>4</v>
      </c>
      <c r="U129" s="88">
        <v>263753.62318840576</v>
      </c>
      <c r="V129" s="59">
        <v>3.7914171108302654</v>
      </c>
    </row>
    <row r="130" spans="1:22">
      <c r="A130" s="58">
        <v>129</v>
      </c>
      <c r="B130" s="58">
        <v>129</v>
      </c>
      <c r="C130" s="58" t="s">
        <v>453</v>
      </c>
      <c r="D130" s="58" t="s">
        <v>450</v>
      </c>
      <c r="E130" s="58" t="s">
        <v>450</v>
      </c>
      <c r="F130" s="58" t="s">
        <v>454</v>
      </c>
      <c r="G130" s="58" t="s">
        <v>455</v>
      </c>
      <c r="H130" s="58" t="s">
        <v>179</v>
      </c>
      <c r="I130">
        <v>38000</v>
      </c>
      <c r="J130">
        <v>38000</v>
      </c>
      <c r="K130">
        <v>10000</v>
      </c>
      <c r="L130" s="74">
        <v>4.24</v>
      </c>
      <c r="M130" s="85">
        <v>5</v>
      </c>
      <c r="N130" s="74">
        <v>0.56299999999999994</v>
      </c>
      <c r="O130">
        <v>1</v>
      </c>
      <c r="P130" s="84">
        <v>0.56299999999999994</v>
      </c>
      <c r="Q130" s="86">
        <v>3.45</v>
      </c>
      <c r="R130" s="85">
        <v>3.45</v>
      </c>
      <c r="S130" s="87">
        <v>699140</v>
      </c>
      <c r="T130" s="1">
        <v>4</v>
      </c>
      <c r="U130" s="88">
        <v>202649.27536231882</v>
      </c>
      <c r="V130" s="59">
        <v>4.9346339788883489</v>
      </c>
    </row>
    <row r="131" spans="1:22">
      <c r="A131" s="58">
        <v>130</v>
      </c>
      <c r="B131" s="58">
        <v>130</v>
      </c>
      <c r="C131" s="58" t="s">
        <v>456</v>
      </c>
      <c r="D131" s="58" t="s">
        <v>450</v>
      </c>
      <c r="E131" s="58" t="s">
        <v>450</v>
      </c>
      <c r="F131" s="58" t="s">
        <v>457</v>
      </c>
      <c r="G131" s="58" t="s">
        <v>458</v>
      </c>
      <c r="H131" s="58" t="s">
        <v>199</v>
      </c>
      <c r="I131">
        <v>110000</v>
      </c>
      <c r="J131">
        <v>110000</v>
      </c>
      <c r="K131">
        <v>38000</v>
      </c>
      <c r="L131" s="74">
        <v>9.3460000000000001</v>
      </c>
      <c r="M131" s="85">
        <v>10</v>
      </c>
      <c r="N131" s="74">
        <v>0.182</v>
      </c>
      <c r="O131">
        <v>1</v>
      </c>
      <c r="P131" s="84">
        <v>0.182</v>
      </c>
      <c r="Q131" s="86">
        <v>3.45</v>
      </c>
      <c r="R131" s="85">
        <v>3.45</v>
      </c>
      <c r="S131" s="87">
        <v>1943470</v>
      </c>
      <c r="T131" s="1">
        <v>7</v>
      </c>
      <c r="U131" s="88">
        <v>563324.63768115942</v>
      </c>
      <c r="V131" s="59">
        <v>1.7751753307228824</v>
      </c>
    </row>
    <row r="132" spans="1:22">
      <c r="A132" s="58">
        <v>131</v>
      </c>
      <c r="B132" s="58">
        <v>131</v>
      </c>
      <c r="C132" s="58" t="s">
        <v>459</v>
      </c>
      <c r="D132" s="58" t="s">
        <v>410</v>
      </c>
      <c r="E132" s="58" t="s">
        <v>410</v>
      </c>
      <c r="F132" s="58" t="s">
        <v>460</v>
      </c>
      <c r="G132" s="58" t="s">
        <v>461</v>
      </c>
      <c r="H132" s="58" t="s">
        <v>179</v>
      </c>
      <c r="I132">
        <v>38000</v>
      </c>
      <c r="J132">
        <v>38000</v>
      </c>
      <c r="K132" s="58" t="s">
        <v>185</v>
      </c>
      <c r="L132" s="74">
        <v>10.74</v>
      </c>
      <c r="M132" s="85">
        <v>11</v>
      </c>
      <c r="N132" s="74">
        <v>0.16400000000000001</v>
      </c>
      <c r="O132">
        <v>1</v>
      </c>
      <c r="P132" s="84">
        <v>0.16400000000000001</v>
      </c>
      <c r="Q132" s="86">
        <v>3.45</v>
      </c>
      <c r="R132" s="85">
        <v>3.45</v>
      </c>
      <c r="S132" s="87">
        <v>1439840</v>
      </c>
      <c r="T132" s="1">
        <v>1</v>
      </c>
      <c r="U132" s="88">
        <v>417344.92753623187</v>
      </c>
      <c r="V132" s="59">
        <v>2.396099566618513</v>
      </c>
    </row>
    <row r="133" spans="1:22">
      <c r="A133" s="58">
        <v>132</v>
      </c>
      <c r="B133" s="58">
        <v>132</v>
      </c>
      <c r="C133" s="58" t="s">
        <v>462</v>
      </c>
      <c r="D133" s="58" t="s">
        <v>410</v>
      </c>
      <c r="E133" s="58" t="s">
        <v>410</v>
      </c>
      <c r="F133" s="58" t="s">
        <v>463</v>
      </c>
      <c r="G133" s="58" t="s">
        <v>464</v>
      </c>
      <c r="H133" s="58" t="s">
        <v>179</v>
      </c>
      <c r="I133">
        <v>38000</v>
      </c>
      <c r="J133">
        <v>38000</v>
      </c>
      <c r="K133">
        <v>10000</v>
      </c>
      <c r="L133" s="74">
        <v>9.1809999999999992</v>
      </c>
      <c r="M133" s="85">
        <v>10</v>
      </c>
      <c r="N133" s="74">
        <v>0.10100000000000001</v>
      </c>
      <c r="O133">
        <v>1</v>
      </c>
      <c r="P133" s="84">
        <v>0.10100000000000001</v>
      </c>
      <c r="Q133" s="86">
        <v>3.45</v>
      </c>
      <c r="R133" s="85">
        <v>3.45</v>
      </c>
      <c r="S133" s="87">
        <v>1387140</v>
      </c>
      <c r="T133" s="1">
        <v>1</v>
      </c>
      <c r="U133" s="88">
        <v>402069.5652173913</v>
      </c>
      <c r="V133" s="59">
        <v>2.487131796357974</v>
      </c>
    </row>
    <row r="134" spans="1:22">
      <c r="A134" s="58">
        <v>133</v>
      </c>
      <c r="B134" s="58">
        <v>133</v>
      </c>
      <c r="C134" s="58" t="s">
        <v>465</v>
      </c>
      <c r="D134" s="58" t="s">
        <v>410</v>
      </c>
      <c r="E134" s="58" t="s">
        <v>410</v>
      </c>
      <c r="F134" s="58" t="s">
        <v>466</v>
      </c>
      <c r="G134" s="58" t="s">
        <v>467</v>
      </c>
      <c r="H134" s="58" t="s">
        <v>179</v>
      </c>
      <c r="I134">
        <v>38000</v>
      </c>
      <c r="J134">
        <v>38000</v>
      </c>
      <c r="K134" s="58" t="s">
        <v>185</v>
      </c>
      <c r="L134" s="74">
        <v>8.7959999999999994</v>
      </c>
      <c r="M134" s="85">
        <v>9</v>
      </c>
      <c r="N134" s="74">
        <v>0.223</v>
      </c>
      <c r="O134">
        <v>1</v>
      </c>
      <c r="P134" s="84">
        <v>0.223</v>
      </c>
      <c r="Q134" s="86">
        <v>3.45</v>
      </c>
      <c r="R134" s="85">
        <v>3.45</v>
      </c>
      <c r="S134" s="87">
        <v>1334440</v>
      </c>
      <c r="T134" s="1">
        <v>1</v>
      </c>
      <c r="U134" s="88">
        <v>386794.20289855072</v>
      </c>
      <c r="V134" s="59">
        <v>2.585354156050478</v>
      </c>
    </row>
    <row r="135" spans="1:22">
      <c r="A135" s="58">
        <v>134</v>
      </c>
      <c r="B135" s="58">
        <v>134</v>
      </c>
      <c r="C135" s="58" t="s">
        <v>468</v>
      </c>
      <c r="D135" s="58" t="s">
        <v>380</v>
      </c>
      <c r="E135" s="58" t="s">
        <v>384</v>
      </c>
      <c r="F135" s="58" t="s">
        <v>469</v>
      </c>
      <c r="G135" s="58" t="s">
        <v>470</v>
      </c>
      <c r="H135" s="58" t="s">
        <v>179</v>
      </c>
      <c r="I135">
        <v>38000</v>
      </c>
      <c r="J135">
        <v>38000</v>
      </c>
      <c r="K135" s="58" t="s">
        <v>185</v>
      </c>
      <c r="L135" s="74">
        <v>9.3780000000000001</v>
      </c>
      <c r="M135" s="85">
        <v>10</v>
      </c>
      <c r="N135" s="74">
        <v>0.53700000000000003</v>
      </c>
      <c r="O135">
        <v>1</v>
      </c>
      <c r="P135" s="84">
        <v>0.53700000000000003</v>
      </c>
      <c r="Q135" s="86">
        <v>3.45</v>
      </c>
      <c r="R135" s="85">
        <v>3.45</v>
      </c>
      <c r="S135" s="87">
        <v>1387140</v>
      </c>
      <c r="T135" s="1">
        <v>1</v>
      </c>
      <c r="U135" s="88">
        <v>402069.5652173913</v>
      </c>
      <c r="V135" s="59">
        <v>2.487131796357974</v>
      </c>
    </row>
    <row r="136" spans="1:22">
      <c r="A136" s="58">
        <v>135</v>
      </c>
      <c r="B136" s="58">
        <v>135</v>
      </c>
      <c r="C136" s="58" t="s">
        <v>471</v>
      </c>
      <c r="D136" s="58" t="s">
        <v>197</v>
      </c>
      <c r="E136" s="58" t="s">
        <v>197</v>
      </c>
      <c r="F136" s="58" t="s">
        <v>299</v>
      </c>
      <c r="G136" s="58" t="s">
        <v>300</v>
      </c>
      <c r="H136" s="58" t="s">
        <v>179</v>
      </c>
      <c r="I136">
        <v>38000</v>
      </c>
      <c r="J136">
        <v>38000</v>
      </c>
      <c r="K136" s="58" t="s">
        <v>185</v>
      </c>
      <c r="L136" s="74">
        <v>15.92</v>
      </c>
      <c r="M136" s="85">
        <v>16</v>
      </c>
      <c r="N136" s="74">
        <v>0.55200000000000005</v>
      </c>
      <c r="O136">
        <v>1</v>
      </c>
      <c r="P136" s="84">
        <v>0.55200000000000005</v>
      </c>
      <c r="Q136" s="86">
        <v>3.45</v>
      </c>
      <c r="R136" s="85">
        <v>3.45</v>
      </c>
      <c r="S136" s="87">
        <v>1703340</v>
      </c>
      <c r="T136" s="1">
        <v>1</v>
      </c>
      <c r="U136" s="88">
        <v>493721.73913043475</v>
      </c>
      <c r="V136" s="59">
        <v>2.0254323857832257</v>
      </c>
    </row>
    <row r="137" spans="1:22">
      <c r="A137" s="58">
        <v>136</v>
      </c>
      <c r="B137" s="58">
        <v>136</v>
      </c>
      <c r="C137" s="58" t="s">
        <v>472</v>
      </c>
      <c r="D137" s="58" t="s">
        <v>215</v>
      </c>
      <c r="E137" s="58" t="s">
        <v>215</v>
      </c>
      <c r="F137" s="58" t="s">
        <v>225</v>
      </c>
      <c r="G137" s="58" t="s">
        <v>226</v>
      </c>
      <c r="H137" s="58" t="s">
        <v>179</v>
      </c>
      <c r="I137">
        <v>38000</v>
      </c>
      <c r="J137">
        <v>38000</v>
      </c>
      <c r="K137">
        <v>20000</v>
      </c>
      <c r="L137" s="74">
        <v>7.7270000000000003</v>
      </c>
      <c r="M137" s="85">
        <v>8</v>
      </c>
      <c r="N137" s="74">
        <v>0.29799999999999999</v>
      </c>
      <c r="O137">
        <v>1</v>
      </c>
      <c r="P137" s="84">
        <v>0.29799999999999999</v>
      </c>
      <c r="Q137" s="86">
        <v>3.45</v>
      </c>
      <c r="R137" s="85">
        <v>3.45</v>
      </c>
      <c r="S137" s="87">
        <v>909950</v>
      </c>
      <c r="T137" s="1">
        <v>4</v>
      </c>
      <c r="U137" s="88">
        <v>263753.62318840576</v>
      </c>
      <c r="V137" s="59">
        <v>3.7914171108302654</v>
      </c>
    </row>
    <row r="138" spans="1:22">
      <c r="A138" s="58">
        <v>137</v>
      </c>
      <c r="B138" s="58">
        <v>137</v>
      </c>
      <c r="C138" s="58" t="s">
        <v>473</v>
      </c>
      <c r="D138" s="58" t="s">
        <v>215</v>
      </c>
      <c r="E138" s="58" t="s">
        <v>215</v>
      </c>
      <c r="F138" s="58" t="s">
        <v>225</v>
      </c>
      <c r="G138" s="58" t="s">
        <v>226</v>
      </c>
      <c r="H138" s="58" t="s">
        <v>179</v>
      </c>
      <c r="I138">
        <v>38000</v>
      </c>
      <c r="J138">
        <v>38000</v>
      </c>
      <c r="K138">
        <v>20000</v>
      </c>
      <c r="L138" s="74">
        <v>4.6529999999999996</v>
      </c>
      <c r="M138" s="85">
        <v>5</v>
      </c>
      <c r="N138" s="74">
        <v>0.51800000000000002</v>
      </c>
      <c r="O138">
        <v>1</v>
      </c>
      <c r="P138" s="84">
        <v>0.51800000000000002</v>
      </c>
      <c r="Q138" s="86">
        <v>3.45</v>
      </c>
      <c r="R138" s="85">
        <v>3.45</v>
      </c>
      <c r="S138" s="87">
        <v>699140</v>
      </c>
      <c r="T138" s="1">
        <v>4</v>
      </c>
      <c r="U138" s="88">
        <v>202649.27536231882</v>
      </c>
      <c r="V138" s="59">
        <v>4.9346339788883489</v>
      </c>
    </row>
    <row r="139" spans="1:22">
      <c r="A139" s="58">
        <v>138</v>
      </c>
      <c r="B139" s="58">
        <v>138</v>
      </c>
      <c r="C139" s="58" t="s">
        <v>474</v>
      </c>
      <c r="D139" s="58" t="s">
        <v>215</v>
      </c>
      <c r="E139" s="58" t="s">
        <v>215</v>
      </c>
      <c r="F139" s="58" t="s">
        <v>225</v>
      </c>
      <c r="G139" s="58" t="s">
        <v>226</v>
      </c>
      <c r="H139" s="58" t="s">
        <v>179</v>
      </c>
      <c r="I139">
        <v>38000</v>
      </c>
      <c r="J139">
        <v>38000</v>
      </c>
      <c r="K139">
        <v>20000</v>
      </c>
      <c r="L139" s="74">
        <v>10.195</v>
      </c>
      <c r="M139" s="85">
        <v>11</v>
      </c>
      <c r="N139" s="74">
        <v>0.188</v>
      </c>
      <c r="O139">
        <v>1</v>
      </c>
      <c r="P139" s="84">
        <v>0.188</v>
      </c>
      <c r="Q139" s="86">
        <v>3.45</v>
      </c>
      <c r="R139" s="85">
        <v>3.45</v>
      </c>
      <c r="S139" s="87">
        <v>1439840</v>
      </c>
      <c r="T139" s="1">
        <v>1</v>
      </c>
      <c r="U139" s="88">
        <v>417344.92753623187</v>
      </c>
      <c r="V139" s="59">
        <v>2.396099566618513</v>
      </c>
    </row>
    <row r="140" spans="1:22">
      <c r="A140" s="58">
        <v>139</v>
      </c>
      <c r="B140" s="58">
        <v>139</v>
      </c>
      <c r="C140" s="58" t="s">
        <v>475</v>
      </c>
      <c r="D140" s="58" t="s">
        <v>384</v>
      </c>
      <c r="E140" s="58" t="s">
        <v>384</v>
      </c>
      <c r="F140" s="58" t="s">
        <v>476</v>
      </c>
      <c r="G140" s="58" t="s">
        <v>477</v>
      </c>
      <c r="H140" s="58" t="s">
        <v>179</v>
      </c>
      <c r="I140">
        <v>38000</v>
      </c>
      <c r="J140">
        <v>20000</v>
      </c>
      <c r="K140">
        <v>38000</v>
      </c>
      <c r="L140" s="74">
        <v>6.9320000000000004</v>
      </c>
      <c r="M140" s="85">
        <v>7</v>
      </c>
      <c r="N140" s="74">
        <v>0.16500000000000001</v>
      </c>
      <c r="O140">
        <v>1</v>
      </c>
      <c r="P140" s="84">
        <v>0.16500000000000001</v>
      </c>
      <c r="Q140" s="86">
        <v>3.45</v>
      </c>
      <c r="R140" s="85">
        <v>3.45</v>
      </c>
      <c r="S140" s="87">
        <v>839680</v>
      </c>
      <c r="T140" s="1">
        <v>4</v>
      </c>
      <c r="U140" s="88">
        <v>243385.5072463768</v>
      </c>
      <c r="V140" s="59">
        <v>4.1087080792682924</v>
      </c>
    </row>
    <row r="141" spans="1:22">
      <c r="A141" s="58">
        <v>140</v>
      </c>
      <c r="B141" s="58">
        <v>140</v>
      </c>
      <c r="C141" s="58" t="s">
        <v>478</v>
      </c>
      <c r="D141" s="58" t="s">
        <v>215</v>
      </c>
      <c r="E141" s="58" t="s">
        <v>215</v>
      </c>
      <c r="F141" s="58" t="s">
        <v>479</v>
      </c>
      <c r="G141" s="58" t="s">
        <v>480</v>
      </c>
      <c r="H141" s="58" t="s">
        <v>179</v>
      </c>
      <c r="I141">
        <v>38000</v>
      </c>
      <c r="J141">
        <v>38000</v>
      </c>
      <c r="K141" s="58" t="s">
        <v>185</v>
      </c>
      <c r="L141" s="74">
        <v>19.408000000000001</v>
      </c>
      <c r="M141" s="85">
        <v>20</v>
      </c>
      <c r="N141" s="74">
        <v>0.436</v>
      </c>
      <c r="O141">
        <v>1</v>
      </c>
      <c r="P141" s="84">
        <v>0.436</v>
      </c>
      <c r="Q141" s="86">
        <v>3.45</v>
      </c>
      <c r="R141" s="85">
        <v>3.45</v>
      </c>
      <c r="S141" s="87">
        <v>1914140</v>
      </c>
      <c r="T141" s="1">
        <v>1</v>
      </c>
      <c r="U141" s="88">
        <v>554823.18840579712</v>
      </c>
      <c r="V141" s="59">
        <v>1.8023760017553574</v>
      </c>
    </row>
    <row r="142" spans="1:22">
      <c r="A142" s="58">
        <v>141</v>
      </c>
      <c r="B142" s="58">
        <v>141</v>
      </c>
      <c r="C142" s="58" t="s">
        <v>481</v>
      </c>
      <c r="D142" s="58" t="s">
        <v>215</v>
      </c>
      <c r="E142" s="58" t="s">
        <v>215</v>
      </c>
      <c r="F142" s="58" t="s">
        <v>406</v>
      </c>
      <c r="G142" s="58" t="s">
        <v>407</v>
      </c>
      <c r="H142" s="58" t="s">
        <v>179</v>
      </c>
      <c r="I142">
        <v>38000</v>
      </c>
      <c r="J142" s="58" t="s">
        <v>185</v>
      </c>
      <c r="K142">
        <v>38000</v>
      </c>
      <c r="L142" s="74">
        <v>7.1950000000000003</v>
      </c>
      <c r="M142" s="85">
        <v>8</v>
      </c>
      <c r="N142" s="74">
        <v>0.55900000000000005</v>
      </c>
      <c r="O142">
        <v>1</v>
      </c>
      <c r="P142" s="84">
        <v>0.55900000000000005</v>
      </c>
      <c r="Q142" s="86">
        <v>3.45</v>
      </c>
      <c r="R142" s="85">
        <v>3.45</v>
      </c>
      <c r="S142" s="87">
        <v>909950</v>
      </c>
      <c r="T142" s="1">
        <v>4</v>
      </c>
      <c r="U142" s="88">
        <v>263753.62318840576</v>
      </c>
      <c r="V142" s="59">
        <v>3.7914171108302654</v>
      </c>
    </row>
    <row r="143" spans="1:22">
      <c r="A143" s="58">
        <v>142</v>
      </c>
      <c r="B143" s="58">
        <v>142</v>
      </c>
      <c r="C143" s="58" t="s">
        <v>482</v>
      </c>
      <c r="D143" s="58" t="s">
        <v>215</v>
      </c>
      <c r="E143" s="58" t="s">
        <v>215</v>
      </c>
      <c r="F143" s="58" t="s">
        <v>483</v>
      </c>
      <c r="G143" s="58" t="s">
        <v>484</v>
      </c>
      <c r="H143" s="58" t="s">
        <v>179</v>
      </c>
      <c r="I143">
        <v>38000</v>
      </c>
      <c r="L143" s="74">
        <v>4.4649999999999999</v>
      </c>
      <c r="M143" s="85">
        <v>5</v>
      </c>
      <c r="N143" s="74">
        <v>0.223</v>
      </c>
      <c r="O143">
        <v>1</v>
      </c>
      <c r="P143" s="84">
        <v>0.223</v>
      </c>
      <c r="Q143" s="86">
        <v>3.45</v>
      </c>
      <c r="R143" s="85">
        <v>3.45</v>
      </c>
      <c r="S143" s="87">
        <v>699140</v>
      </c>
      <c r="T143" s="1">
        <v>4</v>
      </c>
      <c r="U143" s="88">
        <v>202649.27536231882</v>
      </c>
      <c r="V143" s="59">
        <v>4.9346339788883489</v>
      </c>
    </row>
    <row r="144" spans="1:22">
      <c r="A144" s="58">
        <v>143</v>
      </c>
      <c r="B144" s="58">
        <v>143</v>
      </c>
      <c r="C144" s="58" t="s">
        <v>485</v>
      </c>
      <c r="D144" s="58" t="s">
        <v>197</v>
      </c>
      <c r="E144" s="58" t="s">
        <v>197</v>
      </c>
      <c r="F144" s="58" t="s">
        <v>486</v>
      </c>
      <c r="G144" s="58" t="s">
        <v>487</v>
      </c>
      <c r="H144" s="58" t="s">
        <v>179</v>
      </c>
      <c r="I144">
        <v>38000</v>
      </c>
      <c r="J144">
        <v>38000</v>
      </c>
      <c r="K144" s="58" t="s">
        <v>185</v>
      </c>
      <c r="L144" s="74">
        <v>15.07</v>
      </c>
      <c r="M144" s="85">
        <v>16</v>
      </c>
      <c r="N144" s="74">
        <v>0.36699999999999999</v>
      </c>
      <c r="O144">
        <v>1</v>
      </c>
      <c r="P144" s="84">
        <v>0.36699999999999999</v>
      </c>
      <c r="Q144" s="86">
        <v>3.45</v>
      </c>
      <c r="R144" s="85">
        <v>3.45</v>
      </c>
      <c r="S144" s="87">
        <v>1703340</v>
      </c>
      <c r="T144" s="1">
        <v>1</v>
      </c>
      <c r="U144" s="88">
        <v>493721.73913043475</v>
      </c>
      <c r="V144" s="59">
        <v>2.0254323857832257</v>
      </c>
    </row>
    <row r="145" spans="1:22">
      <c r="A145" s="58">
        <v>144</v>
      </c>
      <c r="B145" s="58">
        <v>144</v>
      </c>
      <c r="C145" s="58" t="s">
        <v>488</v>
      </c>
      <c r="D145" s="58" t="s">
        <v>489</v>
      </c>
      <c r="E145" s="58" t="s">
        <v>489</v>
      </c>
      <c r="F145" s="58" t="s">
        <v>469</v>
      </c>
      <c r="G145" s="58" t="s">
        <v>470</v>
      </c>
      <c r="H145" s="58" t="s">
        <v>179</v>
      </c>
      <c r="I145">
        <v>38000</v>
      </c>
      <c r="J145">
        <v>38000</v>
      </c>
      <c r="K145" s="58" t="s">
        <v>185</v>
      </c>
      <c r="L145" s="74">
        <v>3.2789999999999999</v>
      </c>
      <c r="M145" s="85">
        <v>4</v>
      </c>
      <c r="N145" s="74">
        <v>0.60599999999999998</v>
      </c>
      <c r="O145">
        <v>1</v>
      </c>
      <c r="P145" s="84">
        <v>0.45450000000000002</v>
      </c>
      <c r="Q145" s="86">
        <v>3.45</v>
      </c>
      <c r="R145" s="85">
        <v>3.45</v>
      </c>
      <c r="S145" s="87">
        <v>628870</v>
      </c>
      <c r="T145" s="1">
        <v>4</v>
      </c>
      <c r="U145" s="88">
        <v>182281.15942028986</v>
      </c>
      <c r="V145" s="59">
        <v>5.4860304991492681</v>
      </c>
    </row>
    <row r="146" spans="1:22">
      <c r="A146" s="58">
        <v>145</v>
      </c>
      <c r="B146" s="58">
        <v>145</v>
      </c>
      <c r="C146" s="58" t="s">
        <v>490</v>
      </c>
      <c r="D146" s="58" t="s">
        <v>207</v>
      </c>
      <c r="E146" s="58" t="s">
        <v>207</v>
      </c>
      <c r="F146" s="58" t="s">
        <v>491</v>
      </c>
      <c r="G146" s="58" t="s">
        <v>492</v>
      </c>
      <c r="H146" s="58" t="s">
        <v>179</v>
      </c>
      <c r="I146">
        <v>38000</v>
      </c>
      <c r="J146">
        <v>38000</v>
      </c>
      <c r="K146" s="58" t="s">
        <v>185</v>
      </c>
      <c r="L146" s="74">
        <v>4.399</v>
      </c>
      <c r="M146" s="85">
        <v>5</v>
      </c>
      <c r="N146" s="74">
        <v>0.22700000000000001</v>
      </c>
      <c r="O146">
        <v>1</v>
      </c>
      <c r="P146" s="84">
        <v>0.22700000000000001</v>
      </c>
      <c r="Q146" s="86">
        <v>3.45</v>
      </c>
      <c r="R146" s="85">
        <v>3.45</v>
      </c>
      <c r="S146" s="87">
        <v>699140</v>
      </c>
      <c r="T146" s="1">
        <v>4</v>
      </c>
      <c r="U146" s="88">
        <v>202649.27536231882</v>
      </c>
      <c r="V146" s="59">
        <v>4.9346339788883489</v>
      </c>
    </row>
    <row r="147" spans="1:22">
      <c r="A147" s="58">
        <v>146</v>
      </c>
      <c r="B147" s="58">
        <v>146</v>
      </c>
      <c r="C147" s="58" t="s">
        <v>493</v>
      </c>
      <c r="D147" s="58" t="s">
        <v>197</v>
      </c>
      <c r="E147" s="58" t="s">
        <v>197</v>
      </c>
      <c r="F147" s="58" t="s">
        <v>494</v>
      </c>
      <c r="G147" s="58" t="s">
        <v>495</v>
      </c>
      <c r="H147" s="58" t="s">
        <v>179</v>
      </c>
      <c r="I147">
        <v>38000</v>
      </c>
      <c r="J147">
        <v>38000</v>
      </c>
      <c r="K147">
        <v>10000</v>
      </c>
      <c r="L147" s="74">
        <v>9.2629999999999999</v>
      </c>
      <c r="M147" s="85">
        <v>10</v>
      </c>
      <c r="N147" s="74">
        <v>0.44900000000000001</v>
      </c>
      <c r="O147">
        <v>1</v>
      </c>
      <c r="P147" s="84">
        <v>0.44900000000000001</v>
      </c>
      <c r="Q147" s="86">
        <v>3.45</v>
      </c>
      <c r="R147" s="85">
        <v>3.45</v>
      </c>
      <c r="S147" s="87">
        <v>1387140</v>
      </c>
      <c r="T147" s="1">
        <v>1</v>
      </c>
      <c r="U147" s="88">
        <v>402069.5652173913</v>
      </c>
      <c r="V147" s="59">
        <v>2.487131796357974</v>
      </c>
    </row>
    <row r="148" spans="1:22">
      <c r="A148" s="58">
        <v>147</v>
      </c>
      <c r="B148" s="58">
        <v>147</v>
      </c>
      <c r="C148" s="58" t="s">
        <v>496</v>
      </c>
      <c r="D148" s="58" t="s">
        <v>207</v>
      </c>
      <c r="E148" s="58" t="s">
        <v>207</v>
      </c>
      <c r="F148" s="58" t="s">
        <v>393</v>
      </c>
      <c r="G148" s="58" t="s">
        <v>394</v>
      </c>
      <c r="H148" s="58" t="s">
        <v>179</v>
      </c>
      <c r="I148">
        <v>38000</v>
      </c>
      <c r="J148">
        <v>38000</v>
      </c>
      <c r="K148" s="58" t="s">
        <v>185</v>
      </c>
      <c r="L148" s="74">
        <v>5.032</v>
      </c>
      <c r="M148" s="85">
        <v>6</v>
      </c>
      <c r="N148" s="74">
        <v>0.247</v>
      </c>
      <c r="O148">
        <v>1</v>
      </c>
      <c r="P148" s="84">
        <v>0.247</v>
      </c>
      <c r="Q148" s="86">
        <v>3.45</v>
      </c>
      <c r="R148" s="85">
        <v>3.45</v>
      </c>
      <c r="S148" s="87">
        <v>769410</v>
      </c>
      <c r="T148" s="1">
        <v>4</v>
      </c>
      <c r="U148" s="88">
        <v>223017.39130434781</v>
      </c>
      <c r="V148" s="59">
        <v>4.4839552384294459</v>
      </c>
    </row>
    <row r="149" spans="1:22">
      <c r="A149" s="58">
        <v>148</v>
      </c>
      <c r="B149" s="58">
        <v>148</v>
      </c>
      <c r="C149" s="58" t="s">
        <v>497</v>
      </c>
      <c r="D149" s="58" t="s">
        <v>215</v>
      </c>
      <c r="E149" s="58" t="s">
        <v>215</v>
      </c>
      <c r="F149" s="58" t="s">
        <v>498</v>
      </c>
      <c r="G149" s="58" t="s">
        <v>499</v>
      </c>
      <c r="H149" s="58" t="s">
        <v>179</v>
      </c>
      <c r="I149">
        <v>38000</v>
      </c>
      <c r="J149" s="58" t="s">
        <v>185</v>
      </c>
      <c r="K149">
        <v>38000</v>
      </c>
      <c r="L149" s="74">
        <v>6.5439999999999996</v>
      </c>
      <c r="M149" s="85">
        <v>7</v>
      </c>
      <c r="N149" s="74">
        <v>0.65300000000000002</v>
      </c>
      <c r="O149">
        <v>1</v>
      </c>
      <c r="P149" s="84">
        <v>0.48975000000000002</v>
      </c>
      <c r="Q149" s="86">
        <v>3.45</v>
      </c>
      <c r="R149" s="85">
        <v>3.45</v>
      </c>
      <c r="S149" s="87">
        <v>839680</v>
      </c>
      <c r="T149" s="1">
        <v>4</v>
      </c>
      <c r="U149" s="88">
        <v>243385.5072463768</v>
      </c>
      <c r="V149" s="59">
        <v>4.1087080792682924</v>
      </c>
    </row>
    <row r="150" spans="1:22">
      <c r="A150" s="58">
        <v>149</v>
      </c>
      <c r="B150" s="58">
        <v>149</v>
      </c>
      <c r="C150" s="58" t="s">
        <v>500</v>
      </c>
      <c r="D150" s="58" t="s">
        <v>176</v>
      </c>
      <c r="E150" s="58" t="s">
        <v>176</v>
      </c>
      <c r="F150" s="58" t="s">
        <v>257</v>
      </c>
      <c r="G150" s="58" t="s">
        <v>258</v>
      </c>
      <c r="H150" s="58" t="s">
        <v>179</v>
      </c>
      <c r="I150">
        <v>38000</v>
      </c>
      <c r="J150">
        <v>38000</v>
      </c>
      <c r="K150">
        <v>20000</v>
      </c>
      <c r="L150" s="74">
        <v>13.503</v>
      </c>
      <c r="M150" s="85">
        <v>14</v>
      </c>
      <c r="N150" s="74">
        <v>0.36599999999999999</v>
      </c>
      <c r="O150">
        <v>1</v>
      </c>
      <c r="P150" s="84">
        <v>0.36599999999999999</v>
      </c>
      <c r="Q150" s="86">
        <v>3.45</v>
      </c>
      <c r="R150" s="85">
        <v>3.45</v>
      </c>
      <c r="S150" s="87">
        <v>1597940</v>
      </c>
      <c r="T150" s="1">
        <v>1</v>
      </c>
      <c r="U150" s="88">
        <v>463171.0144927536</v>
      </c>
      <c r="V150" s="59">
        <v>2.1590297508041605</v>
      </c>
    </row>
    <row r="151" spans="1:22">
      <c r="A151" s="58">
        <v>150</v>
      </c>
      <c r="B151" s="58">
        <v>150</v>
      </c>
      <c r="C151" s="58" t="s">
        <v>501</v>
      </c>
      <c r="D151" s="58" t="s">
        <v>207</v>
      </c>
      <c r="E151" s="58" t="s">
        <v>207</v>
      </c>
      <c r="F151" s="58" t="s">
        <v>502</v>
      </c>
      <c r="G151" s="58" t="s">
        <v>503</v>
      </c>
      <c r="H151" s="58" t="s">
        <v>179</v>
      </c>
      <c r="I151">
        <v>38000</v>
      </c>
      <c r="J151">
        <v>38000</v>
      </c>
      <c r="K151" s="58" t="s">
        <v>185</v>
      </c>
      <c r="L151" s="74">
        <v>5.2759999999999998</v>
      </c>
      <c r="M151" s="85">
        <v>6</v>
      </c>
      <c r="N151" s="74">
        <v>0.34300000000000003</v>
      </c>
      <c r="O151">
        <v>1</v>
      </c>
      <c r="P151" s="84">
        <v>0.34300000000000003</v>
      </c>
      <c r="Q151" s="86">
        <v>3.45</v>
      </c>
      <c r="R151" s="85">
        <v>3.45</v>
      </c>
      <c r="S151" s="87">
        <v>769410</v>
      </c>
      <c r="T151" s="1">
        <v>4</v>
      </c>
      <c r="U151" s="88">
        <v>223017.39130434781</v>
      </c>
      <c r="V151" s="59">
        <v>4.4839552384294459</v>
      </c>
    </row>
    <row r="152" spans="1:22">
      <c r="A152" s="58">
        <v>151</v>
      </c>
      <c r="B152" s="58">
        <v>151</v>
      </c>
      <c r="C152" s="58" t="s">
        <v>504</v>
      </c>
      <c r="D152" s="58" t="s">
        <v>207</v>
      </c>
      <c r="E152" s="58" t="s">
        <v>207</v>
      </c>
      <c r="F152" s="58" t="s">
        <v>393</v>
      </c>
      <c r="G152" s="58" t="s">
        <v>394</v>
      </c>
      <c r="H152" s="58" t="s">
        <v>179</v>
      </c>
      <c r="I152">
        <v>38000</v>
      </c>
      <c r="J152">
        <v>38000</v>
      </c>
      <c r="K152" s="58" t="s">
        <v>185</v>
      </c>
      <c r="L152" s="74">
        <v>7.5620000000000003</v>
      </c>
      <c r="M152" s="85">
        <v>8</v>
      </c>
      <c r="N152" s="74">
        <v>0.27800000000000002</v>
      </c>
      <c r="O152">
        <v>1</v>
      </c>
      <c r="P152" s="84">
        <v>0.27800000000000002</v>
      </c>
      <c r="Q152" s="86">
        <v>3.45</v>
      </c>
      <c r="R152" s="85">
        <v>3.45</v>
      </c>
      <c r="S152" s="87">
        <v>909950</v>
      </c>
      <c r="T152" s="1">
        <v>4</v>
      </c>
      <c r="U152" s="88">
        <v>263753.62318840576</v>
      </c>
      <c r="V152" s="59">
        <v>3.7914171108302654</v>
      </c>
    </row>
    <row r="153" spans="1:22">
      <c r="A153" s="58">
        <v>152</v>
      </c>
      <c r="B153" s="58">
        <v>152</v>
      </c>
      <c r="C153" s="58" t="s">
        <v>505</v>
      </c>
      <c r="D153" s="58" t="s">
        <v>207</v>
      </c>
      <c r="E153" s="58" t="s">
        <v>207</v>
      </c>
      <c r="F153" s="58" t="s">
        <v>393</v>
      </c>
      <c r="G153" s="58" t="s">
        <v>394</v>
      </c>
      <c r="H153" s="58" t="s">
        <v>179</v>
      </c>
      <c r="I153">
        <v>38000</v>
      </c>
      <c r="J153">
        <v>38000</v>
      </c>
      <c r="K153" s="58" t="s">
        <v>185</v>
      </c>
      <c r="L153" s="74">
        <v>7.9320000000000004</v>
      </c>
      <c r="M153" s="85">
        <v>8</v>
      </c>
      <c r="N153" s="74">
        <v>0.19700000000000001</v>
      </c>
      <c r="O153">
        <v>1</v>
      </c>
      <c r="P153" s="84">
        <v>0.19700000000000001</v>
      </c>
      <c r="Q153" s="86">
        <v>3.45</v>
      </c>
      <c r="R153" s="85">
        <v>3.45</v>
      </c>
      <c r="S153" s="87">
        <v>909950</v>
      </c>
      <c r="T153" s="1">
        <v>4</v>
      </c>
      <c r="U153" s="88">
        <v>263753.62318840576</v>
      </c>
      <c r="V153" s="59">
        <v>3.7914171108302654</v>
      </c>
    </row>
    <row r="154" spans="1:22">
      <c r="A154" s="58">
        <v>153</v>
      </c>
      <c r="B154" s="58">
        <v>153</v>
      </c>
      <c r="C154" s="58" t="s">
        <v>506</v>
      </c>
      <c r="D154" s="58" t="s">
        <v>197</v>
      </c>
      <c r="E154" s="58" t="s">
        <v>197</v>
      </c>
      <c r="F154" s="58" t="s">
        <v>198</v>
      </c>
      <c r="H154" s="58" t="s">
        <v>199</v>
      </c>
      <c r="I154">
        <v>110000</v>
      </c>
      <c r="J154" s="58" t="s">
        <v>200</v>
      </c>
      <c r="K154">
        <v>110000</v>
      </c>
      <c r="L154" s="74">
        <v>4.0960000000000001</v>
      </c>
      <c r="M154" s="85">
        <v>5</v>
      </c>
      <c r="N154" s="74">
        <v>0.188</v>
      </c>
      <c r="O154">
        <v>1</v>
      </c>
      <c r="P154" s="84">
        <v>0.188</v>
      </c>
      <c r="Q154" s="86">
        <v>3.45</v>
      </c>
      <c r="R154" s="85">
        <v>3.45</v>
      </c>
      <c r="S154" s="87">
        <v>1679970</v>
      </c>
      <c r="T154" s="1">
        <v>7</v>
      </c>
      <c r="U154" s="88">
        <v>486947.82608695648</v>
      </c>
      <c r="V154" s="59">
        <v>2.0536081001446456</v>
      </c>
    </row>
    <row r="155" spans="1:22">
      <c r="A155" s="58">
        <v>154</v>
      </c>
      <c r="B155" s="58">
        <v>154</v>
      </c>
      <c r="C155" s="58" t="s">
        <v>507</v>
      </c>
      <c r="D155" s="58" t="s">
        <v>187</v>
      </c>
      <c r="E155" s="58" t="s">
        <v>187</v>
      </c>
      <c r="F155" s="58" t="s">
        <v>191</v>
      </c>
      <c r="G155" s="58" t="s">
        <v>192</v>
      </c>
      <c r="H155" s="58" t="s">
        <v>179</v>
      </c>
      <c r="I155">
        <v>38000</v>
      </c>
      <c r="J155">
        <v>38000</v>
      </c>
      <c r="K155" s="58" t="s">
        <v>185</v>
      </c>
      <c r="L155" s="74">
        <v>8.1859999999999999</v>
      </c>
      <c r="M155" s="85">
        <v>9</v>
      </c>
      <c r="N155" s="74">
        <v>0.28699999999999998</v>
      </c>
      <c r="O155">
        <v>1</v>
      </c>
      <c r="P155" s="84">
        <v>0.28699999999999998</v>
      </c>
      <c r="Q155" s="86">
        <v>3.45</v>
      </c>
      <c r="R155" s="85">
        <v>3.45</v>
      </c>
      <c r="S155" s="87">
        <v>1334440</v>
      </c>
      <c r="T155" s="1">
        <v>1</v>
      </c>
      <c r="U155" s="88">
        <v>386794.20289855072</v>
      </c>
      <c r="V155" s="59">
        <v>2.585354156050478</v>
      </c>
    </row>
    <row r="156" spans="1:22">
      <c r="A156" s="58">
        <v>155</v>
      </c>
      <c r="B156" s="58">
        <v>155</v>
      </c>
      <c r="C156" s="58" t="s">
        <v>508</v>
      </c>
      <c r="D156" s="58" t="s">
        <v>187</v>
      </c>
      <c r="E156" s="58" t="s">
        <v>187</v>
      </c>
      <c r="F156" s="58" t="s">
        <v>191</v>
      </c>
      <c r="G156" s="58" t="s">
        <v>192</v>
      </c>
      <c r="H156" s="58" t="s">
        <v>179</v>
      </c>
      <c r="I156">
        <v>38000</v>
      </c>
      <c r="J156">
        <v>38000</v>
      </c>
      <c r="K156" s="58" t="s">
        <v>185</v>
      </c>
      <c r="L156" s="74">
        <v>6.5430000000000001</v>
      </c>
      <c r="M156" s="85">
        <v>7</v>
      </c>
      <c r="N156" s="74">
        <v>0.85</v>
      </c>
      <c r="O156">
        <v>1</v>
      </c>
      <c r="P156" s="84">
        <v>0.63749999999999996</v>
      </c>
      <c r="Q156" s="86">
        <v>6.9</v>
      </c>
      <c r="R156" s="85">
        <v>6.9</v>
      </c>
      <c r="S156" s="87">
        <v>839680</v>
      </c>
      <c r="T156" s="1">
        <v>4</v>
      </c>
      <c r="U156" s="88">
        <v>121692.7536231884</v>
      </c>
      <c r="V156" s="59">
        <v>8.2174161585365848</v>
      </c>
    </row>
    <row r="157" spans="1:22">
      <c r="A157" s="58">
        <v>156</v>
      </c>
      <c r="B157" s="58">
        <v>156</v>
      </c>
      <c r="C157" s="58" t="s">
        <v>509</v>
      </c>
      <c r="D157" s="58" t="s">
        <v>187</v>
      </c>
      <c r="E157" s="58" t="s">
        <v>187</v>
      </c>
      <c r="F157" s="58" t="s">
        <v>228</v>
      </c>
      <c r="G157" s="58" t="s">
        <v>229</v>
      </c>
      <c r="H157" s="58" t="s">
        <v>179</v>
      </c>
      <c r="I157">
        <v>38000</v>
      </c>
      <c r="J157">
        <v>38000</v>
      </c>
      <c r="K157" s="58" t="s">
        <v>185</v>
      </c>
      <c r="L157" s="74">
        <v>8.01</v>
      </c>
      <c r="M157" s="85">
        <v>9</v>
      </c>
      <c r="N157" s="74">
        <v>0.42399999999999999</v>
      </c>
      <c r="O157">
        <v>1</v>
      </c>
      <c r="P157" s="84">
        <v>0.42399999999999999</v>
      </c>
      <c r="Q157" s="86">
        <v>3.45</v>
      </c>
      <c r="R157" s="85">
        <v>3.45</v>
      </c>
      <c r="S157" s="87">
        <v>1334440</v>
      </c>
      <c r="T157" s="1">
        <v>1</v>
      </c>
      <c r="U157" s="88">
        <v>386794.20289855072</v>
      </c>
      <c r="V157" s="59">
        <v>2.585354156050478</v>
      </c>
    </row>
    <row r="158" spans="1:22">
      <c r="A158" s="58">
        <v>157</v>
      </c>
      <c r="B158" s="58">
        <v>157</v>
      </c>
      <c r="C158" s="58" t="s">
        <v>510</v>
      </c>
      <c r="D158" s="58" t="s">
        <v>187</v>
      </c>
      <c r="E158" s="58" t="s">
        <v>187</v>
      </c>
      <c r="F158" s="58" t="s">
        <v>228</v>
      </c>
      <c r="G158" s="58" t="s">
        <v>229</v>
      </c>
      <c r="H158" s="58" t="s">
        <v>179</v>
      </c>
      <c r="I158">
        <v>38000</v>
      </c>
      <c r="J158">
        <v>38000</v>
      </c>
      <c r="K158" s="58" t="s">
        <v>185</v>
      </c>
      <c r="L158" s="74">
        <v>7.2130000000000001</v>
      </c>
      <c r="M158" s="85">
        <v>8</v>
      </c>
      <c r="N158" s="74">
        <v>0.45700000000000002</v>
      </c>
      <c r="O158">
        <v>1</v>
      </c>
      <c r="P158" s="84">
        <v>0.45700000000000002</v>
      </c>
      <c r="Q158" s="86">
        <v>3.45</v>
      </c>
      <c r="R158" s="85">
        <v>3.45</v>
      </c>
      <c r="S158" s="87">
        <v>909950</v>
      </c>
      <c r="T158" s="1">
        <v>4</v>
      </c>
      <c r="U158" s="88">
        <v>263753.62318840576</v>
      </c>
      <c r="V158" s="59">
        <v>3.7914171108302654</v>
      </c>
    </row>
    <row r="159" spans="1:22">
      <c r="A159" s="58">
        <v>158</v>
      </c>
      <c r="B159" s="58">
        <v>158</v>
      </c>
      <c r="C159" s="58" t="s">
        <v>511</v>
      </c>
      <c r="D159" s="58" t="s">
        <v>234</v>
      </c>
      <c r="E159" s="58" t="s">
        <v>234</v>
      </c>
      <c r="F159" s="58" t="s">
        <v>337</v>
      </c>
      <c r="G159" s="58" t="s">
        <v>338</v>
      </c>
      <c r="H159" s="58" t="s">
        <v>179</v>
      </c>
      <c r="I159">
        <v>38000</v>
      </c>
      <c r="J159">
        <v>38000</v>
      </c>
      <c r="K159" s="58" t="s">
        <v>185</v>
      </c>
      <c r="L159" s="74">
        <v>10.817</v>
      </c>
      <c r="M159" s="85">
        <v>11</v>
      </c>
      <c r="N159" s="74">
        <v>0.40500000000000003</v>
      </c>
      <c r="O159">
        <v>1</v>
      </c>
      <c r="P159" s="84">
        <v>0.40500000000000003</v>
      </c>
      <c r="Q159" s="86">
        <v>3.45</v>
      </c>
      <c r="R159" s="85">
        <v>3.45</v>
      </c>
      <c r="S159" s="87">
        <v>1439840</v>
      </c>
      <c r="T159" s="1">
        <v>1</v>
      </c>
      <c r="U159" s="88">
        <v>417344.92753623187</v>
      </c>
      <c r="V159" s="59">
        <v>2.396099566618513</v>
      </c>
    </row>
    <row r="160" spans="1:22">
      <c r="A160" s="58">
        <v>159</v>
      </c>
      <c r="B160" s="58">
        <v>159</v>
      </c>
      <c r="C160" s="58" t="s">
        <v>512</v>
      </c>
      <c r="D160" s="58" t="s">
        <v>234</v>
      </c>
      <c r="E160" s="58" t="s">
        <v>234</v>
      </c>
      <c r="F160" s="58" t="s">
        <v>341</v>
      </c>
      <c r="G160" s="58" t="s">
        <v>342</v>
      </c>
      <c r="H160" s="58" t="s">
        <v>199</v>
      </c>
      <c r="I160">
        <v>110000</v>
      </c>
      <c r="J160" s="58" t="s">
        <v>185</v>
      </c>
      <c r="K160">
        <v>110000</v>
      </c>
      <c r="L160" s="74">
        <v>12.265000000000001</v>
      </c>
      <c r="M160" s="85">
        <v>13</v>
      </c>
      <c r="N160" s="74">
        <v>0.56200000000000006</v>
      </c>
      <c r="O160">
        <v>1</v>
      </c>
      <c r="P160" s="84">
        <v>0.56200000000000006</v>
      </c>
      <c r="Q160" s="86">
        <v>3.45</v>
      </c>
      <c r="R160" s="85">
        <v>3.45</v>
      </c>
      <c r="S160" s="87">
        <v>2101570</v>
      </c>
      <c r="T160" s="1">
        <v>7</v>
      </c>
      <c r="U160" s="88">
        <v>609150.72463768115</v>
      </c>
      <c r="V160" s="59">
        <v>1.6416298291277474</v>
      </c>
    </row>
    <row r="161" spans="1:22">
      <c r="A161" s="58">
        <v>160</v>
      </c>
      <c r="B161" s="58">
        <v>160</v>
      </c>
      <c r="C161" s="58" t="s">
        <v>513</v>
      </c>
      <c r="D161" s="58" t="s">
        <v>351</v>
      </c>
      <c r="E161" s="58" t="s">
        <v>351</v>
      </c>
      <c r="F161" s="58" t="s">
        <v>514</v>
      </c>
      <c r="G161" s="58" t="s">
        <v>515</v>
      </c>
      <c r="H161" s="58" t="s">
        <v>179</v>
      </c>
      <c r="I161">
        <v>38000</v>
      </c>
      <c r="J161">
        <v>38000</v>
      </c>
      <c r="K161">
        <v>20000</v>
      </c>
      <c r="L161" s="74">
        <v>9.3219999999999992</v>
      </c>
      <c r="M161" s="85">
        <v>10</v>
      </c>
      <c r="N161" s="74">
        <v>0.224</v>
      </c>
      <c r="O161">
        <v>1</v>
      </c>
      <c r="P161" s="84">
        <v>0.224</v>
      </c>
      <c r="Q161" s="86">
        <v>3.45</v>
      </c>
      <c r="R161" s="85">
        <v>3.45</v>
      </c>
      <c r="S161" s="87">
        <v>1387140</v>
      </c>
      <c r="T161" s="1">
        <v>1</v>
      </c>
      <c r="U161" s="88">
        <v>402069.5652173913</v>
      </c>
      <c r="V161" s="59">
        <v>2.487131796357974</v>
      </c>
    </row>
    <row r="162" spans="1:22">
      <c r="A162" s="58">
        <v>161</v>
      </c>
      <c r="B162" s="58">
        <v>161</v>
      </c>
      <c r="C162" s="58" t="s">
        <v>516</v>
      </c>
      <c r="D162" s="58" t="s">
        <v>346</v>
      </c>
      <c r="E162" s="58" t="s">
        <v>346</v>
      </c>
      <c r="F162" s="58" t="s">
        <v>517</v>
      </c>
      <c r="G162" s="58" t="s">
        <v>518</v>
      </c>
      <c r="H162" s="58" t="s">
        <v>179</v>
      </c>
      <c r="I162">
        <v>38000</v>
      </c>
      <c r="J162">
        <v>38000</v>
      </c>
      <c r="K162">
        <v>10000</v>
      </c>
      <c r="L162" s="74">
        <v>10.984999999999999</v>
      </c>
      <c r="M162" s="85">
        <v>11</v>
      </c>
      <c r="N162" s="74">
        <v>0.21099999999999999</v>
      </c>
      <c r="O162">
        <v>1</v>
      </c>
      <c r="P162" s="84">
        <v>0.21099999999999999</v>
      </c>
      <c r="Q162" s="86">
        <v>3.45</v>
      </c>
      <c r="R162" s="85">
        <v>3.45</v>
      </c>
      <c r="S162" s="87">
        <v>1439840</v>
      </c>
      <c r="T162" s="1">
        <v>1</v>
      </c>
      <c r="U162" s="88">
        <v>417344.92753623187</v>
      </c>
      <c r="V162" s="59">
        <v>2.396099566618513</v>
      </c>
    </row>
    <row r="163" spans="1:22">
      <c r="A163" s="58">
        <v>162</v>
      </c>
      <c r="B163" s="58">
        <v>162</v>
      </c>
      <c r="C163" s="58" t="s">
        <v>519</v>
      </c>
      <c r="D163" s="58" t="s">
        <v>346</v>
      </c>
      <c r="E163" s="58" t="s">
        <v>346</v>
      </c>
      <c r="F163" s="58" t="s">
        <v>520</v>
      </c>
      <c r="G163" s="58" t="s">
        <v>521</v>
      </c>
      <c r="H163" s="58" t="s">
        <v>179</v>
      </c>
      <c r="I163">
        <v>38000</v>
      </c>
      <c r="J163">
        <v>38000</v>
      </c>
      <c r="K163">
        <v>10000</v>
      </c>
      <c r="L163" s="74">
        <v>7.173</v>
      </c>
      <c r="M163" s="85">
        <v>8</v>
      </c>
      <c r="N163" s="74">
        <v>0.152</v>
      </c>
      <c r="O163">
        <v>1</v>
      </c>
      <c r="P163" s="84">
        <v>0.152</v>
      </c>
      <c r="Q163" s="86">
        <v>3.45</v>
      </c>
      <c r="R163" s="85">
        <v>3.45</v>
      </c>
      <c r="S163" s="87">
        <v>909950</v>
      </c>
      <c r="T163" s="1">
        <v>4</v>
      </c>
      <c r="U163" s="88">
        <v>263753.62318840576</v>
      </c>
      <c r="V163" s="59">
        <v>3.7914171108302654</v>
      </c>
    </row>
    <row r="164" spans="1:22">
      <c r="A164" s="58">
        <v>163</v>
      </c>
      <c r="B164" s="58">
        <v>163</v>
      </c>
      <c r="C164" s="58" t="s">
        <v>522</v>
      </c>
      <c r="D164" s="58" t="s">
        <v>234</v>
      </c>
      <c r="E164" s="58" t="s">
        <v>234</v>
      </c>
      <c r="F164" s="58" t="s">
        <v>425</v>
      </c>
      <c r="G164" s="58" t="s">
        <v>426</v>
      </c>
      <c r="H164" s="58" t="s">
        <v>199</v>
      </c>
      <c r="I164">
        <v>110000</v>
      </c>
      <c r="J164">
        <v>110000</v>
      </c>
      <c r="K164">
        <v>38000</v>
      </c>
      <c r="L164" s="74">
        <v>7.6539999999999999</v>
      </c>
      <c r="M164" s="85">
        <v>8</v>
      </c>
      <c r="N164" s="74">
        <v>0.25</v>
      </c>
      <c r="O164">
        <v>1</v>
      </c>
      <c r="P164" s="84">
        <v>0.25</v>
      </c>
      <c r="Q164" s="86">
        <v>3.45</v>
      </c>
      <c r="R164" s="85">
        <v>3.45</v>
      </c>
      <c r="S164" s="87">
        <v>1838070</v>
      </c>
      <c r="T164" s="1">
        <v>7</v>
      </c>
      <c r="U164" s="88">
        <v>532773.91304347827</v>
      </c>
      <c r="V164" s="59">
        <v>1.8769687770324308</v>
      </c>
    </row>
    <row r="165" spans="1:22">
      <c r="A165" s="58">
        <v>164</v>
      </c>
      <c r="B165" s="58">
        <v>164</v>
      </c>
      <c r="C165" s="58" t="s">
        <v>523</v>
      </c>
      <c r="D165" s="58" t="s">
        <v>234</v>
      </c>
      <c r="E165" s="58" t="s">
        <v>234</v>
      </c>
      <c r="F165" s="58" t="s">
        <v>524</v>
      </c>
      <c r="G165" s="58" t="s">
        <v>525</v>
      </c>
      <c r="H165" s="58" t="s">
        <v>179</v>
      </c>
      <c r="I165">
        <v>38000</v>
      </c>
      <c r="L165" s="74">
        <v>4.0819999999999999</v>
      </c>
      <c r="M165" s="85">
        <v>5</v>
      </c>
      <c r="N165" s="74">
        <v>0.20200000000000001</v>
      </c>
      <c r="O165">
        <v>1</v>
      </c>
      <c r="P165" s="84">
        <v>0.20200000000000001</v>
      </c>
      <c r="Q165" s="86">
        <v>3.45</v>
      </c>
      <c r="R165" s="85">
        <v>3.45</v>
      </c>
      <c r="S165" s="87">
        <v>699140</v>
      </c>
      <c r="T165" s="1">
        <v>4</v>
      </c>
      <c r="U165" s="88">
        <v>202649.27536231882</v>
      </c>
      <c r="V165" s="59">
        <v>4.9346339788883489</v>
      </c>
    </row>
    <row r="166" spans="1:22">
      <c r="A166" s="58">
        <v>165</v>
      </c>
      <c r="B166" s="58">
        <v>165</v>
      </c>
      <c r="C166" s="58" t="s">
        <v>526</v>
      </c>
      <c r="D166" s="58" t="s">
        <v>346</v>
      </c>
      <c r="E166" s="58" t="s">
        <v>351</v>
      </c>
      <c r="F166" s="58" t="s">
        <v>352</v>
      </c>
      <c r="G166" s="58" t="s">
        <v>353</v>
      </c>
      <c r="H166" s="58" t="s">
        <v>179</v>
      </c>
      <c r="I166">
        <v>38000</v>
      </c>
      <c r="J166">
        <v>38000</v>
      </c>
      <c r="K166">
        <v>10000</v>
      </c>
      <c r="L166" s="74">
        <v>7.7389999999999999</v>
      </c>
      <c r="M166" s="85">
        <v>8</v>
      </c>
      <c r="N166" s="74">
        <v>0.379</v>
      </c>
      <c r="O166">
        <v>1</v>
      </c>
      <c r="P166" s="84">
        <v>0.379</v>
      </c>
      <c r="Q166" s="86">
        <v>3.45</v>
      </c>
      <c r="R166" s="85">
        <v>3.45</v>
      </c>
      <c r="S166" s="87">
        <v>909950</v>
      </c>
      <c r="T166" s="1">
        <v>4</v>
      </c>
      <c r="U166" s="88">
        <v>263753.62318840576</v>
      </c>
      <c r="V166" s="59">
        <v>3.7914171108302654</v>
      </c>
    </row>
    <row r="167" spans="1:22">
      <c r="A167" s="58">
        <v>166</v>
      </c>
      <c r="B167" s="58">
        <v>166</v>
      </c>
      <c r="C167" s="58" t="s">
        <v>527</v>
      </c>
      <c r="D167" s="58" t="s">
        <v>346</v>
      </c>
      <c r="E167" s="58" t="s">
        <v>351</v>
      </c>
      <c r="F167" s="58" t="s">
        <v>352</v>
      </c>
      <c r="G167" s="58" t="s">
        <v>353</v>
      </c>
      <c r="H167" s="58" t="s">
        <v>179</v>
      </c>
      <c r="I167">
        <v>38000</v>
      </c>
      <c r="J167">
        <v>38000</v>
      </c>
      <c r="K167">
        <v>10000</v>
      </c>
      <c r="L167" s="74">
        <v>7.0679999999999996</v>
      </c>
      <c r="M167" s="85">
        <v>8</v>
      </c>
      <c r="N167" s="74">
        <v>0.26500000000000001</v>
      </c>
      <c r="O167">
        <v>1</v>
      </c>
      <c r="P167" s="84">
        <v>0.26500000000000001</v>
      </c>
      <c r="Q167" s="86">
        <v>3.45</v>
      </c>
      <c r="R167" s="85">
        <v>3.45</v>
      </c>
      <c r="S167" s="87">
        <v>909950</v>
      </c>
      <c r="T167" s="1">
        <v>4</v>
      </c>
      <c r="U167" s="88">
        <v>263753.62318840576</v>
      </c>
      <c r="V167" s="59">
        <v>3.7914171108302654</v>
      </c>
    </row>
    <row r="168" spans="1:22">
      <c r="A168" s="58">
        <v>167</v>
      </c>
      <c r="B168" s="58">
        <v>167</v>
      </c>
      <c r="C168" s="58" t="s">
        <v>528</v>
      </c>
      <c r="D168" s="58" t="s">
        <v>351</v>
      </c>
      <c r="E168" s="58" t="s">
        <v>351</v>
      </c>
      <c r="F168" s="58" t="s">
        <v>514</v>
      </c>
      <c r="G168" s="58" t="s">
        <v>515</v>
      </c>
      <c r="H168" s="58" t="s">
        <v>179</v>
      </c>
      <c r="I168">
        <v>38000</v>
      </c>
      <c r="J168">
        <v>38000</v>
      </c>
      <c r="K168">
        <v>20000</v>
      </c>
      <c r="L168" s="74">
        <v>3.702</v>
      </c>
      <c r="M168" s="85">
        <v>4</v>
      </c>
      <c r="N168" s="74">
        <v>0.159</v>
      </c>
      <c r="O168">
        <v>1</v>
      </c>
      <c r="P168" s="84">
        <v>0.159</v>
      </c>
      <c r="Q168" s="86">
        <v>3.45</v>
      </c>
      <c r="R168" s="85">
        <v>3.45</v>
      </c>
      <c r="S168" s="87">
        <v>628870</v>
      </c>
      <c r="T168" s="1">
        <v>4</v>
      </c>
      <c r="U168" s="88">
        <v>182281.15942028986</v>
      </c>
      <c r="V168" s="59">
        <v>5.4860304991492681</v>
      </c>
    </row>
    <row r="169" spans="1:22">
      <c r="A169" s="58">
        <v>168</v>
      </c>
      <c r="B169" s="58">
        <v>168</v>
      </c>
      <c r="C169" s="58" t="s">
        <v>529</v>
      </c>
      <c r="D169" s="58" t="s">
        <v>187</v>
      </c>
      <c r="E169" s="58" t="s">
        <v>187</v>
      </c>
      <c r="F169" s="58" t="s">
        <v>374</v>
      </c>
      <c r="G169" s="58" t="s">
        <v>375</v>
      </c>
      <c r="H169" s="58" t="s">
        <v>179</v>
      </c>
      <c r="I169">
        <v>38000</v>
      </c>
      <c r="J169">
        <v>38000</v>
      </c>
      <c r="K169">
        <v>20000</v>
      </c>
      <c r="L169" s="74">
        <v>4.1909999999999998</v>
      </c>
      <c r="M169" s="85">
        <v>5</v>
      </c>
      <c r="N169" s="74">
        <v>0.17799999999999999</v>
      </c>
      <c r="O169">
        <v>1</v>
      </c>
      <c r="P169" s="84">
        <v>0.17799999999999999</v>
      </c>
      <c r="Q169" s="86">
        <v>3.45</v>
      </c>
      <c r="R169" s="85">
        <v>3.45</v>
      </c>
      <c r="S169" s="87">
        <v>699140</v>
      </c>
      <c r="T169" s="1">
        <v>4</v>
      </c>
      <c r="U169" s="88">
        <v>202649.27536231882</v>
      </c>
      <c r="V169" s="59">
        <v>4.9346339788883489</v>
      </c>
    </row>
    <row r="170" spans="1:22">
      <c r="A170" s="58">
        <v>169</v>
      </c>
      <c r="B170" s="58">
        <v>169</v>
      </c>
      <c r="C170" s="58" t="s">
        <v>530</v>
      </c>
      <c r="D170" s="58" t="s">
        <v>187</v>
      </c>
      <c r="E170" s="58" t="s">
        <v>187</v>
      </c>
      <c r="F170" s="58" t="s">
        <v>531</v>
      </c>
      <c r="G170" s="58" t="s">
        <v>532</v>
      </c>
      <c r="H170" s="58" t="s">
        <v>179</v>
      </c>
      <c r="I170">
        <v>38000</v>
      </c>
      <c r="J170">
        <v>38000</v>
      </c>
      <c r="K170" s="58" t="s">
        <v>185</v>
      </c>
      <c r="L170" s="74">
        <v>5.4020000000000001</v>
      </c>
      <c r="M170" s="85">
        <v>6</v>
      </c>
      <c r="N170" s="74">
        <v>0.25</v>
      </c>
      <c r="O170">
        <v>1</v>
      </c>
      <c r="P170" s="84">
        <v>0.25</v>
      </c>
      <c r="Q170" s="86">
        <v>3.45</v>
      </c>
      <c r="R170" s="85">
        <v>3.45</v>
      </c>
      <c r="S170" s="87">
        <v>769410</v>
      </c>
      <c r="T170" s="1">
        <v>4</v>
      </c>
      <c r="U170" s="88">
        <v>223017.39130434781</v>
      </c>
      <c r="V170" s="59">
        <v>4.4839552384294459</v>
      </c>
    </row>
    <row r="171" spans="1:22">
      <c r="A171" s="58">
        <v>170</v>
      </c>
      <c r="B171" s="58">
        <v>170</v>
      </c>
      <c r="C171" s="58" t="s">
        <v>533</v>
      </c>
      <c r="D171" s="58" t="s">
        <v>187</v>
      </c>
      <c r="E171" s="58" t="s">
        <v>187</v>
      </c>
      <c r="F171" s="58" t="s">
        <v>231</v>
      </c>
      <c r="G171" s="58" t="s">
        <v>232</v>
      </c>
      <c r="H171" s="58" t="s">
        <v>179</v>
      </c>
      <c r="I171">
        <v>38000</v>
      </c>
      <c r="J171" s="58" t="s">
        <v>185</v>
      </c>
      <c r="K171">
        <v>38000</v>
      </c>
      <c r="L171" s="74">
        <v>6.3049999999999997</v>
      </c>
      <c r="M171" s="85">
        <v>7</v>
      </c>
      <c r="N171" s="74">
        <v>0.442</v>
      </c>
      <c r="O171">
        <v>1</v>
      </c>
      <c r="P171" s="84">
        <v>0.442</v>
      </c>
      <c r="Q171" s="86">
        <v>3.45</v>
      </c>
      <c r="R171" s="85">
        <v>3.45</v>
      </c>
      <c r="S171" s="87">
        <v>839680</v>
      </c>
      <c r="T171" s="1">
        <v>4</v>
      </c>
      <c r="U171" s="88">
        <v>243385.5072463768</v>
      </c>
      <c r="V171" s="59">
        <v>4.1087080792682924</v>
      </c>
    </row>
    <row r="172" spans="1:22">
      <c r="A172" s="58">
        <v>171</v>
      </c>
      <c r="B172" s="58">
        <v>171</v>
      </c>
      <c r="C172" s="58" t="s">
        <v>534</v>
      </c>
      <c r="D172" s="58" t="s">
        <v>234</v>
      </c>
      <c r="E172" s="58" t="s">
        <v>234</v>
      </c>
      <c r="F172" s="58" t="s">
        <v>329</v>
      </c>
      <c r="G172" s="58" t="s">
        <v>330</v>
      </c>
      <c r="H172" s="58" t="s">
        <v>179</v>
      </c>
      <c r="I172">
        <v>38000</v>
      </c>
      <c r="J172">
        <v>38000</v>
      </c>
      <c r="K172" s="58" t="s">
        <v>185</v>
      </c>
      <c r="L172" s="74">
        <v>13.1</v>
      </c>
      <c r="M172" s="85">
        <v>14</v>
      </c>
      <c r="N172" s="74">
        <v>0.44</v>
      </c>
      <c r="O172">
        <v>1</v>
      </c>
      <c r="P172" s="84">
        <v>0.44</v>
      </c>
      <c r="Q172" s="86">
        <v>3.45</v>
      </c>
      <c r="R172" s="85">
        <v>3.45</v>
      </c>
      <c r="S172" s="87">
        <v>1597940</v>
      </c>
      <c r="T172" s="1">
        <v>1</v>
      </c>
      <c r="U172" s="88">
        <v>463171.0144927536</v>
      </c>
      <c r="V172" s="59">
        <v>2.1590297508041605</v>
      </c>
    </row>
    <row r="173" spans="1:22">
      <c r="A173" s="58">
        <v>172</v>
      </c>
      <c r="B173" s="58">
        <v>172</v>
      </c>
      <c r="C173" s="58" t="s">
        <v>535</v>
      </c>
      <c r="D173" s="58" t="s">
        <v>249</v>
      </c>
      <c r="E173" s="58" t="s">
        <v>536</v>
      </c>
      <c r="F173" s="58" t="s">
        <v>250</v>
      </c>
      <c r="G173" s="58" t="s">
        <v>251</v>
      </c>
      <c r="H173" s="58" t="s">
        <v>199</v>
      </c>
      <c r="I173">
        <v>110000</v>
      </c>
      <c r="L173" s="74">
        <v>6.6820000000000004</v>
      </c>
      <c r="M173" s="85">
        <v>7</v>
      </c>
      <c r="N173" s="74">
        <v>2.5419999999999998</v>
      </c>
      <c r="O173">
        <v>1</v>
      </c>
      <c r="P173" s="84">
        <v>1.9064999999999999</v>
      </c>
      <c r="Q173" s="86">
        <v>20.700000000000003</v>
      </c>
      <c r="R173" s="85">
        <v>20.700000000000003</v>
      </c>
      <c r="S173" s="87">
        <v>2086600</v>
      </c>
      <c r="T173" s="1">
        <v>8</v>
      </c>
      <c r="U173" s="88">
        <v>100801.93236714974</v>
      </c>
      <c r="V173" s="59">
        <v>9.9204447426435376</v>
      </c>
    </row>
    <row r="174" spans="1:22">
      <c r="A174" s="58">
        <v>173</v>
      </c>
      <c r="B174" s="58">
        <v>173</v>
      </c>
      <c r="C174" s="58" t="s">
        <v>537</v>
      </c>
      <c r="D174" s="58" t="s">
        <v>253</v>
      </c>
      <c r="E174" s="58" t="s">
        <v>253</v>
      </c>
      <c r="F174" s="58" t="s">
        <v>538</v>
      </c>
      <c r="G174" s="58" t="s">
        <v>539</v>
      </c>
      <c r="H174" s="58" t="s">
        <v>179</v>
      </c>
      <c r="I174">
        <v>38000</v>
      </c>
      <c r="J174">
        <v>38000</v>
      </c>
      <c r="K174" s="58" t="s">
        <v>185</v>
      </c>
      <c r="L174" s="74">
        <v>5.29</v>
      </c>
      <c r="M174" s="85">
        <v>6</v>
      </c>
      <c r="N174" s="74">
        <v>2.4500000000000002</v>
      </c>
      <c r="O174">
        <v>1</v>
      </c>
      <c r="P174" s="84">
        <v>1.8375000000000001</v>
      </c>
      <c r="Q174" s="86">
        <v>17.25</v>
      </c>
      <c r="R174" s="85">
        <v>17.25</v>
      </c>
      <c r="S174" s="87">
        <v>769410</v>
      </c>
      <c r="T174" s="1">
        <v>4</v>
      </c>
      <c r="U174" s="88">
        <v>44603.478260869568</v>
      </c>
      <c r="V174" s="59">
        <v>22.419776192147228</v>
      </c>
    </row>
    <row r="175" spans="1:22">
      <c r="A175" s="58">
        <v>174</v>
      </c>
      <c r="B175" s="58">
        <v>174</v>
      </c>
      <c r="C175" s="58" t="s">
        <v>540</v>
      </c>
      <c r="D175" s="58" t="s">
        <v>215</v>
      </c>
      <c r="E175" s="58" t="s">
        <v>215</v>
      </c>
      <c r="F175" s="58" t="s">
        <v>479</v>
      </c>
      <c r="G175" s="58" t="s">
        <v>480</v>
      </c>
      <c r="H175" s="58" t="s">
        <v>179</v>
      </c>
      <c r="I175">
        <v>38000</v>
      </c>
      <c r="J175">
        <v>38000</v>
      </c>
      <c r="K175" s="58" t="s">
        <v>185</v>
      </c>
      <c r="L175" s="74">
        <v>24.774000000000001</v>
      </c>
      <c r="M175" s="85">
        <v>25</v>
      </c>
      <c r="N175" s="74">
        <v>1.095</v>
      </c>
      <c r="O175">
        <v>1</v>
      </c>
      <c r="P175" s="84">
        <v>0.82125000000000004</v>
      </c>
      <c r="Q175" s="86">
        <v>6.9</v>
      </c>
      <c r="R175" s="85">
        <v>6.9</v>
      </c>
      <c r="S175" s="87">
        <v>2223000</v>
      </c>
      <c r="T175" s="1">
        <v>2</v>
      </c>
      <c r="U175" s="88">
        <v>322173.91304347827</v>
      </c>
      <c r="V175" s="59">
        <v>3.1039136302294197</v>
      </c>
    </row>
    <row r="176" spans="1:22">
      <c r="A176" s="58">
        <v>175</v>
      </c>
      <c r="B176" s="58">
        <v>175</v>
      </c>
      <c r="C176" s="58" t="s">
        <v>541</v>
      </c>
      <c r="D176" s="58" t="s">
        <v>215</v>
      </c>
      <c r="E176" s="58" t="s">
        <v>215</v>
      </c>
      <c r="F176" s="58" t="s">
        <v>479</v>
      </c>
      <c r="G176" s="58" t="s">
        <v>480</v>
      </c>
      <c r="H176" s="58" t="s">
        <v>179</v>
      </c>
      <c r="I176">
        <v>38000</v>
      </c>
      <c r="J176">
        <v>38000</v>
      </c>
      <c r="K176" s="58" t="s">
        <v>185</v>
      </c>
      <c r="L176" s="74">
        <v>15.734</v>
      </c>
      <c r="M176" s="85">
        <v>16</v>
      </c>
      <c r="N176" s="74">
        <v>0.57099999999999995</v>
      </c>
      <c r="O176">
        <v>1</v>
      </c>
      <c r="P176" s="84">
        <v>0.57099999999999995</v>
      </c>
      <c r="Q176" s="86">
        <v>3.45</v>
      </c>
      <c r="R176" s="85">
        <v>3.45</v>
      </c>
      <c r="S176" s="87">
        <v>1703340</v>
      </c>
      <c r="T176" s="1">
        <v>1</v>
      </c>
      <c r="U176" s="88">
        <v>493721.73913043475</v>
      </c>
      <c r="V176" s="59">
        <v>2.0254323857832257</v>
      </c>
    </row>
    <row r="177" spans="1:22">
      <c r="A177" s="58">
        <v>176</v>
      </c>
      <c r="B177" s="58">
        <v>176</v>
      </c>
      <c r="C177" s="58" t="s">
        <v>542</v>
      </c>
      <c r="D177" s="58" t="s">
        <v>215</v>
      </c>
      <c r="E177" s="58" t="s">
        <v>176</v>
      </c>
      <c r="F177" s="58" t="s">
        <v>257</v>
      </c>
      <c r="G177" s="58" t="s">
        <v>258</v>
      </c>
      <c r="H177" s="58" t="s">
        <v>179</v>
      </c>
      <c r="I177">
        <v>38000</v>
      </c>
      <c r="J177">
        <v>38000</v>
      </c>
      <c r="K177">
        <v>20000</v>
      </c>
      <c r="L177" s="74">
        <v>13.7</v>
      </c>
      <c r="M177" s="85">
        <v>14</v>
      </c>
      <c r="N177" s="74">
        <v>4.1219999999999999</v>
      </c>
      <c r="O177">
        <v>1</v>
      </c>
      <c r="P177" s="84">
        <v>3.0914999999999999</v>
      </c>
      <c r="Q177" s="86">
        <v>31.05</v>
      </c>
      <c r="R177" s="85">
        <v>31.05</v>
      </c>
      <c r="S177" s="87">
        <v>1905430</v>
      </c>
      <c r="T177" s="1">
        <v>6</v>
      </c>
      <c r="U177" s="88">
        <v>61366.505636070855</v>
      </c>
      <c r="V177" s="59">
        <v>16.295534341329777</v>
      </c>
    </row>
    <row r="178" spans="1:22">
      <c r="A178" s="89">
        <v>177</v>
      </c>
      <c r="B178" s="89">
        <v>177</v>
      </c>
      <c r="C178" s="89" t="s">
        <v>543</v>
      </c>
      <c r="D178" s="58" t="s">
        <v>215</v>
      </c>
      <c r="E178" s="58" t="s">
        <v>176</v>
      </c>
      <c r="F178" s="89" t="s">
        <v>257</v>
      </c>
      <c r="G178" s="89" t="s">
        <v>258</v>
      </c>
      <c r="H178" s="89" t="s">
        <v>179</v>
      </c>
      <c r="I178" s="90">
        <v>38000</v>
      </c>
      <c r="J178" s="90">
        <v>38000</v>
      </c>
      <c r="K178" s="90">
        <v>20000</v>
      </c>
      <c r="L178" s="91">
        <v>10.202999999999999</v>
      </c>
      <c r="M178" s="92">
        <v>11</v>
      </c>
      <c r="N178" s="91">
        <v>13.51</v>
      </c>
      <c r="O178" s="90">
        <v>1</v>
      </c>
      <c r="P178" s="92">
        <v>10.1325</v>
      </c>
      <c r="Q178" s="93">
        <v>110.4</v>
      </c>
      <c r="R178" s="92">
        <v>110.4</v>
      </c>
      <c r="S178" s="87">
        <v>3237370</v>
      </c>
      <c r="T178" s="94">
        <v>11</v>
      </c>
      <c r="U178" s="95">
        <v>29324.003623188404</v>
      </c>
      <c r="V178" s="96">
        <v>34.10175543728397</v>
      </c>
    </row>
    <row r="179" spans="1:22">
      <c r="A179" s="58">
        <v>178</v>
      </c>
      <c r="B179" s="58">
        <v>178</v>
      </c>
      <c r="C179" s="58" t="s">
        <v>544</v>
      </c>
      <c r="D179" s="58" t="s">
        <v>215</v>
      </c>
      <c r="E179" s="58" t="s">
        <v>176</v>
      </c>
      <c r="F179" s="58" t="s">
        <v>257</v>
      </c>
      <c r="G179" s="58" t="s">
        <v>258</v>
      </c>
      <c r="H179" s="58" t="s">
        <v>179</v>
      </c>
      <c r="I179">
        <v>38000</v>
      </c>
      <c r="J179">
        <v>38000</v>
      </c>
      <c r="K179">
        <v>20000</v>
      </c>
      <c r="L179" s="74">
        <v>7.8490000000000002</v>
      </c>
      <c r="M179" s="85">
        <v>8</v>
      </c>
      <c r="N179" s="74">
        <v>0.46500000000000002</v>
      </c>
      <c r="O179">
        <v>1</v>
      </c>
      <c r="P179" s="84">
        <v>0.46500000000000002</v>
      </c>
      <c r="Q179" s="86">
        <v>3.45</v>
      </c>
      <c r="R179" s="85">
        <v>3.45</v>
      </c>
      <c r="S179" s="87">
        <v>909950</v>
      </c>
      <c r="T179" s="1">
        <v>4</v>
      </c>
      <c r="U179" s="88">
        <v>263753.62318840576</v>
      </c>
      <c r="V179" s="59">
        <v>3.7914171108302654</v>
      </c>
    </row>
    <row r="180" spans="1:22">
      <c r="A180" s="58">
        <v>179</v>
      </c>
      <c r="B180" s="58">
        <v>179</v>
      </c>
      <c r="C180" s="58" t="s">
        <v>545</v>
      </c>
      <c r="D180" s="58" t="s">
        <v>176</v>
      </c>
      <c r="E180" s="58" t="s">
        <v>176</v>
      </c>
      <c r="F180" s="58" t="s">
        <v>257</v>
      </c>
      <c r="G180" s="58" t="s">
        <v>258</v>
      </c>
      <c r="H180" s="58" t="s">
        <v>179</v>
      </c>
      <c r="I180">
        <v>38000</v>
      </c>
      <c r="J180">
        <v>38000</v>
      </c>
      <c r="K180">
        <v>20000</v>
      </c>
      <c r="L180" s="74">
        <v>9.3320000000000007</v>
      </c>
      <c r="M180" s="85">
        <v>10</v>
      </c>
      <c r="N180" s="74">
        <v>1.3939999999999999</v>
      </c>
      <c r="O180">
        <v>1</v>
      </c>
      <c r="P180" s="84">
        <v>1.0454999999999999</v>
      </c>
      <c r="Q180" s="86">
        <v>10.350000000000001</v>
      </c>
      <c r="R180" s="85">
        <v>10.350000000000001</v>
      </c>
      <c r="S180" s="87">
        <v>1469550</v>
      </c>
      <c r="T180" s="1">
        <v>3</v>
      </c>
      <c r="U180" s="88">
        <v>141985.5072463768</v>
      </c>
      <c r="V180" s="59">
        <v>7.0429723384709622</v>
      </c>
    </row>
    <row r="181" spans="1:22">
      <c r="A181" s="58">
        <v>180</v>
      </c>
      <c r="B181" s="58">
        <v>180</v>
      </c>
      <c r="C181" s="58" t="s">
        <v>546</v>
      </c>
      <c r="D181" s="58" t="s">
        <v>176</v>
      </c>
      <c r="E181" s="58" t="s">
        <v>176</v>
      </c>
      <c r="F181" s="58" t="s">
        <v>257</v>
      </c>
      <c r="G181" s="58" t="s">
        <v>258</v>
      </c>
      <c r="H181" s="58" t="s">
        <v>179</v>
      </c>
      <c r="I181">
        <v>38000</v>
      </c>
      <c r="J181">
        <v>38000</v>
      </c>
      <c r="K181">
        <v>20000</v>
      </c>
      <c r="L181" s="74">
        <v>11.323</v>
      </c>
      <c r="M181" s="85">
        <v>12</v>
      </c>
      <c r="N181" s="74">
        <v>1.3580000000000001</v>
      </c>
      <c r="O181">
        <v>1</v>
      </c>
      <c r="P181" s="84">
        <v>1.0185</v>
      </c>
      <c r="Q181" s="86">
        <v>10.350000000000001</v>
      </c>
      <c r="R181" s="85">
        <v>10.350000000000001</v>
      </c>
      <c r="S181" s="87">
        <v>1574950</v>
      </c>
      <c r="T181" s="1">
        <v>3</v>
      </c>
      <c r="U181" s="88">
        <v>152169.08212560383</v>
      </c>
      <c r="V181" s="59">
        <v>6.5716371948315828</v>
      </c>
    </row>
    <row r="182" spans="1:22">
      <c r="A182" s="58">
        <v>181</v>
      </c>
      <c r="B182" s="58">
        <v>181</v>
      </c>
      <c r="C182" s="58" t="s">
        <v>547</v>
      </c>
      <c r="D182" s="58" t="s">
        <v>215</v>
      </c>
      <c r="E182" s="58" t="s">
        <v>176</v>
      </c>
      <c r="F182" s="58" t="s">
        <v>225</v>
      </c>
      <c r="G182" s="58" t="s">
        <v>226</v>
      </c>
      <c r="H182" s="58" t="s">
        <v>179</v>
      </c>
      <c r="I182">
        <v>38000</v>
      </c>
      <c r="J182">
        <v>38000</v>
      </c>
      <c r="K182">
        <v>20000</v>
      </c>
      <c r="L182" s="74">
        <v>8.8740000000000006</v>
      </c>
      <c r="M182" s="85">
        <v>9</v>
      </c>
      <c r="N182" s="74">
        <v>4.9630000000000001</v>
      </c>
      <c r="O182">
        <v>1</v>
      </c>
      <c r="P182" s="84">
        <v>3.7222499999999998</v>
      </c>
      <c r="Q182" s="86">
        <v>37.950000000000003</v>
      </c>
      <c r="R182" s="85">
        <v>37.950000000000003</v>
      </c>
      <c r="S182" s="87">
        <v>1349130</v>
      </c>
      <c r="T182" s="1">
        <v>6</v>
      </c>
      <c r="U182" s="88">
        <v>35550.197628458496</v>
      </c>
      <c r="V182" s="59">
        <v>28.129238842809812</v>
      </c>
    </row>
    <row r="183" spans="1:22">
      <c r="A183" s="89">
        <v>182</v>
      </c>
      <c r="B183" s="89">
        <v>182</v>
      </c>
      <c r="C183" s="89" t="s">
        <v>548</v>
      </c>
      <c r="D183" s="58" t="s">
        <v>215</v>
      </c>
      <c r="E183" s="58" t="s">
        <v>215</v>
      </c>
      <c r="F183" s="89" t="s">
        <v>225</v>
      </c>
      <c r="G183" s="89" t="s">
        <v>226</v>
      </c>
      <c r="H183" s="89" t="s">
        <v>179</v>
      </c>
      <c r="I183" s="90">
        <v>38000</v>
      </c>
      <c r="J183" s="90">
        <v>38000</v>
      </c>
      <c r="K183" s="90">
        <v>20000</v>
      </c>
      <c r="L183" s="91">
        <v>4.859</v>
      </c>
      <c r="M183" s="92">
        <v>5</v>
      </c>
      <c r="N183" s="91">
        <v>6.0389999999999997</v>
      </c>
      <c r="O183" s="90">
        <v>1</v>
      </c>
      <c r="P183" s="92">
        <v>4.5292499999999993</v>
      </c>
      <c r="Q183" s="93">
        <v>48.300000000000011</v>
      </c>
      <c r="R183" s="92">
        <v>48.300000000000011</v>
      </c>
      <c r="S183" s="87">
        <v>1972510</v>
      </c>
      <c r="T183" s="94">
        <v>11</v>
      </c>
      <c r="U183" s="95">
        <v>40838.716356107652</v>
      </c>
      <c r="V183" s="96">
        <v>24.486567875448042</v>
      </c>
    </row>
    <row r="184" spans="1:22">
      <c r="A184" s="89">
        <v>183</v>
      </c>
      <c r="B184" s="89">
        <v>183</v>
      </c>
      <c r="C184" s="89" t="s">
        <v>549</v>
      </c>
      <c r="D184" s="58" t="s">
        <v>215</v>
      </c>
      <c r="E184" s="58" t="s">
        <v>176</v>
      </c>
      <c r="F184" s="89" t="s">
        <v>225</v>
      </c>
      <c r="G184" s="89" t="s">
        <v>226</v>
      </c>
      <c r="H184" s="89" t="s">
        <v>179</v>
      </c>
      <c r="I184" s="90">
        <v>38000</v>
      </c>
      <c r="J184" s="90">
        <v>38000</v>
      </c>
      <c r="K184" s="90">
        <v>20000</v>
      </c>
      <c r="L184" s="91">
        <v>9.0540000000000003</v>
      </c>
      <c r="M184" s="92">
        <v>10</v>
      </c>
      <c r="N184" s="91">
        <v>5.8719999999999999</v>
      </c>
      <c r="O184" s="90">
        <v>1</v>
      </c>
      <c r="P184" s="92">
        <v>4.4039999999999999</v>
      </c>
      <c r="Q184" s="93">
        <v>48.300000000000011</v>
      </c>
      <c r="R184" s="92">
        <v>48.300000000000011</v>
      </c>
      <c r="S184" s="87">
        <v>3026560</v>
      </c>
      <c r="T184" s="94">
        <v>11</v>
      </c>
      <c r="U184" s="95">
        <v>62661.697722567274</v>
      </c>
      <c r="V184" s="96">
        <v>15.958712201311064</v>
      </c>
    </row>
    <row r="185" spans="1:22">
      <c r="A185" s="89">
        <v>184</v>
      </c>
      <c r="B185" s="89">
        <v>184</v>
      </c>
      <c r="C185" s="89" t="s">
        <v>550</v>
      </c>
      <c r="D185" s="58" t="s">
        <v>176</v>
      </c>
      <c r="E185" s="58" t="s">
        <v>176</v>
      </c>
      <c r="F185" s="89" t="s">
        <v>262</v>
      </c>
      <c r="G185" s="89" t="s">
        <v>263</v>
      </c>
      <c r="H185" s="89" t="s">
        <v>179</v>
      </c>
      <c r="I185" s="90">
        <v>38000</v>
      </c>
      <c r="J185" s="89" t="s">
        <v>185</v>
      </c>
      <c r="K185" s="90">
        <v>38000</v>
      </c>
      <c r="L185" s="91">
        <v>15.353999999999999</v>
      </c>
      <c r="M185" s="92">
        <v>16</v>
      </c>
      <c r="N185" s="91">
        <v>8.8599999999999905</v>
      </c>
      <c r="O185" s="90">
        <v>1</v>
      </c>
      <c r="P185" s="92">
        <v>6.6449999999999925</v>
      </c>
      <c r="Q185" s="93">
        <v>72.45</v>
      </c>
      <c r="R185" s="92">
        <v>72.45</v>
      </c>
      <c r="S185" s="87">
        <v>4291420</v>
      </c>
      <c r="T185" s="94">
        <v>11</v>
      </c>
      <c r="U185" s="95">
        <v>59232.850241545893</v>
      </c>
      <c r="V185" s="96">
        <v>16.88252373340293</v>
      </c>
    </row>
    <row r="186" spans="1:22">
      <c r="A186" s="89">
        <v>185</v>
      </c>
      <c r="B186" s="89">
        <v>185</v>
      </c>
      <c r="C186" s="89" t="s">
        <v>551</v>
      </c>
      <c r="D186" s="58" t="s">
        <v>176</v>
      </c>
      <c r="E186" s="58" t="s">
        <v>176</v>
      </c>
      <c r="F186" s="89" t="s">
        <v>262</v>
      </c>
      <c r="G186" s="89" t="s">
        <v>263</v>
      </c>
      <c r="H186" s="89" t="s">
        <v>179</v>
      </c>
      <c r="I186" s="90">
        <v>38000</v>
      </c>
      <c r="J186" s="89" t="s">
        <v>185</v>
      </c>
      <c r="K186" s="90">
        <v>38000</v>
      </c>
      <c r="L186" s="91">
        <v>11.12</v>
      </c>
      <c r="M186" s="92">
        <v>12</v>
      </c>
      <c r="N186" s="91">
        <v>6.9480000000000004</v>
      </c>
      <c r="O186" s="90">
        <v>1</v>
      </c>
      <c r="P186" s="92">
        <v>5.2110000000000003</v>
      </c>
      <c r="Q186" s="93">
        <v>55.2</v>
      </c>
      <c r="R186" s="92">
        <v>55.2</v>
      </c>
      <c r="S186" s="87">
        <v>3448180</v>
      </c>
      <c r="T186" s="94">
        <v>11</v>
      </c>
      <c r="U186" s="95">
        <v>62467.028985507241</v>
      </c>
      <c r="V186" s="96">
        <v>16.008445034771967</v>
      </c>
    </row>
    <row r="187" spans="1:22">
      <c r="A187" s="58">
        <v>186</v>
      </c>
      <c r="B187" s="58">
        <v>186</v>
      </c>
      <c r="C187" s="58" t="s">
        <v>552</v>
      </c>
      <c r="D187" s="58" t="s">
        <v>176</v>
      </c>
      <c r="E187" s="58" t="s">
        <v>176</v>
      </c>
      <c r="F187" s="58" t="s">
        <v>265</v>
      </c>
      <c r="G187" s="58" t="s">
        <v>266</v>
      </c>
      <c r="H187" s="58" t="s">
        <v>179</v>
      </c>
      <c r="I187">
        <v>38000</v>
      </c>
      <c r="J187">
        <v>38000</v>
      </c>
      <c r="K187" s="58" t="s">
        <v>185</v>
      </c>
      <c r="L187" s="74">
        <v>9.9700000000000006</v>
      </c>
      <c r="M187" s="85">
        <v>10</v>
      </c>
      <c r="N187" s="74">
        <v>2.0419999999999998</v>
      </c>
      <c r="O187">
        <v>1</v>
      </c>
      <c r="P187" s="84">
        <v>1.5314999999999999</v>
      </c>
      <c r="Q187" s="86">
        <v>13.8</v>
      </c>
      <c r="R187" s="85">
        <v>13.8</v>
      </c>
      <c r="S187" s="87">
        <v>1050490</v>
      </c>
      <c r="T187" s="1">
        <v>4</v>
      </c>
      <c r="U187" s="88">
        <v>76122.463768115937</v>
      </c>
      <c r="V187" s="59">
        <v>13.136726670410951</v>
      </c>
    </row>
    <row r="188" spans="1:22">
      <c r="A188" s="58">
        <v>187</v>
      </c>
      <c r="B188" s="58">
        <v>187</v>
      </c>
      <c r="C188" s="58" t="s">
        <v>553</v>
      </c>
      <c r="D188" s="58" t="s">
        <v>176</v>
      </c>
      <c r="E188" s="58" t="s">
        <v>176</v>
      </c>
      <c r="F188" s="58" t="s">
        <v>262</v>
      </c>
      <c r="G188" s="58" t="s">
        <v>263</v>
      </c>
      <c r="H188" s="58" t="s">
        <v>179</v>
      </c>
      <c r="I188">
        <v>38000</v>
      </c>
      <c r="J188" s="58" t="s">
        <v>185</v>
      </c>
      <c r="K188">
        <v>38000</v>
      </c>
      <c r="L188" s="74">
        <v>10.584</v>
      </c>
      <c r="M188" s="85">
        <v>11</v>
      </c>
      <c r="N188" s="74">
        <v>2.3919999999999999</v>
      </c>
      <c r="O188">
        <v>1</v>
      </c>
      <c r="P188" s="84">
        <v>1.794</v>
      </c>
      <c r="Q188" s="86">
        <v>17.25</v>
      </c>
      <c r="R188" s="85">
        <v>17.25</v>
      </c>
      <c r="S188" s="87">
        <v>1120760</v>
      </c>
      <c r="T188" s="1">
        <v>4</v>
      </c>
      <c r="U188" s="88">
        <v>64971.594202898552</v>
      </c>
      <c r="V188" s="59">
        <v>15.391341589635605</v>
      </c>
    </row>
    <row r="189" spans="1:22">
      <c r="A189" s="89">
        <v>188</v>
      </c>
      <c r="B189" s="89">
        <v>188</v>
      </c>
      <c r="C189" s="89" t="s">
        <v>554</v>
      </c>
      <c r="D189" s="58" t="s">
        <v>176</v>
      </c>
      <c r="E189" s="58" t="s">
        <v>176</v>
      </c>
      <c r="F189" s="89" t="s">
        <v>262</v>
      </c>
      <c r="G189" s="89" t="s">
        <v>263</v>
      </c>
      <c r="H189" s="89" t="s">
        <v>179</v>
      </c>
      <c r="I189" s="90">
        <v>38000</v>
      </c>
      <c r="J189" s="89" t="s">
        <v>185</v>
      </c>
      <c r="K189" s="90">
        <v>38000</v>
      </c>
      <c r="L189" s="91">
        <v>13.975</v>
      </c>
      <c r="M189" s="92">
        <v>14</v>
      </c>
      <c r="N189" s="91">
        <v>13.3569999999999</v>
      </c>
      <c r="O189" s="90">
        <v>1</v>
      </c>
      <c r="P189" s="92">
        <v>10.017749999999925</v>
      </c>
      <c r="Q189" s="93">
        <v>106.95</v>
      </c>
      <c r="R189" s="92">
        <v>106.95</v>
      </c>
      <c r="S189" s="87">
        <v>3869800</v>
      </c>
      <c r="T189" s="94">
        <v>11</v>
      </c>
      <c r="U189" s="95">
        <v>36183.263207106123</v>
      </c>
      <c r="V189" s="96">
        <v>27.637087187968369</v>
      </c>
    </row>
    <row r="190" spans="1:22">
      <c r="A190" s="58">
        <v>189</v>
      </c>
      <c r="B190" s="58">
        <v>189</v>
      </c>
      <c r="C190" s="58" t="s">
        <v>555</v>
      </c>
      <c r="D190" s="58" t="s">
        <v>176</v>
      </c>
      <c r="E190" s="58" t="s">
        <v>176</v>
      </c>
      <c r="F190" s="58" t="s">
        <v>262</v>
      </c>
      <c r="G190" s="58" t="s">
        <v>263</v>
      </c>
      <c r="H190" s="58" t="s">
        <v>179</v>
      </c>
      <c r="I190">
        <v>38000</v>
      </c>
      <c r="J190" s="58" t="s">
        <v>185</v>
      </c>
      <c r="K190">
        <v>38000</v>
      </c>
      <c r="L190" s="74">
        <v>12.384</v>
      </c>
      <c r="M190" s="85">
        <v>13</v>
      </c>
      <c r="N190" s="74">
        <v>1.4219999999999999</v>
      </c>
      <c r="O190">
        <v>1</v>
      </c>
      <c r="P190" s="84">
        <v>1.0665</v>
      </c>
      <c r="Q190" s="86">
        <v>10.350000000000001</v>
      </c>
      <c r="R190" s="85">
        <v>10.350000000000001</v>
      </c>
      <c r="S190" s="87">
        <v>1627650</v>
      </c>
      <c r="T190" s="1">
        <v>3</v>
      </c>
      <c r="U190" s="88">
        <v>157260.86956521738</v>
      </c>
      <c r="V190" s="59">
        <v>6.3588609344760867</v>
      </c>
    </row>
    <row r="191" spans="1:22">
      <c r="A191" s="58">
        <v>190</v>
      </c>
      <c r="B191" s="58">
        <v>190</v>
      </c>
      <c r="C191" s="58" t="s">
        <v>556</v>
      </c>
      <c r="D191" s="58" t="s">
        <v>176</v>
      </c>
      <c r="E191" s="58" t="s">
        <v>176</v>
      </c>
      <c r="F191" s="58" t="s">
        <v>265</v>
      </c>
      <c r="G191" s="58" t="s">
        <v>266</v>
      </c>
      <c r="H191" s="58" t="s">
        <v>179</v>
      </c>
      <c r="I191">
        <v>38000</v>
      </c>
      <c r="J191">
        <v>38000</v>
      </c>
      <c r="K191" s="58" t="s">
        <v>185</v>
      </c>
      <c r="L191" s="74">
        <v>13.513</v>
      </c>
      <c r="M191" s="85">
        <v>14</v>
      </c>
      <c r="N191" s="74">
        <v>5.5679999999999996</v>
      </c>
      <c r="O191">
        <v>1</v>
      </c>
      <c r="P191" s="84">
        <v>4.1760000000000002</v>
      </c>
      <c r="Q191" s="86">
        <v>44.85</v>
      </c>
      <c r="R191" s="85">
        <v>44.85</v>
      </c>
      <c r="S191" s="87">
        <v>1905430</v>
      </c>
      <c r="T191" s="1">
        <v>6</v>
      </c>
      <c r="U191" s="88">
        <v>42484.503901895208</v>
      </c>
      <c r="V191" s="59">
        <v>23.537994048587457</v>
      </c>
    </row>
    <row r="192" spans="1:22">
      <c r="A192" s="58">
        <v>191</v>
      </c>
      <c r="B192" s="58">
        <v>191</v>
      </c>
      <c r="C192" s="58" t="s">
        <v>557</v>
      </c>
      <c r="D192" s="58" t="s">
        <v>176</v>
      </c>
      <c r="E192" s="58" t="s">
        <v>176</v>
      </c>
      <c r="F192" s="58" t="s">
        <v>269</v>
      </c>
      <c r="G192" s="58" t="s">
        <v>270</v>
      </c>
      <c r="H192" s="58" t="s">
        <v>179</v>
      </c>
      <c r="I192">
        <v>38000</v>
      </c>
      <c r="J192">
        <v>38000</v>
      </c>
      <c r="K192">
        <v>20000</v>
      </c>
      <c r="L192" s="74">
        <v>18.797000000000001</v>
      </c>
      <c r="M192" s="85">
        <v>19</v>
      </c>
      <c r="N192" s="74">
        <v>1.1040000000000001</v>
      </c>
      <c r="O192">
        <v>1</v>
      </c>
      <c r="P192" s="84">
        <v>0.82800000000000007</v>
      </c>
      <c r="Q192" s="86">
        <v>6.9</v>
      </c>
      <c r="R192" s="85">
        <v>6.9</v>
      </c>
      <c r="S192" s="87">
        <v>1906800</v>
      </c>
      <c r="T192" s="1">
        <v>2</v>
      </c>
      <c r="U192" s="88">
        <v>276347.82608695648</v>
      </c>
      <c r="V192" s="59">
        <v>3.6186280679672751</v>
      </c>
    </row>
    <row r="193" spans="1:22">
      <c r="A193" s="89">
        <v>192</v>
      </c>
      <c r="B193" s="89">
        <v>192</v>
      </c>
      <c r="C193" s="89" t="s">
        <v>558</v>
      </c>
      <c r="D193" s="58" t="s">
        <v>176</v>
      </c>
      <c r="E193" s="58" t="s">
        <v>176</v>
      </c>
      <c r="F193" s="89" t="s">
        <v>269</v>
      </c>
      <c r="G193" s="89" t="s">
        <v>270</v>
      </c>
      <c r="H193" s="89" t="s">
        <v>179</v>
      </c>
      <c r="I193" s="90">
        <v>38000</v>
      </c>
      <c r="J193" s="90">
        <v>38000</v>
      </c>
      <c r="K193" s="90">
        <v>20000</v>
      </c>
      <c r="L193" s="91">
        <v>14.896000000000001</v>
      </c>
      <c r="M193" s="92">
        <v>15</v>
      </c>
      <c r="N193" s="91">
        <v>15.406000000000001</v>
      </c>
      <c r="O193" s="90">
        <v>1</v>
      </c>
      <c r="P193" s="92">
        <v>11.554500000000001</v>
      </c>
      <c r="Q193" s="93">
        <v>124.2</v>
      </c>
      <c r="R193" s="92">
        <v>124.2</v>
      </c>
      <c r="S193" s="87">
        <v>5849260</v>
      </c>
      <c r="T193" s="94">
        <v>13</v>
      </c>
      <c r="U193" s="95">
        <v>47095.491143317231</v>
      </c>
      <c r="V193" s="96">
        <v>21.233455172107242</v>
      </c>
    </row>
    <row r="194" spans="1:22">
      <c r="A194" s="58">
        <v>193</v>
      </c>
      <c r="B194" s="58">
        <v>193</v>
      </c>
      <c r="C194" s="58" t="s">
        <v>559</v>
      </c>
      <c r="D194" s="58" t="s">
        <v>176</v>
      </c>
      <c r="E194" s="58" t="s">
        <v>176</v>
      </c>
      <c r="F194" s="58" t="s">
        <v>272</v>
      </c>
      <c r="G194" s="58" t="s">
        <v>273</v>
      </c>
      <c r="H194" s="58" t="s">
        <v>179</v>
      </c>
      <c r="I194">
        <v>38000</v>
      </c>
      <c r="J194">
        <v>38000</v>
      </c>
      <c r="K194" s="58" t="s">
        <v>185</v>
      </c>
      <c r="L194" s="74">
        <v>10.407999999999999</v>
      </c>
      <c r="M194" s="85">
        <v>11</v>
      </c>
      <c r="N194" s="74">
        <v>2.8610000000000002</v>
      </c>
      <c r="O194">
        <v>1</v>
      </c>
      <c r="P194" s="84">
        <v>2.14575</v>
      </c>
      <c r="Q194" s="86">
        <v>20.700000000000003</v>
      </c>
      <c r="R194" s="85">
        <v>20.700000000000003</v>
      </c>
      <c r="S194" s="87">
        <v>1120760</v>
      </c>
      <c r="T194" s="1">
        <v>4</v>
      </c>
      <c r="U194" s="88">
        <v>54142.995169082118</v>
      </c>
      <c r="V194" s="59">
        <v>18.469609907562727</v>
      </c>
    </row>
    <row r="195" spans="1:22">
      <c r="A195" s="58">
        <v>194</v>
      </c>
      <c r="B195" s="58">
        <v>194</v>
      </c>
      <c r="C195" s="58" t="s">
        <v>560</v>
      </c>
      <c r="D195" s="58" t="s">
        <v>176</v>
      </c>
      <c r="E195" s="58" t="s">
        <v>176</v>
      </c>
      <c r="F195" s="58" t="s">
        <v>265</v>
      </c>
      <c r="G195" s="58" t="s">
        <v>266</v>
      </c>
      <c r="H195" s="58" t="s">
        <v>179</v>
      </c>
      <c r="I195">
        <v>38000</v>
      </c>
      <c r="J195">
        <v>38000</v>
      </c>
      <c r="K195" s="58" t="s">
        <v>185</v>
      </c>
      <c r="L195" s="74">
        <v>5.569</v>
      </c>
      <c r="M195" s="85">
        <v>6</v>
      </c>
      <c r="N195" s="74">
        <v>2.1520000000000001</v>
      </c>
      <c r="O195">
        <v>1</v>
      </c>
      <c r="P195" s="84">
        <v>1.6140000000000001</v>
      </c>
      <c r="Q195" s="86">
        <v>17.25</v>
      </c>
      <c r="R195" s="85">
        <v>17.25</v>
      </c>
      <c r="S195" s="87">
        <v>769410</v>
      </c>
      <c r="T195" s="1">
        <v>4</v>
      </c>
      <c r="U195" s="88">
        <v>44603.478260869568</v>
      </c>
      <c r="V195" s="59">
        <v>22.419776192147228</v>
      </c>
    </row>
    <row r="196" spans="1:22">
      <c r="A196" s="58">
        <v>195</v>
      </c>
      <c r="B196" s="58">
        <v>195</v>
      </c>
      <c r="C196" s="58" t="s">
        <v>561</v>
      </c>
      <c r="D196" s="58" t="s">
        <v>176</v>
      </c>
      <c r="E196" s="58" t="s">
        <v>176</v>
      </c>
      <c r="F196" s="58" t="s">
        <v>265</v>
      </c>
      <c r="G196" s="58" t="s">
        <v>266</v>
      </c>
      <c r="H196" s="58" t="s">
        <v>179</v>
      </c>
      <c r="I196">
        <v>38000</v>
      </c>
      <c r="J196">
        <v>38000</v>
      </c>
      <c r="K196" s="58" t="s">
        <v>185</v>
      </c>
      <c r="L196" s="74">
        <v>7.0389999999999997</v>
      </c>
      <c r="M196" s="85">
        <v>8</v>
      </c>
      <c r="N196" s="74">
        <v>0.66300000000000003</v>
      </c>
      <c r="O196">
        <v>1</v>
      </c>
      <c r="P196" s="84">
        <v>0.49725000000000003</v>
      </c>
      <c r="Q196" s="86">
        <v>3.45</v>
      </c>
      <c r="R196" s="85">
        <v>3.45</v>
      </c>
      <c r="S196" s="87">
        <v>909950</v>
      </c>
      <c r="T196" s="1">
        <v>4</v>
      </c>
      <c r="U196" s="88">
        <v>263753.62318840576</v>
      </c>
      <c r="V196" s="59">
        <v>3.7914171108302654</v>
      </c>
    </row>
    <row r="197" spans="1:22">
      <c r="A197" s="89">
        <v>196</v>
      </c>
      <c r="B197" s="89">
        <v>196</v>
      </c>
      <c r="C197" s="89" t="s">
        <v>562</v>
      </c>
      <c r="D197" s="58" t="s">
        <v>176</v>
      </c>
      <c r="E197" s="58" t="s">
        <v>176</v>
      </c>
      <c r="F197" s="89" t="s">
        <v>285</v>
      </c>
      <c r="G197" s="89" t="s">
        <v>286</v>
      </c>
      <c r="H197" s="89" t="s">
        <v>179</v>
      </c>
      <c r="I197" s="90">
        <v>38000</v>
      </c>
      <c r="J197" s="90">
        <v>38000</v>
      </c>
      <c r="K197" s="90">
        <v>20000</v>
      </c>
      <c r="L197" s="91">
        <v>7.9240000000000004</v>
      </c>
      <c r="M197" s="92">
        <v>8</v>
      </c>
      <c r="N197" s="91">
        <v>9.9870000000000001</v>
      </c>
      <c r="O197" s="90">
        <v>1</v>
      </c>
      <c r="P197" s="92">
        <v>7.4902499999999996</v>
      </c>
      <c r="Q197" s="93">
        <v>79.350000000000009</v>
      </c>
      <c r="R197" s="92">
        <v>79.350000000000009</v>
      </c>
      <c r="S197" s="87">
        <v>2604940</v>
      </c>
      <c r="T197" s="94">
        <v>11</v>
      </c>
      <c r="U197" s="95">
        <v>32828.481411468172</v>
      </c>
      <c r="V197" s="96">
        <v>30.461354196257886</v>
      </c>
    </row>
    <row r="198" spans="1:22">
      <c r="A198" s="58">
        <v>197</v>
      </c>
      <c r="B198" s="58">
        <v>197</v>
      </c>
      <c r="C198" s="58" t="s">
        <v>563</v>
      </c>
      <c r="D198" s="58" t="s">
        <v>176</v>
      </c>
      <c r="E198" s="58" t="s">
        <v>176</v>
      </c>
      <c r="F198" s="58" t="s">
        <v>564</v>
      </c>
      <c r="G198" s="58" t="s">
        <v>565</v>
      </c>
      <c r="H198" s="58" t="s">
        <v>199</v>
      </c>
      <c r="I198">
        <v>110000</v>
      </c>
      <c r="L198" s="74">
        <v>5.5940000000000003</v>
      </c>
      <c r="M198" s="85">
        <v>6</v>
      </c>
      <c r="N198" s="74">
        <v>2.0630000000000002</v>
      </c>
      <c r="O198">
        <v>1</v>
      </c>
      <c r="P198" s="84">
        <v>1.54725</v>
      </c>
      <c r="Q198" s="86">
        <v>13.8</v>
      </c>
      <c r="R198" s="85">
        <v>13.8</v>
      </c>
      <c r="S198" s="87">
        <v>2016330</v>
      </c>
      <c r="T198" s="1">
        <v>8</v>
      </c>
      <c r="U198" s="88">
        <v>146110.86956521738</v>
      </c>
      <c r="V198" s="59">
        <v>6.8441177783398555</v>
      </c>
    </row>
    <row r="199" spans="1:22">
      <c r="A199" s="58">
        <v>198</v>
      </c>
      <c r="B199" s="58">
        <v>198</v>
      </c>
      <c r="C199" s="58" t="s">
        <v>566</v>
      </c>
      <c r="D199" s="58" t="s">
        <v>176</v>
      </c>
      <c r="E199" s="58" t="s">
        <v>176</v>
      </c>
      <c r="F199" s="58" t="s">
        <v>177</v>
      </c>
      <c r="G199" s="58" t="s">
        <v>178</v>
      </c>
      <c r="H199" s="58" t="s">
        <v>179</v>
      </c>
      <c r="I199">
        <v>38000</v>
      </c>
      <c r="J199">
        <v>38000</v>
      </c>
      <c r="K199">
        <v>20000</v>
      </c>
      <c r="L199" s="74">
        <v>9.1440000000000001</v>
      </c>
      <c r="M199" s="85">
        <v>10</v>
      </c>
      <c r="N199" s="74">
        <v>0.36899999999999999</v>
      </c>
      <c r="O199">
        <v>1</v>
      </c>
      <c r="P199" s="84">
        <v>0.36899999999999999</v>
      </c>
      <c r="Q199" s="86">
        <v>3.45</v>
      </c>
      <c r="R199" s="85">
        <v>3.45</v>
      </c>
      <c r="S199" s="87">
        <v>1387140</v>
      </c>
      <c r="T199" s="1">
        <v>1</v>
      </c>
      <c r="U199" s="88">
        <v>402069.5652173913</v>
      </c>
      <c r="V199" s="59">
        <v>2.487131796357974</v>
      </c>
    </row>
    <row r="200" spans="1:22">
      <c r="A200" s="89">
        <v>199</v>
      </c>
      <c r="B200" s="89">
        <v>199</v>
      </c>
      <c r="C200" s="89" t="s">
        <v>567</v>
      </c>
      <c r="D200" s="58" t="s">
        <v>176</v>
      </c>
      <c r="E200" s="58" t="s">
        <v>176</v>
      </c>
      <c r="F200" s="89" t="s">
        <v>177</v>
      </c>
      <c r="G200" s="89" t="s">
        <v>178</v>
      </c>
      <c r="H200" s="89" t="s">
        <v>179</v>
      </c>
      <c r="I200" s="90">
        <v>38000</v>
      </c>
      <c r="J200" s="90">
        <v>38000</v>
      </c>
      <c r="K200" s="90">
        <v>20000</v>
      </c>
      <c r="L200" s="91">
        <v>8.532</v>
      </c>
      <c r="M200" s="92">
        <v>9</v>
      </c>
      <c r="N200" s="91">
        <v>6.7430000000000003</v>
      </c>
      <c r="O200" s="90">
        <v>1</v>
      </c>
      <c r="P200" s="92">
        <v>5.0572499999999998</v>
      </c>
      <c r="Q200" s="93">
        <v>55.2</v>
      </c>
      <c r="R200" s="92">
        <v>55.2</v>
      </c>
      <c r="S200" s="87">
        <v>2815750</v>
      </c>
      <c r="T200" s="94">
        <v>11</v>
      </c>
      <c r="U200" s="95">
        <v>51009.963768115937</v>
      </c>
      <c r="V200" s="96">
        <v>19.604013140371126</v>
      </c>
    </row>
    <row r="201" spans="1:22">
      <c r="A201" s="58">
        <v>200</v>
      </c>
      <c r="B201" s="58">
        <v>200</v>
      </c>
      <c r="C201" s="58" t="s">
        <v>568</v>
      </c>
      <c r="D201" s="58" t="s">
        <v>176</v>
      </c>
      <c r="E201" s="58" t="s">
        <v>176</v>
      </c>
      <c r="F201" s="58" t="s">
        <v>177</v>
      </c>
      <c r="G201" s="58" t="s">
        <v>178</v>
      </c>
      <c r="H201" s="58" t="s">
        <v>179</v>
      </c>
      <c r="I201">
        <v>38000</v>
      </c>
      <c r="J201">
        <v>38000</v>
      </c>
      <c r="K201">
        <v>20000</v>
      </c>
      <c r="L201" s="74">
        <v>5.3710000000000004</v>
      </c>
      <c r="M201" s="85">
        <v>6</v>
      </c>
      <c r="N201" s="74">
        <v>1.1839999999999999</v>
      </c>
      <c r="O201">
        <v>1</v>
      </c>
      <c r="P201" s="84">
        <v>0.8879999999999999</v>
      </c>
      <c r="Q201" s="86">
        <v>6.9</v>
      </c>
      <c r="R201" s="85">
        <v>6.9</v>
      </c>
      <c r="S201" s="87">
        <v>769410</v>
      </c>
      <c r="T201" s="1">
        <v>4</v>
      </c>
      <c r="U201" s="88">
        <v>111508.6956521739</v>
      </c>
      <c r="V201" s="59">
        <v>8.9679104768588918</v>
      </c>
    </row>
    <row r="202" spans="1:22">
      <c r="A202" s="89">
        <v>201</v>
      </c>
      <c r="B202" s="89">
        <v>201</v>
      </c>
      <c r="C202" s="89" t="s">
        <v>569</v>
      </c>
      <c r="D202" s="58" t="s">
        <v>176</v>
      </c>
      <c r="E202" s="58" t="s">
        <v>176</v>
      </c>
      <c r="F202" s="89" t="s">
        <v>262</v>
      </c>
      <c r="G202" s="89" t="s">
        <v>263</v>
      </c>
      <c r="H202" s="89" t="s">
        <v>179</v>
      </c>
      <c r="I202" s="90">
        <v>38000</v>
      </c>
      <c r="J202" s="89" t="s">
        <v>185</v>
      </c>
      <c r="K202" s="90">
        <v>38000</v>
      </c>
      <c r="L202" s="91">
        <v>8.2789999999999999</v>
      </c>
      <c r="M202" s="92">
        <v>9</v>
      </c>
      <c r="N202" s="91">
        <v>17.913</v>
      </c>
      <c r="O202" s="90">
        <v>1</v>
      </c>
      <c r="P202" s="92">
        <v>13.434750000000001</v>
      </c>
      <c r="Q202" s="93">
        <v>144.9</v>
      </c>
      <c r="R202" s="92">
        <v>144.9</v>
      </c>
      <c r="S202" s="87">
        <v>4339180</v>
      </c>
      <c r="T202" s="94">
        <v>12</v>
      </c>
      <c r="U202" s="95">
        <v>29946.031746031746</v>
      </c>
      <c r="V202" s="96">
        <v>33.393406127424996</v>
      </c>
    </row>
    <row r="203" spans="1:22">
      <c r="A203" s="58">
        <v>202</v>
      </c>
      <c r="B203" s="58">
        <v>202</v>
      </c>
      <c r="C203" s="58" t="s">
        <v>570</v>
      </c>
      <c r="D203" s="58" t="s">
        <v>176</v>
      </c>
      <c r="E203" s="58" t="s">
        <v>176</v>
      </c>
      <c r="F203" s="58" t="s">
        <v>262</v>
      </c>
      <c r="G203" s="58" t="s">
        <v>263</v>
      </c>
      <c r="H203" s="58" t="s">
        <v>179</v>
      </c>
      <c r="I203">
        <v>38000</v>
      </c>
      <c r="J203" s="58" t="s">
        <v>185</v>
      </c>
      <c r="K203">
        <v>38000</v>
      </c>
      <c r="L203" s="74">
        <v>13.340999999999999</v>
      </c>
      <c r="M203" s="85">
        <v>14</v>
      </c>
      <c r="N203" s="74">
        <v>0.96599999999999997</v>
      </c>
      <c r="O203">
        <v>1</v>
      </c>
      <c r="P203" s="84">
        <v>0.72449999999999992</v>
      </c>
      <c r="Q203" s="86">
        <v>6.9</v>
      </c>
      <c r="R203" s="85">
        <v>6.9</v>
      </c>
      <c r="S203" s="87">
        <v>1643300</v>
      </c>
      <c r="T203" s="1">
        <v>2</v>
      </c>
      <c r="U203" s="88">
        <v>238159.42028985507</v>
      </c>
      <c r="V203" s="59">
        <v>4.1988681311994158</v>
      </c>
    </row>
    <row r="204" spans="1:22">
      <c r="A204" s="58">
        <v>203</v>
      </c>
      <c r="B204" s="58">
        <v>203</v>
      </c>
      <c r="C204" s="58" t="s">
        <v>571</v>
      </c>
      <c r="D204" s="58" t="s">
        <v>176</v>
      </c>
      <c r="E204" s="58" t="s">
        <v>176</v>
      </c>
      <c r="F204" s="58" t="s">
        <v>269</v>
      </c>
      <c r="G204" s="58" t="s">
        <v>270</v>
      </c>
      <c r="H204" s="58" t="s">
        <v>179</v>
      </c>
      <c r="I204">
        <v>38000</v>
      </c>
      <c r="J204">
        <v>38000</v>
      </c>
      <c r="K204">
        <v>20000</v>
      </c>
      <c r="L204" s="74">
        <v>16.988</v>
      </c>
      <c r="M204" s="85">
        <v>17</v>
      </c>
      <c r="N204" s="74">
        <v>1.43</v>
      </c>
      <c r="O204">
        <v>1</v>
      </c>
      <c r="P204" s="84">
        <v>1.0725</v>
      </c>
      <c r="Q204" s="86">
        <v>10.350000000000001</v>
      </c>
      <c r="R204" s="85">
        <v>10.350000000000001</v>
      </c>
      <c r="S204" s="87">
        <v>1838450</v>
      </c>
      <c r="T204" s="1">
        <v>3</v>
      </c>
      <c r="U204" s="88">
        <v>177628.01932367147</v>
      </c>
      <c r="V204" s="59">
        <v>5.6297424460822985</v>
      </c>
    </row>
    <row r="205" spans="1:22">
      <c r="A205" s="89">
        <v>204</v>
      </c>
      <c r="B205" s="89">
        <v>204</v>
      </c>
      <c r="C205" s="89" t="s">
        <v>572</v>
      </c>
      <c r="D205" s="58" t="s">
        <v>215</v>
      </c>
      <c r="E205" s="58" t="s">
        <v>176</v>
      </c>
      <c r="F205" s="89" t="s">
        <v>257</v>
      </c>
      <c r="G205" s="89" t="s">
        <v>258</v>
      </c>
      <c r="H205" s="89" t="s">
        <v>179</v>
      </c>
      <c r="I205" s="90">
        <v>38000</v>
      </c>
      <c r="J205" s="90">
        <v>38000</v>
      </c>
      <c r="K205" s="90">
        <v>20000</v>
      </c>
      <c r="L205" s="91">
        <v>8.6289999999999996</v>
      </c>
      <c r="M205" s="92">
        <v>9</v>
      </c>
      <c r="N205" s="91">
        <v>12.789</v>
      </c>
      <c r="O205" s="90">
        <v>1</v>
      </c>
      <c r="P205" s="92">
        <v>9.5917499999999993</v>
      </c>
      <c r="Q205" s="93">
        <v>103.5</v>
      </c>
      <c r="R205" s="92">
        <v>103.5</v>
      </c>
      <c r="S205" s="87">
        <v>2815750</v>
      </c>
      <c r="T205" s="94">
        <v>11</v>
      </c>
      <c r="U205" s="95">
        <v>27205.314009661837</v>
      </c>
      <c r="V205" s="96">
        <v>36.757524638195861</v>
      </c>
    </row>
    <row r="206" spans="1:22">
      <c r="A206" s="58">
        <v>205</v>
      </c>
      <c r="B206" s="58">
        <v>205</v>
      </c>
      <c r="C206" s="58" t="s">
        <v>573</v>
      </c>
      <c r="D206" s="58" t="s">
        <v>176</v>
      </c>
      <c r="E206" s="58" t="s">
        <v>176</v>
      </c>
      <c r="F206" s="58" t="s">
        <v>222</v>
      </c>
      <c r="G206" s="58" t="s">
        <v>223</v>
      </c>
      <c r="H206" s="58" t="s">
        <v>179</v>
      </c>
      <c r="I206">
        <v>38000</v>
      </c>
      <c r="J206">
        <v>38000</v>
      </c>
      <c r="K206">
        <v>20000</v>
      </c>
      <c r="L206" s="74">
        <v>3.383</v>
      </c>
      <c r="M206" s="85">
        <v>4</v>
      </c>
      <c r="N206" s="74">
        <v>3.72</v>
      </c>
      <c r="O206">
        <v>1</v>
      </c>
      <c r="P206" s="84">
        <v>2.79</v>
      </c>
      <c r="Q206" s="86">
        <v>27.6</v>
      </c>
      <c r="R206" s="85">
        <v>27.6</v>
      </c>
      <c r="S206" s="87">
        <v>703110</v>
      </c>
      <c r="T206" s="1">
        <v>5</v>
      </c>
      <c r="U206" s="88">
        <v>25475</v>
      </c>
      <c r="V206" s="59">
        <v>39.254170755642789</v>
      </c>
    </row>
    <row r="207" spans="1:22">
      <c r="A207" s="58">
        <v>206</v>
      </c>
      <c r="B207" s="58">
        <v>206</v>
      </c>
      <c r="C207" s="58" t="s">
        <v>574</v>
      </c>
      <c r="D207" s="58" t="s">
        <v>176</v>
      </c>
      <c r="E207" s="58" t="s">
        <v>176</v>
      </c>
      <c r="F207" s="58" t="s">
        <v>222</v>
      </c>
      <c r="G207" s="58" t="s">
        <v>223</v>
      </c>
      <c r="H207" s="58" t="s">
        <v>179</v>
      </c>
      <c r="I207">
        <v>38000</v>
      </c>
      <c r="J207">
        <v>38000</v>
      </c>
      <c r="K207">
        <v>20000</v>
      </c>
      <c r="L207" s="74">
        <v>14.468</v>
      </c>
      <c r="M207" s="85">
        <v>15</v>
      </c>
      <c r="N207" s="74">
        <v>2.6440000000000001</v>
      </c>
      <c r="O207">
        <v>1</v>
      </c>
      <c r="P207" s="84">
        <v>1.9830000000000001</v>
      </c>
      <c r="Q207" s="86">
        <v>20.700000000000003</v>
      </c>
      <c r="R207" s="85">
        <v>20.700000000000003</v>
      </c>
      <c r="S207" s="87">
        <v>1401840</v>
      </c>
      <c r="T207" s="1">
        <v>4</v>
      </c>
      <c r="U207" s="88">
        <v>67721.739130434769</v>
      </c>
      <c r="V207" s="59">
        <v>14.766307139188498</v>
      </c>
    </row>
    <row r="208" spans="1:22">
      <c r="A208" s="89">
        <v>207</v>
      </c>
      <c r="B208" s="89">
        <v>207</v>
      </c>
      <c r="C208" s="89" t="s">
        <v>575</v>
      </c>
      <c r="D208" s="58" t="s">
        <v>176</v>
      </c>
      <c r="E208" s="58" t="s">
        <v>176</v>
      </c>
      <c r="F208" s="89" t="s">
        <v>222</v>
      </c>
      <c r="G208" s="89" t="s">
        <v>223</v>
      </c>
      <c r="H208" s="89" t="s">
        <v>179</v>
      </c>
      <c r="I208" s="90">
        <v>38000</v>
      </c>
      <c r="J208" s="90">
        <v>38000</v>
      </c>
      <c r="K208" s="90">
        <v>20000</v>
      </c>
      <c r="L208" s="91">
        <v>8.9459999999999997</v>
      </c>
      <c r="M208" s="92">
        <v>9</v>
      </c>
      <c r="N208" s="91">
        <v>15.538</v>
      </c>
      <c r="O208" s="90">
        <v>1</v>
      </c>
      <c r="P208" s="92">
        <v>11.653500000000001</v>
      </c>
      <c r="Q208" s="93">
        <v>127.65</v>
      </c>
      <c r="R208" s="92">
        <v>127.65</v>
      </c>
      <c r="S208" s="87">
        <v>4339180</v>
      </c>
      <c r="T208" s="94">
        <v>12</v>
      </c>
      <c r="U208" s="95">
        <v>33992.792792792789</v>
      </c>
      <c r="V208" s="96">
        <v>29.418000636064878</v>
      </c>
    </row>
    <row r="209" spans="1:22">
      <c r="A209" s="89">
        <v>208</v>
      </c>
      <c r="B209" s="89">
        <v>208</v>
      </c>
      <c r="C209" s="89" t="s">
        <v>576</v>
      </c>
      <c r="D209" s="58" t="s">
        <v>176</v>
      </c>
      <c r="E209" s="58" t="s">
        <v>176</v>
      </c>
      <c r="F209" s="89" t="s">
        <v>290</v>
      </c>
      <c r="G209" s="89" t="s">
        <v>291</v>
      </c>
      <c r="H209" s="89" t="s">
        <v>179</v>
      </c>
      <c r="I209" s="90">
        <v>38000</v>
      </c>
      <c r="J209" s="90">
        <v>38000</v>
      </c>
      <c r="K209" s="90">
        <v>20000</v>
      </c>
      <c r="L209" s="91">
        <v>3.081</v>
      </c>
      <c r="M209" s="92">
        <v>4</v>
      </c>
      <c r="N209" s="91">
        <v>6.5780000000000003</v>
      </c>
      <c r="O209" s="90">
        <v>1</v>
      </c>
      <c r="P209" s="92">
        <v>4.9335000000000004</v>
      </c>
      <c r="Q209" s="93">
        <v>51.75</v>
      </c>
      <c r="R209" s="92">
        <v>51.75</v>
      </c>
      <c r="S209" s="87">
        <v>1761700</v>
      </c>
      <c r="T209" s="94">
        <v>11</v>
      </c>
      <c r="U209" s="95">
        <v>34042.512077294683</v>
      </c>
      <c r="V209" s="96">
        <v>29.375035477095988</v>
      </c>
    </row>
    <row r="210" spans="1:22">
      <c r="A210" s="89">
        <v>209</v>
      </c>
      <c r="B210" s="89">
        <v>209</v>
      </c>
      <c r="C210" s="89" t="s">
        <v>577</v>
      </c>
      <c r="D210" s="58" t="s">
        <v>176</v>
      </c>
      <c r="E210" s="58" t="s">
        <v>176</v>
      </c>
      <c r="F210" s="89" t="s">
        <v>290</v>
      </c>
      <c r="G210" s="89" t="s">
        <v>291</v>
      </c>
      <c r="H210" s="89" t="s">
        <v>179</v>
      </c>
      <c r="I210" s="90">
        <v>38000</v>
      </c>
      <c r="J210" s="90">
        <v>38000</v>
      </c>
      <c r="K210" s="90">
        <v>20000</v>
      </c>
      <c r="L210" s="91">
        <v>7.9950000000000001</v>
      </c>
      <c r="M210" s="92">
        <v>8</v>
      </c>
      <c r="N210" s="91">
        <v>8.5820000000000007</v>
      </c>
      <c r="O210" s="90">
        <v>1</v>
      </c>
      <c r="P210" s="92">
        <v>6.4365000000000006</v>
      </c>
      <c r="Q210" s="93">
        <v>69</v>
      </c>
      <c r="R210" s="92">
        <v>69</v>
      </c>
      <c r="S210" s="87">
        <v>2604940</v>
      </c>
      <c r="T210" s="94">
        <v>11</v>
      </c>
      <c r="U210" s="95">
        <v>37752.753623188408</v>
      </c>
      <c r="V210" s="96">
        <v>26.488134083702505</v>
      </c>
    </row>
    <row r="211" spans="1:22">
      <c r="A211" s="89">
        <v>210</v>
      </c>
      <c r="B211" s="89">
        <v>210</v>
      </c>
      <c r="C211" s="89" t="s">
        <v>578</v>
      </c>
      <c r="D211" s="58" t="s">
        <v>176</v>
      </c>
      <c r="E211" s="58" t="s">
        <v>176</v>
      </c>
      <c r="F211" s="89" t="s">
        <v>222</v>
      </c>
      <c r="G211" s="89" t="s">
        <v>223</v>
      </c>
      <c r="H211" s="89" t="s">
        <v>179</v>
      </c>
      <c r="I211" s="90">
        <v>38000</v>
      </c>
      <c r="J211" s="90">
        <v>38000</v>
      </c>
      <c r="K211" s="90">
        <v>20000</v>
      </c>
      <c r="L211" s="91">
        <v>7.843</v>
      </c>
      <c r="M211" s="92">
        <v>8</v>
      </c>
      <c r="N211" s="91">
        <v>10.34</v>
      </c>
      <c r="O211" s="90">
        <v>1</v>
      </c>
      <c r="P211" s="92">
        <v>7.7549999999999999</v>
      </c>
      <c r="Q211" s="93">
        <v>82.800000000000011</v>
      </c>
      <c r="R211" s="92">
        <v>82.800000000000011</v>
      </c>
      <c r="S211" s="87">
        <v>2604940</v>
      </c>
      <c r="T211" s="94">
        <v>11</v>
      </c>
      <c r="U211" s="95">
        <v>31460.628019323667</v>
      </c>
      <c r="V211" s="96">
        <v>31.785760900443009</v>
      </c>
    </row>
    <row r="212" spans="1:22">
      <c r="A212" s="89">
        <v>211</v>
      </c>
      <c r="B212" s="89">
        <v>211</v>
      </c>
      <c r="C212" s="89" t="s">
        <v>579</v>
      </c>
      <c r="D212" s="58" t="s">
        <v>176</v>
      </c>
      <c r="E212" s="58" t="s">
        <v>176</v>
      </c>
      <c r="F212" s="89" t="s">
        <v>580</v>
      </c>
      <c r="G212" s="89" t="s">
        <v>581</v>
      </c>
      <c r="H212" s="89" t="s">
        <v>179</v>
      </c>
      <c r="I212" s="90">
        <v>38000</v>
      </c>
      <c r="J212" s="90">
        <v>38000</v>
      </c>
      <c r="K212" s="90">
        <v>10000</v>
      </c>
      <c r="L212" s="91">
        <v>9.1329999999999991</v>
      </c>
      <c r="M212" s="92">
        <v>10</v>
      </c>
      <c r="N212" s="91">
        <v>16.492000000000001</v>
      </c>
      <c r="O212" s="90">
        <v>1</v>
      </c>
      <c r="P212" s="92">
        <v>12.369</v>
      </c>
      <c r="Q212" s="93">
        <v>134.55000000000001</v>
      </c>
      <c r="R212" s="92">
        <v>134.55000000000001</v>
      </c>
      <c r="S212" s="87">
        <v>4719260</v>
      </c>
      <c r="T212" s="94">
        <v>12</v>
      </c>
      <c r="U212" s="95">
        <v>35074.396135265699</v>
      </c>
      <c r="V212" s="96">
        <v>28.510825849815436</v>
      </c>
    </row>
    <row r="213" spans="1:22">
      <c r="A213" s="58">
        <v>212</v>
      </c>
      <c r="B213" s="58">
        <v>212</v>
      </c>
      <c r="C213" s="58" t="s">
        <v>582</v>
      </c>
      <c r="D213" s="58" t="s">
        <v>176</v>
      </c>
      <c r="E213" s="58" t="s">
        <v>176</v>
      </c>
      <c r="F213" s="58" t="s">
        <v>290</v>
      </c>
      <c r="G213" s="58" t="s">
        <v>291</v>
      </c>
      <c r="H213" s="58" t="s">
        <v>179</v>
      </c>
      <c r="I213">
        <v>38000</v>
      </c>
      <c r="J213">
        <v>38000</v>
      </c>
      <c r="K213">
        <v>20000</v>
      </c>
      <c r="L213" s="74">
        <v>4.0179999999999998</v>
      </c>
      <c r="M213" s="85">
        <v>5</v>
      </c>
      <c r="N213" s="74">
        <v>4.3129999999999997</v>
      </c>
      <c r="O213">
        <v>1</v>
      </c>
      <c r="P213" s="84">
        <v>3.23475</v>
      </c>
      <c r="Q213" s="86">
        <v>34.5</v>
      </c>
      <c r="R213" s="85">
        <v>34.5</v>
      </c>
      <c r="S213" s="87">
        <v>904090</v>
      </c>
      <c r="T213" s="1">
        <v>6</v>
      </c>
      <c r="U213" s="88">
        <v>26205.507246376812</v>
      </c>
      <c r="V213" s="59">
        <v>38.159917707307898</v>
      </c>
    </row>
    <row r="214" spans="1:22">
      <c r="A214" s="58">
        <v>213</v>
      </c>
      <c r="B214" s="58">
        <v>213</v>
      </c>
      <c r="C214" s="58" t="s">
        <v>583</v>
      </c>
      <c r="D214" s="58" t="s">
        <v>197</v>
      </c>
      <c r="E214" s="58" t="s">
        <v>197</v>
      </c>
      <c r="F214" s="58" t="s">
        <v>299</v>
      </c>
      <c r="G214" s="58" t="s">
        <v>300</v>
      </c>
      <c r="H214" s="58" t="s">
        <v>179</v>
      </c>
      <c r="I214">
        <v>38000</v>
      </c>
      <c r="J214">
        <v>38000</v>
      </c>
      <c r="K214" s="58" t="s">
        <v>185</v>
      </c>
      <c r="L214" s="74">
        <v>21.669</v>
      </c>
      <c r="M214" s="85">
        <v>22</v>
      </c>
      <c r="N214" s="74">
        <v>1.913</v>
      </c>
      <c r="O214">
        <v>1</v>
      </c>
      <c r="P214" s="84">
        <v>1.43475</v>
      </c>
      <c r="Q214" s="86">
        <v>13.8</v>
      </c>
      <c r="R214" s="85">
        <v>13.8</v>
      </c>
      <c r="S214" s="87">
        <v>1893730</v>
      </c>
      <c r="T214" s="1">
        <v>4</v>
      </c>
      <c r="U214" s="88">
        <v>137226.81159420288</v>
      </c>
      <c r="V214" s="59">
        <v>7.2872056734592574</v>
      </c>
    </row>
    <row r="215" spans="1:22">
      <c r="A215" s="58">
        <v>214</v>
      </c>
      <c r="B215" s="58">
        <v>214</v>
      </c>
      <c r="C215" s="58" t="s">
        <v>584</v>
      </c>
      <c r="D215" s="58" t="s">
        <v>197</v>
      </c>
      <c r="E215" s="58" t="s">
        <v>197</v>
      </c>
      <c r="F215" s="58" t="s">
        <v>299</v>
      </c>
      <c r="G215" s="58" t="s">
        <v>300</v>
      </c>
      <c r="H215" s="58" t="s">
        <v>179</v>
      </c>
      <c r="I215">
        <v>38000</v>
      </c>
      <c r="J215">
        <v>38000</v>
      </c>
      <c r="K215" s="58" t="s">
        <v>185</v>
      </c>
      <c r="L215" s="74">
        <v>22.972000000000001</v>
      </c>
      <c r="M215" s="85">
        <v>23</v>
      </c>
      <c r="N215" s="74">
        <v>4.0039999999999996</v>
      </c>
      <c r="O215">
        <v>1</v>
      </c>
      <c r="P215" s="84">
        <v>3.0029999999999997</v>
      </c>
      <c r="Q215" s="86">
        <v>31.05</v>
      </c>
      <c r="R215" s="85">
        <v>31.05</v>
      </c>
      <c r="S215" s="87">
        <v>2906770</v>
      </c>
      <c r="T215" s="1">
        <v>6</v>
      </c>
      <c r="U215" s="88">
        <v>93615.780998389688</v>
      </c>
      <c r="V215" s="59">
        <v>10.681959700973934</v>
      </c>
    </row>
    <row r="216" spans="1:22">
      <c r="A216" s="58">
        <v>215</v>
      </c>
      <c r="B216" s="58">
        <v>215</v>
      </c>
      <c r="C216" s="58" t="s">
        <v>585</v>
      </c>
      <c r="D216" s="58" t="s">
        <v>197</v>
      </c>
      <c r="E216" s="58" t="s">
        <v>197</v>
      </c>
      <c r="F216" s="58" t="s">
        <v>486</v>
      </c>
      <c r="G216" s="58" t="s">
        <v>487</v>
      </c>
      <c r="H216" s="58" t="s">
        <v>179</v>
      </c>
      <c r="I216">
        <v>38000</v>
      </c>
      <c r="J216">
        <v>38000</v>
      </c>
      <c r="K216" s="58" t="s">
        <v>185</v>
      </c>
      <c r="L216" s="74">
        <v>19.212</v>
      </c>
      <c r="M216" s="85">
        <v>20</v>
      </c>
      <c r="N216" s="74">
        <v>1.345</v>
      </c>
      <c r="O216">
        <v>1</v>
      </c>
      <c r="P216" s="84">
        <v>1.00875</v>
      </c>
      <c r="Q216" s="86">
        <v>10.350000000000001</v>
      </c>
      <c r="R216" s="85">
        <v>10.350000000000001</v>
      </c>
      <c r="S216" s="87">
        <v>1996550</v>
      </c>
      <c r="T216" s="1">
        <v>3</v>
      </c>
      <c r="U216" s="88">
        <v>192903.38164251205</v>
      </c>
      <c r="V216" s="59">
        <v>5.183942300468309</v>
      </c>
    </row>
    <row r="217" spans="1:22">
      <c r="A217" s="58">
        <v>216</v>
      </c>
      <c r="B217" s="58">
        <v>216</v>
      </c>
      <c r="C217" s="58" t="s">
        <v>586</v>
      </c>
      <c r="D217" s="58" t="s">
        <v>197</v>
      </c>
      <c r="E217" s="58" t="s">
        <v>197</v>
      </c>
      <c r="F217" s="58" t="s">
        <v>486</v>
      </c>
      <c r="G217" s="58" t="s">
        <v>487</v>
      </c>
      <c r="H217" s="58" t="s">
        <v>179</v>
      </c>
      <c r="I217">
        <v>38000</v>
      </c>
      <c r="J217">
        <v>38000</v>
      </c>
      <c r="K217" s="58" t="s">
        <v>185</v>
      </c>
      <c r="L217" s="74">
        <v>19.128</v>
      </c>
      <c r="M217" s="85">
        <v>20</v>
      </c>
      <c r="N217" s="74">
        <v>0.55400000000000005</v>
      </c>
      <c r="O217">
        <v>1</v>
      </c>
      <c r="P217" s="84">
        <v>0.55400000000000005</v>
      </c>
      <c r="Q217" s="86">
        <v>3.45</v>
      </c>
      <c r="R217" s="85">
        <v>3.45</v>
      </c>
      <c r="S217" s="87">
        <v>1914140</v>
      </c>
      <c r="T217" s="1">
        <v>1</v>
      </c>
      <c r="U217" s="88">
        <v>554823.18840579712</v>
      </c>
      <c r="V217" s="59">
        <v>1.8023760017553574</v>
      </c>
    </row>
    <row r="218" spans="1:22">
      <c r="A218" s="58">
        <v>217</v>
      </c>
      <c r="B218" s="58">
        <v>217</v>
      </c>
      <c r="C218" s="58" t="s">
        <v>587</v>
      </c>
      <c r="D218" s="58" t="s">
        <v>182</v>
      </c>
      <c r="E218" s="58" t="s">
        <v>182</v>
      </c>
      <c r="F218" s="58" t="s">
        <v>183</v>
      </c>
      <c r="G218" s="58" t="s">
        <v>184</v>
      </c>
      <c r="H218" s="58" t="s">
        <v>179</v>
      </c>
      <c r="I218">
        <v>38000</v>
      </c>
      <c r="J218">
        <v>38000</v>
      </c>
      <c r="K218" s="58" t="s">
        <v>185</v>
      </c>
      <c r="L218" s="74">
        <v>13.741</v>
      </c>
      <c r="M218" s="85">
        <v>14</v>
      </c>
      <c r="N218" s="74">
        <v>5.4850000000000003</v>
      </c>
      <c r="O218">
        <v>1</v>
      </c>
      <c r="P218" s="84">
        <v>4.1137500000000005</v>
      </c>
      <c r="Q218" s="86">
        <v>44.85</v>
      </c>
      <c r="R218" s="85">
        <v>44.85</v>
      </c>
      <c r="S218" s="87">
        <v>1905430</v>
      </c>
      <c r="T218" s="1">
        <v>6</v>
      </c>
      <c r="U218" s="88">
        <v>42484.503901895208</v>
      </c>
      <c r="V218" s="59">
        <v>23.537994048587457</v>
      </c>
    </row>
    <row r="219" spans="1:22">
      <c r="A219" s="58">
        <v>218</v>
      </c>
      <c r="B219" s="58">
        <v>218</v>
      </c>
      <c r="C219" s="58" t="s">
        <v>588</v>
      </c>
      <c r="D219" s="58" t="s">
        <v>182</v>
      </c>
      <c r="E219" s="58" t="s">
        <v>182</v>
      </c>
      <c r="F219" s="58" t="s">
        <v>183</v>
      </c>
      <c r="G219" s="58" t="s">
        <v>184</v>
      </c>
      <c r="H219" s="58" t="s">
        <v>179</v>
      </c>
      <c r="I219">
        <v>38000</v>
      </c>
      <c r="J219">
        <v>38000</v>
      </c>
      <c r="K219" s="58" t="s">
        <v>185</v>
      </c>
      <c r="L219" s="74">
        <v>3.6949999999999998</v>
      </c>
      <c r="M219" s="85">
        <v>4</v>
      </c>
      <c r="N219" s="74">
        <v>2.9830000000000001</v>
      </c>
      <c r="O219">
        <v>1</v>
      </c>
      <c r="P219" s="84">
        <v>2.23725</v>
      </c>
      <c r="Q219" s="86">
        <v>24.150000000000006</v>
      </c>
      <c r="R219" s="85">
        <v>24.150000000000006</v>
      </c>
      <c r="S219" s="87">
        <v>703110</v>
      </c>
      <c r="T219" s="1">
        <v>5</v>
      </c>
      <c r="U219" s="88">
        <v>29114.285714285706</v>
      </c>
      <c r="V219" s="59">
        <v>34.347399411187446</v>
      </c>
    </row>
    <row r="220" spans="1:22">
      <c r="A220" s="89">
        <v>219</v>
      </c>
      <c r="B220" s="89">
        <v>219</v>
      </c>
      <c r="C220" s="89" t="s">
        <v>589</v>
      </c>
      <c r="D220" s="58" t="s">
        <v>182</v>
      </c>
      <c r="E220" s="58" t="s">
        <v>182</v>
      </c>
      <c r="F220" s="89" t="s">
        <v>302</v>
      </c>
      <c r="G220" s="89" t="s">
        <v>303</v>
      </c>
      <c r="H220" s="89" t="s">
        <v>179</v>
      </c>
      <c r="I220" s="90">
        <v>38000</v>
      </c>
      <c r="J220" s="90">
        <v>38000</v>
      </c>
      <c r="K220" s="89" t="s">
        <v>185</v>
      </c>
      <c r="L220" s="91">
        <v>6.2629999999999999</v>
      </c>
      <c r="M220" s="92">
        <v>7</v>
      </c>
      <c r="N220" s="91">
        <v>11.505000000000001</v>
      </c>
      <c r="O220" s="90">
        <v>1</v>
      </c>
      <c r="P220" s="92">
        <v>8.6287500000000001</v>
      </c>
      <c r="Q220" s="93">
        <v>93.15</v>
      </c>
      <c r="R220" s="92">
        <v>93.15</v>
      </c>
      <c r="S220" s="87">
        <v>2394130</v>
      </c>
      <c r="T220" s="94">
        <v>11</v>
      </c>
      <c r="U220" s="95">
        <v>25701.878690284484</v>
      </c>
      <c r="V220" s="96">
        <v>38.907661655799814</v>
      </c>
    </row>
    <row r="221" spans="1:22">
      <c r="A221" s="58">
        <v>220</v>
      </c>
      <c r="B221" s="58">
        <v>220</v>
      </c>
      <c r="C221" s="58" t="s">
        <v>590</v>
      </c>
      <c r="D221" s="58" t="s">
        <v>182</v>
      </c>
      <c r="E221" s="58" t="s">
        <v>182</v>
      </c>
      <c r="F221" s="58" t="s">
        <v>183</v>
      </c>
      <c r="G221" s="58" t="s">
        <v>184</v>
      </c>
      <c r="H221" s="58" t="s">
        <v>179</v>
      </c>
      <c r="I221">
        <v>38000</v>
      </c>
      <c r="J221">
        <v>38000</v>
      </c>
      <c r="K221" s="58" t="s">
        <v>185</v>
      </c>
      <c r="L221" s="74">
        <v>7.1210000000000004</v>
      </c>
      <c r="M221" s="85">
        <v>8</v>
      </c>
      <c r="N221" s="74">
        <v>1.63</v>
      </c>
      <c r="O221">
        <v>1</v>
      </c>
      <c r="P221" s="84">
        <v>1.2224999999999999</v>
      </c>
      <c r="Q221" s="86">
        <v>10.350000000000001</v>
      </c>
      <c r="R221" s="85">
        <v>10.350000000000001</v>
      </c>
      <c r="S221" s="87">
        <v>909950</v>
      </c>
      <c r="T221" s="1">
        <v>4</v>
      </c>
      <c r="U221" s="88">
        <v>87917.874396135259</v>
      </c>
      <c r="V221" s="59">
        <v>11.374251332490799</v>
      </c>
    </row>
    <row r="222" spans="1:22">
      <c r="A222" s="58">
        <v>221</v>
      </c>
      <c r="B222" s="58">
        <v>221</v>
      </c>
      <c r="C222" s="58" t="s">
        <v>591</v>
      </c>
      <c r="D222" s="58" t="s">
        <v>182</v>
      </c>
      <c r="E222" s="58" t="s">
        <v>182</v>
      </c>
      <c r="F222" s="58" t="s">
        <v>302</v>
      </c>
      <c r="G222" s="58" t="s">
        <v>303</v>
      </c>
      <c r="H222" s="58" t="s">
        <v>179</v>
      </c>
      <c r="I222">
        <v>38000</v>
      </c>
      <c r="J222">
        <v>38000</v>
      </c>
      <c r="K222" s="58" t="s">
        <v>185</v>
      </c>
      <c r="L222" s="74">
        <v>10.911</v>
      </c>
      <c r="M222" s="85">
        <v>11</v>
      </c>
      <c r="N222" s="74">
        <v>1.5469999999999999</v>
      </c>
      <c r="O222">
        <v>1</v>
      </c>
      <c r="P222" s="84">
        <v>1.16025</v>
      </c>
      <c r="Q222" s="86">
        <v>10.350000000000001</v>
      </c>
      <c r="R222" s="85">
        <v>10.350000000000001</v>
      </c>
      <c r="S222" s="87">
        <v>1522250</v>
      </c>
      <c r="T222" s="1">
        <v>3</v>
      </c>
      <c r="U222" s="88">
        <v>147077.29468599032</v>
      </c>
      <c r="V222" s="59">
        <v>6.7991460009853846</v>
      </c>
    </row>
    <row r="223" spans="1:22">
      <c r="A223" s="89">
        <v>222</v>
      </c>
      <c r="B223" s="89">
        <v>222</v>
      </c>
      <c r="C223" s="89" t="s">
        <v>592</v>
      </c>
      <c r="D223" s="58" t="s">
        <v>182</v>
      </c>
      <c r="E223" s="58" t="s">
        <v>182</v>
      </c>
      <c r="F223" s="89" t="s">
        <v>302</v>
      </c>
      <c r="G223" s="89" t="s">
        <v>303</v>
      </c>
      <c r="H223" s="89" t="s">
        <v>179</v>
      </c>
      <c r="I223" s="90">
        <v>38000</v>
      </c>
      <c r="J223" s="90">
        <v>38000</v>
      </c>
      <c r="K223" s="89" t="s">
        <v>185</v>
      </c>
      <c r="L223" s="91">
        <v>9.39</v>
      </c>
      <c r="M223" s="92">
        <v>10</v>
      </c>
      <c r="N223" s="91">
        <v>18.324000000000002</v>
      </c>
      <c r="O223" s="90">
        <v>1</v>
      </c>
      <c r="P223" s="92">
        <v>13.743000000000002</v>
      </c>
      <c r="Q223" s="93">
        <v>148.35</v>
      </c>
      <c r="R223" s="92">
        <v>148.35</v>
      </c>
      <c r="S223" s="87">
        <v>4719260</v>
      </c>
      <c r="T223" s="94">
        <v>12</v>
      </c>
      <c r="U223" s="95">
        <v>31811.66161105494</v>
      </c>
      <c r="V223" s="96">
        <v>31.435013116463175</v>
      </c>
    </row>
    <row r="224" spans="1:22">
      <c r="A224" s="89">
        <v>223</v>
      </c>
      <c r="B224" s="89">
        <v>223</v>
      </c>
      <c r="C224" s="89" t="s">
        <v>593</v>
      </c>
      <c r="D224" s="58" t="s">
        <v>182</v>
      </c>
      <c r="E224" s="58" t="s">
        <v>182</v>
      </c>
      <c r="F224" s="89" t="s">
        <v>302</v>
      </c>
      <c r="G224" s="89" t="s">
        <v>303</v>
      </c>
      <c r="H224" s="89" t="s">
        <v>179</v>
      </c>
      <c r="I224" s="90">
        <v>38000</v>
      </c>
      <c r="J224" s="90">
        <v>38000</v>
      </c>
      <c r="K224" s="89" t="s">
        <v>185</v>
      </c>
      <c r="L224" s="91">
        <v>13.161</v>
      </c>
      <c r="M224" s="92">
        <v>14</v>
      </c>
      <c r="N224" s="91">
        <v>6.4340000000000002</v>
      </c>
      <c r="O224" s="90">
        <v>1</v>
      </c>
      <c r="P224" s="92">
        <v>4.8254999999999999</v>
      </c>
      <c r="Q224" s="93">
        <v>51.75</v>
      </c>
      <c r="R224" s="92">
        <v>51.75</v>
      </c>
      <c r="S224" s="87">
        <v>3869800</v>
      </c>
      <c r="T224" s="94">
        <v>11</v>
      </c>
      <c r="U224" s="95">
        <v>74778.743961352651</v>
      </c>
      <c r="V224" s="96">
        <v>13.372784123210502</v>
      </c>
    </row>
    <row r="225" spans="1:22">
      <c r="A225" s="89">
        <v>224</v>
      </c>
      <c r="B225" s="89">
        <v>224</v>
      </c>
      <c r="C225" s="89" t="s">
        <v>594</v>
      </c>
      <c r="D225" s="58" t="s">
        <v>234</v>
      </c>
      <c r="E225" s="58" t="s">
        <v>182</v>
      </c>
      <c r="F225" s="89" t="s">
        <v>595</v>
      </c>
      <c r="G225" s="89" t="s">
        <v>596</v>
      </c>
      <c r="H225" s="89" t="s">
        <v>179</v>
      </c>
      <c r="I225" s="90">
        <v>38000</v>
      </c>
      <c r="J225" s="90">
        <v>38000</v>
      </c>
      <c r="K225" s="89" t="s">
        <v>185</v>
      </c>
      <c r="L225" s="91">
        <v>20.358000000000001</v>
      </c>
      <c r="M225" s="92">
        <v>21</v>
      </c>
      <c r="N225" s="91">
        <v>20.53</v>
      </c>
      <c r="O225" s="90">
        <v>1</v>
      </c>
      <c r="P225" s="92">
        <v>15.397500000000001</v>
      </c>
      <c r="Q225" s="93">
        <v>169.05</v>
      </c>
      <c r="R225" s="92">
        <v>169.05</v>
      </c>
      <c r="S225" s="87">
        <v>15643160</v>
      </c>
      <c r="T225" s="94">
        <v>13</v>
      </c>
      <c r="U225" s="95">
        <v>92535.699497190173</v>
      </c>
      <c r="V225" s="96">
        <v>10.806640090621077</v>
      </c>
    </row>
    <row r="226" spans="1:22">
      <c r="A226" s="58">
        <v>225</v>
      </c>
      <c r="B226" s="58">
        <v>225</v>
      </c>
      <c r="C226" s="58" t="s">
        <v>597</v>
      </c>
      <c r="D226" s="58" t="s">
        <v>234</v>
      </c>
      <c r="E226" s="58" t="s">
        <v>182</v>
      </c>
      <c r="F226" s="58" t="s">
        <v>302</v>
      </c>
      <c r="G226" s="58" t="s">
        <v>303</v>
      </c>
      <c r="H226" s="58" t="s">
        <v>179</v>
      </c>
      <c r="I226">
        <v>38000</v>
      </c>
      <c r="J226">
        <v>38000</v>
      </c>
      <c r="K226" s="58" t="s">
        <v>185</v>
      </c>
      <c r="L226" s="74">
        <v>18.419</v>
      </c>
      <c r="M226" s="85">
        <v>19</v>
      </c>
      <c r="N226" s="74">
        <v>2.496</v>
      </c>
      <c r="O226">
        <v>1</v>
      </c>
      <c r="P226" s="84">
        <v>1.8719999999999999</v>
      </c>
      <c r="Q226" s="86">
        <v>17.25</v>
      </c>
      <c r="R226" s="85">
        <v>17.25</v>
      </c>
      <c r="S226" s="87">
        <v>1682920</v>
      </c>
      <c r="T226" s="1">
        <v>4</v>
      </c>
      <c r="U226" s="88">
        <v>97560.579710144928</v>
      </c>
      <c r="V226" s="59">
        <v>10.250041594371687</v>
      </c>
    </row>
    <row r="227" spans="1:22">
      <c r="A227" s="89">
        <v>226</v>
      </c>
      <c r="B227" s="89">
        <v>226</v>
      </c>
      <c r="C227" s="89" t="s">
        <v>598</v>
      </c>
      <c r="D227" s="58" t="s">
        <v>182</v>
      </c>
      <c r="E227" s="58" t="s">
        <v>182</v>
      </c>
      <c r="F227" s="89" t="s">
        <v>302</v>
      </c>
      <c r="G227" s="89" t="s">
        <v>303</v>
      </c>
      <c r="H227" s="89" t="s">
        <v>179</v>
      </c>
      <c r="I227" s="90">
        <v>38000</v>
      </c>
      <c r="J227" s="90">
        <v>38000</v>
      </c>
      <c r="K227" s="89" t="s">
        <v>185</v>
      </c>
      <c r="L227" s="91">
        <v>16.925999999999998</v>
      </c>
      <c r="M227" s="92">
        <v>17</v>
      </c>
      <c r="N227" s="91">
        <v>10.236000000000001</v>
      </c>
      <c r="O227" s="90">
        <v>1</v>
      </c>
      <c r="P227" s="92">
        <v>7.6770000000000005</v>
      </c>
      <c r="Q227" s="93">
        <v>82.800000000000011</v>
      </c>
      <c r="R227" s="92">
        <v>82.800000000000011</v>
      </c>
      <c r="S227" s="87">
        <v>4502230</v>
      </c>
      <c r="T227" s="94">
        <v>11</v>
      </c>
      <c r="U227" s="95">
        <v>54374.758454106275</v>
      </c>
      <c r="V227" s="96">
        <v>18.390886294125359</v>
      </c>
    </row>
    <row r="228" spans="1:22">
      <c r="A228" s="58">
        <v>227</v>
      </c>
      <c r="B228" s="58">
        <v>227</v>
      </c>
      <c r="C228" s="58" t="s">
        <v>599</v>
      </c>
      <c r="D228" s="58" t="s">
        <v>182</v>
      </c>
      <c r="E228" s="58" t="s">
        <v>182</v>
      </c>
      <c r="F228" s="58" t="s">
        <v>595</v>
      </c>
      <c r="G228" s="58" t="s">
        <v>596</v>
      </c>
      <c r="H228" s="58" t="s">
        <v>179</v>
      </c>
      <c r="I228">
        <v>38000</v>
      </c>
      <c r="J228">
        <v>38000</v>
      </c>
      <c r="K228" s="58" t="s">
        <v>185</v>
      </c>
      <c r="L228" s="74">
        <v>15.007999999999999</v>
      </c>
      <c r="M228" s="85">
        <v>16</v>
      </c>
      <c r="N228" s="74">
        <v>1.758</v>
      </c>
      <c r="O228">
        <v>1</v>
      </c>
      <c r="P228" s="84">
        <v>1.3185</v>
      </c>
      <c r="Q228" s="86">
        <v>13.8</v>
      </c>
      <c r="R228" s="85">
        <v>13.8</v>
      </c>
      <c r="S228" s="87">
        <v>1472110</v>
      </c>
      <c r="T228" s="1">
        <v>4</v>
      </c>
      <c r="U228" s="88">
        <v>106674.63768115941</v>
      </c>
      <c r="V228" s="59">
        <v>9.3742994749033706</v>
      </c>
    </row>
    <row r="229" spans="1:22">
      <c r="A229" s="89">
        <v>228</v>
      </c>
      <c r="B229" s="89">
        <v>228</v>
      </c>
      <c r="C229" s="89" t="s">
        <v>600</v>
      </c>
      <c r="D229" s="58" t="s">
        <v>234</v>
      </c>
      <c r="E229" s="58" t="s">
        <v>234</v>
      </c>
      <c r="F229" s="89" t="s">
        <v>309</v>
      </c>
      <c r="G229" s="89" t="s">
        <v>310</v>
      </c>
      <c r="H229" s="89" t="s">
        <v>179</v>
      </c>
      <c r="I229" s="90">
        <v>38000</v>
      </c>
      <c r="J229" s="90">
        <v>38000</v>
      </c>
      <c r="K229" s="90">
        <v>20000</v>
      </c>
      <c r="L229" s="91">
        <v>17.091000000000001</v>
      </c>
      <c r="M229" s="92">
        <v>18</v>
      </c>
      <c r="N229" s="91">
        <v>12.993</v>
      </c>
      <c r="O229" s="90">
        <v>1</v>
      </c>
      <c r="P229" s="92">
        <v>9.7447499999999998</v>
      </c>
      <c r="Q229" s="93">
        <v>106.95</v>
      </c>
      <c r="R229" s="92">
        <v>106.95</v>
      </c>
      <c r="S229" s="87">
        <v>4713040</v>
      </c>
      <c r="T229" s="94">
        <v>11</v>
      </c>
      <c r="U229" s="95">
        <v>44067.695184665732</v>
      </c>
      <c r="V229" s="96">
        <v>22.692359920560826</v>
      </c>
    </row>
    <row r="230" spans="1:22">
      <c r="A230" s="89">
        <v>229</v>
      </c>
      <c r="B230" s="89">
        <v>229</v>
      </c>
      <c r="C230" s="89" t="s">
        <v>601</v>
      </c>
      <c r="D230" s="58" t="s">
        <v>234</v>
      </c>
      <c r="E230" s="58" t="s">
        <v>234</v>
      </c>
      <c r="F230" s="89" t="s">
        <v>309</v>
      </c>
      <c r="G230" s="89" t="s">
        <v>310</v>
      </c>
      <c r="H230" s="89" t="s">
        <v>179</v>
      </c>
      <c r="I230" s="90">
        <v>38000</v>
      </c>
      <c r="J230" s="90">
        <v>38000</v>
      </c>
      <c r="K230" s="90">
        <v>20000</v>
      </c>
      <c r="L230" s="91">
        <v>13.438000000000001</v>
      </c>
      <c r="M230" s="92">
        <v>14</v>
      </c>
      <c r="N230" s="91">
        <v>8.7189999999999905</v>
      </c>
      <c r="O230" s="90">
        <v>1</v>
      </c>
      <c r="P230" s="92">
        <v>6.5392499999999929</v>
      </c>
      <c r="Q230" s="93">
        <v>69</v>
      </c>
      <c r="R230" s="92">
        <v>69</v>
      </c>
      <c r="S230" s="87">
        <v>3869800</v>
      </c>
      <c r="T230" s="94">
        <v>11</v>
      </c>
      <c r="U230" s="95">
        <v>56084.057971014496</v>
      </c>
      <c r="V230" s="96">
        <v>17.830378830947335</v>
      </c>
    </row>
    <row r="231" spans="1:22">
      <c r="A231" s="58">
        <v>230</v>
      </c>
      <c r="B231" s="58">
        <v>230</v>
      </c>
      <c r="C231" s="58" t="s">
        <v>602</v>
      </c>
      <c r="D231" s="58" t="s">
        <v>182</v>
      </c>
      <c r="E231" s="58" t="s">
        <v>182</v>
      </c>
      <c r="F231" s="58" t="s">
        <v>312</v>
      </c>
      <c r="G231" s="58" t="s">
        <v>313</v>
      </c>
      <c r="H231" s="58" t="s">
        <v>179</v>
      </c>
      <c r="I231">
        <v>38000</v>
      </c>
      <c r="J231">
        <v>38000</v>
      </c>
      <c r="K231">
        <v>10000</v>
      </c>
      <c r="L231" s="74">
        <v>10.127000000000001</v>
      </c>
      <c r="M231" s="85">
        <v>11</v>
      </c>
      <c r="N231" s="74">
        <v>2.15</v>
      </c>
      <c r="O231">
        <v>1</v>
      </c>
      <c r="P231" s="84">
        <v>1.6124999999999998</v>
      </c>
      <c r="Q231" s="86">
        <v>17.25</v>
      </c>
      <c r="R231" s="85">
        <v>17.25</v>
      </c>
      <c r="S231" s="87">
        <v>1120760</v>
      </c>
      <c r="T231" s="1">
        <v>4</v>
      </c>
      <c r="U231" s="88">
        <v>64971.594202898552</v>
      </c>
      <c r="V231" s="59">
        <v>15.391341589635605</v>
      </c>
    </row>
    <row r="232" spans="1:22">
      <c r="A232" s="58">
        <v>231</v>
      </c>
      <c r="B232" s="58">
        <v>231</v>
      </c>
      <c r="C232" s="58" t="s">
        <v>603</v>
      </c>
      <c r="D232" s="58" t="s">
        <v>182</v>
      </c>
      <c r="E232" s="58" t="s">
        <v>182</v>
      </c>
      <c r="F232" s="58" t="s">
        <v>440</v>
      </c>
      <c r="G232" s="58" t="s">
        <v>441</v>
      </c>
      <c r="H232" s="58" t="s">
        <v>199</v>
      </c>
      <c r="I232">
        <v>110000</v>
      </c>
      <c r="L232" s="74">
        <v>12.156000000000001</v>
      </c>
      <c r="M232" s="85">
        <v>13</v>
      </c>
      <c r="N232" s="74">
        <v>1.2829999999999999</v>
      </c>
      <c r="O232">
        <v>1</v>
      </c>
      <c r="P232" s="84">
        <v>0.96224999999999994</v>
      </c>
      <c r="Q232" s="86">
        <v>10.350000000000001</v>
      </c>
      <c r="R232" s="85">
        <v>10.350000000000001</v>
      </c>
      <c r="S232" s="87">
        <v>2101570</v>
      </c>
      <c r="T232" s="1">
        <v>7</v>
      </c>
      <c r="U232" s="88">
        <v>203050.24154589369</v>
      </c>
      <c r="V232" s="59">
        <v>4.9248894873832425</v>
      </c>
    </row>
    <row r="233" spans="1:22">
      <c r="A233" s="58">
        <v>232</v>
      </c>
      <c r="B233" s="58">
        <v>232</v>
      </c>
      <c r="C233" s="58" t="s">
        <v>604</v>
      </c>
      <c r="D233" s="58" t="s">
        <v>182</v>
      </c>
      <c r="E233" s="58" t="s">
        <v>182</v>
      </c>
      <c r="F233" s="58" t="s">
        <v>183</v>
      </c>
      <c r="G233" s="58" t="s">
        <v>184</v>
      </c>
      <c r="H233" s="58" t="s">
        <v>179</v>
      </c>
      <c r="I233">
        <v>38000</v>
      </c>
      <c r="J233">
        <v>38000</v>
      </c>
      <c r="K233" s="58" t="s">
        <v>185</v>
      </c>
      <c r="L233" s="74">
        <v>7.141</v>
      </c>
      <c r="M233" s="85">
        <v>8</v>
      </c>
      <c r="N233" s="74">
        <v>1.998</v>
      </c>
      <c r="O233">
        <v>1</v>
      </c>
      <c r="P233" s="84">
        <v>1.4984999999999999</v>
      </c>
      <c r="Q233" s="86">
        <v>13.8</v>
      </c>
      <c r="R233" s="85">
        <v>13.8</v>
      </c>
      <c r="S233" s="87">
        <v>909950</v>
      </c>
      <c r="T233" s="1">
        <v>4</v>
      </c>
      <c r="U233" s="88">
        <v>65938.405797101441</v>
      </c>
      <c r="V233" s="59">
        <v>15.165668443321062</v>
      </c>
    </row>
    <row r="234" spans="1:22">
      <c r="A234" s="58">
        <v>233</v>
      </c>
      <c r="B234" s="58">
        <v>233</v>
      </c>
      <c r="C234" s="58" t="s">
        <v>605</v>
      </c>
      <c r="D234" s="58" t="s">
        <v>182</v>
      </c>
      <c r="E234" s="58" t="s">
        <v>182</v>
      </c>
      <c r="F234" s="58" t="s">
        <v>183</v>
      </c>
      <c r="G234" s="58" t="s">
        <v>184</v>
      </c>
      <c r="H234" s="58" t="s">
        <v>179</v>
      </c>
      <c r="I234">
        <v>38000</v>
      </c>
      <c r="J234">
        <v>38000</v>
      </c>
      <c r="K234" s="58" t="s">
        <v>185</v>
      </c>
      <c r="L234" s="74">
        <v>7.7389999999999999</v>
      </c>
      <c r="M234" s="85">
        <v>8</v>
      </c>
      <c r="N234" s="74">
        <v>4.1559999999999997</v>
      </c>
      <c r="O234">
        <v>1</v>
      </c>
      <c r="P234" s="84">
        <v>3.117</v>
      </c>
      <c r="Q234" s="86">
        <v>31.05</v>
      </c>
      <c r="R234" s="85">
        <v>31.05</v>
      </c>
      <c r="S234" s="87">
        <v>1237870</v>
      </c>
      <c r="T234" s="1">
        <v>6</v>
      </c>
      <c r="U234" s="88">
        <v>39866.98872785829</v>
      </c>
      <c r="V234" s="59">
        <v>25.08340940486481</v>
      </c>
    </row>
    <row r="235" spans="1:22">
      <c r="A235" s="58">
        <v>234</v>
      </c>
      <c r="B235" s="58">
        <v>234</v>
      </c>
      <c r="C235" s="58" t="s">
        <v>606</v>
      </c>
      <c r="D235" s="58" t="s">
        <v>234</v>
      </c>
      <c r="E235" s="58" t="s">
        <v>234</v>
      </c>
      <c r="F235" s="58" t="s">
        <v>316</v>
      </c>
      <c r="G235" s="58" t="s">
        <v>317</v>
      </c>
      <c r="H235" s="58" t="s">
        <v>199</v>
      </c>
      <c r="I235">
        <v>110000</v>
      </c>
      <c r="J235">
        <v>110000</v>
      </c>
      <c r="K235">
        <v>38000</v>
      </c>
      <c r="L235" s="74">
        <v>24.853000000000002</v>
      </c>
      <c r="M235" s="85">
        <v>25</v>
      </c>
      <c r="N235" s="74">
        <v>4.0890000000000004</v>
      </c>
      <c r="O235">
        <v>1</v>
      </c>
      <c r="P235" s="84">
        <v>3.0667500000000003</v>
      </c>
      <c r="Q235" s="86">
        <v>31.05</v>
      </c>
      <c r="R235" s="85">
        <v>31.05</v>
      </c>
      <c r="S235" s="87">
        <v>4735350</v>
      </c>
      <c r="T235" s="1">
        <v>10</v>
      </c>
      <c r="U235" s="88">
        <v>152507.24637681158</v>
      </c>
      <c r="V235" s="59">
        <v>6.5570654756248219</v>
      </c>
    </row>
    <row r="236" spans="1:22">
      <c r="A236" s="89">
        <v>235</v>
      </c>
      <c r="B236" s="89">
        <v>235</v>
      </c>
      <c r="C236" s="89" t="s">
        <v>607</v>
      </c>
      <c r="D236" s="58" t="s">
        <v>234</v>
      </c>
      <c r="E236" s="58" t="s">
        <v>234</v>
      </c>
      <c r="F236" s="89" t="s">
        <v>309</v>
      </c>
      <c r="G236" s="89" t="s">
        <v>310</v>
      </c>
      <c r="H236" s="89" t="s">
        <v>179</v>
      </c>
      <c r="I236" s="90">
        <v>38000</v>
      </c>
      <c r="J236" s="90">
        <v>38000</v>
      </c>
      <c r="K236" s="90">
        <v>20000</v>
      </c>
      <c r="L236" s="91">
        <v>20.306999999999999</v>
      </c>
      <c r="M236" s="92">
        <v>21</v>
      </c>
      <c r="N236" s="91">
        <v>18.7229999999999</v>
      </c>
      <c r="O236" s="90">
        <v>1</v>
      </c>
      <c r="P236" s="92">
        <v>14.042249999999925</v>
      </c>
      <c r="Q236" s="93">
        <v>151.80000000000001</v>
      </c>
      <c r="R236" s="92">
        <v>151.80000000000001</v>
      </c>
      <c r="S236" s="87">
        <v>7821580</v>
      </c>
      <c r="T236" s="94">
        <v>13</v>
      </c>
      <c r="U236" s="95">
        <v>51525.559947299073</v>
      </c>
      <c r="V236" s="96">
        <v>19.407843428054179</v>
      </c>
    </row>
    <row r="237" spans="1:22">
      <c r="A237" s="58">
        <v>236</v>
      </c>
      <c r="B237" s="58">
        <v>236</v>
      </c>
      <c r="C237" s="58" t="s">
        <v>608</v>
      </c>
      <c r="D237" s="58" t="s">
        <v>234</v>
      </c>
      <c r="E237" s="58" t="s">
        <v>234</v>
      </c>
      <c r="F237" s="58" t="s">
        <v>309</v>
      </c>
      <c r="G237" s="58" t="s">
        <v>310</v>
      </c>
      <c r="H237" s="58" t="s">
        <v>179</v>
      </c>
      <c r="I237">
        <v>38000</v>
      </c>
      <c r="J237">
        <v>38000</v>
      </c>
      <c r="K237">
        <v>20000</v>
      </c>
      <c r="L237" s="74">
        <v>16.597999999999999</v>
      </c>
      <c r="M237" s="85">
        <v>17</v>
      </c>
      <c r="N237" s="74">
        <v>4.1289999999999996</v>
      </c>
      <c r="O237">
        <v>1</v>
      </c>
      <c r="P237" s="84">
        <v>3.0967499999999997</v>
      </c>
      <c r="Q237" s="86">
        <v>31.05</v>
      </c>
      <c r="R237" s="85">
        <v>31.05</v>
      </c>
      <c r="S237" s="87">
        <v>2239210</v>
      </c>
      <c r="T237" s="1">
        <v>6</v>
      </c>
      <c r="U237" s="88">
        <v>72116.264090177137</v>
      </c>
      <c r="V237" s="59">
        <v>13.866497559407112</v>
      </c>
    </row>
    <row r="238" spans="1:22">
      <c r="A238" s="58">
        <v>237</v>
      </c>
      <c r="B238" s="58">
        <v>237</v>
      </c>
      <c r="C238" s="58" t="s">
        <v>609</v>
      </c>
      <c r="D238" s="58" t="s">
        <v>234</v>
      </c>
      <c r="E238" s="58" t="s">
        <v>234</v>
      </c>
      <c r="F238" s="58" t="s">
        <v>309</v>
      </c>
      <c r="G238" s="58" t="s">
        <v>310</v>
      </c>
      <c r="H238" s="58" t="s">
        <v>179</v>
      </c>
      <c r="I238">
        <v>38000</v>
      </c>
      <c r="J238">
        <v>38000</v>
      </c>
      <c r="K238">
        <v>20000</v>
      </c>
      <c r="L238" s="74">
        <v>11.875999999999999</v>
      </c>
      <c r="M238" s="85">
        <v>12</v>
      </c>
      <c r="N238" s="74">
        <v>2.7610000000000001</v>
      </c>
      <c r="O238">
        <v>1</v>
      </c>
      <c r="P238" s="84">
        <v>2.0707500000000003</v>
      </c>
      <c r="Q238" s="86">
        <v>20.700000000000003</v>
      </c>
      <c r="R238" s="85">
        <v>20.700000000000003</v>
      </c>
      <c r="S238" s="87">
        <v>1191030</v>
      </c>
      <c r="T238" s="1">
        <v>4</v>
      </c>
      <c r="U238" s="88">
        <v>57537.681159420281</v>
      </c>
      <c r="V238" s="59">
        <v>17.379914863605453</v>
      </c>
    </row>
    <row r="239" spans="1:22">
      <c r="A239" s="58">
        <v>238</v>
      </c>
      <c r="B239" s="58">
        <v>238</v>
      </c>
      <c r="C239" s="58" t="s">
        <v>610</v>
      </c>
      <c r="D239" s="58" t="s">
        <v>234</v>
      </c>
      <c r="E239" s="58" t="s">
        <v>234</v>
      </c>
      <c r="F239" s="58" t="s">
        <v>316</v>
      </c>
      <c r="G239" s="58" t="s">
        <v>317</v>
      </c>
      <c r="H239" s="58" t="s">
        <v>199</v>
      </c>
      <c r="I239">
        <v>110000</v>
      </c>
      <c r="J239">
        <v>110000</v>
      </c>
      <c r="K239">
        <v>38000</v>
      </c>
      <c r="L239" s="74">
        <v>11.364000000000001</v>
      </c>
      <c r="M239" s="85">
        <v>12</v>
      </c>
      <c r="N239" s="74">
        <v>6.367</v>
      </c>
      <c r="O239">
        <v>1</v>
      </c>
      <c r="P239" s="84">
        <v>4.7752499999999998</v>
      </c>
      <c r="Q239" s="86">
        <v>51.75</v>
      </c>
      <c r="R239" s="85">
        <v>51.75</v>
      </c>
      <c r="S239" s="87">
        <v>3448180</v>
      </c>
      <c r="T239" s="1">
        <v>11</v>
      </c>
      <c r="U239" s="88">
        <v>66631.497584541066</v>
      </c>
      <c r="V239" s="59">
        <v>15.007917220098719</v>
      </c>
    </row>
    <row r="240" spans="1:22">
      <c r="A240" s="58">
        <v>239</v>
      </c>
      <c r="B240" s="58">
        <v>239</v>
      </c>
      <c r="C240" s="58" t="s">
        <v>611</v>
      </c>
      <c r="D240" s="58" t="s">
        <v>234</v>
      </c>
      <c r="E240" s="58" t="s">
        <v>234</v>
      </c>
      <c r="F240" s="58" t="s">
        <v>316</v>
      </c>
      <c r="G240" s="58" t="s">
        <v>317</v>
      </c>
      <c r="H240" s="58" t="s">
        <v>199</v>
      </c>
      <c r="I240">
        <v>110000</v>
      </c>
      <c r="J240">
        <v>110000</v>
      </c>
      <c r="K240">
        <v>38000</v>
      </c>
      <c r="L240" s="74">
        <v>28.425999999999998</v>
      </c>
      <c r="M240" s="85">
        <v>29</v>
      </c>
      <c r="N240" s="74">
        <v>1.0940000000000001</v>
      </c>
      <c r="O240">
        <v>1</v>
      </c>
      <c r="P240" s="84">
        <v>0.82050000000000001</v>
      </c>
      <c r="Q240" s="86">
        <v>6.9</v>
      </c>
      <c r="R240" s="85">
        <v>6.9</v>
      </c>
      <c r="S240" s="87">
        <v>2944770</v>
      </c>
      <c r="T240" s="1">
        <v>7</v>
      </c>
      <c r="U240" s="88">
        <v>426778.26086956519</v>
      </c>
      <c r="V240" s="59">
        <v>2.3431371550239919</v>
      </c>
    </row>
    <row r="241" spans="1:22">
      <c r="A241" s="58">
        <v>240</v>
      </c>
      <c r="B241" s="58">
        <v>240</v>
      </c>
      <c r="C241" s="58" t="s">
        <v>612</v>
      </c>
      <c r="D241" s="58" t="s">
        <v>234</v>
      </c>
      <c r="E241" s="58" t="s">
        <v>234</v>
      </c>
      <c r="F241" s="58" t="s">
        <v>316</v>
      </c>
      <c r="G241" s="58" t="s">
        <v>317</v>
      </c>
      <c r="H241" s="58" t="s">
        <v>199</v>
      </c>
      <c r="I241">
        <v>110000</v>
      </c>
      <c r="J241">
        <v>110000</v>
      </c>
      <c r="K241">
        <v>38000</v>
      </c>
      <c r="L241" s="74">
        <v>27.225000000000001</v>
      </c>
      <c r="M241" s="85">
        <v>28</v>
      </c>
      <c r="N241" s="74">
        <v>15.775</v>
      </c>
      <c r="O241">
        <v>1</v>
      </c>
      <c r="P241" s="84">
        <v>11.831250000000001</v>
      </c>
      <c r="Q241" s="86">
        <v>127.65</v>
      </c>
      <c r="R241" s="85">
        <v>127.65</v>
      </c>
      <c r="S241" s="87">
        <v>10122620</v>
      </c>
      <c r="T241" s="1">
        <v>13</v>
      </c>
      <c r="U241" s="88">
        <v>79299.804151978067</v>
      </c>
      <c r="V241" s="59">
        <v>12.610371623156851</v>
      </c>
    </row>
    <row r="242" spans="1:22">
      <c r="A242" s="58">
        <v>241</v>
      </c>
      <c r="B242" s="58">
        <v>241</v>
      </c>
      <c r="C242" s="58" t="s">
        <v>613</v>
      </c>
      <c r="D242" s="58" t="s">
        <v>182</v>
      </c>
      <c r="E242" s="58" t="s">
        <v>182</v>
      </c>
      <c r="F242" s="58" t="s">
        <v>183</v>
      </c>
      <c r="G242" s="58" t="s">
        <v>184</v>
      </c>
      <c r="H242" s="58" t="s">
        <v>179</v>
      </c>
      <c r="I242">
        <v>38000</v>
      </c>
      <c r="J242">
        <v>38000</v>
      </c>
      <c r="K242" s="58" t="s">
        <v>185</v>
      </c>
      <c r="L242" s="74">
        <v>10.101000000000001</v>
      </c>
      <c r="M242" s="85">
        <v>11</v>
      </c>
      <c r="N242" s="74">
        <v>2.3719999999999999</v>
      </c>
      <c r="O242">
        <v>1</v>
      </c>
      <c r="P242" s="84">
        <v>1.7789999999999999</v>
      </c>
      <c r="Q242" s="86">
        <v>17.25</v>
      </c>
      <c r="R242" s="85">
        <v>17.25</v>
      </c>
      <c r="S242" s="87">
        <v>1120760</v>
      </c>
      <c r="T242" s="1">
        <v>4</v>
      </c>
      <c r="U242" s="88">
        <v>64971.594202898552</v>
      </c>
      <c r="V242" s="59">
        <v>15.391341589635605</v>
      </c>
    </row>
    <row r="243" spans="1:22">
      <c r="A243" s="89">
        <v>242</v>
      </c>
      <c r="B243" s="89">
        <v>242</v>
      </c>
      <c r="C243" s="89" t="s">
        <v>614</v>
      </c>
      <c r="D243" s="58" t="s">
        <v>182</v>
      </c>
      <c r="E243" s="58" t="s">
        <v>182</v>
      </c>
      <c r="F243" s="89" t="s">
        <v>302</v>
      </c>
      <c r="G243" s="89" t="s">
        <v>303</v>
      </c>
      <c r="H243" s="89" t="s">
        <v>179</v>
      </c>
      <c r="I243" s="90">
        <v>38000</v>
      </c>
      <c r="J243" s="90">
        <v>38000</v>
      </c>
      <c r="K243" s="89" t="s">
        <v>185</v>
      </c>
      <c r="L243" s="91">
        <v>10.846</v>
      </c>
      <c r="M243" s="92">
        <v>11</v>
      </c>
      <c r="N243" s="91">
        <v>10.837</v>
      </c>
      <c r="O243" s="90">
        <v>1</v>
      </c>
      <c r="P243" s="92">
        <v>8.1277499999999989</v>
      </c>
      <c r="Q243" s="93">
        <v>86.25</v>
      </c>
      <c r="R243" s="92">
        <v>86.25</v>
      </c>
      <c r="S243" s="87">
        <v>3237370</v>
      </c>
      <c r="T243" s="94">
        <v>11</v>
      </c>
      <c r="U243" s="95">
        <v>37534.72463768116</v>
      </c>
      <c r="V243" s="96">
        <v>26.6419964353781</v>
      </c>
    </row>
    <row r="244" spans="1:22">
      <c r="A244" s="89">
        <v>243</v>
      </c>
      <c r="B244" s="89">
        <v>243</v>
      </c>
      <c r="C244" s="89" t="s">
        <v>615</v>
      </c>
      <c r="D244" s="58" t="s">
        <v>234</v>
      </c>
      <c r="E244" s="58" t="s">
        <v>234</v>
      </c>
      <c r="F244" s="89" t="s">
        <v>235</v>
      </c>
      <c r="G244" s="89" t="s">
        <v>236</v>
      </c>
      <c r="H244" s="89" t="s">
        <v>179</v>
      </c>
      <c r="I244" s="90">
        <v>38000</v>
      </c>
      <c r="J244" s="90">
        <v>38000</v>
      </c>
      <c r="K244" s="90">
        <v>20000</v>
      </c>
      <c r="L244" s="91">
        <v>5.4859999999999998</v>
      </c>
      <c r="M244" s="92">
        <v>6</v>
      </c>
      <c r="N244" s="91">
        <v>14.814</v>
      </c>
      <c r="O244" s="90">
        <v>1</v>
      </c>
      <c r="P244" s="92">
        <v>11.1105</v>
      </c>
      <c r="Q244" s="93">
        <v>120.75</v>
      </c>
      <c r="R244" s="92">
        <v>120.75</v>
      </c>
      <c r="S244" s="87">
        <v>2183320</v>
      </c>
      <c r="T244" s="94">
        <v>11</v>
      </c>
      <c r="U244" s="95">
        <v>18081.325051759835</v>
      </c>
      <c r="V244" s="96">
        <v>55.305681256068738</v>
      </c>
    </row>
    <row r="245" spans="1:22">
      <c r="A245" s="58">
        <v>244</v>
      </c>
      <c r="B245" s="58">
        <v>244</v>
      </c>
      <c r="C245" s="58" t="s">
        <v>616</v>
      </c>
      <c r="D245" s="58" t="s">
        <v>234</v>
      </c>
      <c r="E245" s="58" t="s">
        <v>234</v>
      </c>
      <c r="F245" s="58" t="s">
        <v>235</v>
      </c>
      <c r="G245" s="58" t="s">
        <v>236</v>
      </c>
      <c r="H245" s="58" t="s">
        <v>179</v>
      </c>
      <c r="I245">
        <v>38000</v>
      </c>
      <c r="J245">
        <v>38000</v>
      </c>
      <c r="K245">
        <v>20000</v>
      </c>
      <c r="L245" s="74">
        <v>2.0659999999999998</v>
      </c>
      <c r="M245" s="85">
        <v>3</v>
      </c>
      <c r="N245" s="74">
        <v>2.7069999999999999</v>
      </c>
      <c r="O245">
        <v>1</v>
      </c>
      <c r="P245" s="84">
        <v>2.0302499999999997</v>
      </c>
      <c r="Q245" s="86">
        <v>20.700000000000003</v>
      </c>
      <c r="R245" s="85">
        <v>20.700000000000003</v>
      </c>
      <c r="S245" s="87">
        <v>558600</v>
      </c>
      <c r="T245" s="1">
        <v>4</v>
      </c>
      <c r="U245" s="88">
        <v>26985.507246376808</v>
      </c>
      <c r="V245" s="59">
        <v>37.056928034371651</v>
      </c>
    </row>
    <row r="246" spans="1:22">
      <c r="A246" s="58">
        <v>245</v>
      </c>
      <c r="B246" s="58">
        <v>245</v>
      </c>
      <c r="C246" s="58" t="s">
        <v>617</v>
      </c>
      <c r="D246" s="58" t="s">
        <v>234</v>
      </c>
      <c r="E246" s="58" t="s">
        <v>234</v>
      </c>
      <c r="F246" s="58" t="s">
        <v>323</v>
      </c>
      <c r="G246" s="58" t="s">
        <v>324</v>
      </c>
      <c r="H246" s="58" t="s">
        <v>179</v>
      </c>
      <c r="I246">
        <v>38000</v>
      </c>
      <c r="J246">
        <v>38000</v>
      </c>
      <c r="K246">
        <v>20000</v>
      </c>
      <c r="L246" s="74">
        <v>8.6039999999999992</v>
      </c>
      <c r="M246" s="85">
        <v>9</v>
      </c>
      <c r="N246" s="74">
        <v>2.8319999999999999</v>
      </c>
      <c r="O246">
        <v>1</v>
      </c>
      <c r="P246" s="84">
        <v>2.1239999999999997</v>
      </c>
      <c r="Q246" s="86">
        <v>20.700000000000003</v>
      </c>
      <c r="R246" s="85">
        <v>20.700000000000003</v>
      </c>
      <c r="S246" s="87">
        <v>980220</v>
      </c>
      <c r="T246" s="1">
        <v>4</v>
      </c>
      <c r="U246" s="88">
        <v>47353.623188405792</v>
      </c>
      <c r="V246" s="59">
        <v>21.117708269572141</v>
      </c>
    </row>
    <row r="247" spans="1:22">
      <c r="A247" s="89">
        <v>246</v>
      </c>
      <c r="B247" s="89">
        <v>246</v>
      </c>
      <c r="C247" s="89" t="s">
        <v>618</v>
      </c>
      <c r="D247" s="58" t="s">
        <v>234</v>
      </c>
      <c r="E247" s="58" t="s">
        <v>234</v>
      </c>
      <c r="F247" s="89" t="s">
        <v>323</v>
      </c>
      <c r="G247" s="89" t="s">
        <v>324</v>
      </c>
      <c r="H247" s="89" t="s">
        <v>179</v>
      </c>
      <c r="I247" s="90">
        <v>38000</v>
      </c>
      <c r="J247" s="90">
        <v>38000</v>
      </c>
      <c r="K247" s="90">
        <v>20000</v>
      </c>
      <c r="L247" s="91">
        <v>12.316000000000001</v>
      </c>
      <c r="M247" s="92">
        <v>13</v>
      </c>
      <c r="N247" s="91">
        <v>9.6349999999999998</v>
      </c>
      <c r="O247" s="90">
        <v>1</v>
      </c>
      <c r="P247" s="92">
        <v>7.2262500000000003</v>
      </c>
      <c r="Q247" s="93">
        <v>79.350000000000009</v>
      </c>
      <c r="R247" s="92">
        <v>79.350000000000009</v>
      </c>
      <c r="S247" s="87">
        <v>3658990</v>
      </c>
      <c r="T247" s="94">
        <v>11</v>
      </c>
      <c r="U247" s="95">
        <v>46112.035286704471</v>
      </c>
      <c r="V247" s="96">
        <v>21.686312343023626</v>
      </c>
    </row>
    <row r="248" spans="1:22">
      <c r="A248" s="58">
        <v>247</v>
      </c>
      <c r="B248" s="58">
        <v>247</v>
      </c>
      <c r="C248" s="58" t="s">
        <v>619</v>
      </c>
      <c r="D248" s="58" t="s">
        <v>234</v>
      </c>
      <c r="E248" s="58" t="s">
        <v>234</v>
      </c>
      <c r="F248" s="58" t="s">
        <v>326</v>
      </c>
      <c r="G248" s="58" t="s">
        <v>327</v>
      </c>
      <c r="H248" s="58" t="s">
        <v>199</v>
      </c>
      <c r="I248">
        <v>110000</v>
      </c>
      <c r="J248">
        <v>110000</v>
      </c>
      <c r="K248">
        <v>38000</v>
      </c>
      <c r="L248" s="74">
        <v>11.611000000000001</v>
      </c>
      <c r="M248" s="85">
        <v>12</v>
      </c>
      <c r="N248" s="74">
        <v>1.1719999999999999</v>
      </c>
      <c r="O248">
        <v>1</v>
      </c>
      <c r="P248" s="84">
        <v>0.879</v>
      </c>
      <c r="Q248" s="86">
        <v>6.9</v>
      </c>
      <c r="R248" s="85">
        <v>6.9</v>
      </c>
      <c r="S248" s="87">
        <v>2048870</v>
      </c>
      <c r="T248" s="1">
        <v>7</v>
      </c>
      <c r="U248" s="88">
        <v>296937.68115942029</v>
      </c>
      <c r="V248" s="59">
        <v>3.3677100060033092</v>
      </c>
    </row>
    <row r="249" spans="1:22">
      <c r="A249" s="58">
        <v>248</v>
      </c>
      <c r="B249" s="58">
        <v>248</v>
      </c>
      <c r="C249" s="58" t="s">
        <v>620</v>
      </c>
      <c r="D249" s="58" t="s">
        <v>234</v>
      </c>
      <c r="E249" s="58" t="s">
        <v>234</v>
      </c>
      <c r="F249" s="58" t="s">
        <v>329</v>
      </c>
      <c r="G249" s="58" t="s">
        <v>330</v>
      </c>
      <c r="H249" s="58" t="s">
        <v>179</v>
      </c>
      <c r="I249">
        <v>38000</v>
      </c>
      <c r="J249">
        <v>38000</v>
      </c>
      <c r="K249" s="58" t="s">
        <v>185</v>
      </c>
      <c r="L249" s="74">
        <v>5.2160000000000002</v>
      </c>
      <c r="M249" s="85">
        <v>6</v>
      </c>
      <c r="N249" s="74">
        <v>2.556</v>
      </c>
      <c r="O249">
        <v>1</v>
      </c>
      <c r="P249" s="84">
        <v>1.917</v>
      </c>
      <c r="Q249" s="86">
        <v>20.700000000000003</v>
      </c>
      <c r="R249" s="85">
        <v>20.700000000000003</v>
      </c>
      <c r="S249" s="87">
        <v>769410</v>
      </c>
      <c r="T249" s="1">
        <v>4</v>
      </c>
      <c r="U249" s="88">
        <v>37169.565217391297</v>
      </c>
      <c r="V249" s="59">
        <v>26.903731430576681</v>
      </c>
    </row>
    <row r="250" spans="1:22">
      <c r="A250" s="58">
        <v>249</v>
      </c>
      <c r="B250" s="58">
        <v>249</v>
      </c>
      <c r="C250" s="58" t="s">
        <v>621</v>
      </c>
      <c r="D250" s="58" t="s">
        <v>234</v>
      </c>
      <c r="E250" s="58" t="s">
        <v>234</v>
      </c>
      <c r="F250" s="58" t="s">
        <v>329</v>
      </c>
      <c r="G250" s="58" t="s">
        <v>330</v>
      </c>
      <c r="H250" s="58" t="s">
        <v>179</v>
      </c>
      <c r="I250">
        <v>38000</v>
      </c>
      <c r="J250">
        <v>38000</v>
      </c>
      <c r="K250" s="58" t="s">
        <v>185</v>
      </c>
      <c r="L250" s="74">
        <v>6.9989999999999997</v>
      </c>
      <c r="M250" s="85">
        <v>7</v>
      </c>
      <c r="N250" s="74">
        <v>0.75800000000000001</v>
      </c>
      <c r="O250">
        <v>1</v>
      </c>
      <c r="P250" s="84">
        <v>0.56850000000000001</v>
      </c>
      <c r="Q250" s="86">
        <v>3.45</v>
      </c>
      <c r="R250" s="85">
        <v>3.45</v>
      </c>
      <c r="S250" s="87">
        <v>839680</v>
      </c>
      <c r="T250" s="1">
        <v>4</v>
      </c>
      <c r="U250" s="88">
        <v>243385.5072463768</v>
      </c>
      <c r="V250" s="59">
        <v>4.1087080792682924</v>
      </c>
    </row>
    <row r="251" spans="1:22">
      <c r="A251" s="58">
        <v>250</v>
      </c>
      <c r="B251" s="58">
        <v>250</v>
      </c>
      <c r="C251" s="58" t="s">
        <v>622</v>
      </c>
      <c r="D251" s="58" t="s">
        <v>234</v>
      </c>
      <c r="E251" s="58" t="s">
        <v>234</v>
      </c>
      <c r="F251" s="58" t="s">
        <v>623</v>
      </c>
      <c r="G251" s="58" t="s">
        <v>624</v>
      </c>
      <c r="H251" s="58" t="s">
        <v>179</v>
      </c>
      <c r="I251">
        <v>38000</v>
      </c>
      <c r="J251">
        <v>38000</v>
      </c>
      <c r="K251" s="58" t="s">
        <v>185</v>
      </c>
      <c r="L251" s="74">
        <v>13.885</v>
      </c>
      <c r="M251" s="85">
        <v>14</v>
      </c>
      <c r="N251" s="74">
        <v>0.78200000000000003</v>
      </c>
      <c r="O251">
        <v>1</v>
      </c>
      <c r="P251" s="84">
        <v>0.58650000000000002</v>
      </c>
      <c r="Q251" s="86">
        <v>3.45</v>
      </c>
      <c r="R251" s="85">
        <v>3.45</v>
      </c>
      <c r="S251" s="87">
        <v>1597940</v>
      </c>
      <c r="T251" s="1">
        <v>1</v>
      </c>
      <c r="U251" s="88">
        <v>463171.0144927536</v>
      </c>
      <c r="V251" s="59">
        <v>2.1590297508041605</v>
      </c>
    </row>
    <row r="252" spans="1:22">
      <c r="A252" s="58">
        <v>251</v>
      </c>
      <c r="B252" s="58">
        <v>251</v>
      </c>
      <c r="C252" s="58" t="s">
        <v>625</v>
      </c>
      <c r="D252" s="58" t="s">
        <v>234</v>
      </c>
      <c r="E252" s="58" t="s">
        <v>234</v>
      </c>
      <c r="F252" s="58" t="s">
        <v>623</v>
      </c>
      <c r="G252" s="58" t="s">
        <v>624</v>
      </c>
      <c r="H252" s="58" t="s">
        <v>179</v>
      </c>
      <c r="I252">
        <v>38000</v>
      </c>
      <c r="J252">
        <v>38000</v>
      </c>
      <c r="K252" s="58" t="s">
        <v>185</v>
      </c>
      <c r="L252" s="74">
        <v>8.2050000000000001</v>
      </c>
      <c r="M252" s="85">
        <v>9</v>
      </c>
      <c r="N252" s="74">
        <v>1</v>
      </c>
      <c r="O252">
        <v>1</v>
      </c>
      <c r="P252" s="84">
        <v>0.75</v>
      </c>
      <c r="Q252" s="86">
        <v>6.9</v>
      </c>
      <c r="R252" s="85">
        <v>6.9</v>
      </c>
      <c r="S252" s="87">
        <v>1379800</v>
      </c>
      <c r="T252" s="1">
        <v>2</v>
      </c>
      <c r="U252" s="88">
        <v>199971.0144927536</v>
      </c>
      <c r="V252" s="59">
        <v>5.0007247427163355</v>
      </c>
    </row>
    <row r="253" spans="1:22">
      <c r="A253" s="58">
        <v>252</v>
      </c>
      <c r="B253" s="58">
        <v>252</v>
      </c>
      <c r="C253" s="58" t="s">
        <v>626</v>
      </c>
      <c r="D253" s="58" t="s">
        <v>234</v>
      </c>
      <c r="E253" s="58" t="s">
        <v>234</v>
      </c>
      <c r="F253" s="58" t="s">
        <v>623</v>
      </c>
      <c r="G253" s="58" t="s">
        <v>624</v>
      </c>
      <c r="H253" s="58" t="s">
        <v>179</v>
      </c>
      <c r="I253">
        <v>38000</v>
      </c>
      <c r="J253">
        <v>38000</v>
      </c>
      <c r="K253" s="58" t="s">
        <v>185</v>
      </c>
      <c r="L253" s="74">
        <v>5.9619999999999997</v>
      </c>
      <c r="M253" s="85">
        <v>6</v>
      </c>
      <c r="N253" s="74">
        <v>0.52400000000000002</v>
      </c>
      <c r="O253">
        <v>1</v>
      </c>
      <c r="P253" s="84">
        <v>0.52400000000000002</v>
      </c>
      <c r="Q253" s="86">
        <v>3.45</v>
      </c>
      <c r="R253" s="85">
        <v>3.45</v>
      </c>
      <c r="S253" s="87">
        <v>769410</v>
      </c>
      <c r="T253" s="1">
        <v>4</v>
      </c>
      <c r="U253" s="88">
        <v>223017.39130434781</v>
      </c>
      <c r="V253" s="59">
        <v>4.4839552384294459</v>
      </c>
    </row>
    <row r="254" spans="1:22">
      <c r="A254" s="58">
        <v>253</v>
      </c>
      <c r="B254" s="58">
        <v>253</v>
      </c>
      <c r="C254" s="58" t="s">
        <v>627</v>
      </c>
      <c r="D254" s="58" t="s">
        <v>234</v>
      </c>
      <c r="E254" s="58" t="s">
        <v>234</v>
      </c>
      <c r="F254" s="58" t="s">
        <v>623</v>
      </c>
      <c r="G254" s="58" t="s">
        <v>624</v>
      </c>
      <c r="H254" s="58" t="s">
        <v>179</v>
      </c>
      <c r="I254">
        <v>38000</v>
      </c>
      <c r="J254">
        <v>38000</v>
      </c>
      <c r="K254" s="58" t="s">
        <v>185</v>
      </c>
      <c r="L254" s="74">
        <v>7.9329999999999998</v>
      </c>
      <c r="M254" s="85">
        <v>8</v>
      </c>
      <c r="N254" s="74">
        <v>4.2469999999999999</v>
      </c>
      <c r="O254">
        <v>1</v>
      </c>
      <c r="P254" s="84">
        <v>3.1852499999999999</v>
      </c>
      <c r="Q254" s="86">
        <v>34.5</v>
      </c>
      <c r="R254" s="85">
        <v>34.5</v>
      </c>
      <c r="S254" s="87">
        <v>1237870</v>
      </c>
      <c r="T254" s="1">
        <v>6</v>
      </c>
      <c r="U254" s="88">
        <v>35880.289855072464</v>
      </c>
      <c r="V254" s="59">
        <v>27.87045489429423</v>
      </c>
    </row>
    <row r="255" spans="1:22">
      <c r="A255" s="58">
        <v>254</v>
      </c>
      <c r="B255" s="58">
        <v>254</v>
      </c>
      <c r="C255" s="58" t="s">
        <v>628</v>
      </c>
      <c r="D255" s="58" t="s">
        <v>234</v>
      </c>
      <c r="E255" s="58" t="s">
        <v>234</v>
      </c>
      <c r="F255" s="58" t="s">
        <v>623</v>
      </c>
      <c r="G255" s="58" t="s">
        <v>624</v>
      </c>
      <c r="H255" s="58" t="s">
        <v>179</v>
      </c>
      <c r="I255">
        <v>38000</v>
      </c>
      <c r="J255">
        <v>38000</v>
      </c>
      <c r="K255" s="58" t="s">
        <v>185</v>
      </c>
      <c r="L255" s="74">
        <v>9.3209999999999997</v>
      </c>
      <c r="M255" s="85">
        <v>10</v>
      </c>
      <c r="N255" s="74">
        <v>0.64800000000000002</v>
      </c>
      <c r="O255">
        <v>1</v>
      </c>
      <c r="P255" s="84">
        <v>0.48599999999999999</v>
      </c>
      <c r="Q255" s="86">
        <v>3.45</v>
      </c>
      <c r="R255" s="85">
        <v>3.45</v>
      </c>
      <c r="S255" s="87">
        <v>1387140</v>
      </c>
      <c r="T255" s="1">
        <v>1</v>
      </c>
      <c r="U255" s="88">
        <v>402069.5652173913</v>
      </c>
      <c r="V255" s="59">
        <v>2.487131796357974</v>
      </c>
    </row>
    <row r="256" spans="1:22">
      <c r="A256" s="58">
        <v>255</v>
      </c>
      <c r="B256" s="58">
        <v>255</v>
      </c>
      <c r="C256" s="58" t="s">
        <v>629</v>
      </c>
      <c r="D256" s="58" t="s">
        <v>234</v>
      </c>
      <c r="E256" s="58" t="s">
        <v>234</v>
      </c>
      <c r="F256" s="58" t="s">
        <v>630</v>
      </c>
      <c r="G256" s="58" t="s">
        <v>631</v>
      </c>
      <c r="H256" s="58" t="s">
        <v>179</v>
      </c>
      <c r="I256">
        <v>38000</v>
      </c>
      <c r="J256" s="58" t="s">
        <v>185</v>
      </c>
      <c r="K256">
        <v>38000</v>
      </c>
      <c r="L256" s="74">
        <v>3.8290000000000002</v>
      </c>
      <c r="M256" s="85">
        <v>4</v>
      </c>
      <c r="N256" s="74">
        <v>1.46</v>
      </c>
      <c r="O256">
        <v>1</v>
      </c>
      <c r="P256" s="84">
        <v>1.095</v>
      </c>
      <c r="Q256" s="86">
        <v>10.350000000000001</v>
      </c>
      <c r="R256" s="85">
        <v>10.350000000000001</v>
      </c>
      <c r="S256" s="87">
        <v>628870</v>
      </c>
      <c r="T256" s="1">
        <v>4</v>
      </c>
      <c r="U256" s="88">
        <v>60760.386473429942</v>
      </c>
      <c r="V256" s="59">
        <v>16.458091497447807</v>
      </c>
    </row>
    <row r="257" spans="1:22">
      <c r="A257" s="58">
        <v>256</v>
      </c>
      <c r="B257" s="58">
        <v>256</v>
      </c>
      <c r="C257" s="58" t="s">
        <v>632</v>
      </c>
      <c r="D257" s="58" t="s">
        <v>234</v>
      </c>
      <c r="E257" s="58" t="s">
        <v>234</v>
      </c>
      <c r="F257" s="58" t="s">
        <v>329</v>
      </c>
      <c r="G257" s="58" t="s">
        <v>330</v>
      </c>
      <c r="H257" s="58" t="s">
        <v>179</v>
      </c>
      <c r="I257">
        <v>38000</v>
      </c>
      <c r="J257">
        <v>38000</v>
      </c>
      <c r="K257" s="58" t="s">
        <v>185</v>
      </c>
      <c r="L257" s="74">
        <v>20.891999999999999</v>
      </c>
      <c r="M257" s="85">
        <v>21</v>
      </c>
      <c r="N257" s="74">
        <v>2.12</v>
      </c>
      <c r="O257">
        <v>1</v>
      </c>
      <c r="P257" s="84">
        <v>1.59</v>
      </c>
      <c r="Q257" s="86">
        <v>17.25</v>
      </c>
      <c r="R257" s="85">
        <v>17.25</v>
      </c>
      <c r="S257" s="87">
        <v>1823460</v>
      </c>
      <c r="T257" s="1">
        <v>4</v>
      </c>
      <c r="U257" s="88">
        <v>105707.82608695653</v>
      </c>
      <c r="V257" s="59">
        <v>9.460037511105261</v>
      </c>
    </row>
    <row r="258" spans="1:22">
      <c r="A258" s="58">
        <v>257</v>
      </c>
      <c r="B258" s="58">
        <v>257</v>
      </c>
      <c r="C258" s="58" t="s">
        <v>633</v>
      </c>
      <c r="D258" s="58" t="s">
        <v>234</v>
      </c>
      <c r="E258" s="58" t="s">
        <v>234</v>
      </c>
      <c r="F258" s="58" t="s">
        <v>329</v>
      </c>
      <c r="G258" s="58" t="s">
        <v>330</v>
      </c>
      <c r="H258" s="58" t="s">
        <v>179</v>
      </c>
      <c r="I258">
        <v>38000</v>
      </c>
      <c r="J258">
        <v>38000</v>
      </c>
      <c r="K258" s="58" t="s">
        <v>185</v>
      </c>
      <c r="L258" s="74">
        <v>19.36</v>
      </c>
      <c r="M258" s="85">
        <v>20</v>
      </c>
      <c r="N258" s="74">
        <v>4.4329999999999998</v>
      </c>
      <c r="O258">
        <v>1</v>
      </c>
      <c r="P258" s="84">
        <v>3.3247499999999999</v>
      </c>
      <c r="Q258" s="86">
        <v>34.5</v>
      </c>
      <c r="R258" s="85">
        <v>34.5</v>
      </c>
      <c r="S258" s="87">
        <v>2572990</v>
      </c>
      <c r="T258" s="1">
        <v>6</v>
      </c>
      <c r="U258" s="88">
        <v>74579.420289855072</v>
      </c>
      <c r="V258" s="59">
        <v>13.408524712494025</v>
      </c>
    </row>
    <row r="259" spans="1:22">
      <c r="A259" s="58">
        <v>258</v>
      </c>
      <c r="B259" s="58">
        <v>258</v>
      </c>
      <c r="C259" s="58" t="s">
        <v>634</v>
      </c>
      <c r="D259" s="58" t="s">
        <v>234</v>
      </c>
      <c r="E259" s="58" t="s">
        <v>234</v>
      </c>
      <c r="F259" s="58" t="s">
        <v>329</v>
      </c>
      <c r="G259" s="58" t="s">
        <v>330</v>
      </c>
      <c r="H259" s="58" t="s">
        <v>179</v>
      </c>
      <c r="I259">
        <v>38000</v>
      </c>
      <c r="J259">
        <v>38000</v>
      </c>
      <c r="K259" s="58" t="s">
        <v>185</v>
      </c>
      <c r="L259" s="74">
        <v>19.861999999999998</v>
      </c>
      <c r="M259" s="85">
        <v>20</v>
      </c>
      <c r="N259" s="74">
        <v>4.7009999999999996</v>
      </c>
      <c r="O259">
        <v>1</v>
      </c>
      <c r="P259" s="84">
        <v>3.5257499999999995</v>
      </c>
      <c r="Q259" s="86">
        <v>37.950000000000003</v>
      </c>
      <c r="R259" s="85">
        <v>37.950000000000003</v>
      </c>
      <c r="S259" s="87">
        <v>2572990</v>
      </c>
      <c r="T259" s="1">
        <v>6</v>
      </c>
      <c r="U259" s="88">
        <v>67799.472990777329</v>
      </c>
      <c r="V259" s="59">
        <v>14.749377183743427</v>
      </c>
    </row>
    <row r="260" spans="1:22">
      <c r="A260" s="58">
        <v>259</v>
      </c>
      <c r="B260" s="58">
        <v>259</v>
      </c>
      <c r="C260" s="58" t="s">
        <v>635</v>
      </c>
      <c r="D260" s="58" t="s">
        <v>234</v>
      </c>
      <c r="E260" s="58" t="s">
        <v>234</v>
      </c>
      <c r="F260" s="58" t="s">
        <v>329</v>
      </c>
      <c r="G260" s="58" t="s">
        <v>330</v>
      </c>
      <c r="H260" s="58" t="s">
        <v>179</v>
      </c>
      <c r="I260">
        <v>38000</v>
      </c>
      <c r="J260">
        <v>38000</v>
      </c>
      <c r="K260" s="58" t="s">
        <v>185</v>
      </c>
      <c r="L260" s="74">
        <v>18.649000000000001</v>
      </c>
      <c r="M260" s="85">
        <v>19</v>
      </c>
      <c r="N260" s="74">
        <v>3.5939999999999999</v>
      </c>
      <c r="O260">
        <v>1</v>
      </c>
      <c r="P260" s="84">
        <v>2.6955</v>
      </c>
      <c r="Q260" s="86">
        <v>27.6</v>
      </c>
      <c r="R260" s="85">
        <v>27.6</v>
      </c>
      <c r="S260" s="87">
        <v>2035560</v>
      </c>
      <c r="T260" s="1">
        <v>5</v>
      </c>
      <c r="U260" s="88">
        <v>73752.173913043473</v>
      </c>
      <c r="V260" s="59">
        <v>13.558922360431527</v>
      </c>
    </row>
    <row r="261" spans="1:22">
      <c r="A261" s="58">
        <v>260</v>
      </c>
      <c r="B261" s="58">
        <v>260</v>
      </c>
      <c r="C261" s="58" t="s">
        <v>636</v>
      </c>
      <c r="D261" s="58" t="s">
        <v>234</v>
      </c>
      <c r="E261" s="58" t="s">
        <v>234</v>
      </c>
      <c r="F261" s="58" t="s">
        <v>329</v>
      </c>
      <c r="G261" s="58" t="s">
        <v>330</v>
      </c>
      <c r="H261" s="58" t="s">
        <v>179</v>
      </c>
      <c r="I261">
        <v>38000</v>
      </c>
      <c r="J261">
        <v>38000</v>
      </c>
      <c r="K261" s="58" t="s">
        <v>185</v>
      </c>
      <c r="L261" s="74">
        <v>5.2489999999999997</v>
      </c>
      <c r="M261" s="85">
        <v>6</v>
      </c>
      <c r="N261" s="74">
        <v>4.0869999999999997</v>
      </c>
      <c r="O261">
        <v>1</v>
      </c>
      <c r="P261" s="84">
        <v>3.0652499999999998</v>
      </c>
      <c r="Q261" s="86">
        <v>31.05</v>
      </c>
      <c r="R261" s="85">
        <v>31.05</v>
      </c>
      <c r="S261" s="87">
        <v>1015350</v>
      </c>
      <c r="T261" s="1">
        <v>6</v>
      </c>
      <c r="U261" s="88">
        <v>32700.483091787439</v>
      </c>
      <c r="V261" s="59">
        <v>30.580587974590042</v>
      </c>
    </row>
    <row r="262" spans="1:22">
      <c r="A262" s="89">
        <v>261</v>
      </c>
      <c r="B262" s="89">
        <v>261</v>
      </c>
      <c r="C262" s="89" t="s">
        <v>637</v>
      </c>
      <c r="D262" s="58" t="s">
        <v>234</v>
      </c>
      <c r="E262" s="58" t="s">
        <v>234</v>
      </c>
      <c r="F262" s="89" t="s">
        <v>329</v>
      </c>
      <c r="G262" s="89" t="s">
        <v>330</v>
      </c>
      <c r="H262" s="89" t="s">
        <v>179</v>
      </c>
      <c r="I262" s="90">
        <v>38000</v>
      </c>
      <c r="J262" s="90">
        <v>38000</v>
      </c>
      <c r="K262" s="89" t="s">
        <v>185</v>
      </c>
      <c r="L262" s="91">
        <v>7.6340000000000003</v>
      </c>
      <c r="M262" s="92">
        <v>8</v>
      </c>
      <c r="N262" s="91">
        <v>13.5079999999999</v>
      </c>
      <c r="O262" s="90">
        <v>1</v>
      </c>
      <c r="P262" s="92">
        <v>10.130999999999926</v>
      </c>
      <c r="Q262" s="93">
        <v>110.4</v>
      </c>
      <c r="R262" s="92">
        <v>110.4</v>
      </c>
      <c r="S262" s="87">
        <v>2604940</v>
      </c>
      <c r="T262" s="94">
        <v>11</v>
      </c>
      <c r="U262" s="95">
        <v>23595.471014492752</v>
      </c>
      <c r="V262" s="96">
        <v>42.381014533924009</v>
      </c>
    </row>
    <row r="263" spans="1:22">
      <c r="A263" s="58">
        <v>262</v>
      </c>
      <c r="B263" s="58">
        <v>262</v>
      </c>
      <c r="C263" s="58" t="s">
        <v>638</v>
      </c>
      <c r="D263" s="58" t="s">
        <v>234</v>
      </c>
      <c r="E263" s="58" t="s">
        <v>234</v>
      </c>
      <c r="F263" s="58" t="s">
        <v>326</v>
      </c>
      <c r="G263" s="58" t="s">
        <v>327</v>
      </c>
      <c r="H263" s="58" t="s">
        <v>199</v>
      </c>
      <c r="I263">
        <v>110000</v>
      </c>
      <c r="J263">
        <v>110000</v>
      </c>
      <c r="K263">
        <v>38000</v>
      </c>
      <c r="L263" s="74">
        <v>11.935</v>
      </c>
      <c r="M263" s="85">
        <v>12</v>
      </c>
      <c r="N263" s="74">
        <v>1.6559999999999999</v>
      </c>
      <c r="O263">
        <v>1</v>
      </c>
      <c r="P263" s="84">
        <v>1.242</v>
      </c>
      <c r="Q263" s="86">
        <v>10.350000000000001</v>
      </c>
      <c r="R263" s="85">
        <v>10.350000000000001</v>
      </c>
      <c r="S263" s="87">
        <v>2048870</v>
      </c>
      <c r="T263" s="1">
        <v>7</v>
      </c>
      <c r="U263" s="88">
        <v>197958.45410628017</v>
      </c>
      <c r="V263" s="59">
        <v>5.0515650090049649</v>
      </c>
    </row>
    <row r="264" spans="1:22">
      <c r="A264" s="58">
        <v>263</v>
      </c>
      <c r="B264" s="58">
        <v>263</v>
      </c>
      <c r="C264" s="58" t="s">
        <v>639</v>
      </c>
      <c r="D264" s="58" t="s">
        <v>234</v>
      </c>
      <c r="E264" s="58" t="s">
        <v>234</v>
      </c>
      <c r="F264" s="58" t="s">
        <v>326</v>
      </c>
      <c r="G264" s="58" t="s">
        <v>327</v>
      </c>
      <c r="H264" s="58" t="s">
        <v>199</v>
      </c>
      <c r="I264">
        <v>110000</v>
      </c>
      <c r="J264">
        <v>110000</v>
      </c>
      <c r="K264">
        <v>38000</v>
      </c>
      <c r="L264" s="74">
        <v>12.837999999999999</v>
      </c>
      <c r="M264" s="85">
        <v>13</v>
      </c>
      <c r="N264" s="74">
        <v>0.60899999999999999</v>
      </c>
      <c r="O264">
        <v>1</v>
      </c>
      <c r="P264" s="84">
        <v>0.45674999999999999</v>
      </c>
      <c r="Q264" s="86">
        <v>3.45</v>
      </c>
      <c r="R264" s="85">
        <v>3.45</v>
      </c>
      <c r="S264" s="87">
        <v>2101570</v>
      </c>
      <c r="T264" s="1">
        <v>7</v>
      </c>
      <c r="U264" s="88">
        <v>609150.72463768115</v>
      </c>
      <c r="V264" s="59">
        <v>1.6416298291277474</v>
      </c>
    </row>
    <row r="265" spans="1:22">
      <c r="A265" s="58">
        <v>264</v>
      </c>
      <c r="B265" s="58">
        <v>264</v>
      </c>
      <c r="C265" s="58" t="s">
        <v>640</v>
      </c>
      <c r="D265" s="58" t="s">
        <v>234</v>
      </c>
      <c r="E265" s="58" t="s">
        <v>234</v>
      </c>
      <c r="F265" s="58" t="s">
        <v>341</v>
      </c>
      <c r="G265" s="58" t="s">
        <v>342</v>
      </c>
      <c r="H265" s="58" t="s">
        <v>199</v>
      </c>
      <c r="I265">
        <v>110000</v>
      </c>
      <c r="J265" s="58" t="s">
        <v>185</v>
      </c>
      <c r="K265">
        <v>110000</v>
      </c>
      <c r="L265" s="74">
        <v>14.993</v>
      </c>
      <c r="M265" s="85">
        <v>15</v>
      </c>
      <c r="N265" s="74">
        <v>2.6789999999999998</v>
      </c>
      <c r="O265">
        <v>1</v>
      </c>
      <c r="P265" s="84">
        <v>2.0092499999999998</v>
      </c>
      <c r="Q265" s="86">
        <v>20.700000000000003</v>
      </c>
      <c r="R265" s="85">
        <v>20.700000000000003</v>
      </c>
      <c r="S265" s="87">
        <v>2648760</v>
      </c>
      <c r="T265" s="1">
        <v>8</v>
      </c>
      <c r="U265" s="88">
        <v>127959.42028985506</v>
      </c>
      <c r="V265" s="59">
        <v>7.814977574412179</v>
      </c>
    </row>
    <row r="266" spans="1:22">
      <c r="A266" s="58">
        <v>265</v>
      </c>
      <c r="B266" s="58">
        <v>265</v>
      </c>
      <c r="C266" s="58" t="s">
        <v>641</v>
      </c>
      <c r="D266" s="58" t="s">
        <v>234</v>
      </c>
      <c r="E266" s="58" t="s">
        <v>234</v>
      </c>
      <c r="F266" s="58" t="s">
        <v>326</v>
      </c>
      <c r="G266" s="58" t="s">
        <v>327</v>
      </c>
      <c r="H266" s="58" t="s">
        <v>199</v>
      </c>
      <c r="I266">
        <v>110000</v>
      </c>
      <c r="J266">
        <v>110000</v>
      </c>
      <c r="K266">
        <v>38000</v>
      </c>
      <c r="L266" s="74">
        <v>14.738</v>
      </c>
      <c r="M266" s="85">
        <v>15</v>
      </c>
      <c r="N266" s="74">
        <v>2.0129999999999999</v>
      </c>
      <c r="O266">
        <v>1</v>
      </c>
      <c r="P266" s="84">
        <v>1.5097499999999999</v>
      </c>
      <c r="Q266" s="86">
        <v>13.8</v>
      </c>
      <c r="R266" s="85">
        <v>13.8</v>
      </c>
      <c r="S266" s="87">
        <v>2648760</v>
      </c>
      <c r="T266" s="1">
        <v>8</v>
      </c>
      <c r="U266" s="88">
        <v>191939.13043478259</v>
      </c>
      <c r="V266" s="59">
        <v>5.2099850496081181</v>
      </c>
    </row>
    <row r="267" spans="1:22">
      <c r="A267" s="58">
        <v>266</v>
      </c>
      <c r="B267" s="58">
        <v>266</v>
      </c>
      <c r="C267" s="58" t="s">
        <v>642</v>
      </c>
      <c r="D267" s="58" t="s">
        <v>234</v>
      </c>
      <c r="E267" s="58" t="s">
        <v>234</v>
      </c>
      <c r="F267" s="58" t="s">
        <v>326</v>
      </c>
      <c r="G267" s="58" t="s">
        <v>327</v>
      </c>
      <c r="H267" s="58" t="s">
        <v>199</v>
      </c>
      <c r="I267">
        <v>110000</v>
      </c>
      <c r="J267">
        <v>110000</v>
      </c>
      <c r="K267">
        <v>38000</v>
      </c>
      <c r="L267" s="74">
        <v>18.245000000000001</v>
      </c>
      <c r="M267" s="85">
        <v>19</v>
      </c>
      <c r="N267" s="74">
        <v>15.5939999999999</v>
      </c>
      <c r="O267">
        <v>1</v>
      </c>
      <c r="P267" s="84">
        <v>11.695499999999925</v>
      </c>
      <c r="Q267" s="86">
        <v>127.65</v>
      </c>
      <c r="R267" s="85">
        <v>127.65</v>
      </c>
      <c r="S267" s="87">
        <v>7164140</v>
      </c>
      <c r="T267" s="1">
        <v>13</v>
      </c>
      <c r="U267" s="88">
        <v>56123.305914610261</v>
      </c>
      <c r="V267" s="59">
        <v>17.817909756090753</v>
      </c>
    </row>
    <row r="268" spans="1:22">
      <c r="A268" s="58">
        <v>267</v>
      </c>
      <c r="B268" s="58">
        <v>267</v>
      </c>
      <c r="C268" s="58" t="s">
        <v>643</v>
      </c>
      <c r="D268" s="58" t="s">
        <v>234</v>
      </c>
      <c r="E268" s="58" t="s">
        <v>234</v>
      </c>
      <c r="F268" s="58" t="s">
        <v>329</v>
      </c>
      <c r="G268" s="58" t="s">
        <v>330</v>
      </c>
      <c r="H268" s="58" t="s">
        <v>179</v>
      </c>
      <c r="I268">
        <v>38000</v>
      </c>
      <c r="J268">
        <v>38000</v>
      </c>
      <c r="K268" s="58" t="s">
        <v>185</v>
      </c>
      <c r="L268" s="74">
        <v>10.128</v>
      </c>
      <c r="M268" s="85">
        <v>11</v>
      </c>
      <c r="N268" s="74">
        <v>2.2959999999999998</v>
      </c>
      <c r="O268">
        <v>1</v>
      </c>
      <c r="P268" s="84">
        <v>1.722</v>
      </c>
      <c r="Q268" s="86">
        <v>17.25</v>
      </c>
      <c r="R268" s="85">
        <v>17.25</v>
      </c>
      <c r="S268" s="87">
        <v>1120760</v>
      </c>
      <c r="T268" s="1">
        <v>4</v>
      </c>
      <c r="U268" s="88">
        <v>64971.594202898552</v>
      </c>
      <c r="V268" s="59">
        <v>15.391341589635605</v>
      </c>
    </row>
    <row r="269" spans="1:22">
      <c r="A269" s="58">
        <v>268</v>
      </c>
      <c r="B269" s="58">
        <v>268</v>
      </c>
      <c r="C269" s="58" t="s">
        <v>644</v>
      </c>
      <c r="D269" s="58" t="s">
        <v>234</v>
      </c>
      <c r="E269" s="58" t="s">
        <v>234</v>
      </c>
      <c r="F269" s="58" t="s">
        <v>623</v>
      </c>
      <c r="G269" s="58" t="s">
        <v>624</v>
      </c>
      <c r="H269" s="58" t="s">
        <v>179</v>
      </c>
      <c r="I269">
        <v>38000</v>
      </c>
      <c r="J269">
        <v>38000</v>
      </c>
      <c r="K269" s="58" t="s">
        <v>185</v>
      </c>
      <c r="L269" s="74">
        <v>8.1319999999999997</v>
      </c>
      <c r="M269" s="85">
        <v>9</v>
      </c>
      <c r="N269" s="74">
        <v>5.1630000000000003</v>
      </c>
      <c r="O269">
        <v>1</v>
      </c>
      <c r="P269" s="84">
        <v>3.8722500000000002</v>
      </c>
      <c r="Q269" s="86">
        <v>41.400000000000006</v>
      </c>
      <c r="R269" s="85">
        <v>41.400000000000006</v>
      </c>
      <c r="S269" s="87">
        <v>1349130</v>
      </c>
      <c r="T269" s="1">
        <v>6</v>
      </c>
      <c r="U269" s="88">
        <v>32587.681159420285</v>
      </c>
      <c r="V269" s="59">
        <v>30.686442373974344</v>
      </c>
    </row>
    <row r="270" spans="1:22">
      <c r="A270" s="58">
        <v>269</v>
      </c>
      <c r="B270" s="58">
        <v>269</v>
      </c>
      <c r="C270" s="58" t="s">
        <v>645</v>
      </c>
      <c r="D270" s="58" t="s">
        <v>346</v>
      </c>
      <c r="E270" s="58" t="s">
        <v>234</v>
      </c>
      <c r="F270" s="58" t="s">
        <v>646</v>
      </c>
      <c r="G270" s="58" t="s">
        <v>647</v>
      </c>
      <c r="H270" s="58" t="s">
        <v>179</v>
      </c>
      <c r="I270">
        <v>38000</v>
      </c>
      <c r="J270" s="58" t="s">
        <v>185</v>
      </c>
      <c r="K270">
        <v>38000</v>
      </c>
      <c r="L270" s="74">
        <v>2.8420000000000001</v>
      </c>
      <c r="M270" s="85">
        <v>3</v>
      </c>
      <c r="N270" s="74">
        <v>2.7250000000000001</v>
      </c>
      <c r="O270">
        <v>1</v>
      </c>
      <c r="P270" s="84">
        <v>2.0437500000000002</v>
      </c>
      <c r="Q270" s="86">
        <v>20.700000000000003</v>
      </c>
      <c r="R270" s="85">
        <v>20.700000000000003</v>
      </c>
      <c r="S270" s="87">
        <v>558600</v>
      </c>
      <c r="T270" s="1">
        <v>4</v>
      </c>
      <c r="U270" s="88">
        <v>26985.507246376808</v>
      </c>
      <c r="V270" s="59">
        <v>37.056928034371651</v>
      </c>
    </row>
    <row r="271" spans="1:22">
      <c r="A271" s="58">
        <v>270</v>
      </c>
      <c r="B271" s="58">
        <v>270</v>
      </c>
      <c r="C271" s="58" t="s">
        <v>648</v>
      </c>
      <c r="D271" s="58" t="s">
        <v>346</v>
      </c>
      <c r="E271" s="58" t="s">
        <v>346</v>
      </c>
      <c r="F271" s="58" t="s">
        <v>347</v>
      </c>
      <c r="G271" s="58" t="s">
        <v>348</v>
      </c>
      <c r="H271" s="58" t="s">
        <v>199</v>
      </c>
      <c r="I271">
        <v>110000</v>
      </c>
      <c r="J271">
        <v>110000</v>
      </c>
      <c r="K271" s="58" t="s">
        <v>200</v>
      </c>
      <c r="L271" s="74">
        <v>8.0299999999999994</v>
      </c>
      <c r="M271" s="85">
        <v>9</v>
      </c>
      <c r="N271" s="74">
        <v>0.97</v>
      </c>
      <c r="O271">
        <v>1</v>
      </c>
      <c r="P271" s="84">
        <v>0.72750000000000004</v>
      </c>
      <c r="Q271" s="86">
        <v>6.9</v>
      </c>
      <c r="R271" s="85">
        <v>6.9</v>
      </c>
      <c r="S271" s="87">
        <v>1890770</v>
      </c>
      <c r="T271" s="1">
        <v>7</v>
      </c>
      <c r="U271" s="88">
        <v>274024.63768115942</v>
      </c>
      <c r="V271" s="59">
        <v>3.6493068961322637</v>
      </c>
    </row>
    <row r="272" spans="1:22">
      <c r="A272" s="58">
        <v>271</v>
      </c>
      <c r="B272" s="58">
        <v>271</v>
      </c>
      <c r="C272" s="58" t="s">
        <v>649</v>
      </c>
      <c r="D272" s="58" t="s">
        <v>346</v>
      </c>
      <c r="E272" s="58" t="s">
        <v>346</v>
      </c>
      <c r="F272" s="58" t="s">
        <v>347</v>
      </c>
      <c r="G272" s="58" t="s">
        <v>348</v>
      </c>
      <c r="H272" s="58" t="s">
        <v>199</v>
      </c>
      <c r="I272">
        <v>110000</v>
      </c>
      <c r="J272">
        <v>110000</v>
      </c>
      <c r="K272" s="58" t="s">
        <v>200</v>
      </c>
      <c r="L272" s="74">
        <v>9.282</v>
      </c>
      <c r="M272" s="85">
        <v>10</v>
      </c>
      <c r="N272" s="74">
        <v>1.4139999999999999</v>
      </c>
      <c r="O272">
        <v>1</v>
      </c>
      <c r="P272" s="84">
        <v>1.0605</v>
      </c>
      <c r="Q272" s="86">
        <v>10.350000000000001</v>
      </c>
      <c r="R272" s="85">
        <v>10.350000000000001</v>
      </c>
      <c r="S272" s="87">
        <v>1943470</v>
      </c>
      <c r="T272" s="1">
        <v>7</v>
      </c>
      <c r="U272" s="88">
        <v>187774.87922705311</v>
      </c>
      <c r="V272" s="59">
        <v>5.3255259921686475</v>
      </c>
    </row>
    <row r="273" spans="1:22">
      <c r="A273" s="58">
        <v>272</v>
      </c>
      <c r="B273" s="58">
        <v>272</v>
      </c>
      <c r="C273" s="58" t="s">
        <v>650</v>
      </c>
      <c r="D273" s="58" t="s">
        <v>346</v>
      </c>
      <c r="E273" s="58" t="s">
        <v>346</v>
      </c>
      <c r="F273" s="58" t="s">
        <v>352</v>
      </c>
      <c r="G273" s="58" t="s">
        <v>353</v>
      </c>
      <c r="H273" s="58" t="s">
        <v>179</v>
      </c>
      <c r="I273">
        <v>38000</v>
      </c>
      <c r="J273">
        <v>38000</v>
      </c>
      <c r="K273">
        <v>10000</v>
      </c>
      <c r="L273" s="74">
        <v>10.468999999999999</v>
      </c>
      <c r="M273" s="85">
        <v>11</v>
      </c>
      <c r="N273" s="74">
        <v>0.84099999999999997</v>
      </c>
      <c r="O273">
        <v>1</v>
      </c>
      <c r="P273" s="84">
        <v>0.63074999999999992</v>
      </c>
      <c r="Q273" s="86">
        <v>6.9</v>
      </c>
      <c r="R273" s="85">
        <v>6.9</v>
      </c>
      <c r="S273" s="87">
        <v>1485200</v>
      </c>
      <c r="T273" s="1">
        <v>2</v>
      </c>
      <c r="U273" s="88">
        <v>215246.37681159418</v>
      </c>
      <c r="V273" s="59">
        <v>4.6458389442499328</v>
      </c>
    </row>
    <row r="274" spans="1:22">
      <c r="A274" s="58">
        <v>273</v>
      </c>
      <c r="B274" s="58">
        <v>273</v>
      </c>
      <c r="C274" s="58" t="s">
        <v>651</v>
      </c>
      <c r="D274" s="58" t="s">
        <v>346</v>
      </c>
      <c r="E274" s="58" t="s">
        <v>351</v>
      </c>
      <c r="F274" s="58" t="s">
        <v>652</v>
      </c>
      <c r="G274" s="58" t="s">
        <v>653</v>
      </c>
      <c r="H274" s="58" t="s">
        <v>179</v>
      </c>
      <c r="I274">
        <v>38000</v>
      </c>
      <c r="J274">
        <v>38000</v>
      </c>
      <c r="K274" s="58" t="s">
        <v>185</v>
      </c>
      <c r="L274" s="74">
        <v>11.815</v>
      </c>
      <c r="M274" s="85">
        <v>12</v>
      </c>
      <c r="N274" s="74">
        <v>5.6890000000000001</v>
      </c>
      <c r="O274">
        <v>1</v>
      </c>
      <c r="P274" s="84">
        <v>4.26675</v>
      </c>
      <c r="Q274" s="86">
        <v>44.85</v>
      </c>
      <c r="R274" s="85">
        <v>44.85</v>
      </c>
      <c r="S274" s="87">
        <v>1682910</v>
      </c>
      <c r="T274" s="1">
        <v>6</v>
      </c>
      <c r="U274" s="88">
        <v>37523.076923076922</v>
      </c>
      <c r="V274" s="59">
        <v>26.650266502665026</v>
      </c>
    </row>
    <row r="275" spans="1:22">
      <c r="A275" s="89">
        <v>274</v>
      </c>
      <c r="B275" s="89">
        <v>274</v>
      </c>
      <c r="C275" s="89" t="s">
        <v>654</v>
      </c>
      <c r="D275" s="58" t="s">
        <v>187</v>
      </c>
      <c r="E275" s="58" t="s">
        <v>187</v>
      </c>
      <c r="F275" s="89" t="s">
        <v>188</v>
      </c>
      <c r="G275" s="89" t="s">
        <v>189</v>
      </c>
      <c r="H275" s="89" t="s">
        <v>179</v>
      </c>
      <c r="I275" s="90">
        <v>38000</v>
      </c>
      <c r="J275" s="90">
        <v>38000</v>
      </c>
      <c r="K275" s="90">
        <v>10000</v>
      </c>
      <c r="L275" s="91">
        <v>9.2360000000000007</v>
      </c>
      <c r="M275" s="92">
        <v>10</v>
      </c>
      <c r="N275" s="91">
        <v>9.968</v>
      </c>
      <c r="O275" s="90">
        <v>1</v>
      </c>
      <c r="P275" s="92">
        <v>7.476</v>
      </c>
      <c r="Q275" s="93">
        <v>79.350000000000009</v>
      </c>
      <c r="R275" s="92">
        <v>79.350000000000009</v>
      </c>
      <c r="S275" s="87">
        <v>3026560</v>
      </c>
      <c r="T275" s="94">
        <v>11</v>
      </c>
      <c r="U275" s="95">
        <v>38141.902961562693</v>
      </c>
      <c r="V275" s="96">
        <v>26.217884330725315</v>
      </c>
    </row>
    <row r="276" spans="1:22">
      <c r="A276" s="58">
        <v>275</v>
      </c>
      <c r="B276" s="58">
        <v>275</v>
      </c>
      <c r="C276" s="58" t="s">
        <v>655</v>
      </c>
      <c r="D276" s="58" t="s">
        <v>187</v>
      </c>
      <c r="E276" s="58" t="s">
        <v>187</v>
      </c>
      <c r="F276" s="58" t="s">
        <v>188</v>
      </c>
      <c r="G276" s="58" t="s">
        <v>189</v>
      </c>
      <c r="H276" s="58" t="s">
        <v>179</v>
      </c>
      <c r="I276">
        <v>38000</v>
      </c>
      <c r="J276">
        <v>38000</v>
      </c>
      <c r="K276">
        <v>10000</v>
      </c>
      <c r="L276" s="74">
        <v>10.019</v>
      </c>
      <c r="M276" s="85">
        <v>11</v>
      </c>
      <c r="N276" s="74">
        <v>0.8</v>
      </c>
      <c r="O276">
        <v>1</v>
      </c>
      <c r="P276" s="84">
        <v>0.60000000000000009</v>
      </c>
      <c r="Q276" s="86">
        <v>6.9</v>
      </c>
      <c r="R276" s="85">
        <v>6.9</v>
      </c>
      <c r="S276" s="87">
        <v>1485200</v>
      </c>
      <c r="T276" s="1">
        <v>2</v>
      </c>
      <c r="U276" s="88">
        <v>215246.37681159418</v>
      </c>
      <c r="V276" s="59">
        <v>4.6458389442499328</v>
      </c>
    </row>
    <row r="277" spans="1:22">
      <c r="A277" s="58">
        <v>276</v>
      </c>
      <c r="B277" s="58">
        <v>276</v>
      </c>
      <c r="C277" s="58" t="s">
        <v>656</v>
      </c>
      <c r="D277" s="58" t="s">
        <v>187</v>
      </c>
      <c r="E277" s="58" t="s">
        <v>187</v>
      </c>
      <c r="F277" s="58" t="s">
        <v>188</v>
      </c>
      <c r="G277" s="58" t="s">
        <v>189</v>
      </c>
      <c r="H277" s="58" t="s">
        <v>179</v>
      </c>
      <c r="I277">
        <v>38000</v>
      </c>
      <c r="J277">
        <v>38000</v>
      </c>
      <c r="K277">
        <v>10000</v>
      </c>
      <c r="L277" s="74">
        <v>7.6459999999999999</v>
      </c>
      <c r="M277" s="85">
        <v>8</v>
      </c>
      <c r="N277" s="74">
        <v>2.9039999999999999</v>
      </c>
      <c r="O277">
        <v>1</v>
      </c>
      <c r="P277" s="84">
        <v>2.1779999999999999</v>
      </c>
      <c r="Q277" s="86">
        <v>20.700000000000003</v>
      </c>
      <c r="R277" s="85">
        <v>20.700000000000003</v>
      </c>
      <c r="S277" s="87">
        <v>909950</v>
      </c>
      <c r="T277" s="1">
        <v>4</v>
      </c>
      <c r="U277" s="88">
        <v>43958.93719806763</v>
      </c>
      <c r="V277" s="59">
        <v>22.748502664981597</v>
      </c>
    </row>
    <row r="278" spans="1:22">
      <c r="A278" s="58">
        <v>277</v>
      </c>
      <c r="B278" s="58">
        <v>277</v>
      </c>
      <c r="C278" s="58" t="s">
        <v>657</v>
      </c>
      <c r="D278" s="58" t="s">
        <v>187</v>
      </c>
      <c r="E278" s="58" t="s">
        <v>187</v>
      </c>
      <c r="F278" s="58" t="s">
        <v>188</v>
      </c>
      <c r="G278" s="58" t="s">
        <v>189</v>
      </c>
      <c r="H278" s="58" t="s">
        <v>179</v>
      </c>
      <c r="I278">
        <v>38000</v>
      </c>
      <c r="J278">
        <v>38000</v>
      </c>
      <c r="K278">
        <v>10000</v>
      </c>
      <c r="L278" s="74">
        <v>9.77</v>
      </c>
      <c r="M278" s="85">
        <v>10</v>
      </c>
      <c r="N278" s="74">
        <v>4.8179999999999996</v>
      </c>
      <c r="O278">
        <v>1</v>
      </c>
      <c r="P278" s="84">
        <v>3.6134999999999997</v>
      </c>
      <c r="Q278" s="86">
        <v>37.950000000000003</v>
      </c>
      <c r="R278" s="85">
        <v>37.950000000000003</v>
      </c>
      <c r="S278" s="87">
        <v>1460390</v>
      </c>
      <c r="T278" s="1">
        <v>6</v>
      </c>
      <c r="U278" s="88">
        <v>38481.949934123841</v>
      </c>
      <c r="V278" s="59">
        <v>25.986209163305691</v>
      </c>
    </row>
    <row r="279" spans="1:22">
      <c r="A279" s="58">
        <v>278</v>
      </c>
      <c r="B279" s="58">
        <v>278</v>
      </c>
      <c r="C279" s="58" t="s">
        <v>658</v>
      </c>
      <c r="D279" s="58" t="s">
        <v>187</v>
      </c>
      <c r="E279" s="58" t="s">
        <v>187</v>
      </c>
      <c r="F279" s="58" t="s">
        <v>188</v>
      </c>
      <c r="G279" s="58" t="s">
        <v>189</v>
      </c>
      <c r="H279" s="58" t="s">
        <v>179</v>
      </c>
      <c r="I279">
        <v>38000</v>
      </c>
      <c r="J279">
        <v>38000</v>
      </c>
      <c r="K279">
        <v>10000</v>
      </c>
      <c r="L279" s="74">
        <v>8.452</v>
      </c>
      <c r="M279" s="85">
        <v>9</v>
      </c>
      <c r="N279" s="74">
        <v>0.91200000000000003</v>
      </c>
      <c r="O279">
        <v>1</v>
      </c>
      <c r="P279" s="84">
        <v>0.68400000000000005</v>
      </c>
      <c r="Q279" s="86">
        <v>6.9</v>
      </c>
      <c r="R279" s="85">
        <v>6.9</v>
      </c>
      <c r="S279" s="87">
        <v>1379800</v>
      </c>
      <c r="T279" s="1">
        <v>2</v>
      </c>
      <c r="U279" s="88">
        <v>199971.0144927536</v>
      </c>
      <c r="V279" s="59">
        <v>5.0007247427163355</v>
      </c>
    </row>
    <row r="280" spans="1:22">
      <c r="A280" s="58">
        <v>279</v>
      </c>
      <c r="B280" s="58">
        <v>279</v>
      </c>
      <c r="C280" s="58" t="s">
        <v>659</v>
      </c>
      <c r="D280" s="58" t="s">
        <v>187</v>
      </c>
      <c r="E280" s="58" t="s">
        <v>187</v>
      </c>
      <c r="F280" s="58" t="s">
        <v>188</v>
      </c>
      <c r="G280" s="58" t="s">
        <v>189</v>
      </c>
      <c r="H280" s="58" t="s">
        <v>179</v>
      </c>
      <c r="I280">
        <v>38000</v>
      </c>
      <c r="J280">
        <v>38000</v>
      </c>
      <c r="K280">
        <v>10000</v>
      </c>
      <c r="L280" s="74">
        <v>11.802</v>
      </c>
      <c r="M280" s="85">
        <v>12</v>
      </c>
      <c r="N280" s="74">
        <v>0.67</v>
      </c>
      <c r="O280">
        <v>1</v>
      </c>
      <c r="P280" s="84">
        <v>0.50250000000000006</v>
      </c>
      <c r="Q280" s="86">
        <v>3.45</v>
      </c>
      <c r="R280" s="85">
        <v>3.45</v>
      </c>
      <c r="S280" s="87">
        <v>1492540</v>
      </c>
      <c r="T280" s="1">
        <v>1</v>
      </c>
      <c r="U280" s="88">
        <v>432620.28985507245</v>
      </c>
      <c r="V280" s="59">
        <v>2.3114958393074891</v>
      </c>
    </row>
    <row r="281" spans="1:22">
      <c r="A281" s="58">
        <v>280</v>
      </c>
      <c r="B281" s="58">
        <v>280</v>
      </c>
      <c r="C281" s="58" t="s">
        <v>660</v>
      </c>
      <c r="D281" s="58" t="s">
        <v>187</v>
      </c>
      <c r="E281" s="58" t="s">
        <v>187</v>
      </c>
      <c r="F281" s="58" t="s">
        <v>359</v>
      </c>
      <c r="G281" s="58" t="s">
        <v>360</v>
      </c>
      <c r="H281" s="58" t="s">
        <v>179</v>
      </c>
      <c r="I281">
        <v>38000</v>
      </c>
      <c r="J281" s="58" t="s">
        <v>185</v>
      </c>
      <c r="K281">
        <v>38000</v>
      </c>
      <c r="L281" s="74">
        <v>8.7110000000000003</v>
      </c>
      <c r="M281" s="85">
        <v>9</v>
      </c>
      <c r="N281" s="74">
        <v>2.2759999999999998</v>
      </c>
      <c r="O281">
        <v>1</v>
      </c>
      <c r="P281" s="84">
        <v>1.7069999999999999</v>
      </c>
      <c r="Q281" s="86">
        <v>17.25</v>
      </c>
      <c r="R281" s="85">
        <v>17.25</v>
      </c>
      <c r="S281" s="87">
        <v>980220</v>
      </c>
      <c r="T281" s="1">
        <v>4</v>
      </c>
      <c r="U281" s="88">
        <v>56824.34782608696</v>
      </c>
      <c r="V281" s="59">
        <v>17.598090224643446</v>
      </c>
    </row>
    <row r="282" spans="1:22">
      <c r="A282" s="58">
        <v>281</v>
      </c>
      <c r="B282" s="58">
        <v>281</v>
      </c>
      <c r="C282" s="58" t="s">
        <v>661</v>
      </c>
      <c r="D282" s="58" t="s">
        <v>187</v>
      </c>
      <c r="E282" s="58" t="s">
        <v>187</v>
      </c>
      <c r="F282" s="58" t="s">
        <v>188</v>
      </c>
      <c r="G282" s="58" t="s">
        <v>189</v>
      </c>
      <c r="H282" s="58" t="s">
        <v>179</v>
      </c>
      <c r="I282">
        <v>38000</v>
      </c>
      <c r="J282">
        <v>38000</v>
      </c>
      <c r="K282">
        <v>10000</v>
      </c>
      <c r="L282" s="74">
        <v>12.646000000000001</v>
      </c>
      <c r="M282" s="85">
        <v>13</v>
      </c>
      <c r="N282" s="74">
        <v>1.9670000000000001</v>
      </c>
      <c r="O282">
        <v>1</v>
      </c>
      <c r="P282" s="84">
        <v>1.47525</v>
      </c>
      <c r="Q282" s="86">
        <v>13.8</v>
      </c>
      <c r="R282" s="85">
        <v>13.8</v>
      </c>
      <c r="S282" s="87">
        <v>1261300</v>
      </c>
      <c r="T282" s="1">
        <v>4</v>
      </c>
      <c r="U282" s="88">
        <v>91398.55072463768</v>
      </c>
      <c r="V282" s="59">
        <v>10.941092523586775</v>
      </c>
    </row>
    <row r="283" spans="1:22">
      <c r="A283" s="89">
        <v>282</v>
      </c>
      <c r="B283" s="89">
        <v>282</v>
      </c>
      <c r="C283" s="89" t="s">
        <v>662</v>
      </c>
      <c r="D283" s="58" t="s">
        <v>187</v>
      </c>
      <c r="E283" s="58" t="s">
        <v>187</v>
      </c>
      <c r="F283" s="89" t="s">
        <v>188</v>
      </c>
      <c r="G283" s="89" t="s">
        <v>189</v>
      </c>
      <c r="H283" s="89" t="s">
        <v>179</v>
      </c>
      <c r="I283" s="90">
        <v>38000</v>
      </c>
      <c r="J283" s="90">
        <v>38000</v>
      </c>
      <c r="K283" s="90">
        <v>10000</v>
      </c>
      <c r="L283" s="91">
        <v>11.973000000000001</v>
      </c>
      <c r="M283" s="92">
        <v>12</v>
      </c>
      <c r="N283" s="91">
        <v>11.981</v>
      </c>
      <c r="O283" s="90">
        <v>1</v>
      </c>
      <c r="P283" s="92">
        <v>8.9857499999999995</v>
      </c>
      <c r="Q283" s="93">
        <v>96.600000000000023</v>
      </c>
      <c r="R283" s="92">
        <v>96.600000000000023</v>
      </c>
      <c r="S283" s="87">
        <v>3448180</v>
      </c>
      <c r="T283" s="94">
        <v>11</v>
      </c>
      <c r="U283" s="95">
        <v>35695.445134575559</v>
      </c>
      <c r="V283" s="96">
        <v>28.014778810850949</v>
      </c>
    </row>
    <row r="284" spans="1:22">
      <c r="A284" s="58">
        <v>283</v>
      </c>
      <c r="B284" s="58">
        <v>283</v>
      </c>
      <c r="C284" s="58" t="s">
        <v>663</v>
      </c>
      <c r="D284" s="58" t="s">
        <v>187</v>
      </c>
      <c r="E284" s="58" t="s">
        <v>187</v>
      </c>
      <c r="F284" s="58" t="s">
        <v>365</v>
      </c>
      <c r="G284" s="58" t="s">
        <v>366</v>
      </c>
      <c r="H284" s="58" t="s">
        <v>179</v>
      </c>
      <c r="I284">
        <v>38000</v>
      </c>
      <c r="J284">
        <v>38000</v>
      </c>
      <c r="K284">
        <v>10000</v>
      </c>
      <c r="L284" s="74">
        <v>4.5030000000000001</v>
      </c>
      <c r="M284" s="85">
        <v>5</v>
      </c>
      <c r="N284" s="74">
        <v>1.343</v>
      </c>
      <c r="O284">
        <v>1</v>
      </c>
      <c r="P284" s="84">
        <v>1.00725</v>
      </c>
      <c r="Q284" s="86">
        <v>10.350000000000001</v>
      </c>
      <c r="R284" s="85">
        <v>10.350000000000001</v>
      </c>
      <c r="S284" s="87">
        <v>699140</v>
      </c>
      <c r="T284" s="1">
        <v>4</v>
      </c>
      <c r="U284" s="88">
        <v>67549.758454106268</v>
      </c>
      <c r="V284" s="59">
        <v>14.803901936665048</v>
      </c>
    </row>
    <row r="285" spans="1:22">
      <c r="A285" s="58">
        <v>284</v>
      </c>
      <c r="B285" s="58">
        <v>284</v>
      </c>
      <c r="C285" s="58" t="s">
        <v>664</v>
      </c>
      <c r="D285" s="58" t="s">
        <v>187</v>
      </c>
      <c r="E285" s="58" t="s">
        <v>187</v>
      </c>
      <c r="F285" s="58" t="s">
        <v>188</v>
      </c>
      <c r="G285" s="58" t="s">
        <v>189</v>
      </c>
      <c r="H285" s="58" t="s">
        <v>179</v>
      </c>
      <c r="I285">
        <v>38000</v>
      </c>
      <c r="J285">
        <v>38000</v>
      </c>
      <c r="K285">
        <v>10000</v>
      </c>
      <c r="L285" s="74">
        <v>2.8130000000000002</v>
      </c>
      <c r="M285" s="85">
        <v>3</v>
      </c>
      <c r="N285" s="74">
        <v>1.0369999999999999</v>
      </c>
      <c r="O285">
        <v>1</v>
      </c>
      <c r="P285" s="84">
        <v>0.77774999999999994</v>
      </c>
      <c r="Q285" s="86">
        <v>6.9</v>
      </c>
      <c r="R285" s="85">
        <v>6.9</v>
      </c>
      <c r="S285" s="87">
        <v>558600</v>
      </c>
      <c r="T285" s="1">
        <v>4</v>
      </c>
      <c r="U285" s="88">
        <v>80956.521739130432</v>
      </c>
      <c r="V285" s="59">
        <v>12.352309344790548</v>
      </c>
    </row>
    <row r="286" spans="1:22">
      <c r="A286" s="58">
        <v>285</v>
      </c>
      <c r="B286" s="58">
        <v>285</v>
      </c>
      <c r="C286" s="58" t="s">
        <v>665</v>
      </c>
      <c r="D286" s="58" t="s">
        <v>187</v>
      </c>
      <c r="E286" s="58" t="s">
        <v>187</v>
      </c>
      <c r="F286" s="58" t="s">
        <v>359</v>
      </c>
      <c r="G286" s="58" t="s">
        <v>360</v>
      </c>
      <c r="H286" s="58" t="s">
        <v>179</v>
      </c>
      <c r="I286">
        <v>38000</v>
      </c>
      <c r="J286" s="58" t="s">
        <v>185</v>
      </c>
      <c r="K286">
        <v>38000</v>
      </c>
      <c r="L286" s="74">
        <v>7.3239999999999998</v>
      </c>
      <c r="M286" s="85">
        <v>8</v>
      </c>
      <c r="N286" s="74">
        <v>3.9460000000000002</v>
      </c>
      <c r="O286">
        <v>1</v>
      </c>
      <c r="P286" s="84">
        <v>2.9595000000000002</v>
      </c>
      <c r="Q286" s="86">
        <v>31.05</v>
      </c>
      <c r="R286" s="85">
        <v>31.05</v>
      </c>
      <c r="S286" s="87">
        <v>1237870</v>
      </c>
      <c r="T286" s="1">
        <v>6</v>
      </c>
      <c r="U286" s="88">
        <v>39866.98872785829</v>
      </c>
      <c r="V286" s="59">
        <v>25.08340940486481</v>
      </c>
    </row>
    <row r="287" spans="1:22">
      <c r="A287" s="58">
        <v>286</v>
      </c>
      <c r="B287" s="58">
        <v>286</v>
      </c>
      <c r="C287" s="58" t="s">
        <v>666</v>
      </c>
      <c r="D287" s="58" t="s">
        <v>187</v>
      </c>
      <c r="E287" s="58" t="s">
        <v>187</v>
      </c>
      <c r="F287" s="58" t="s">
        <v>188</v>
      </c>
      <c r="G287" s="58" t="s">
        <v>189</v>
      </c>
      <c r="H287" s="58" t="s">
        <v>179</v>
      </c>
      <c r="I287">
        <v>38000</v>
      </c>
      <c r="J287">
        <v>38000</v>
      </c>
      <c r="K287">
        <v>10000</v>
      </c>
      <c r="L287" s="74">
        <v>5.9370000000000003</v>
      </c>
      <c r="M287" s="85">
        <v>6</v>
      </c>
      <c r="N287" s="74">
        <v>1.6459999999999999</v>
      </c>
      <c r="O287">
        <v>1</v>
      </c>
      <c r="P287" s="84">
        <v>1.2344999999999999</v>
      </c>
      <c r="Q287" s="86">
        <v>10.350000000000001</v>
      </c>
      <c r="R287" s="85">
        <v>10.350000000000001</v>
      </c>
      <c r="S287" s="87">
        <v>769410</v>
      </c>
      <c r="T287" s="1">
        <v>4</v>
      </c>
      <c r="U287" s="88">
        <v>74339.130434782594</v>
      </c>
      <c r="V287" s="59">
        <v>13.45186571528834</v>
      </c>
    </row>
    <row r="288" spans="1:22">
      <c r="A288" s="58">
        <v>287</v>
      </c>
      <c r="B288" s="58">
        <v>287</v>
      </c>
      <c r="C288" s="58" t="s">
        <v>667</v>
      </c>
      <c r="D288" s="58" t="s">
        <v>187</v>
      </c>
      <c r="E288" s="58" t="s">
        <v>187</v>
      </c>
      <c r="F288" s="58" t="s">
        <v>359</v>
      </c>
      <c r="G288" s="58" t="s">
        <v>360</v>
      </c>
      <c r="H288" s="58" t="s">
        <v>179</v>
      </c>
      <c r="I288">
        <v>38000</v>
      </c>
      <c r="J288" s="58" t="s">
        <v>185</v>
      </c>
      <c r="K288">
        <v>38000</v>
      </c>
      <c r="L288" s="74">
        <v>3.1549999999999998</v>
      </c>
      <c r="M288" s="85">
        <v>4</v>
      </c>
      <c r="N288" s="74">
        <v>1.55</v>
      </c>
      <c r="O288">
        <v>1</v>
      </c>
      <c r="P288" s="84">
        <v>1.1625000000000001</v>
      </c>
      <c r="Q288" s="86">
        <v>10.350000000000001</v>
      </c>
      <c r="R288" s="85">
        <v>10.350000000000001</v>
      </c>
      <c r="S288" s="87">
        <v>628870</v>
      </c>
      <c r="T288" s="1">
        <v>4</v>
      </c>
      <c r="U288" s="88">
        <v>60760.386473429942</v>
      </c>
      <c r="V288" s="59">
        <v>16.458091497447807</v>
      </c>
    </row>
    <row r="289" spans="1:22">
      <c r="A289" s="58">
        <v>288</v>
      </c>
      <c r="B289" s="58">
        <v>288</v>
      </c>
      <c r="C289" s="58" t="s">
        <v>668</v>
      </c>
      <c r="D289" s="58" t="s">
        <v>187</v>
      </c>
      <c r="E289" s="58" t="s">
        <v>187</v>
      </c>
      <c r="F289" s="58" t="s">
        <v>415</v>
      </c>
      <c r="G289" s="58" t="s">
        <v>416</v>
      </c>
      <c r="H289" s="58" t="s">
        <v>179</v>
      </c>
      <c r="I289">
        <v>38000</v>
      </c>
      <c r="J289">
        <v>38000</v>
      </c>
      <c r="K289" s="58" t="s">
        <v>185</v>
      </c>
      <c r="L289" s="74">
        <v>6.46</v>
      </c>
      <c r="M289" s="85">
        <v>7</v>
      </c>
      <c r="N289" s="74">
        <v>0.55400000000000005</v>
      </c>
      <c r="O289">
        <v>1</v>
      </c>
      <c r="P289" s="84">
        <v>0.55400000000000005</v>
      </c>
      <c r="Q289" s="86">
        <v>3.45</v>
      </c>
      <c r="R289" s="85">
        <v>3.45</v>
      </c>
      <c r="S289" s="87">
        <v>839680</v>
      </c>
      <c r="T289" s="1">
        <v>4</v>
      </c>
      <c r="U289" s="88">
        <v>243385.5072463768</v>
      </c>
      <c r="V289" s="59">
        <v>4.1087080792682924</v>
      </c>
    </row>
    <row r="290" spans="1:22">
      <c r="A290" s="58">
        <v>289</v>
      </c>
      <c r="B290" s="58">
        <v>289</v>
      </c>
      <c r="C290" s="58" t="s">
        <v>669</v>
      </c>
      <c r="D290" s="58" t="s">
        <v>187</v>
      </c>
      <c r="E290" s="58" t="s">
        <v>187</v>
      </c>
      <c r="F290" s="58" t="s">
        <v>191</v>
      </c>
      <c r="G290" s="58" t="s">
        <v>192</v>
      </c>
      <c r="H290" s="58" t="s">
        <v>179</v>
      </c>
      <c r="I290">
        <v>38000</v>
      </c>
      <c r="J290">
        <v>38000</v>
      </c>
      <c r="K290" s="58" t="s">
        <v>185</v>
      </c>
      <c r="L290" s="74">
        <v>10.95</v>
      </c>
      <c r="M290" s="85">
        <v>11</v>
      </c>
      <c r="N290" s="74">
        <v>0.83099999999999996</v>
      </c>
      <c r="O290">
        <v>1</v>
      </c>
      <c r="P290" s="84">
        <v>0.62324999999999997</v>
      </c>
      <c r="Q290" s="86">
        <v>6.9</v>
      </c>
      <c r="R290" s="85">
        <v>6.9</v>
      </c>
      <c r="S290" s="87">
        <v>1485200</v>
      </c>
      <c r="T290" s="1">
        <v>2</v>
      </c>
      <c r="U290" s="88">
        <v>215246.37681159418</v>
      </c>
      <c r="V290" s="59">
        <v>4.6458389442499328</v>
      </c>
    </row>
    <row r="291" spans="1:22">
      <c r="A291" s="58">
        <v>290</v>
      </c>
      <c r="B291" s="58">
        <v>290</v>
      </c>
      <c r="C291" s="58" t="s">
        <v>670</v>
      </c>
      <c r="D291" s="58" t="s">
        <v>187</v>
      </c>
      <c r="E291" s="58" t="s">
        <v>187</v>
      </c>
      <c r="F291" s="58" t="s">
        <v>228</v>
      </c>
      <c r="G291" s="58" t="s">
        <v>229</v>
      </c>
      <c r="H291" s="58" t="s">
        <v>179</v>
      </c>
      <c r="I291">
        <v>38000</v>
      </c>
      <c r="J291">
        <v>38000</v>
      </c>
      <c r="K291" s="58" t="s">
        <v>185</v>
      </c>
      <c r="L291" s="74">
        <v>10.050000000000001</v>
      </c>
      <c r="M291" s="85">
        <v>11</v>
      </c>
      <c r="N291" s="74">
        <v>2.1850000000000001</v>
      </c>
      <c r="O291">
        <v>1</v>
      </c>
      <c r="P291" s="84">
        <v>1.6387499999999999</v>
      </c>
      <c r="Q291" s="86">
        <v>17.25</v>
      </c>
      <c r="R291" s="85">
        <v>17.25</v>
      </c>
      <c r="S291" s="87">
        <v>1120760</v>
      </c>
      <c r="T291" s="1">
        <v>4</v>
      </c>
      <c r="U291" s="88">
        <v>64971.594202898552</v>
      </c>
      <c r="V291" s="59">
        <v>15.391341589635605</v>
      </c>
    </row>
    <row r="292" spans="1:22">
      <c r="A292" s="58">
        <v>291</v>
      </c>
      <c r="B292" s="58">
        <v>291</v>
      </c>
      <c r="C292" s="58" t="s">
        <v>671</v>
      </c>
      <c r="D292" s="58" t="s">
        <v>187</v>
      </c>
      <c r="E292" s="58" t="s">
        <v>187</v>
      </c>
      <c r="F292" s="58" t="s">
        <v>194</v>
      </c>
      <c r="G292" s="58" t="s">
        <v>195</v>
      </c>
      <c r="H292" s="58" t="s">
        <v>179</v>
      </c>
      <c r="I292">
        <v>38000</v>
      </c>
      <c r="J292" s="58" t="s">
        <v>185</v>
      </c>
      <c r="K292">
        <v>38000</v>
      </c>
      <c r="L292" s="74">
        <v>2.5310000000000001</v>
      </c>
      <c r="M292" s="85">
        <v>3</v>
      </c>
      <c r="N292" s="74">
        <v>2.7330000000000001</v>
      </c>
      <c r="O292">
        <v>1</v>
      </c>
      <c r="P292" s="84">
        <v>2.04975</v>
      </c>
      <c r="Q292" s="86">
        <v>20.700000000000003</v>
      </c>
      <c r="R292" s="85">
        <v>20.700000000000003</v>
      </c>
      <c r="S292" s="87">
        <v>558600</v>
      </c>
      <c r="T292" s="1">
        <v>4</v>
      </c>
      <c r="U292" s="88">
        <v>26985.507246376808</v>
      </c>
      <c r="V292" s="59">
        <v>37.056928034371651</v>
      </c>
    </row>
    <row r="293" spans="1:22">
      <c r="A293" s="58">
        <v>292</v>
      </c>
      <c r="B293" s="58">
        <v>292</v>
      </c>
      <c r="C293" s="58" t="s">
        <v>672</v>
      </c>
      <c r="D293" s="58" t="s">
        <v>187</v>
      </c>
      <c r="E293" s="58" t="s">
        <v>187</v>
      </c>
      <c r="F293" s="58" t="s">
        <v>194</v>
      </c>
      <c r="G293" s="58" t="s">
        <v>195</v>
      </c>
      <c r="H293" s="58" t="s">
        <v>179</v>
      </c>
      <c r="I293">
        <v>38000</v>
      </c>
      <c r="J293" s="58" t="s">
        <v>185</v>
      </c>
      <c r="K293">
        <v>38000</v>
      </c>
      <c r="L293" s="74">
        <v>5.4480000000000004</v>
      </c>
      <c r="M293" s="85">
        <v>6</v>
      </c>
      <c r="N293" s="74">
        <v>5.7649999999999997</v>
      </c>
      <c r="O293">
        <v>1</v>
      </c>
      <c r="P293" s="84">
        <v>4.3237499999999995</v>
      </c>
      <c r="Q293" s="86">
        <v>44.85</v>
      </c>
      <c r="R293" s="85">
        <v>44.85</v>
      </c>
      <c r="S293" s="87">
        <v>1015350</v>
      </c>
      <c r="T293" s="1">
        <v>6</v>
      </c>
      <c r="U293" s="88">
        <v>22638.795986622074</v>
      </c>
      <c r="V293" s="59">
        <v>44.171960407741174</v>
      </c>
    </row>
    <row r="294" spans="1:22">
      <c r="A294" s="58">
        <v>293</v>
      </c>
      <c r="B294" s="58">
        <v>293</v>
      </c>
      <c r="C294" s="58" t="s">
        <v>673</v>
      </c>
      <c r="D294" s="58" t="s">
        <v>187</v>
      </c>
      <c r="E294" s="58" t="s">
        <v>187</v>
      </c>
      <c r="F294" s="58" t="s">
        <v>531</v>
      </c>
      <c r="G294" s="58" t="s">
        <v>532</v>
      </c>
      <c r="H294" s="58" t="s">
        <v>179</v>
      </c>
      <c r="I294">
        <v>38000</v>
      </c>
      <c r="J294">
        <v>38000</v>
      </c>
      <c r="K294" s="58" t="s">
        <v>185</v>
      </c>
      <c r="L294" s="74">
        <v>11.922000000000001</v>
      </c>
      <c r="M294" s="85">
        <v>12</v>
      </c>
      <c r="N294" s="74">
        <v>1.6619999999999999</v>
      </c>
      <c r="O294">
        <v>1</v>
      </c>
      <c r="P294" s="84">
        <v>1.2464999999999999</v>
      </c>
      <c r="Q294" s="86">
        <v>10.350000000000001</v>
      </c>
      <c r="R294" s="85">
        <v>10.350000000000001</v>
      </c>
      <c r="S294" s="87">
        <v>1574950</v>
      </c>
      <c r="T294" s="1">
        <v>3</v>
      </c>
      <c r="U294" s="88">
        <v>152169.08212560383</v>
      </c>
      <c r="V294" s="59">
        <v>6.5716371948315828</v>
      </c>
    </row>
    <row r="295" spans="1:22">
      <c r="A295" s="58">
        <v>294</v>
      </c>
      <c r="B295" s="58">
        <v>294</v>
      </c>
      <c r="C295" s="58" t="s">
        <v>674</v>
      </c>
      <c r="D295" s="58" t="s">
        <v>187</v>
      </c>
      <c r="E295" s="58" t="s">
        <v>187</v>
      </c>
      <c r="F295" s="58" t="s">
        <v>374</v>
      </c>
      <c r="G295" s="58" t="s">
        <v>375</v>
      </c>
      <c r="H295" s="58" t="s">
        <v>179</v>
      </c>
      <c r="I295">
        <v>38000</v>
      </c>
      <c r="J295">
        <v>38000</v>
      </c>
      <c r="K295">
        <v>20000</v>
      </c>
      <c r="L295" s="74">
        <v>6.5659999999999998</v>
      </c>
      <c r="M295" s="85">
        <v>7</v>
      </c>
      <c r="N295" s="74">
        <v>5.0469999999999997</v>
      </c>
      <c r="O295">
        <v>1</v>
      </c>
      <c r="P295" s="84">
        <v>3.7852499999999996</v>
      </c>
      <c r="Q295" s="86">
        <v>41.400000000000006</v>
      </c>
      <c r="R295" s="85">
        <v>41.400000000000006</v>
      </c>
      <c r="S295" s="87">
        <v>1126610</v>
      </c>
      <c r="T295" s="1">
        <v>6</v>
      </c>
      <c r="U295" s="88">
        <v>27212.801932367147</v>
      </c>
      <c r="V295" s="59">
        <v>36.747410372711059</v>
      </c>
    </row>
    <row r="296" spans="1:22">
      <c r="A296" s="58">
        <v>295</v>
      </c>
      <c r="B296" s="58">
        <v>295</v>
      </c>
      <c r="C296" s="58" t="s">
        <v>675</v>
      </c>
      <c r="D296" s="58" t="s">
        <v>187</v>
      </c>
      <c r="E296" s="58" t="s">
        <v>187</v>
      </c>
      <c r="F296" s="58" t="s">
        <v>531</v>
      </c>
      <c r="G296" s="58" t="s">
        <v>532</v>
      </c>
      <c r="H296" s="58" t="s">
        <v>179</v>
      </c>
      <c r="I296">
        <v>38000</v>
      </c>
      <c r="J296">
        <v>38000</v>
      </c>
      <c r="K296" s="58" t="s">
        <v>185</v>
      </c>
      <c r="L296" s="74">
        <v>4.3040000000000003</v>
      </c>
      <c r="M296" s="85">
        <v>5</v>
      </c>
      <c r="N296" s="74">
        <v>1.5</v>
      </c>
      <c r="O296">
        <v>1</v>
      </c>
      <c r="P296" s="84">
        <v>1.125</v>
      </c>
      <c r="Q296" s="86">
        <v>10.350000000000001</v>
      </c>
      <c r="R296" s="85">
        <v>10.350000000000001</v>
      </c>
      <c r="S296" s="87">
        <v>699140</v>
      </c>
      <c r="T296" s="1">
        <v>4</v>
      </c>
      <c r="U296" s="88">
        <v>67549.758454106268</v>
      </c>
      <c r="V296" s="59">
        <v>14.803901936665048</v>
      </c>
    </row>
    <row r="297" spans="1:22">
      <c r="A297" s="89">
        <v>296</v>
      </c>
      <c r="B297" s="89">
        <v>296</v>
      </c>
      <c r="C297" s="89" t="s">
        <v>676</v>
      </c>
      <c r="D297" s="58" t="s">
        <v>187</v>
      </c>
      <c r="E297" s="58" t="s">
        <v>187</v>
      </c>
      <c r="F297" s="89" t="s">
        <v>677</v>
      </c>
      <c r="G297" s="89" t="s">
        <v>678</v>
      </c>
      <c r="H297" s="89" t="s">
        <v>179</v>
      </c>
      <c r="I297" s="90">
        <v>38000</v>
      </c>
      <c r="J297" s="89" t="s">
        <v>185</v>
      </c>
      <c r="K297" s="90">
        <v>38000</v>
      </c>
      <c r="L297" s="91">
        <v>6.28</v>
      </c>
      <c r="M297" s="92">
        <v>7</v>
      </c>
      <c r="N297" s="91">
        <v>10.893000000000001</v>
      </c>
      <c r="O297" s="90">
        <v>1</v>
      </c>
      <c r="P297" s="92">
        <v>8.1697500000000005</v>
      </c>
      <c r="Q297" s="93">
        <v>89.7</v>
      </c>
      <c r="R297" s="92">
        <v>89.7</v>
      </c>
      <c r="S297" s="87">
        <v>2394130</v>
      </c>
      <c r="T297" s="94">
        <v>11</v>
      </c>
      <c r="U297" s="95">
        <v>26690.412486064659</v>
      </c>
      <c r="V297" s="96">
        <v>37.466637150029449</v>
      </c>
    </row>
    <row r="298" spans="1:22">
      <c r="A298" s="89">
        <v>297</v>
      </c>
      <c r="B298" s="89">
        <v>297</v>
      </c>
      <c r="C298" s="89" t="s">
        <v>679</v>
      </c>
      <c r="D298" s="58" t="s">
        <v>187</v>
      </c>
      <c r="E298" s="58" t="s">
        <v>187</v>
      </c>
      <c r="F298" s="89" t="s">
        <v>377</v>
      </c>
      <c r="G298" s="89"/>
      <c r="H298" s="89" t="s">
        <v>179</v>
      </c>
      <c r="I298" s="90">
        <v>38000</v>
      </c>
      <c r="J298" s="89"/>
      <c r="K298" s="89"/>
      <c r="L298" s="91">
        <v>3.2469999999999999</v>
      </c>
      <c r="M298" s="92">
        <v>4</v>
      </c>
      <c r="N298" s="91">
        <v>6.5069999999999997</v>
      </c>
      <c r="O298" s="90">
        <v>1</v>
      </c>
      <c r="P298" s="92">
        <v>4.8802500000000002</v>
      </c>
      <c r="Q298" s="93">
        <v>51.75</v>
      </c>
      <c r="R298" s="92">
        <v>51.75</v>
      </c>
      <c r="S298" s="87">
        <v>1761700</v>
      </c>
      <c r="T298" s="94">
        <v>11</v>
      </c>
      <c r="U298" s="95">
        <v>34042.512077294683</v>
      </c>
      <c r="V298" s="96">
        <v>29.375035477095988</v>
      </c>
    </row>
    <row r="299" spans="1:22">
      <c r="A299" s="58">
        <v>298</v>
      </c>
      <c r="B299" s="58">
        <v>298</v>
      </c>
      <c r="C299" s="58" t="s">
        <v>680</v>
      </c>
      <c r="D299" s="58" t="s">
        <v>187</v>
      </c>
      <c r="E299" s="58" t="s">
        <v>187</v>
      </c>
      <c r="F299" s="58" t="s">
        <v>377</v>
      </c>
      <c r="H299" s="58" t="s">
        <v>179</v>
      </c>
      <c r="I299">
        <v>38000</v>
      </c>
      <c r="L299" s="74">
        <v>5.1589999999999998</v>
      </c>
      <c r="M299" s="85">
        <v>6</v>
      </c>
      <c r="N299" s="74">
        <v>0.58299999999999996</v>
      </c>
      <c r="O299">
        <v>1</v>
      </c>
      <c r="P299" s="84">
        <v>0.58299999999999996</v>
      </c>
      <c r="Q299" s="86">
        <v>3.45</v>
      </c>
      <c r="R299" s="85">
        <v>3.45</v>
      </c>
      <c r="S299" s="87">
        <v>769410</v>
      </c>
      <c r="T299" s="1">
        <v>4</v>
      </c>
      <c r="U299" s="88">
        <v>223017.39130434781</v>
      </c>
      <c r="V299" s="59">
        <v>4.4839552384294459</v>
      </c>
    </row>
    <row r="300" spans="1:22">
      <c r="A300" s="58">
        <v>299</v>
      </c>
      <c r="B300" s="58">
        <v>299</v>
      </c>
      <c r="C300" s="58" t="s">
        <v>681</v>
      </c>
      <c r="D300" s="58" t="s">
        <v>187</v>
      </c>
      <c r="E300" s="58" t="s">
        <v>187</v>
      </c>
      <c r="F300" s="58" t="s">
        <v>377</v>
      </c>
      <c r="H300" s="58" t="s">
        <v>179</v>
      </c>
      <c r="I300">
        <v>38000</v>
      </c>
      <c r="L300" s="74">
        <v>2.2799999999999998</v>
      </c>
      <c r="M300" s="85">
        <v>3</v>
      </c>
      <c r="N300" s="74">
        <v>1.6240000000000001</v>
      </c>
      <c r="O300">
        <v>1</v>
      </c>
      <c r="P300" s="84">
        <v>1.218</v>
      </c>
      <c r="Q300" s="86">
        <v>10.350000000000001</v>
      </c>
      <c r="R300" s="85">
        <v>10.350000000000001</v>
      </c>
      <c r="S300" s="87">
        <v>558600</v>
      </c>
      <c r="T300" s="1">
        <v>4</v>
      </c>
      <c r="U300" s="88">
        <v>53971.014492753617</v>
      </c>
      <c r="V300" s="59">
        <v>18.528464017185826</v>
      </c>
    </row>
    <row r="301" spans="1:22">
      <c r="A301" s="89">
        <v>300</v>
      </c>
      <c r="B301" s="89">
        <v>300</v>
      </c>
      <c r="C301" s="89" t="s">
        <v>682</v>
      </c>
      <c r="D301" s="58" t="s">
        <v>187</v>
      </c>
      <c r="E301" s="58" t="s">
        <v>187</v>
      </c>
      <c r="F301" s="89" t="s">
        <v>683</v>
      </c>
      <c r="G301" s="89" t="s">
        <v>684</v>
      </c>
      <c r="H301" s="89" t="s">
        <v>179</v>
      </c>
      <c r="I301" s="90">
        <v>38000</v>
      </c>
      <c r="J301" s="89" t="s">
        <v>185</v>
      </c>
      <c r="K301" s="90">
        <v>38000</v>
      </c>
      <c r="L301" s="91">
        <v>2.4540000000000002</v>
      </c>
      <c r="M301" s="92">
        <v>3</v>
      </c>
      <c r="N301" s="91">
        <v>6.7460000000000004</v>
      </c>
      <c r="O301" s="90">
        <v>1</v>
      </c>
      <c r="P301" s="92">
        <v>5.0594999999999999</v>
      </c>
      <c r="Q301" s="93">
        <v>55.2</v>
      </c>
      <c r="R301" s="92">
        <v>55.2</v>
      </c>
      <c r="S301" s="87">
        <v>1550890</v>
      </c>
      <c r="T301" s="94">
        <v>11</v>
      </c>
      <c r="U301" s="95">
        <v>28095.833333333332</v>
      </c>
      <c r="V301" s="96">
        <v>35.592466261308026</v>
      </c>
    </row>
    <row r="302" spans="1:22">
      <c r="A302" s="58">
        <v>301</v>
      </c>
      <c r="B302" s="58">
        <v>301</v>
      </c>
      <c r="C302" s="58" t="s">
        <v>685</v>
      </c>
      <c r="D302" s="58" t="s">
        <v>187</v>
      </c>
      <c r="E302" s="58" t="s">
        <v>187</v>
      </c>
      <c r="F302" s="58" t="s">
        <v>683</v>
      </c>
      <c r="G302" s="58" t="s">
        <v>684</v>
      </c>
      <c r="H302" s="58" t="s">
        <v>179</v>
      </c>
      <c r="I302">
        <v>38000</v>
      </c>
      <c r="J302" s="58" t="s">
        <v>185</v>
      </c>
      <c r="K302">
        <v>38000</v>
      </c>
      <c r="L302" s="74">
        <v>5.0540000000000003</v>
      </c>
      <c r="M302" s="85">
        <v>6</v>
      </c>
      <c r="N302" s="74">
        <v>4.5060000000000002</v>
      </c>
      <c r="O302">
        <v>1</v>
      </c>
      <c r="P302" s="84">
        <v>3.3795000000000002</v>
      </c>
      <c r="Q302" s="86">
        <v>34.5</v>
      </c>
      <c r="R302" s="85">
        <v>34.5</v>
      </c>
      <c r="S302" s="87">
        <v>1015350</v>
      </c>
      <c r="T302" s="1">
        <v>6</v>
      </c>
      <c r="U302" s="88">
        <v>29430.434782608696</v>
      </c>
      <c r="V302" s="59">
        <v>33.978431082877826</v>
      </c>
    </row>
    <row r="303" spans="1:22">
      <c r="A303" s="58">
        <v>302</v>
      </c>
      <c r="B303" s="58">
        <v>302</v>
      </c>
      <c r="C303" s="58" t="s">
        <v>686</v>
      </c>
      <c r="D303" s="58" t="s">
        <v>234</v>
      </c>
      <c r="E303" s="58" t="s">
        <v>234</v>
      </c>
      <c r="F303" s="58" t="s">
        <v>235</v>
      </c>
      <c r="G303" s="58" t="s">
        <v>236</v>
      </c>
      <c r="H303" s="58" t="s">
        <v>179</v>
      </c>
      <c r="I303">
        <v>38000</v>
      </c>
      <c r="J303">
        <v>38000</v>
      </c>
      <c r="K303">
        <v>20000</v>
      </c>
      <c r="L303" s="74">
        <v>7.4589999999999996</v>
      </c>
      <c r="M303" s="85">
        <v>8</v>
      </c>
      <c r="N303" s="74">
        <v>1.9770000000000001</v>
      </c>
      <c r="O303">
        <v>1</v>
      </c>
      <c r="P303" s="84">
        <v>1.48275</v>
      </c>
      <c r="Q303" s="86">
        <v>13.8</v>
      </c>
      <c r="R303" s="85">
        <v>13.8</v>
      </c>
      <c r="S303" s="87">
        <v>909950</v>
      </c>
      <c r="T303" s="1">
        <v>4</v>
      </c>
      <c r="U303" s="88">
        <v>65938.405797101441</v>
      </c>
      <c r="V303" s="59">
        <v>15.165668443321062</v>
      </c>
    </row>
    <row r="304" spans="1:22">
      <c r="A304" s="58">
        <v>303</v>
      </c>
      <c r="B304" s="58">
        <v>303</v>
      </c>
      <c r="C304" s="58" t="s">
        <v>687</v>
      </c>
      <c r="D304" s="58" t="s">
        <v>234</v>
      </c>
      <c r="E304" s="58" t="s">
        <v>234</v>
      </c>
      <c r="F304" s="58" t="s">
        <v>235</v>
      </c>
      <c r="G304" s="58" t="s">
        <v>236</v>
      </c>
      <c r="H304" s="58" t="s">
        <v>179</v>
      </c>
      <c r="I304">
        <v>38000</v>
      </c>
      <c r="J304">
        <v>38000</v>
      </c>
      <c r="K304">
        <v>20000</v>
      </c>
      <c r="L304" s="74">
        <v>6.2380000000000004</v>
      </c>
      <c r="M304" s="85">
        <v>7</v>
      </c>
      <c r="N304" s="74">
        <v>4.423</v>
      </c>
      <c r="O304">
        <v>1</v>
      </c>
      <c r="P304" s="84">
        <v>3.31725</v>
      </c>
      <c r="Q304" s="86">
        <v>34.5</v>
      </c>
      <c r="R304" s="85">
        <v>34.5</v>
      </c>
      <c r="S304" s="87">
        <v>1126610</v>
      </c>
      <c r="T304" s="1">
        <v>6</v>
      </c>
      <c r="U304" s="88">
        <v>32655.36231884058</v>
      </c>
      <c r="V304" s="59">
        <v>30.62284197725921</v>
      </c>
    </row>
    <row r="305" spans="1:22">
      <c r="A305" s="58">
        <v>304</v>
      </c>
      <c r="B305" s="58">
        <v>304</v>
      </c>
      <c r="C305" s="58" t="s">
        <v>688</v>
      </c>
      <c r="D305" s="58" t="s">
        <v>234</v>
      </c>
      <c r="E305" s="58" t="s">
        <v>234</v>
      </c>
      <c r="F305" s="58" t="s">
        <v>235</v>
      </c>
      <c r="G305" s="58" t="s">
        <v>236</v>
      </c>
      <c r="H305" s="58" t="s">
        <v>179</v>
      </c>
      <c r="I305">
        <v>38000</v>
      </c>
      <c r="J305">
        <v>38000</v>
      </c>
      <c r="K305">
        <v>20000</v>
      </c>
      <c r="L305" s="74">
        <v>7.4790000000000001</v>
      </c>
      <c r="M305" s="85">
        <v>8</v>
      </c>
      <c r="N305" s="74">
        <v>1.9430000000000001</v>
      </c>
      <c r="O305">
        <v>1</v>
      </c>
      <c r="P305" s="84">
        <v>1.4572500000000002</v>
      </c>
      <c r="Q305" s="86">
        <v>13.8</v>
      </c>
      <c r="R305" s="85">
        <v>13.8</v>
      </c>
      <c r="S305" s="87">
        <v>909950</v>
      </c>
      <c r="T305" s="1">
        <v>4</v>
      </c>
      <c r="U305" s="88">
        <v>65938.405797101441</v>
      </c>
      <c r="V305" s="59">
        <v>15.165668443321062</v>
      </c>
    </row>
    <row r="306" spans="1:22">
      <c r="A306" s="58">
        <v>305</v>
      </c>
      <c r="B306" s="58">
        <v>305</v>
      </c>
      <c r="C306" s="58" t="s">
        <v>689</v>
      </c>
      <c r="D306" s="58" t="s">
        <v>234</v>
      </c>
      <c r="E306" s="58" t="s">
        <v>234</v>
      </c>
      <c r="F306" s="58" t="s">
        <v>235</v>
      </c>
      <c r="G306" s="58" t="s">
        <v>236</v>
      </c>
      <c r="H306" s="58" t="s">
        <v>179</v>
      </c>
      <c r="I306">
        <v>38000</v>
      </c>
      <c r="J306">
        <v>38000</v>
      </c>
      <c r="K306">
        <v>20000</v>
      </c>
      <c r="L306" s="74">
        <v>9.6340000000000003</v>
      </c>
      <c r="M306" s="85">
        <v>10</v>
      </c>
      <c r="N306" s="74">
        <v>1.036</v>
      </c>
      <c r="O306">
        <v>1</v>
      </c>
      <c r="P306" s="84">
        <v>0.77700000000000002</v>
      </c>
      <c r="Q306" s="86">
        <v>6.9</v>
      </c>
      <c r="R306" s="85">
        <v>6.9</v>
      </c>
      <c r="S306" s="87">
        <v>1432500</v>
      </c>
      <c r="T306" s="1">
        <v>2</v>
      </c>
      <c r="U306" s="88">
        <v>207608.69565217389</v>
      </c>
      <c r="V306" s="59">
        <v>4.8167539267015709</v>
      </c>
    </row>
    <row r="307" spans="1:22">
      <c r="A307" s="58">
        <v>306</v>
      </c>
      <c r="B307" s="58">
        <v>306</v>
      </c>
      <c r="C307" s="58" t="s">
        <v>690</v>
      </c>
      <c r="D307" s="58" t="s">
        <v>234</v>
      </c>
      <c r="E307" s="58" t="s">
        <v>234</v>
      </c>
      <c r="F307" s="58" t="s">
        <v>235</v>
      </c>
      <c r="G307" s="58" t="s">
        <v>236</v>
      </c>
      <c r="H307" s="58" t="s">
        <v>179</v>
      </c>
      <c r="I307">
        <v>38000</v>
      </c>
      <c r="J307">
        <v>38000</v>
      </c>
      <c r="K307">
        <v>20000</v>
      </c>
      <c r="L307" s="74">
        <v>10.101000000000001</v>
      </c>
      <c r="M307" s="85">
        <v>11</v>
      </c>
      <c r="N307" s="74">
        <v>1.1299999999999999</v>
      </c>
      <c r="O307">
        <v>1</v>
      </c>
      <c r="P307" s="84">
        <v>0.84749999999999992</v>
      </c>
      <c r="Q307" s="86">
        <v>6.9</v>
      </c>
      <c r="R307" s="85">
        <v>6.9</v>
      </c>
      <c r="S307" s="87">
        <v>1485200</v>
      </c>
      <c r="T307" s="1">
        <v>2</v>
      </c>
      <c r="U307" s="88">
        <v>215246.37681159418</v>
      </c>
      <c r="V307" s="59">
        <v>4.6458389442499328</v>
      </c>
    </row>
    <row r="308" spans="1:22">
      <c r="A308" s="58">
        <v>307</v>
      </c>
      <c r="B308" s="58">
        <v>307</v>
      </c>
      <c r="C308" s="58" t="s">
        <v>691</v>
      </c>
      <c r="D308" s="58" t="s">
        <v>234</v>
      </c>
      <c r="E308" s="58" t="s">
        <v>234</v>
      </c>
      <c r="F308" s="58" t="s">
        <v>235</v>
      </c>
      <c r="G308" s="58" t="s">
        <v>236</v>
      </c>
      <c r="H308" s="58" t="s">
        <v>179</v>
      </c>
      <c r="I308">
        <v>38000</v>
      </c>
      <c r="J308">
        <v>38000</v>
      </c>
      <c r="K308">
        <v>20000</v>
      </c>
      <c r="L308" s="74">
        <v>13.898</v>
      </c>
      <c r="M308" s="85">
        <v>14</v>
      </c>
      <c r="N308" s="74">
        <v>4.42</v>
      </c>
      <c r="O308">
        <v>1</v>
      </c>
      <c r="P308" s="84">
        <v>3.3149999999999999</v>
      </c>
      <c r="Q308" s="86">
        <v>34.5</v>
      </c>
      <c r="R308" s="85">
        <v>34.5</v>
      </c>
      <c r="S308" s="87">
        <v>1905430</v>
      </c>
      <c r="T308" s="1">
        <v>6</v>
      </c>
      <c r="U308" s="88">
        <v>55229.855072463768</v>
      </c>
      <c r="V308" s="59">
        <v>18.106149268144197</v>
      </c>
    </row>
    <row r="309" spans="1:22">
      <c r="A309" s="89">
        <v>308</v>
      </c>
      <c r="B309" s="89">
        <v>308</v>
      </c>
      <c r="C309" s="89" t="s">
        <v>692</v>
      </c>
      <c r="D309" s="58" t="s">
        <v>234</v>
      </c>
      <c r="E309" s="58" t="s">
        <v>234</v>
      </c>
      <c r="F309" s="89" t="s">
        <v>235</v>
      </c>
      <c r="G309" s="89" t="s">
        <v>236</v>
      </c>
      <c r="H309" s="89" t="s">
        <v>179</v>
      </c>
      <c r="I309" s="90">
        <v>38000</v>
      </c>
      <c r="J309" s="90">
        <v>38000</v>
      </c>
      <c r="K309" s="90">
        <v>20000</v>
      </c>
      <c r="L309" s="91">
        <v>18.984000000000002</v>
      </c>
      <c r="M309" s="92">
        <v>19</v>
      </c>
      <c r="N309" s="91">
        <v>14.303000000000001</v>
      </c>
      <c r="O309" s="90">
        <v>1</v>
      </c>
      <c r="P309" s="92">
        <v>10.727250000000002</v>
      </c>
      <c r="Q309" s="93">
        <v>117.30000000000001</v>
      </c>
      <c r="R309" s="92">
        <v>117.30000000000001</v>
      </c>
      <c r="S309" s="87">
        <v>4923850</v>
      </c>
      <c r="T309" s="94">
        <v>11</v>
      </c>
      <c r="U309" s="95">
        <v>41976.555839727189</v>
      </c>
      <c r="V309" s="96">
        <v>23.822821572549937</v>
      </c>
    </row>
    <row r="310" spans="1:22">
      <c r="A310" s="58">
        <v>309</v>
      </c>
      <c r="B310" s="58">
        <v>309</v>
      </c>
      <c r="C310" s="58" t="s">
        <v>693</v>
      </c>
      <c r="D310" s="58" t="s">
        <v>187</v>
      </c>
      <c r="E310" s="58" t="s">
        <v>187</v>
      </c>
      <c r="F310" s="58" t="s">
        <v>415</v>
      </c>
      <c r="G310" s="58" t="s">
        <v>416</v>
      </c>
      <c r="H310" s="58" t="s">
        <v>179</v>
      </c>
      <c r="I310">
        <v>38000</v>
      </c>
      <c r="J310">
        <v>38000</v>
      </c>
      <c r="K310" s="58" t="s">
        <v>185</v>
      </c>
      <c r="L310" s="74">
        <v>13.432</v>
      </c>
      <c r="M310" s="85">
        <v>14</v>
      </c>
      <c r="N310" s="74">
        <v>3.26</v>
      </c>
      <c r="O310">
        <v>1</v>
      </c>
      <c r="P310" s="84">
        <v>2.4449999999999998</v>
      </c>
      <c r="Q310" s="86">
        <v>24.150000000000006</v>
      </c>
      <c r="R310" s="85">
        <v>24.150000000000006</v>
      </c>
      <c r="S310" s="87">
        <v>1591410</v>
      </c>
      <c r="T310" s="1">
        <v>5</v>
      </c>
      <c r="U310" s="88">
        <v>65896.894409937871</v>
      </c>
      <c r="V310" s="59">
        <v>15.175221972967373</v>
      </c>
    </row>
    <row r="311" spans="1:22">
      <c r="A311" s="58">
        <v>311</v>
      </c>
      <c r="B311" s="58">
        <v>311</v>
      </c>
      <c r="C311" s="58" t="s">
        <v>694</v>
      </c>
      <c r="D311" s="58" t="s">
        <v>384</v>
      </c>
      <c r="E311" s="58" t="s">
        <v>384</v>
      </c>
      <c r="F311" s="58" t="s">
        <v>381</v>
      </c>
      <c r="G311" s="58" t="s">
        <v>382</v>
      </c>
      <c r="H311" s="58" t="s">
        <v>199</v>
      </c>
      <c r="I311">
        <v>110000</v>
      </c>
      <c r="J311">
        <v>20000</v>
      </c>
      <c r="K311">
        <v>110000</v>
      </c>
      <c r="L311" s="74">
        <v>7.5890000000000004</v>
      </c>
      <c r="M311" s="85">
        <v>8</v>
      </c>
      <c r="N311" s="74">
        <v>2.1619999999999999</v>
      </c>
      <c r="O311">
        <v>1</v>
      </c>
      <c r="P311" s="84">
        <v>1.6214999999999999</v>
      </c>
      <c r="Q311" s="86">
        <v>17.25</v>
      </c>
      <c r="R311" s="85">
        <v>17.25</v>
      </c>
      <c r="S311" s="87">
        <v>2156870</v>
      </c>
      <c r="T311" s="1">
        <v>8</v>
      </c>
      <c r="U311" s="88">
        <v>125035.9420289855</v>
      </c>
      <c r="V311" s="59">
        <v>7.9977003713714785</v>
      </c>
    </row>
    <row r="312" spans="1:22">
      <c r="A312" s="58">
        <v>312</v>
      </c>
      <c r="B312" s="58">
        <v>312</v>
      </c>
      <c r="C312" s="58" t="s">
        <v>695</v>
      </c>
      <c r="D312" s="58" t="s">
        <v>380</v>
      </c>
      <c r="E312" s="58" t="s">
        <v>380</v>
      </c>
      <c r="F312" s="58" t="s">
        <v>381</v>
      </c>
      <c r="G312" s="58" t="s">
        <v>382</v>
      </c>
      <c r="H312" s="58" t="s">
        <v>199</v>
      </c>
      <c r="I312">
        <v>110000</v>
      </c>
      <c r="J312">
        <v>20000</v>
      </c>
      <c r="K312">
        <v>110000</v>
      </c>
      <c r="L312" s="74">
        <v>11.318</v>
      </c>
      <c r="M312" s="85">
        <v>12</v>
      </c>
      <c r="N312" s="74">
        <v>1.034</v>
      </c>
      <c r="O312">
        <v>1</v>
      </c>
      <c r="P312" s="84">
        <v>0.77550000000000008</v>
      </c>
      <c r="Q312" s="86">
        <v>6.9</v>
      </c>
      <c r="R312" s="85">
        <v>6.9</v>
      </c>
      <c r="S312" s="87">
        <v>2048870</v>
      </c>
      <c r="T312" s="1">
        <v>7</v>
      </c>
      <c r="U312" s="88">
        <v>296937.68115942029</v>
      </c>
      <c r="V312" s="59">
        <v>3.3677100060033092</v>
      </c>
    </row>
    <row r="313" spans="1:22">
      <c r="A313" s="58">
        <v>313</v>
      </c>
      <c r="B313" s="58">
        <v>313</v>
      </c>
      <c r="C313" s="58" t="s">
        <v>696</v>
      </c>
      <c r="D313" s="58" t="s">
        <v>207</v>
      </c>
      <c r="E313" s="58" t="s">
        <v>207</v>
      </c>
      <c r="F313" s="58" t="s">
        <v>389</v>
      </c>
      <c r="G313" s="58" t="s">
        <v>390</v>
      </c>
      <c r="H313" s="58" t="s">
        <v>199</v>
      </c>
      <c r="I313">
        <v>110000</v>
      </c>
      <c r="J313">
        <v>110000</v>
      </c>
      <c r="K313">
        <v>38000</v>
      </c>
      <c r="L313" s="74">
        <v>7.1349999999999998</v>
      </c>
      <c r="M313" s="85">
        <v>8</v>
      </c>
      <c r="N313" s="74">
        <v>1.9890000000000001</v>
      </c>
      <c r="O313">
        <v>1</v>
      </c>
      <c r="P313" s="84">
        <v>1.4917500000000001</v>
      </c>
      <c r="Q313" s="86">
        <v>13.8</v>
      </c>
      <c r="R313" s="85">
        <v>13.8</v>
      </c>
      <c r="S313" s="87">
        <v>2156870</v>
      </c>
      <c r="T313" s="1">
        <v>8</v>
      </c>
      <c r="U313" s="88">
        <v>156294.92753623187</v>
      </c>
      <c r="V313" s="59">
        <v>6.3981602970971823</v>
      </c>
    </row>
    <row r="314" spans="1:22">
      <c r="A314" s="58">
        <v>314</v>
      </c>
      <c r="B314" s="58">
        <v>314</v>
      </c>
      <c r="C314" s="58" t="s">
        <v>697</v>
      </c>
      <c r="D314" s="58" t="s">
        <v>207</v>
      </c>
      <c r="E314" s="58" t="s">
        <v>207</v>
      </c>
      <c r="F314" s="58" t="s">
        <v>698</v>
      </c>
      <c r="G314" s="58" t="s">
        <v>699</v>
      </c>
      <c r="H314" s="58" t="s">
        <v>199</v>
      </c>
      <c r="I314">
        <v>110000</v>
      </c>
      <c r="J314" s="58" t="s">
        <v>185</v>
      </c>
      <c r="K314">
        <v>110000</v>
      </c>
      <c r="L314" s="74">
        <v>7.4329999999999998</v>
      </c>
      <c r="M314" s="85">
        <v>8</v>
      </c>
      <c r="N314" s="74">
        <v>1.038</v>
      </c>
      <c r="O314">
        <v>1</v>
      </c>
      <c r="P314" s="84">
        <v>0.77849999999999997</v>
      </c>
      <c r="Q314" s="86">
        <v>6.9</v>
      </c>
      <c r="R314" s="85">
        <v>6.9</v>
      </c>
      <c r="S314" s="87">
        <v>1838070</v>
      </c>
      <c r="T314" s="1">
        <v>7</v>
      </c>
      <c r="U314" s="88">
        <v>266386.95652173914</v>
      </c>
      <c r="V314" s="59">
        <v>3.7539375540648616</v>
      </c>
    </row>
    <row r="315" spans="1:22">
      <c r="A315" s="58">
        <v>315</v>
      </c>
      <c r="B315" s="58">
        <v>315</v>
      </c>
      <c r="C315" s="58" t="s">
        <v>700</v>
      </c>
      <c r="D315" s="58" t="s">
        <v>207</v>
      </c>
      <c r="E315" s="58" t="s">
        <v>207</v>
      </c>
      <c r="F315" s="58" t="s">
        <v>393</v>
      </c>
      <c r="G315" s="58" t="s">
        <v>394</v>
      </c>
      <c r="H315" s="58" t="s">
        <v>179</v>
      </c>
      <c r="I315">
        <v>38000</v>
      </c>
      <c r="J315">
        <v>38000</v>
      </c>
      <c r="K315" s="58" t="s">
        <v>185</v>
      </c>
      <c r="L315" s="74">
        <v>9.0109999999999992</v>
      </c>
      <c r="M315" s="85">
        <v>10</v>
      </c>
      <c r="N315" s="74">
        <v>0.80700000000000005</v>
      </c>
      <c r="O315">
        <v>1</v>
      </c>
      <c r="P315" s="84">
        <v>0.60525000000000007</v>
      </c>
      <c r="Q315" s="86">
        <v>6.9</v>
      </c>
      <c r="R315" s="85">
        <v>6.9</v>
      </c>
      <c r="S315" s="87">
        <v>1432500</v>
      </c>
      <c r="T315" s="1">
        <v>2</v>
      </c>
      <c r="U315" s="88">
        <v>207608.69565217389</v>
      </c>
      <c r="V315" s="59">
        <v>4.8167539267015709</v>
      </c>
    </row>
    <row r="316" spans="1:22">
      <c r="A316" s="58">
        <v>316</v>
      </c>
      <c r="B316" s="58">
        <v>316</v>
      </c>
      <c r="C316" s="58" t="s">
        <v>701</v>
      </c>
      <c r="D316" s="58" t="s">
        <v>207</v>
      </c>
      <c r="E316" s="58" t="s">
        <v>207</v>
      </c>
      <c r="F316" s="58" t="s">
        <v>393</v>
      </c>
      <c r="G316" s="58" t="s">
        <v>394</v>
      </c>
      <c r="H316" s="58" t="s">
        <v>179</v>
      </c>
      <c r="I316">
        <v>38000</v>
      </c>
      <c r="J316">
        <v>38000</v>
      </c>
      <c r="K316" s="58" t="s">
        <v>185</v>
      </c>
      <c r="L316" s="74">
        <v>7.0149999999999997</v>
      </c>
      <c r="M316" s="85">
        <v>8</v>
      </c>
      <c r="N316" s="74">
        <v>0.34599999999999997</v>
      </c>
      <c r="O316">
        <v>1</v>
      </c>
      <c r="P316" s="84">
        <v>0.34599999999999997</v>
      </c>
      <c r="Q316" s="86">
        <v>3.45</v>
      </c>
      <c r="R316" s="85">
        <v>3.45</v>
      </c>
      <c r="S316" s="87">
        <v>909950</v>
      </c>
      <c r="T316" s="1">
        <v>4</v>
      </c>
      <c r="U316" s="88">
        <v>263753.62318840576</v>
      </c>
      <c r="V316" s="59">
        <v>3.7914171108302654</v>
      </c>
    </row>
    <row r="317" spans="1:22">
      <c r="A317" s="58">
        <v>317</v>
      </c>
      <c r="B317" s="58">
        <v>317</v>
      </c>
      <c r="C317" s="58" t="s">
        <v>702</v>
      </c>
      <c r="D317" s="58" t="s">
        <v>207</v>
      </c>
      <c r="E317" s="58" t="s">
        <v>207</v>
      </c>
      <c r="F317" s="58" t="s">
        <v>389</v>
      </c>
      <c r="G317" s="58" t="s">
        <v>390</v>
      </c>
      <c r="H317" s="58" t="s">
        <v>199</v>
      </c>
      <c r="I317">
        <v>110000</v>
      </c>
      <c r="J317">
        <v>110000</v>
      </c>
      <c r="K317">
        <v>38000</v>
      </c>
      <c r="L317" s="74">
        <v>7.2930000000000001</v>
      </c>
      <c r="M317" s="85">
        <v>8</v>
      </c>
      <c r="N317" s="74">
        <v>2.4009999999999998</v>
      </c>
      <c r="O317">
        <v>1</v>
      </c>
      <c r="P317" s="84">
        <v>1.8007499999999999</v>
      </c>
      <c r="Q317" s="86">
        <v>17.25</v>
      </c>
      <c r="R317" s="85">
        <v>17.25</v>
      </c>
      <c r="S317" s="87">
        <v>2156870</v>
      </c>
      <c r="T317" s="1">
        <v>8</v>
      </c>
      <c r="U317" s="88">
        <v>125035.9420289855</v>
      </c>
      <c r="V317" s="59">
        <v>7.9977003713714785</v>
      </c>
    </row>
    <row r="318" spans="1:22">
      <c r="A318" s="89">
        <v>318</v>
      </c>
      <c r="B318" s="89">
        <v>318</v>
      </c>
      <c r="C318" s="89" t="s">
        <v>703</v>
      </c>
      <c r="D318" s="58" t="s">
        <v>207</v>
      </c>
      <c r="E318" s="58" t="s">
        <v>207</v>
      </c>
      <c r="F318" s="89" t="s">
        <v>393</v>
      </c>
      <c r="G318" s="89" t="s">
        <v>394</v>
      </c>
      <c r="H318" s="89" t="s">
        <v>179</v>
      </c>
      <c r="I318" s="90">
        <v>38000</v>
      </c>
      <c r="J318" s="90">
        <v>38000</v>
      </c>
      <c r="K318" s="89" t="s">
        <v>185</v>
      </c>
      <c r="L318" s="91">
        <v>8.8520000000000003</v>
      </c>
      <c r="M318" s="92">
        <v>9</v>
      </c>
      <c r="N318" s="91">
        <v>6.0640000000000001</v>
      </c>
      <c r="O318" s="90">
        <v>1</v>
      </c>
      <c r="P318" s="92">
        <v>4.548</v>
      </c>
      <c r="Q318" s="93">
        <v>48.300000000000011</v>
      </c>
      <c r="R318" s="92">
        <v>48.300000000000011</v>
      </c>
      <c r="S318" s="87">
        <v>2815750</v>
      </c>
      <c r="T318" s="94">
        <v>11</v>
      </c>
      <c r="U318" s="95">
        <v>58297.101449275346</v>
      </c>
      <c r="V318" s="96">
        <v>17.153511497824741</v>
      </c>
    </row>
    <row r="319" spans="1:22">
      <c r="A319" s="58">
        <v>319</v>
      </c>
      <c r="B319" s="58">
        <v>319</v>
      </c>
      <c r="C319" s="58" t="s">
        <v>704</v>
      </c>
      <c r="D319" s="58" t="s">
        <v>207</v>
      </c>
      <c r="E319" s="58" t="s">
        <v>207</v>
      </c>
      <c r="F319" s="58" t="s">
        <v>705</v>
      </c>
      <c r="G319" s="58" t="s">
        <v>706</v>
      </c>
      <c r="H319" s="58" t="s">
        <v>179</v>
      </c>
      <c r="I319">
        <v>38000</v>
      </c>
      <c r="J319" s="58" t="s">
        <v>185</v>
      </c>
      <c r="K319">
        <v>38000</v>
      </c>
      <c r="L319" s="74">
        <v>12.249000000000001</v>
      </c>
      <c r="M319" s="85">
        <v>13</v>
      </c>
      <c r="N319" s="74">
        <v>1.659</v>
      </c>
      <c r="O319">
        <v>1</v>
      </c>
      <c r="P319" s="84">
        <v>1.2442500000000001</v>
      </c>
      <c r="Q319" s="86">
        <v>10.350000000000001</v>
      </c>
      <c r="R319" s="85">
        <v>10.350000000000001</v>
      </c>
      <c r="S319" s="87">
        <v>1627650</v>
      </c>
      <c r="T319" s="1">
        <v>3</v>
      </c>
      <c r="U319" s="88">
        <v>157260.86956521738</v>
      </c>
      <c r="V319" s="59">
        <v>6.3588609344760867</v>
      </c>
    </row>
    <row r="320" spans="1:22">
      <c r="A320" s="58">
        <v>320</v>
      </c>
      <c r="B320" s="58">
        <v>320</v>
      </c>
      <c r="C320" s="58" t="s">
        <v>707</v>
      </c>
      <c r="D320" s="58" t="s">
        <v>207</v>
      </c>
      <c r="E320" s="58" t="s">
        <v>207</v>
      </c>
      <c r="F320" s="58" t="s">
        <v>698</v>
      </c>
      <c r="G320" s="58" t="s">
        <v>699</v>
      </c>
      <c r="H320" s="58" t="s">
        <v>199</v>
      </c>
      <c r="I320">
        <v>110000</v>
      </c>
      <c r="J320" s="58" t="s">
        <v>185</v>
      </c>
      <c r="K320">
        <v>110000</v>
      </c>
      <c r="L320" s="74">
        <v>14.393000000000001</v>
      </c>
      <c r="M320" s="85">
        <v>15</v>
      </c>
      <c r="N320" s="74">
        <v>0.19400000000000001</v>
      </c>
      <c r="O320">
        <v>1</v>
      </c>
      <c r="P320" s="84">
        <v>0.19400000000000001</v>
      </c>
      <c r="Q320" s="86">
        <v>3.45</v>
      </c>
      <c r="R320" s="85">
        <v>3.45</v>
      </c>
      <c r="S320" s="87">
        <v>2206970</v>
      </c>
      <c r="T320" s="1">
        <v>7</v>
      </c>
      <c r="U320" s="88">
        <v>639701.44927536231</v>
      </c>
      <c r="V320" s="59">
        <v>1.5632292237773961</v>
      </c>
    </row>
    <row r="321" spans="1:22">
      <c r="A321" s="58">
        <v>321</v>
      </c>
      <c r="B321" s="58">
        <v>321</v>
      </c>
      <c r="C321" s="58" t="s">
        <v>708</v>
      </c>
      <c r="D321" s="58" t="s">
        <v>207</v>
      </c>
      <c r="E321" s="58" t="s">
        <v>207</v>
      </c>
      <c r="F321" s="58" t="s">
        <v>242</v>
      </c>
      <c r="G321" s="58" t="s">
        <v>243</v>
      </c>
      <c r="H321" s="58" t="s">
        <v>179</v>
      </c>
      <c r="I321">
        <v>38000</v>
      </c>
      <c r="J321">
        <v>38000</v>
      </c>
      <c r="K321">
        <v>20000</v>
      </c>
      <c r="L321" s="74">
        <v>10.332000000000001</v>
      </c>
      <c r="M321" s="85">
        <v>11</v>
      </c>
      <c r="N321" s="74">
        <v>0.42199999999999999</v>
      </c>
      <c r="O321">
        <v>1</v>
      </c>
      <c r="P321" s="84">
        <v>0.42199999999999999</v>
      </c>
      <c r="Q321" s="86">
        <v>3.45</v>
      </c>
      <c r="R321" s="85">
        <v>3.45</v>
      </c>
      <c r="S321" s="87">
        <v>1439840</v>
      </c>
      <c r="T321" s="1">
        <v>1</v>
      </c>
      <c r="U321" s="88">
        <v>417344.92753623187</v>
      </c>
      <c r="V321" s="59">
        <v>2.396099566618513</v>
      </c>
    </row>
    <row r="322" spans="1:22">
      <c r="A322" s="58">
        <v>322</v>
      </c>
      <c r="B322" s="58">
        <v>322</v>
      </c>
      <c r="C322" s="58" t="s">
        <v>709</v>
      </c>
      <c r="D322" s="58" t="s">
        <v>207</v>
      </c>
      <c r="E322" s="58" t="s">
        <v>207</v>
      </c>
      <c r="F322" s="58" t="s">
        <v>502</v>
      </c>
      <c r="G322" s="58" t="s">
        <v>503</v>
      </c>
      <c r="H322" s="58" t="s">
        <v>179</v>
      </c>
      <c r="I322">
        <v>38000</v>
      </c>
      <c r="J322">
        <v>38000</v>
      </c>
      <c r="K322" s="58" t="s">
        <v>185</v>
      </c>
      <c r="L322" s="74">
        <v>11.819000000000001</v>
      </c>
      <c r="M322" s="85">
        <v>12</v>
      </c>
      <c r="N322" s="74">
        <v>0.67200000000000004</v>
      </c>
      <c r="O322">
        <v>1</v>
      </c>
      <c r="P322" s="84">
        <v>0.504</v>
      </c>
      <c r="Q322" s="86">
        <v>3.45</v>
      </c>
      <c r="R322" s="85">
        <v>3.45</v>
      </c>
      <c r="S322" s="87">
        <v>1492540</v>
      </c>
      <c r="T322" s="1">
        <v>1</v>
      </c>
      <c r="U322" s="88">
        <v>432620.28985507245</v>
      </c>
      <c r="V322" s="59">
        <v>2.3114958393074891</v>
      </c>
    </row>
    <row r="323" spans="1:22">
      <c r="A323" s="58">
        <v>323</v>
      </c>
      <c r="B323" s="58">
        <v>323</v>
      </c>
      <c r="C323" s="58" t="s">
        <v>710</v>
      </c>
      <c r="D323" s="58" t="s">
        <v>207</v>
      </c>
      <c r="E323" s="58" t="s">
        <v>207</v>
      </c>
      <c r="F323" s="58" t="s">
        <v>502</v>
      </c>
      <c r="G323" s="58" t="s">
        <v>503</v>
      </c>
      <c r="H323" s="58" t="s">
        <v>179</v>
      </c>
      <c r="I323">
        <v>38000</v>
      </c>
      <c r="J323">
        <v>38000</v>
      </c>
      <c r="K323" s="58" t="s">
        <v>185</v>
      </c>
      <c r="L323" s="74">
        <v>13.044</v>
      </c>
      <c r="M323" s="85">
        <v>14</v>
      </c>
      <c r="N323" s="74">
        <v>0.58399999999999996</v>
      </c>
      <c r="O323">
        <v>1</v>
      </c>
      <c r="P323" s="84">
        <v>0.58399999999999996</v>
      </c>
      <c r="Q323" s="86">
        <v>3.45</v>
      </c>
      <c r="R323" s="85">
        <v>3.45</v>
      </c>
      <c r="S323" s="87">
        <v>1597940</v>
      </c>
      <c r="T323" s="1">
        <v>1</v>
      </c>
      <c r="U323" s="88">
        <v>463171.0144927536</v>
      </c>
      <c r="V323" s="59">
        <v>2.1590297508041605</v>
      </c>
    </row>
    <row r="324" spans="1:22">
      <c r="A324" s="58">
        <v>324</v>
      </c>
      <c r="B324" s="58">
        <v>324</v>
      </c>
      <c r="C324" s="58" t="s">
        <v>711</v>
      </c>
      <c r="D324" s="58" t="s">
        <v>384</v>
      </c>
      <c r="E324" s="58" t="s">
        <v>207</v>
      </c>
      <c r="F324" s="58" t="s">
        <v>476</v>
      </c>
      <c r="G324" s="58" t="s">
        <v>477</v>
      </c>
      <c r="H324" s="58" t="s">
        <v>179</v>
      </c>
      <c r="I324">
        <v>38000</v>
      </c>
      <c r="J324">
        <v>20000</v>
      </c>
      <c r="K324">
        <v>38000</v>
      </c>
      <c r="L324" s="74">
        <v>2.5750000000000002</v>
      </c>
      <c r="M324" s="85">
        <v>3</v>
      </c>
      <c r="N324" s="74">
        <v>1.018</v>
      </c>
      <c r="O324">
        <v>1</v>
      </c>
      <c r="P324" s="84">
        <v>0.76350000000000007</v>
      </c>
      <c r="Q324" s="86">
        <v>6.9</v>
      </c>
      <c r="R324" s="85">
        <v>6.9</v>
      </c>
      <c r="S324" s="87">
        <v>558600</v>
      </c>
      <c r="T324" s="1">
        <v>4</v>
      </c>
      <c r="U324" s="88">
        <v>80956.521739130432</v>
      </c>
      <c r="V324" s="59">
        <v>12.352309344790548</v>
      </c>
    </row>
    <row r="325" spans="1:22">
      <c r="A325" s="58">
        <v>325</v>
      </c>
      <c r="B325" s="58">
        <v>325</v>
      </c>
      <c r="C325" s="58" t="s">
        <v>712</v>
      </c>
      <c r="D325" s="58" t="s">
        <v>215</v>
      </c>
      <c r="E325" s="58" t="s">
        <v>176</v>
      </c>
      <c r="F325" s="58" t="s">
        <v>713</v>
      </c>
      <c r="G325" s="58" t="s">
        <v>714</v>
      </c>
      <c r="H325" s="58" t="s">
        <v>199</v>
      </c>
      <c r="I325">
        <v>110000</v>
      </c>
      <c r="J325" s="58" t="s">
        <v>185</v>
      </c>
      <c r="K325">
        <v>110000</v>
      </c>
      <c r="L325" s="74">
        <v>4.5979999999999999</v>
      </c>
      <c r="M325" s="85">
        <v>5</v>
      </c>
      <c r="N325" s="74">
        <v>8.8409999999999904</v>
      </c>
      <c r="O325">
        <v>1</v>
      </c>
      <c r="P325" s="84">
        <v>6.6307499999999928</v>
      </c>
      <c r="Q325" s="86">
        <v>72.45</v>
      </c>
      <c r="R325" s="85">
        <v>72.45</v>
      </c>
      <c r="S325" s="87">
        <v>1972510</v>
      </c>
      <c r="T325" s="1">
        <v>11</v>
      </c>
      <c r="U325" s="88">
        <v>27225.810904071772</v>
      </c>
      <c r="V325" s="59">
        <v>36.729851813172047</v>
      </c>
    </row>
    <row r="326" spans="1:22">
      <c r="A326" s="58">
        <v>326</v>
      </c>
      <c r="B326" s="58">
        <v>326</v>
      </c>
      <c r="C326" s="58" t="s">
        <v>715</v>
      </c>
      <c r="D326" s="58" t="s">
        <v>215</v>
      </c>
      <c r="E326" s="58" t="s">
        <v>176</v>
      </c>
      <c r="F326" s="58" t="s">
        <v>713</v>
      </c>
      <c r="G326" s="58" t="s">
        <v>714</v>
      </c>
      <c r="H326" s="58" t="s">
        <v>199</v>
      </c>
      <c r="I326">
        <v>110000</v>
      </c>
      <c r="J326" s="58" t="s">
        <v>185</v>
      </c>
      <c r="K326">
        <v>110000</v>
      </c>
      <c r="L326" s="74">
        <v>1.2929999999999999</v>
      </c>
      <c r="M326" s="85">
        <v>2</v>
      </c>
      <c r="N326" s="74">
        <v>1.653</v>
      </c>
      <c r="O326">
        <v>1</v>
      </c>
      <c r="P326" s="84">
        <v>1.2397499999999999</v>
      </c>
      <c r="Q326" s="86">
        <v>10.350000000000001</v>
      </c>
      <c r="R326" s="85">
        <v>10.350000000000001</v>
      </c>
      <c r="S326" s="87">
        <v>1340080</v>
      </c>
      <c r="T326" s="1">
        <v>11</v>
      </c>
      <c r="U326" s="88">
        <v>129476.32850241545</v>
      </c>
      <c r="V326" s="59">
        <v>7.7234194973434436</v>
      </c>
    </row>
    <row r="327" spans="1:22">
      <c r="A327" s="58">
        <v>327</v>
      </c>
      <c r="B327" s="58">
        <v>327</v>
      </c>
      <c r="C327" s="58" t="s">
        <v>716</v>
      </c>
      <c r="D327" s="58" t="s">
        <v>215</v>
      </c>
      <c r="E327" s="58" t="s">
        <v>215</v>
      </c>
      <c r="F327" s="58" t="s">
        <v>406</v>
      </c>
      <c r="G327" s="58" t="s">
        <v>407</v>
      </c>
      <c r="H327" s="58" t="s">
        <v>179</v>
      </c>
      <c r="I327">
        <v>38000</v>
      </c>
      <c r="J327" s="58" t="s">
        <v>185</v>
      </c>
      <c r="K327">
        <v>38000</v>
      </c>
      <c r="L327" s="74">
        <v>6.4980000000000002</v>
      </c>
      <c r="M327" s="85">
        <v>7</v>
      </c>
      <c r="N327" s="74">
        <v>1.6879999999999999</v>
      </c>
      <c r="O327">
        <v>1</v>
      </c>
      <c r="P327" s="84">
        <v>1.266</v>
      </c>
      <c r="Q327" s="86">
        <v>13.8</v>
      </c>
      <c r="R327" s="85">
        <v>13.8</v>
      </c>
      <c r="S327" s="87">
        <v>839680</v>
      </c>
      <c r="T327" s="1">
        <v>4</v>
      </c>
      <c r="U327" s="88">
        <v>60846.3768115942</v>
      </c>
      <c r="V327" s="59">
        <v>16.43483231707317</v>
      </c>
    </row>
    <row r="328" spans="1:22">
      <c r="A328" s="58">
        <v>328</v>
      </c>
      <c r="B328" s="58">
        <v>328</v>
      </c>
      <c r="C328" s="58" t="s">
        <v>717</v>
      </c>
      <c r="D328" s="58" t="s">
        <v>215</v>
      </c>
      <c r="E328" s="58" t="s">
        <v>176</v>
      </c>
      <c r="F328" s="58" t="s">
        <v>713</v>
      </c>
      <c r="G328" s="58" t="s">
        <v>714</v>
      </c>
      <c r="H328" s="58" t="s">
        <v>199</v>
      </c>
      <c r="I328">
        <v>110000</v>
      </c>
      <c r="J328" s="58" t="s">
        <v>185</v>
      </c>
      <c r="K328">
        <v>110000</v>
      </c>
      <c r="L328" s="74">
        <v>3.847</v>
      </c>
      <c r="M328" s="85">
        <v>4</v>
      </c>
      <c r="N328" s="74">
        <v>0.92800000000000005</v>
      </c>
      <c r="O328">
        <v>1</v>
      </c>
      <c r="P328" s="84">
        <v>0.69600000000000006</v>
      </c>
      <c r="Q328" s="86">
        <v>6.9</v>
      </c>
      <c r="R328" s="85">
        <v>6.9</v>
      </c>
      <c r="S328" s="87">
        <v>1627270</v>
      </c>
      <c r="T328" s="1">
        <v>7</v>
      </c>
      <c r="U328" s="88">
        <v>235836.23188405795</v>
      </c>
      <c r="V328" s="59">
        <v>4.2402305702188325</v>
      </c>
    </row>
    <row r="329" spans="1:22">
      <c r="A329" s="58">
        <v>329</v>
      </c>
      <c r="B329" s="58">
        <v>329</v>
      </c>
      <c r="C329" s="58" t="s">
        <v>718</v>
      </c>
      <c r="D329" s="58" t="s">
        <v>215</v>
      </c>
      <c r="E329" s="58" t="s">
        <v>176</v>
      </c>
      <c r="F329" s="58" t="s">
        <v>719</v>
      </c>
      <c r="G329" s="58" t="s">
        <v>720</v>
      </c>
      <c r="H329" s="58" t="s">
        <v>199</v>
      </c>
      <c r="I329">
        <v>110000</v>
      </c>
      <c r="J329">
        <v>38000</v>
      </c>
      <c r="K329">
        <v>110000</v>
      </c>
      <c r="L329" s="74">
        <v>1.679</v>
      </c>
      <c r="M329" s="85">
        <v>2</v>
      </c>
      <c r="N329" s="74">
        <v>0.77800000000000002</v>
      </c>
      <c r="O329">
        <v>1</v>
      </c>
      <c r="P329" s="84">
        <v>0.58350000000000002</v>
      </c>
      <c r="Q329" s="86">
        <v>3.45</v>
      </c>
      <c r="R329" s="85">
        <v>3.45</v>
      </c>
      <c r="S329" s="87">
        <v>1340080</v>
      </c>
      <c r="T329" s="1">
        <v>11</v>
      </c>
      <c r="U329" s="88">
        <v>388428.98550724634</v>
      </c>
      <c r="V329" s="59">
        <v>2.5744731657811473</v>
      </c>
    </row>
    <row r="330" spans="1:22">
      <c r="A330" s="58">
        <v>330</v>
      </c>
      <c r="B330" s="58">
        <v>330</v>
      </c>
      <c r="C330" s="58" t="s">
        <v>721</v>
      </c>
      <c r="D330" s="58" t="s">
        <v>176</v>
      </c>
      <c r="E330" s="58" t="s">
        <v>176</v>
      </c>
      <c r="F330" s="58" t="s">
        <v>564</v>
      </c>
      <c r="G330" s="58" t="s">
        <v>565</v>
      </c>
      <c r="H330" s="58" t="s">
        <v>199</v>
      </c>
      <c r="I330">
        <v>110000</v>
      </c>
      <c r="L330" s="74">
        <v>3.7469999999999999</v>
      </c>
      <c r="M330" s="85">
        <v>4</v>
      </c>
      <c r="N330" s="74">
        <v>2.9180000000000001</v>
      </c>
      <c r="O330">
        <v>1</v>
      </c>
      <c r="P330" s="84">
        <v>2.1885000000000003</v>
      </c>
      <c r="Q330" s="86">
        <v>20.700000000000003</v>
      </c>
      <c r="R330" s="85">
        <v>20.700000000000003</v>
      </c>
      <c r="S330" s="87">
        <v>1875790</v>
      </c>
      <c r="T330" s="1">
        <v>8</v>
      </c>
      <c r="U330" s="88">
        <v>90617.874396135259</v>
      </c>
      <c r="V330" s="59">
        <v>11.03535043901503</v>
      </c>
    </row>
    <row r="331" spans="1:22">
      <c r="A331" s="58">
        <v>331</v>
      </c>
      <c r="B331" s="58">
        <v>331</v>
      </c>
      <c r="C331" s="58" t="s">
        <v>722</v>
      </c>
      <c r="D331" s="58" t="s">
        <v>176</v>
      </c>
      <c r="E331" s="58" t="s">
        <v>176</v>
      </c>
      <c r="F331" s="58" t="s">
        <v>564</v>
      </c>
      <c r="G331" s="58" t="s">
        <v>565</v>
      </c>
      <c r="H331" s="58" t="s">
        <v>199</v>
      </c>
      <c r="I331">
        <v>110000</v>
      </c>
      <c r="L331" s="74">
        <v>6.1849999999999996</v>
      </c>
      <c r="M331" s="85">
        <v>7</v>
      </c>
      <c r="N331" s="74">
        <v>1.5249999999999999</v>
      </c>
      <c r="O331">
        <v>1</v>
      </c>
      <c r="P331" s="84">
        <v>1.1437499999999998</v>
      </c>
      <c r="Q331" s="86">
        <v>10.350000000000001</v>
      </c>
      <c r="R331" s="85">
        <v>10.350000000000001</v>
      </c>
      <c r="S331" s="87">
        <v>1785370</v>
      </c>
      <c r="T331" s="1">
        <v>7</v>
      </c>
      <c r="U331" s="88">
        <v>172499.51690821254</v>
      </c>
      <c r="V331" s="59">
        <v>5.7971176842895318</v>
      </c>
    </row>
    <row r="332" spans="1:22">
      <c r="A332" s="89">
        <v>332</v>
      </c>
      <c r="B332" s="89">
        <v>332</v>
      </c>
      <c r="C332" s="89" t="s">
        <v>723</v>
      </c>
      <c r="D332" s="58" t="s">
        <v>215</v>
      </c>
      <c r="E332" s="58" t="s">
        <v>176</v>
      </c>
      <c r="F332" s="89" t="s">
        <v>724</v>
      </c>
      <c r="G332" s="89" t="s">
        <v>725</v>
      </c>
      <c r="H332" s="89" t="s">
        <v>179</v>
      </c>
      <c r="I332" s="90">
        <v>38000</v>
      </c>
      <c r="J332" s="89" t="s">
        <v>185</v>
      </c>
      <c r="K332" s="90">
        <v>38000</v>
      </c>
      <c r="L332" s="91">
        <v>4.0209999999999999</v>
      </c>
      <c r="M332" s="92">
        <v>5</v>
      </c>
      <c r="N332" s="91">
        <v>6.1630000000000003</v>
      </c>
      <c r="O332" s="90">
        <v>1</v>
      </c>
      <c r="P332" s="92">
        <v>4.6222500000000002</v>
      </c>
      <c r="Q332" s="93">
        <v>48.300000000000011</v>
      </c>
      <c r="R332" s="92">
        <v>48.300000000000011</v>
      </c>
      <c r="S332" s="87">
        <v>1972510</v>
      </c>
      <c r="T332" s="94">
        <v>11</v>
      </c>
      <c r="U332" s="95">
        <v>40838.716356107652</v>
      </c>
      <c r="V332" s="96">
        <v>24.486567875448042</v>
      </c>
    </row>
    <row r="333" spans="1:22">
      <c r="A333" s="58">
        <v>333</v>
      </c>
      <c r="B333" s="58">
        <v>333</v>
      </c>
      <c r="C333" s="58" t="s">
        <v>726</v>
      </c>
      <c r="D333" s="58" t="s">
        <v>215</v>
      </c>
      <c r="E333" s="58" t="s">
        <v>215</v>
      </c>
      <c r="F333" s="58" t="s">
        <v>727</v>
      </c>
      <c r="G333" s="58" t="s">
        <v>728</v>
      </c>
      <c r="H333" s="58" t="s">
        <v>199</v>
      </c>
      <c r="I333">
        <v>110000</v>
      </c>
      <c r="L333" s="74">
        <v>5.2619999999999996</v>
      </c>
      <c r="M333" s="85">
        <v>6</v>
      </c>
      <c r="N333" s="74">
        <v>1.7170000000000001</v>
      </c>
      <c r="O333">
        <v>1</v>
      </c>
      <c r="P333" s="84">
        <v>1.28775</v>
      </c>
      <c r="Q333" s="86">
        <v>13.8</v>
      </c>
      <c r="R333" s="85">
        <v>13.8</v>
      </c>
      <c r="S333" s="87">
        <v>2016330</v>
      </c>
      <c r="T333" s="1">
        <v>8</v>
      </c>
      <c r="U333" s="88">
        <v>146110.86956521738</v>
      </c>
      <c r="V333" s="59">
        <v>6.8441177783398555</v>
      </c>
    </row>
    <row r="334" spans="1:22">
      <c r="A334" s="58">
        <v>334</v>
      </c>
      <c r="B334" s="58">
        <v>334</v>
      </c>
      <c r="C334" s="58" t="s">
        <v>729</v>
      </c>
      <c r="D334" s="58" t="s">
        <v>187</v>
      </c>
      <c r="E334" s="58" t="s">
        <v>187</v>
      </c>
      <c r="F334" s="58" t="s">
        <v>415</v>
      </c>
      <c r="G334" s="58" t="s">
        <v>416</v>
      </c>
      <c r="H334" s="58" t="s">
        <v>179</v>
      </c>
      <c r="I334">
        <v>38000</v>
      </c>
      <c r="J334">
        <v>38000</v>
      </c>
      <c r="K334" s="58" t="s">
        <v>185</v>
      </c>
      <c r="L334" s="74">
        <v>4.8239999999999998</v>
      </c>
      <c r="M334" s="85">
        <v>5</v>
      </c>
      <c r="N334" s="74">
        <v>0.78700000000000003</v>
      </c>
      <c r="O334">
        <v>1</v>
      </c>
      <c r="P334" s="84">
        <v>0.59025000000000005</v>
      </c>
      <c r="Q334" s="86">
        <v>3.45</v>
      </c>
      <c r="R334" s="85">
        <v>3.45</v>
      </c>
      <c r="S334" s="87">
        <v>699140</v>
      </c>
      <c r="T334" s="1">
        <v>4</v>
      </c>
      <c r="U334" s="88">
        <v>202649.27536231882</v>
      </c>
      <c r="V334" s="59">
        <v>4.9346339788883489</v>
      </c>
    </row>
    <row r="335" spans="1:22">
      <c r="A335" s="58">
        <v>335</v>
      </c>
      <c r="B335" s="58">
        <v>335</v>
      </c>
      <c r="C335" s="58" t="s">
        <v>730</v>
      </c>
      <c r="D335" s="58" t="s">
        <v>187</v>
      </c>
      <c r="E335" s="58" t="s">
        <v>187</v>
      </c>
      <c r="F335" s="58" t="s">
        <v>731</v>
      </c>
      <c r="G335" s="58" t="s">
        <v>732</v>
      </c>
      <c r="H335" s="58" t="s">
        <v>179</v>
      </c>
      <c r="I335">
        <v>38000</v>
      </c>
      <c r="L335" s="74">
        <v>4.4219999999999997</v>
      </c>
      <c r="M335" s="85">
        <v>5</v>
      </c>
      <c r="N335" s="74">
        <v>1.552</v>
      </c>
      <c r="O335">
        <v>1</v>
      </c>
      <c r="P335" s="84">
        <v>1.1640000000000001</v>
      </c>
      <c r="Q335" s="86">
        <v>10.350000000000001</v>
      </c>
      <c r="R335" s="85">
        <v>10.350000000000001</v>
      </c>
      <c r="S335" s="87">
        <v>699140</v>
      </c>
      <c r="T335" s="1">
        <v>4</v>
      </c>
      <c r="U335" s="88">
        <v>67549.758454106268</v>
      </c>
      <c r="V335" s="59">
        <v>14.803901936665048</v>
      </c>
    </row>
    <row r="336" spans="1:22">
      <c r="A336" s="58">
        <v>336</v>
      </c>
      <c r="B336" s="58">
        <v>336</v>
      </c>
      <c r="C336" s="58" t="s">
        <v>733</v>
      </c>
      <c r="D336" s="58" t="s">
        <v>187</v>
      </c>
      <c r="E336" s="58" t="s">
        <v>187</v>
      </c>
      <c r="F336" s="58" t="s">
        <v>368</v>
      </c>
      <c r="G336" s="58" t="s">
        <v>369</v>
      </c>
      <c r="H336" s="58" t="s">
        <v>199</v>
      </c>
      <c r="I336">
        <v>110000</v>
      </c>
      <c r="J336">
        <v>110000</v>
      </c>
      <c r="K336">
        <v>38000</v>
      </c>
      <c r="L336" s="74">
        <v>8.0969999999999995</v>
      </c>
      <c r="M336" s="85">
        <v>9</v>
      </c>
      <c r="N336" s="74">
        <v>2.3530000000000002</v>
      </c>
      <c r="O336">
        <v>1</v>
      </c>
      <c r="P336" s="84">
        <v>1.7647500000000003</v>
      </c>
      <c r="Q336" s="86">
        <v>17.25</v>
      </c>
      <c r="R336" s="85">
        <v>17.25</v>
      </c>
      <c r="S336" s="87">
        <v>2227140</v>
      </c>
      <c r="T336" s="1">
        <v>8</v>
      </c>
      <c r="U336" s="88">
        <v>129109.56521739131</v>
      </c>
      <c r="V336" s="59">
        <v>7.7453595193836042</v>
      </c>
    </row>
    <row r="337" spans="1:22">
      <c r="A337" s="58">
        <v>337</v>
      </c>
      <c r="B337" s="58">
        <v>337</v>
      </c>
      <c r="C337" s="58" t="s">
        <v>734</v>
      </c>
      <c r="D337" s="58" t="s">
        <v>187</v>
      </c>
      <c r="E337" s="58" t="s">
        <v>187</v>
      </c>
      <c r="F337" s="58" t="s">
        <v>368</v>
      </c>
      <c r="G337" s="58" t="s">
        <v>369</v>
      </c>
      <c r="H337" s="58" t="s">
        <v>199</v>
      </c>
      <c r="I337">
        <v>110000</v>
      </c>
      <c r="J337">
        <v>110000</v>
      </c>
      <c r="K337">
        <v>38000</v>
      </c>
      <c r="L337" s="74">
        <v>4.9660000000000002</v>
      </c>
      <c r="M337" s="85">
        <v>5</v>
      </c>
      <c r="N337" s="74">
        <v>5.0229999999999997</v>
      </c>
      <c r="O337">
        <v>1</v>
      </c>
      <c r="P337" s="84">
        <v>3.7672499999999998</v>
      </c>
      <c r="Q337" s="86">
        <v>41.400000000000006</v>
      </c>
      <c r="R337" s="85">
        <v>41.400000000000006</v>
      </c>
      <c r="S337" s="87">
        <v>2510150</v>
      </c>
      <c r="T337" s="1">
        <v>10</v>
      </c>
      <c r="U337" s="88">
        <v>60631.642512077284</v>
      </c>
      <c r="V337" s="59">
        <v>16.493038264645541</v>
      </c>
    </row>
    <row r="338" spans="1:22">
      <c r="A338" s="58">
        <v>338</v>
      </c>
      <c r="B338" s="58">
        <v>338</v>
      </c>
      <c r="C338" s="58" t="s">
        <v>735</v>
      </c>
      <c r="D338" s="58" t="s">
        <v>351</v>
      </c>
      <c r="E338" s="58" t="s">
        <v>351</v>
      </c>
      <c r="F338" s="58" t="s">
        <v>652</v>
      </c>
      <c r="G338" s="58" t="s">
        <v>653</v>
      </c>
      <c r="H338" s="58" t="s">
        <v>179</v>
      </c>
      <c r="I338">
        <v>38000</v>
      </c>
      <c r="J338">
        <v>38000</v>
      </c>
      <c r="K338" s="58" t="s">
        <v>185</v>
      </c>
      <c r="L338" s="74">
        <v>8.8889999999999993</v>
      </c>
      <c r="M338" s="85">
        <v>9</v>
      </c>
      <c r="N338" s="74">
        <v>1.9</v>
      </c>
      <c r="O338">
        <v>1</v>
      </c>
      <c r="P338" s="84">
        <v>1.4249999999999998</v>
      </c>
      <c r="Q338" s="86">
        <v>13.8</v>
      </c>
      <c r="R338" s="85">
        <v>13.8</v>
      </c>
      <c r="S338" s="87">
        <v>980220</v>
      </c>
      <c r="T338" s="1">
        <v>4</v>
      </c>
      <c r="U338" s="88">
        <v>71030.434782608689</v>
      </c>
      <c r="V338" s="59">
        <v>14.078472179714758</v>
      </c>
    </row>
    <row r="339" spans="1:22">
      <c r="A339" s="89">
        <v>339</v>
      </c>
      <c r="B339" s="89">
        <v>339</v>
      </c>
      <c r="C339" s="89" t="s">
        <v>736</v>
      </c>
      <c r="D339" s="58" t="s">
        <v>351</v>
      </c>
      <c r="E339" s="58" t="s">
        <v>351</v>
      </c>
      <c r="F339" s="89" t="s">
        <v>652</v>
      </c>
      <c r="G339" s="89" t="s">
        <v>653</v>
      </c>
      <c r="H339" s="89" t="s">
        <v>179</v>
      </c>
      <c r="I339" s="90">
        <v>38000</v>
      </c>
      <c r="J339" s="90">
        <v>38000</v>
      </c>
      <c r="K339" s="89" t="s">
        <v>185</v>
      </c>
      <c r="L339" s="91">
        <v>8.9169999999999998</v>
      </c>
      <c r="M339" s="92">
        <v>9</v>
      </c>
      <c r="N339" s="91">
        <v>8.4879999999999995</v>
      </c>
      <c r="O339" s="90">
        <v>1</v>
      </c>
      <c r="P339" s="92">
        <v>6.3659999999999997</v>
      </c>
      <c r="Q339" s="93">
        <v>69</v>
      </c>
      <c r="R339" s="92">
        <v>69</v>
      </c>
      <c r="S339" s="87">
        <v>2815750</v>
      </c>
      <c r="T339" s="94">
        <v>11</v>
      </c>
      <c r="U339" s="95">
        <v>40807.971014492752</v>
      </c>
      <c r="V339" s="96">
        <v>24.505016425463907</v>
      </c>
    </row>
    <row r="340" spans="1:22">
      <c r="A340" s="58">
        <v>340</v>
      </c>
      <c r="B340" s="58">
        <v>340</v>
      </c>
      <c r="C340" s="58" t="s">
        <v>737</v>
      </c>
      <c r="D340" s="58" t="s">
        <v>351</v>
      </c>
      <c r="E340" s="58" t="s">
        <v>351</v>
      </c>
      <c r="F340" s="58" t="s">
        <v>652</v>
      </c>
      <c r="G340" s="58" t="s">
        <v>653</v>
      </c>
      <c r="H340" s="58" t="s">
        <v>179</v>
      </c>
      <c r="I340">
        <v>38000</v>
      </c>
      <c r="J340">
        <v>38000</v>
      </c>
      <c r="K340" s="58" t="s">
        <v>185</v>
      </c>
      <c r="L340" s="74">
        <v>8.8699999999999992</v>
      </c>
      <c r="M340" s="85">
        <v>9</v>
      </c>
      <c r="N340" s="74">
        <v>2.7709999999999999</v>
      </c>
      <c r="O340">
        <v>1</v>
      </c>
      <c r="P340" s="84">
        <v>2.0782499999999997</v>
      </c>
      <c r="Q340" s="86">
        <v>20.700000000000003</v>
      </c>
      <c r="R340" s="85">
        <v>20.700000000000003</v>
      </c>
      <c r="S340" s="87">
        <v>980220</v>
      </c>
      <c r="T340" s="1">
        <v>4</v>
      </c>
      <c r="U340" s="88">
        <v>47353.623188405792</v>
      </c>
      <c r="V340" s="59">
        <v>21.117708269572141</v>
      </c>
    </row>
    <row r="341" spans="1:22">
      <c r="A341" s="58">
        <v>341</v>
      </c>
      <c r="B341" s="58">
        <v>341</v>
      </c>
      <c r="C341" s="58" t="s">
        <v>738</v>
      </c>
      <c r="D341" s="58" t="s">
        <v>351</v>
      </c>
      <c r="E341" s="58" t="s">
        <v>351</v>
      </c>
      <c r="F341" s="58" t="s">
        <v>422</v>
      </c>
      <c r="G341" s="58" t="s">
        <v>423</v>
      </c>
      <c r="H341" s="58" t="s">
        <v>199</v>
      </c>
      <c r="I341">
        <v>110000</v>
      </c>
      <c r="J341">
        <v>110000</v>
      </c>
      <c r="K341">
        <v>20000</v>
      </c>
      <c r="L341" s="74">
        <v>6.2030000000000003</v>
      </c>
      <c r="M341" s="85">
        <v>7</v>
      </c>
      <c r="N341" s="74">
        <v>2.1890000000000001</v>
      </c>
      <c r="O341">
        <v>1</v>
      </c>
      <c r="P341" s="84">
        <v>1.64175</v>
      </c>
      <c r="Q341" s="86">
        <v>17.25</v>
      </c>
      <c r="R341" s="85">
        <v>17.25</v>
      </c>
      <c r="S341" s="87">
        <v>2086600</v>
      </c>
      <c r="T341" s="1">
        <v>8</v>
      </c>
      <c r="U341" s="88">
        <v>120962.31884057971</v>
      </c>
      <c r="V341" s="59">
        <v>8.2670372855362793</v>
      </c>
    </row>
    <row r="342" spans="1:22">
      <c r="A342" s="58">
        <v>342</v>
      </c>
      <c r="B342" s="58">
        <v>342</v>
      </c>
      <c r="C342" s="58" t="s">
        <v>739</v>
      </c>
      <c r="D342" s="58" t="s">
        <v>351</v>
      </c>
      <c r="E342" s="58" t="s">
        <v>351</v>
      </c>
      <c r="F342" s="58" t="s">
        <v>422</v>
      </c>
      <c r="G342" s="58" t="s">
        <v>423</v>
      </c>
      <c r="H342" s="58" t="s">
        <v>199</v>
      </c>
      <c r="I342">
        <v>110000</v>
      </c>
      <c r="J342">
        <v>110000</v>
      </c>
      <c r="K342">
        <v>20000</v>
      </c>
      <c r="L342" s="74">
        <v>7.5469999999999997</v>
      </c>
      <c r="M342" s="85">
        <v>8</v>
      </c>
      <c r="N342" s="74">
        <v>1.88</v>
      </c>
      <c r="O342">
        <v>1</v>
      </c>
      <c r="P342" s="84">
        <v>1.41</v>
      </c>
      <c r="Q342" s="86">
        <v>13.8</v>
      </c>
      <c r="R342" s="85">
        <v>13.8</v>
      </c>
      <c r="S342" s="87">
        <v>2156870</v>
      </c>
      <c r="T342" s="1">
        <v>8</v>
      </c>
      <c r="U342" s="88">
        <v>156294.92753623187</v>
      </c>
      <c r="V342" s="59">
        <v>6.3981602970971823</v>
      </c>
    </row>
    <row r="343" spans="1:22">
      <c r="A343" s="58">
        <v>343</v>
      </c>
      <c r="B343" s="58">
        <v>343</v>
      </c>
      <c r="C343" s="58" t="s">
        <v>740</v>
      </c>
      <c r="D343" s="58" t="s">
        <v>249</v>
      </c>
      <c r="E343" s="58" t="s">
        <v>351</v>
      </c>
      <c r="F343" s="58" t="s">
        <v>422</v>
      </c>
      <c r="G343" s="58" t="s">
        <v>423</v>
      </c>
      <c r="H343" s="58" t="s">
        <v>199</v>
      </c>
      <c r="I343">
        <v>110000</v>
      </c>
      <c r="J343">
        <v>110000</v>
      </c>
      <c r="K343">
        <v>20000</v>
      </c>
      <c r="L343" s="74">
        <v>12.263</v>
      </c>
      <c r="M343" s="85">
        <v>13</v>
      </c>
      <c r="N343" s="74">
        <v>2.7559999999999998</v>
      </c>
      <c r="O343">
        <v>1</v>
      </c>
      <c r="P343" s="84">
        <v>2.0669999999999997</v>
      </c>
      <c r="Q343" s="86">
        <v>20.700000000000003</v>
      </c>
      <c r="R343" s="85">
        <v>20.700000000000003</v>
      </c>
      <c r="S343" s="87">
        <v>2508220</v>
      </c>
      <c r="T343" s="1">
        <v>8</v>
      </c>
      <c r="U343" s="88">
        <v>121170.04830917873</v>
      </c>
      <c r="V343" s="59">
        <v>8.2528645812568282</v>
      </c>
    </row>
    <row r="344" spans="1:22">
      <c r="A344" s="58">
        <v>344</v>
      </c>
      <c r="B344" s="58">
        <v>344</v>
      </c>
      <c r="C344" s="58" t="s">
        <v>741</v>
      </c>
      <c r="D344" s="58" t="s">
        <v>351</v>
      </c>
      <c r="E344" s="58" t="s">
        <v>351</v>
      </c>
      <c r="F344" s="58" t="s">
        <v>514</v>
      </c>
      <c r="G344" s="58" t="s">
        <v>515</v>
      </c>
      <c r="H344" s="58" t="s">
        <v>179</v>
      </c>
      <c r="I344">
        <v>38000</v>
      </c>
      <c r="J344">
        <v>38000</v>
      </c>
      <c r="K344">
        <v>20000</v>
      </c>
      <c r="L344" s="74">
        <v>6.6989999999999998</v>
      </c>
      <c r="M344" s="85">
        <v>7</v>
      </c>
      <c r="N344" s="74">
        <v>1.083</v>
      </c>
      <c r="O344">
        <v>1</v>
      </c>
      <c r="P344" s="84">
        <v>0.81224999999999992</v>
      </c>
      <c r="Q344" s="86">
        <v>6.9</v>
      </c>
      <c r="R344" s="85">
        <v>6.9</v>
      </c>
      <c r="S344" s="87">
        <v>839680</v>
      </c>
      <c r="T344" s="1">
        <v>4</v>
      </c>
      <c r="U344" s="88">
        <v>121692.7536231884</v>
      </c>
      <c r="V344" s="59">
        <v>8.2174161585365848</v>
      </c>
    </row>
    <row r="345" spans="1:22">
      <c r="A345" s="58">
        <v>345</v>
      </c>
      <c r="B345" s="58">
        <v>345</v>
      </c>
      <c r="C345" s="58" t="s">
        <v>742</v>
      </c>
      <c r="D345" s="58" t="s">
        <v>346</v>
      </c>
      <c r="E345" s="58" t="s">
        <v>234</v>
      </c>
      <c r="F345" s="58" t="s">
        <v>425</v>
      </c>
      <c r="G345" s="58" t="s">
        <v>426</v>
      </c>
      <c r="H345" s="58" t="s">
        <v>199</v>
      </c>
      <c r="I345">
        <v>110000</v>
      </c>
      <c r="J345">
        <v>110000</v>
      </c>
      <c r="K345">
        <v>38000</v>
      </c>
      <c r="L345" s="74">
        <v>3.298</v>
      </c>
      <c r="M345" s="85">
        <v>4</v>
      </c>
      <c r="N345" s="74">
        <v>5.0469999999999997</v>
      </c>
      <c r="O345">
        <v>1</v>
      </c>
      <c r="P345" s="84">
        <v>3.7852499999999996</v>
      </c>
      <c r="Q345" s="86">
        <v>41.400000000000006</v>
      </c>
      <c r="R345" s="85">
        <v>41.400000000000006</v>
      </c>
      <c r="S345" s="87">
        <v>2398890</v>
      </c>
      <c r="T345" s="1">
        <v>10</v>
      </c>
      <c r="U345" s="88">
        <v>57944.202898550713</v>
      </c>
      <c r="V345" s="59">
        <v>17.257981816590178</v>
      </c>
    </row>
    <row r="346" spans="1:22">
      <c r="A346" s="58">
        <v>346</v>
      </c>
      <c r="B346" s="58">
        <v>346</v>
      </c>
      <c r="C346" s="58" t="s">
        <v>743</v>
      </c>
      <c r="D346" s="58" t="s">
        <v>234</v>
      </c>
      <c r="E346" s="58" t="s">
        <v>234</v>
      </c>
      <c r="F346" s="58" t="s">
        <v>630</v>
      </c>
      <c r="G346" s="58" t="s">
        <v>631</v>
      </c>
      <c r="H346" s="58" t="s">
        <v>179</v>
      </c>
      <c r="I346">
        <v>38000</v>
      </c>
      <c r="J346" s="58" t="s">
        <v>185</v>
      </c>
      <c r="K346">
        <v>38000</v>
      </c>
      <c r="L346" s="74">
        <v>8.0090000000000003</v>
      </c>
      <c r="M346" s="85">
        <v>9</v>
      </c>
      <c r="N346" s="74">
        <v>1.369</v>
      </c>
      <c r="O346">
        <v>1</v>
      </c>
      <c r="P346" s="84">
        <v>1.0267500000000001</v>
      </c>
      <c r="Q346" s="86">
        <v>10.350000000000001</v>
      </c>
      <c r="R346" s="85">
        <v>10.350000000000001</v>
      </c>
      <c r="S346" s="87">
        <v>1416850</v>
      </c>
      <c r="T346" s="1">
        <v>3</v>
      </c>
      <c r="U346" s="88">
        <v>136893.71980676326</v>
      </c>
      <c r="V346" s="59">
        <v>7.3049370081518878</v>
      </c>
    </row>
    <row r="347" spans="1:22">
      <c r="A347" s="58">
        <v>347</v>
      </c>
      <c r="B347" s="58">
        <v>347</v>
      </c>
      <c r="C347" s="58" t="s">
        <v>744</v>
      </c>
      <c r="D347" s="58" t="s">
        <v>234</v>
      </c>
      <c r="E347" s="58" t="s">
        <v>234</v>
      </c>
      <c r="F347" s="58" t="s">
        <v>337</v>
      </c>
      <c r="G347" s="58" t="s">
        <v>338</v>
      </c>
      <c r="H347" s="58" t="s">
        <v>179</v>
      </c>
      <c r="I347">
        <v>38000</v>
      </c>
      <c r="J347">
        <v>38000</v>
      </c>
      <c r="K347" s="58" t="s">
        <v>185</v>
      </c>
      <c r="L347" s="74">
        <v>11.18</v>
      </c>
      <c r="M347" s="85">
        <v>12</v>
      </c>
      <c r="N347" s="74">
        <v>5.5540000000000003</v>
      </c>
      <c r="O347">
        <v>1</v>
      </c>
      <c r="P347" s="84">
        <v>4.1654999999999998</v>
      </c>
      <c r="Q347" s="86">
        <v>44.85</v>
      </c>
      <c r="R347" s="85">
        <v>44.85</v>
      </c>
      <c r="S347" s="87">
        <v>1682910</v>
      </c>
      <c r="T347" s="1">
        <v>6</v>
      </c>
      <c r="U347" s="88">
        <v>37523.076923076922</v>
      </c>
      <c r="V347" s="59">
        <v>26.650266502665026</v>
      </c>
    </row>
    <row r="348" spans="1:22">
      <c r="A348" s="58">
        <v>348</v>
      </c>
      <c r="B348" s="58">
        <v>348</v>
      </c>
      <c r="C348" s="58" t="s">
        <v>745</v>
      </c>
      <c r="D348" s="58" t="s">
        <v>187</v>
      </c>
      <c r="E348" s="58" t="s">
        <v>187</v>
      </c>
      <c r="F348" s="58" t="s">
        <v>746</v>
      </c>
      <c r="G348" s="58" t="s">
        <v>747</v>
      </c>
      <c r="H348" s="58" t="s">
        <v>199</v>
      </c>
      <c r="I348">
        <v>110000</v>
      </c>
      <c r="J348">
        <v>110000</v>
      </c>
      <c r="K348">
        <v>38000</v>
      </c>
      <c r="L348" s="74">
        <v>2.585</v>
      </c>
      <c r="M348" s="85">
        <v>3</v>
      </c>
      <c r="N348" s="74">
        <v>2.7029999999999998</v>
      </c>
      <c r="O348">
        <v>1</v>
      </c>
      <c r="P348" s="84">
        <v>2.02725</v>
      </c>
      <c r="Q348" s="86">
        <v>20.700000000000003</v>
      </c>
      <c r="R348" s="85">
        <v>20.700000000000003</v>
      </c>
      <c r="S348" s="87">
        <v>1550890</v>
      </c>
      <c r="T348" s="1">
        <v>11</v>
      </c>
      <c r="U348" s="88">
        <v>74922.222222222219</v>
      </c>
      <c r="V348" s="59">
        <v>13.347174847990511</v>
      </c>
    </row>
    <row r="349" spans="1:22">
      <c r="A349" s="58">
        <v>349</v>
      </c>
      <c r="B349" s="58">
        <v>349</v>
      </c>
      <c r="C349" s="58" t="s">
        <v>748</v>
      </c>
      <c r="D349" s="58" t="s">
        <v>187</v>
      </c>
      <c r="E349" s="58" t="s">
        <v>187</v>
      </c>
      <c r="F349" s="58" t="s">
        <v>432</v>
      </c>
      <c r="G349" s="58" t="s">
        <v>433</v>
      </c>
      <c r="H349" s="58" t="s">
        <v>199</v>
      </c>
      <c r="I349">
        <v>110000</v>
      </c>
      <c r="L349" s="74">
        <v>6.7759999999999998</v>
      </c>
      <c r="M349" s="85">
        <v>7</v>
      </c>
      <c r="N349" s="74">
        <v>3.5510000000000002</v>
      </c>
      <c r="O349">
        <v>1</v>
      </c>
      <c r="P349" s="84">
        <v>2.6632500000000001</v>
      </c>
      <c r="Q349" s="86">
        <v>27.6</v>
      </c>
      <c r="R349" s="85">
        <v>27.6</v>
      </c>
      <c r="S349" s="87">
        <v>2575660</v>
      </c>
      <c r="T349" s="1">
        <v>9</v>
      </c>
      <c r="U349" s="88">
        <v>93321.014492753617</v>
      </c>
      <c r="V349" s="59">
        <v>10.7157000535785</v>
      </c>
    </row>
    <row r="350" spans="1:22">
      <c r="A350" s="58">
        <v>350</v>
      </c>
      <c r="B350" s="58">
        <v>350</v>
      </c>
      <c r="C350" s="58" t="s">
        <v>749</v>
      </c>
      <c r="D350" s="58" t="s">
        <v>187</v>
      </c>
      <c r="E350" s="58" t="s">
        <v>187</v>
      </c>
      <c r="F350" s="58" t="s">
        <v>368</v>
      </c>
      <c r="G350" s="58" t="s">
        <v>369</v>
      </c>
      <c r="H350" s="58" t="s">
        <v>199</v>
      </c>
      <c r="I350">
        <v>110000</v>
      </c>
      <c r="J350">
        <v>110000</v>
      </c>
      <c r="K350">
        <v>38000</v>
      </c>
      <c r="L350" s="74">
        <v>8.61</v>
      </c>
      <c r="M350" s="85">
        <v>9</v>
      </c>
      <c r="N350" s="74">
        <v>0.60099999999999998</v>
      </c>
      <c r="O350">
        <v>1</v>
      </c>
      <c r="P350" s="84">
        <v>0.45074999999999998</v>
      </c>
      <c r="Q350" s="86">
        <v>3.45</v>
      </c>
      <c r="R350" s="85">
        <v>3.45</v>
      </c>
      <c r="S350" s="87">
        <v>1890770</v>
      </c>
      <c r="T350" s="1">
        <v>7</v>
      </c>
      <c r="U350" s="88">
        <v>548049.27536231885</v>
      </c>
      <c r="V350" s="59">
        <v>1.8246534480661318</v>
      </c>
    </row>
    <row r="351" spans="1:22">
      <c r="A351" s="58">
        <v>351</v>
      </c>
      <c r="B351" s="58">
        <v>351</v>
      </c>
      <c r="C351" s="58" t="s">
        <v>750</v>
      </c>
      <c r="D351" s="58" t="s">
        <v>187</v>
      </c>
      <c r="E351" s="58" t="s">
        <v>187</v>
      </c>
      <c r="F351" s="58" t="s">
        <v>432</v>
      </c>
      <c r="G351" s="58" t="s">
        <v>433</v>
      </c>
      <c r="H351" s="58" t="s">
        <v>199</v>
      </c>
      <c r="I351">
        <v>110000</v>
      </c>
      <c r="L351" s="74">
        <v>10.138</v>
      </c>
      <c r="M351" s="85">
        <v>11</v>
      </c>
      <c r="N351" s="74">
        <v>14.991</v>
      </c>
      <c r="O351">
        <v>1</v>
      </c>
      <c r="P351" s="84">
        <v>11.24325</v>
      </c>
      <c r="Q351" s="86">
        <v>120.75</v>
      </c>
      <c r="R351" s="85">
        <v>120.75</v>
      </c>
      <c r="S351" s="87">
        <v>3237370</v>
      </c>
      <c r="T351" s="1">
        <v>11</v>
      </c>
      <c r="U351" s="88">
        <v>26810.517598343686</v>
      </c>
      <c r="V351" s="59">
        <v>37.298795009529343</v>
      </c>
    </row>
    <row r="352" spans="1:22">
      <c r="A352" s="58">
        <v>352</v>
      </c>
      <c r="B352" s="58">
        <v>352</v>
      </c>
      <c r="C352" s="58" t="s">
        <v>751</v>
      </c>
      <c r="D352" s="58" t="s">
        <v>187</v>
      </c>
      <c r="E352" s="58" t="s">
        <v>187</v>
      </c>
      <c r="F352" s="58" t="s">
        <v>752</v>
      </c>
      <c r="G352" s="58" t="s">
        <v>753</v>
      </c>
      <c r="H352" s="58" t="s">
        <v>199</v>
      </c>
      <c r="I352">
        <v>110000</v>
      </c>
      <c r="J352" s="58" t="s">
        <v>185</v>
      </c>
      <c r="K352">
        <v>110000</v>
      </c>
      <c r="L352" s="74">
        <v>11.387</v>
      </c>
      <c r="M352" s="85">
        <v>12</v>
      </c>
      <c r="N352" s="74">
        <v>1.79</v>
      </c>
      <c r="O352">
        <v>1</v>
      </c>
      <c r="P352" s="84">
        <v>1.3425</v>
      </c>
      <c r="Q352" s="86">
        <v>13.8</v>
      </c>
      <c r="R352" s="85">
        <v>13.8</v>
      </c>
      <c r="S352" s="87">
        <v>2437950</v>
      </c>
      <c r="T352" s="1">
        <v>8</v>
      </c>
      <c r="U352" s="88">
        <v>176663.04347826086</v>
      </c>
      <c r="V352" s="59">
        <v>5.6604934473635637</v>
      </c>
    </row>
    <row r="353" spans="1:22">
      <c r="A353" s="58">
        <v>353</v>
      </c>
      <c r="B353" s="58">
        <v>353</v>
      </c>
      <c r="C353" s="58" t="s">
        <v>754</v>
      </c>
      <c r="D353" s="58" t="s">
        <v>187</v>
      </c>
      <c r="E353" s="58" t="s">
        <v>187</v>
      </c>
      <c r="F353" s="58" t="s">
        <v>368</v>
      </c>
      <c r="G353" s="58" t="s">
        <v>369</v>
      </c>
      <c r="H353" s="58" t="s">
        <v>199</v>
      </c>
      <c r="I353">
        <v>110000</v>
      </c>
      <c r="J353">
        <v>110000</v>
      </c>
      <c r="K353">
        <v>38000</v>
      </c>
      <c r="L353" s="74">
        <v>9.4659999999999993</v>
      </c>
      <c r="M353" s="85">
        <v>10</v>
      </c>
      <c r="N353" s="74">
        <v>2.8780000000000001</v>
      </c>
      <c r="O353">
        <v>1</v>
      </c>
      <c r="P353" s="84">
        <v>2.1585000000000001</v>
      </c>
      <c r="Q353" s="86">
        <v>20.700000000000003</v>
      </c>
      <c r="R353" s="85">
        <v>20.700000000000003</v>
      </c>
      <c r="S353" s="87">
        <v>2297410</v>
      </c>
      <c r="T353" s="1">
        <v>8</v>
      </c>
      <c r="U353" s="88">
        <v>110985.99033816424</v>
      </c>
      <c r="V353" s="59">
        <v>9.0101462081213217</v>
      </c>
    </row>
    <row r="354" spans="1:22">
      <c r="A354" s="58">
        <v>354</v>
      </c>
      <c r="B354" s="58">
        <v>354</v>
      </c>
      <c r="C354" s="58" t="s">
        <v>755</v>
      </c>
      <c r="D354" s="58" t="s">
        <v>187</v>
      </c>
      <c r="E354" s="58" t="s">
        <v>187</v>
      </c>
      <c r="F354" s="58" t="s">
        <v>752</v>
      </c>
      <c r="G354" s="58" t="s">
        <v>753</v>
      </c>
      <c r="H354" s="58" t="s">
        <v>199</v>
      </c>
      <c r="I354">
        <v>110000</v>
      </c>
      <c r="J354" s="58" t="s">
        <v>185</v>
      </c>
      <c r="K354">
        <v>110000</v>
      </c>
      <c r="L354" s="74">
        <v>10.717000000000001</v>
      </c>
      <c r="M354" s="85">
        <v>11</v>
      </c>
      <c r="N354" s="74">
        <v>1.8360000000000001</v>
      </c>
      <c r="O354">
        <v>1</v>
      </c>
      <c r="P354" s="84">
        <v>1.377</v>
      </c>
      <c r="Q354" s="86">
        <v>13.8</v>
      </c>
      <c r="R354" s="85">
        <v>13.8</v>
      </c>
      <c r="S354" s="87">
        <v>2367680</v>
      </c>
      <c r="T354" s="1">
        <v>8</v>
      </c>
      <c r="U354" s="88">
        <v>171571.0144927536</v>
      </c>
      <c r="V354" s="59">
        <v>5.8284903365319636</v>
      </c>
    </row>
    <row r="355" spans="1:22">
      <c r="A355" s="58">
        <v>355</v>
      </c>
      <c r="B355" s="58">
        <v>355</v>
      </c>
      <c r="C355" s="58" t="s">
        <v>756</v>
      </c>
      <c r="D355" s="58" t="s">
        <v>187</v>
      </c>
      <c r="E355" s="58" t="s">
        <v>187</v>
      </c>
      <c r="F355" s="58" t="s">
        <v>752</v>
      </c>
      <c r="G355" s="58" t="s">
        <v>753</v>
      </c>
      <c r="H355" s="58" t="s">
        <v>199</v>
      </c>
      <c r="I355">
        <v>110000</v>
      </c>
      <c r="J355" s="58" t="s">
        <v>185</v>
      </c>
      <c r="K355">
        <v>110000</v>
      </c>
      <c r="L355" s="74">
        <v>8.1050000000000004</v>
      </c>
      <c r="M355" s="85">
        <v>9</v>
      </c>
      <c r="N355" s="74">
        <v>0.54700000000000004</v>
      </c>
      <c r="O355">
        <v>1</v>
      </c>
      <c r="P355" s="84">
        <v>0.54700000000000004</v>
      </c>
      <c r="Q355" s="86">
        <v>3.45</v>
      </c>
      <c r="R355" s="85">
        <v>3.45</v>
      </c>
      <c r="S355" s="87">
        <v>1890770</v>
      </c>
      <c r="T355" s="1">
        <v>7</v>
      </c>
      <c r="U355" s="88">
        <v>548049.27536231885</v>
      </c>
      <c r="V355" s="59">
        <v>1.8246534480661318</v>
      </c>
    </row>
    <row r="356" spans="1:22">
      <c r="A356" s="58">
        <v>356</v>
      </c>
      <c r="B356" s="58">
        <v>356</v>
      </c>
      <c r="C356" s="58" t="s">
        <v>757</v>
      </c>
      <c r="D356" s="58" t="s">
        <v>182</v>
      </c>
      <c r="E356" s="58" t="s">
        <v>182</v>
      </c>
      <c r="F356" s="58" t="s">
        <v>446</v>
      </c>
      <c r="G356" s="58" t="s">
        <v>447</v>
      </c>
      <c r="H356" s="58" t="s">
        <v>199</v>
      </c>
      <c r="I356">
        <v>110000</v>
      </c>
      <c r="J356">
        <v>33000</v>
      </c>
      <c r="K356">
        <v>110000</v>
      </c>
      <c r="L356" s="74">
        <v>9.2360000000000007</v>
      </c>
      <c r="M356" s="85">
        <v>10</v>
      </c>
      <c r="N356" s="74">
        <v>2.2970000000000002</v>
      </c>
      <c r="O356">
        <v>1</v>
      </c>
      <c r="P356" s="84">
        <v>1.72275</v>
      </c>
      <c r="Q356" s="86">
        <v>17.25</v>
      </c>
      <c r="R356" s="85">
        <v>17.25</v>
      </c>
      <c r="S356" s="87">
        <v>2297410</v>
      </c>
      <c r="T356" s="1">
        <v>8</v>
      </c>
      <c r="U356" s="88">
        <v>133183.18840579709</v>
      </c>
      <c r="V356" s="59">
        <v>7.5084551734344327</v>
      </c>
    </row>
    <row r="357" spans="1:22">
      <c r="A357" s="58">
        <v>357</v>
      </c>
      <c r="B357" s="58">
        <v>357</v>
      </c>
      <c r="C357" s="58" t="s">
        <v>758</v>
      </c>
      <c r="D357" s="58" t="s">
        <v>182</v>
      </c>
      <c r="E357" s="58" t="s">
        <v>182</v>
      </c>
      <c r="F357" s="58" t="s">
        <v>440</v>
      </c>
      <c r="G357" s="58" t="s">
        <v>441</v>
      </c>
      <c r="H357" s="58" t="s">
        <v>199</v>
      </c>
      <c r="I357">
        <v>110000</v>
      </c>
      <c r="L357" s="74">
        <v>7.1719999999999997</v>
      </c>
      <c r="M357" s="85">
        <v>8</v>
      </c>
      <c r="N357" s="74">
        <v>4.8479999999999999</v>
      </c>
      <c r="O357">
        <v>1</v>
      </c>
      <c r="P357" s="84">
        <v>3.6360000000000001</v>
      </c>
      <c r="Q357" s="86">
        <v>37.950000000000003</v>
      </c>
      <c r="R357" s="85">
        <v>37.950000000000003</v>
      </c>
      <c r="S357" s="87">
        <v>2843930</v>
      </c>
      <c r="T357" s="1">
        <v>10</v>
      </c>
      <c r="U357" s="88">
        <v>74938.866930171265</v>
      </c>
      <c r="V357" s="59">
        <v>13.344210300534824</v>
      </c>
    </row>
    <row r="358" spans="1:22">
      <c r="A358" s="58">
        <v>358</v>
      </c>
      <c r="B358" s="58">
        <v>358</v>
      </c>
      <c r="C358" s="58" t="s">
        <v>759</v>
      </c>
      <c r="D358" s="58" t="s">
        <v>182</v>
      </c>
      <c r="E358" s="58" t="s">
        <v>182</v>
      </c>
      <c r="F358" s="58" t="s">
        <v>440</v>
      </c>
      <c r="G358" s="58" t="s">
        <v>441</v>
      </c>
      <c r="H358" s="58" t="s">
        <v>199</v>
      </c>
      <c r="I358">
        <v>110000</v>
      </c>
      <c r="L358" s="74">
        <v>4.0819999999999999</v>
      </c>
      <c r="M358" s="85">
        <v>5</v>
      </c>
      <c r="N358" s="74">
        <v>1.768</v>
      </c>
      <c r="O358">
        <v>1</v>
      </c>
      <c r="P358" s="84">
        <v>1.3260000000000001</v>
      </c>
      <c r="Q358" s="86">
        <v>13.8</v>
      </c>
      <c r="R358" s="85">
        <v>13.8</v>
      </c>
      <c r="S358" s="87">
        <v>1946060</v>
      </c>
      <c r="T358" s="1">
        <v>8</v>
      </c>
      <c r="U358" s="88">
        <v>141018.84057971014</v>
      </c>
      <c r="V358" s="59">
        <v>7.0912510405640115</v>
      </c>
    </row>
    <row r="359" spans="1:22">
      <c r="A359" s="58">
        <v>359</v>
      </c>
      <c r="B359" s="58">
        <v>359</v>
      </c>
      <c r="C359" s="58" t="s">
        <v>760</v>
      </c>
      <c r="D359" s="58" t="s">
        <v>182</v>
      </c>
      <c r="E359" s="58" t="s">
        <v>182</v>
      </c>
      <c r="F359" s="58" t="s">
        <v>440</v>
      </c>
      <c r="G359" s="58" t="s">
        <v>441</v>
      </c>
      <c r="H359" s="58" t="s">
        <v>199</v>
      </c>
      <c r="I359">
        <v>110000</v>
      </c>
      <c r="L359" s="74">
        <v>6.15</v>
      </c>
      <c r="M359" s="85">
        <v>7</v>
      </c>
      <c r="N359" s="74">
        <v>1.2889999999999999</v>
      </c>
      <c r="O359">
        <v>1</v>
      </c>
      <c r="P359" s="84">
        <v>0.96675</v>
      </c>
      <c r="Q359" s="86">
        <v>10.350000000000001</v>
      </c>
      <c r="R359" s="85">
        <v>10.350000000000001</v>
      </c>
      <c r="S359" s="87">
        <v>1785370</v>
      </c>
      <c r="T359" s="1">
        <v>7</v>
      </c>
      <c r="U359" s="88">
        <v>172499.51690821254</v>
      </c>
      <c r="V359" s="59">
        <v>5.7971176842895318</v>
      </c>
    </row>
    <row r="360" spans="1:22">
      <c r="A360" s="58">
        <v>360</v>
      </c>
      <c r="B360" s="58">
        <v>360</v>
      </c>
      <c r="C360" s="58" t="s">
        <v>761</v>
      </c>
      <c r="D360" s="58" t="s">
        <v>176</v>
      </c>
      <c r="E360" s="58" t="s">
        <v>176</v>
      </c>
      <c r="F360" s="58" t="s">
        <v>177</v>
      </c>
      <c r="G360" s="58" t="s">
        <v>178</v>
      </c>
      <c r="H360" s="58" t="s">
        <v>179</v>
      </c>
      <c r="I360">
        <v>38000</v>
      </c>
      <c r="J360">
        <v>38000</v>
      </c>
      <c r="K360">
        <v>20000</v>
      </c>
      <c r="L360" s="74">
        <v>5.6349999999999998</v>
      </c>
      <c r="M360" s="85">
        <v>6</v>
      </c>
      <c r="N360" s="74">
        <v>1.7250000000000001</v>
      </c>
      <c r="O360">
        <v>1</v>
      </c>
      <c r="P360" s="84">
        <v>1.2937500000000002</v>
      </c>
      <c r="Q360" s="86">
        <v>13.8</v>
      </c>
      <c r="R360" s="85">
        <v>13.8</v>
      </c>
      <c r="S360" s="87">
        <v>769410</v>
      </c>
      <c r="T360" s="1">
        <v>4</v>
      </c>
      <c r="U360" s="88">
        <v>55754.347826086952</v>
      </c>
      <c r="V360" s="59">
        <v>17.935820953717784</v>
      </c>
    </row>
    <row r="361" spans="1:22">
      <c r="A361" s="58">
        <v>361</v>
      </c>
      <c r="B361" s="58">
        <v>361</v>
      </c>
      <c r="C361" s="58" t="s">
        <v>762</v>
      </c>
      <c r="D361" s="58" t="s">
        <v>215</v>
      </c>
      <c r="E361" s="58" t="s">
        <v>215</v>
      </c>
      <c r="F361" s="58" t="s">
        <v>763</v>
      </c>
      <c r="G361" s="58" t="s">
        <v>764</v>
      </c>
      <c r="H361" s="58" t="s">
        <v>199</v>
      </c>
      <c r="I361">
        <v>110000</v>
      </c>
      <c r="J361">
        <v>110000</v>
      </c>
      <c r="K361">
        <v>38000</v>
      </c>
      <c r="L361" s="74">
        <v>7.7859999999999996</v>
      </c>
      <c r="M361" s="85">
        <v>8</v>
      </c>
      <c r="N361" s="74">
        <v>1.2410000000000001</v>
      </c>
      <c r="O361">
        <v>1</v>
      </c>
      <c r="P361" s="84">
        <v>0.93075000000000008</v>
      </c>
      <c r="Q361" s="86">
        <v>6.9</v>
      </c>
      <c r="R361" s="85">
        <v>6.9</v>
      </c>
      <c r="S361" s="87">
        <v>1838070</v>
      </c>
      <c r="T361" s="1">
        <v>7</v>
      </c>
      <c r="U361" s="88">
        <v>266386.95652173914</v>
      </c>
      <c r="V361" s="59">
        <v>3.7539375540648616</v>
      </c>
    </row>
    <row r="362" spans="1:22">
      <c r="A362" s="58">
        <v>362</v>
      </c>
      <c r="B362" s="58">
        <v>362</v>
      </c>
      <c r="C362" s="58" t="s">
        <v>765</v>
      </c>
      <c r="D362" s="58" t="s">
        <v>410</v>
      </c>
      <c r="E362" s="58" t="s">
        <v>450</v>
      </c>
      <c r="F362" s="58" t="s">
        <v>451</v>
      </c>
      <c r="G362" s="58" t="s">
        <v>452</v>
      </c>
      <c r="H362" s="58" t="s">
        <v>179</v>
      </c>
      <c r="I362">
        <v>38000</v>
      </c>
      <c r="J362">
        <v>38000</v>
      </c>
      <c r="K362" s="58" t="s">
        <v>185</v>
      </c>
      <c r="L362" s="74">
        <v>9.5030000000000001</v>
      </c>
      <c r="M362" s="85">
        <v>10</v>
      </c>
      <c r="N362" s="74">
        <v>1.994</v>
      </c>
      <c r="O362">
        <v>1</v>
      </c>
      <c r="P362" s="84">
        <v>1.4955000000000001</v>
      </c>
      <c r="Q362" s="86">
        <v>13.8</v>
      </c>
      <c r="R362" s="85">
        <v>13.8</v>
      </c>
      <c r="S362" s="87">
        <v>1050490</v>
      </c>
      <c r="T362" s="1">
        <v>4</v>
      </c>
      <c r="U362" s="88">
        <v>76122.463768115937</v>
      </c>
      <c r="V362" s="59">
        <v>13.136726670410951</v>
      </c>
    </row>
    <row r="363" spans="1:22">
      <c r="A363" s="58">
        <v>363</v>
      </c>
      <c r="B363" s="58">
        <v>363</v>
      </c>
      <c r="C363" s="58" t="s">
        <v>766</v>
      </c>
      <c r="D363" s="58" t="s">
        <v>410</v>
      </c>
      <c r="E363" s="58" t="s">
        <v>450</v>
      </c>
      <c r="F363" s="58" t="s">
        <v>451</v>
      </c>
      <c r="G363" s="58" t="s">
        <v>452</v>
      </c>
      <c r="H363" s="58" t="s">
        <v>179</v>
      </c>
      <c r="I363">
        <v>38000</v>
      </c>
      <c r="J363">
        <v>38000</v>
      </c>
      <c r="K363" s="58" t="s">
        <v>185</v>
      </c>
      <c r="L363" s="74">
        <v>8.5980000000000008</v>
      </c>
      <c r="M363" s="85">
        <v>9</v>
      </c>
      <c r="N363" s="74">
        <v>2.7839999999999998</v>
      </c>
      <c r="O363">
        <v>1</v>
      </c>
      <c r="P363" s="84">
        <v>2.0880000000000001</v>
      </c>
      <c r="Q363" s="86">
        <v>20.700000000000003</v>
      </c>
      <c r="R363" s="85">
        <v>20.700000000000003</v>
      </c>
      <c r="S363" s="87">
        <v>980220</v>
      </c>
      <c r="T363" s="1">
        <v>4</v>
      </c>
      <c r="U363" s="88">
        <v>47353.623188405792</v>
      </c>
      <c r="V363" s="59">
        <v>21.117708269572141</v>
      </c>
    </row>
    <row r="364" spans="1:22">
      <c r="A364" s="58">
        <v>364</v>
      </c>
      <c r="B364" s="58">
        <v>364</v>
      </c>
      <c r="C364" s="58" t="s">
        <v>767</v>
      </c>
      <c r="D364" s="58" t="s">
        <v>410</v>
      </c>
      <c r="E364" s="58" t="s">
        <v>450</v>
      </c>
      <c r="F364" s="58" t="s">
        <v>451</v>
      </c>
      <c r="G364" s="58" t="s">
        <v>452</v>
      </c>
      <c r="H364" s="58" t="s">
        <v>179</v>
      </c>
      <c r="I364">
        <v>38000</v>
      </c>
      <c r="J364">
        <v>38000</v>
      </c>
      <c r="K364" s="58" t="s">
        <v>185</v>
      </c>
      <c r="L364" s="74">
        <v>9.11</v>
      </c>
      <c r="M364" s="85">
        <v>10</v>
      </c>
      <c r="N364" s="74">
        <v>0.68799999999999994</v>
      </c>
      <c r="O364">
        <v>1</v>
      </c>
      <c r="P364" s="84">
        <v>0.51600000000000001</v>
      </c>
      <c r="Q364" s="86">
        <v>3.45</v>
      </c>
      <c r="R364" s="85">
        <v>3.45</v>
      </c>
      <c r="S364" s="87">
        <v>1387140</v>
      </c>
      <c r="T364" s="1">
        <v>1</v>
      </c>
      <c r="U364" s="88">
        <v>402069.5652173913</v>
      </c>
      <c r="V364" s="59">
        <v>2.487131796357974</v>
      </c>
    </row>
    <row r="365" spans="1:22">
      <c r="A365" s="58">
        <v>365</v>
      </c>
      <c r="B365" s="58">
        <v>365</v>
      </c>
      <c r="C365" s="58" t="s">
        <v>768</v>
      </c>
      <c r="D365" s="58" t="s">
        <v>410</v>
      </c>
      <c r="E365" s="58" t="s">
        <v>410</v>
      </c>
      <c r="F365" s="58" t="s">
        <v>769</v>
      </c>
      <c r="G365" s="58" t="s">
        <v>770</v>
      </c>
      <c r="H365" s="58" t="s">
        <v>179</v>
      </c>
      <c r="I365">
        <v>38000</v>
      </c>
      <c r="J365" s="58" t="s">
        <v>185</v>
      </c>
      <c r="K365">
        <v>38000</v>
      </c>
      <c r="L365" s="74">
        <v>10.260999999999999</v>
      </c>
      <c r="M365" s="85">
        <v>11</v>
      </c>
      <c r="N365" s="74">
        <v>1.054</v>
      </c>
      <c r="O365">
        <v>1</v>
      </c>
      <c r="P365" s="84">
        <v>0.79049999999999998</v>
      </c>
      <c r="Q365" s="86">
        <v>6.9</v>
      </c>
      <c r="R365" s="85">
        <v>6.9</v>
      </c>
      <c r="S365" s="87">
        <v>1485200</v>
      </c>
      <c r="T365" s="1">
        <v>2</v>
      </c>
      <c r="U365" s="88">
        <v>215246.37681159418</v>
      </c>
      <c r="V365" s="59">
        <v>4.6458389442499328</v>
      </c>
    </row>
    <row r="366" spans="1:22">
      <c r="A366" s="89">
        <v>366</v>
      </c>
      <c r="B366" s="89">
        <v>366</v>
      </c>
      <c r="C366" s="89" t="s">
        <v>771</v>
      </c>
      <c r="D366" s="58" t="s">
        <v>450</v>
      </c>
      <c r="E366" s="58" t="s">
        <v>450</v>
      </c>
      <c r="F366" s="89" t="s">
        <v>772</v>
      </c>
      <c r="G366" s="89" t="s">
        <v>773</v>
      </c>
      <c r="H366" s="89" t="s">
        <v>179</v>
      </c>
      <c r="I366" s="90">
        <v>38000</v>
      </c>
      <c r="J366" s="90">
        <v>38000</v>
      </c>
      <c r="K366" s="89" t="s">
        <v>185</v>
      </c>
      <c r="L366" s="91">
        <v>12.166</v>
      </c>
      <c r="M366" s="92">
        <v>13</v>
      </c>
      <c r="N366" s="91">
        <v>23.268999999999899</v>
      </c>
      <c r="O366" s="90">
        <v>1</v>
      </c>
      <c r="P366" s="92">
        <v>17.451749999999926</v>
      </c>
      <c r="Q366" s="93">
        <v>189.75</v>
      </c>
      <c r="R366" s="92">
        <v>189.75</v>
      </c>
      <c r="S366" s="87">
        <v>10383640</v>
      </c>
      <c r="T366" s="94">
        <v>13</v>
      </c>
      <c r="U366" s="95">
        <v>54722.74044795784</v>
      </c>
      <c r="V366" s="96">
        <v>18.273938618827309</v>
      </c>
    </row>
    <row r="367" spans="1:22">
      <c r="A367" s="58">
        <v>367</v>
      </c>
      <c r="B367" s="58">
        <v>367</v>
      </c>
      <c r="C367" s="58" t="s">
        <v>774</v>
      </c>
      <c r="D367" s="58" t="s">
        <v>775</v>
      </c>
      <c r="E367" s="58" t="s">
        <v>775</v>
      </c>
      <c r="F367" s="58" t="s">
        <v>776</v>
      </c>
      <c r="G367" s="58" t="s">
        <v>777</v>
      </c>
      <c r="H367" s="58" t="s">
        <v>179</v>
      </c>
      <c r="I367">
        <v>38000</v>
      </c>
      <c r="J367">
        <v>20000</v>
      </c>
      <c r="K367">
        <v>38000</v>
      </c>
      <c r="L367" s="74">
        <v>3.5609999999999999</v>
      </c>
      <c r="M367" s="85">
        <v>4</v>
      </c>
      <c r="N367" s="74">
        <v>1.56</v>
      </c>
      <c r="O367">
        <v>1</v>
      </c>
      <c r="P367" s="84">
        <v>1.17</v>
      </c>
      <c r="Q367" s="86">
        <v>10.350000000000001</v>
      </c>
      <c r="R367" s="85">
        <v>10.350000000000001</v>
      </c>
      <c r="S367" s="87">
        <v>628870</v>
      </c>
      <c r="T367" s="1">
        <v>4</v>
      </c>
      <c r="U367" s="88">
        <v>60760.386473429942</v>
      </c>
      <c r="V367" s="59">
        <v>16.458091497447807</v>
      </c>
    </row>
    <row r="368" spans="1:22">
      <c r="A368" s="58">
        <v>368</v>
      </c>
      <c r="B368" s="58">
        <v>368</v>
      </c>
      <c r="C368" s="58" t="s">
        <v>778</v>
      </c>
      <c r="D368" s="58" t="s">
        <v>775</v>
      </c>
      <c r="E368" s="58" t="s">
        <v>775</v>
      </c>
      <c r="F368" s="58" t="s">
        <v>460</v>
      </c>
      <c r="G368" s="58" t="s">
        <v>461</v>
      </c>
      <c r="H368" s="58" t="s">
        <v>179</v>
      </c>
      <c r="I368">
        <v>38000</v>
      </c>
      <c r="J368">
        <v>38000</v>
      </c>
      <c r="K368" s="58" t="s">
        <v>185</v>
      </c>
      <c r="L368" s="74">
        <v>8.1419999999999995</v>
      </c>
      <c r="M368" s="85">
        <v>9</v>
      </c>
      <c r="N368" s="74">
        <v>1.7170000000000001</v>
      </c>
      <c r="O368">
        <v>1</v>
      </c>
      <c r="P368" s="84">
        <v>1.28775</v>
      </c>
      <c r="Q368" s="86">
        <v>13.8</v>
      </c>
      <c r="R368" s="85">
        <v>13.8</v>
      </c>
      <c r="S368" s="87">
        <v>980220</v>
      </c>
      <c r="T368" s="1">
        <v>4</v>
      </c>
      <c r="U368" s="88">
        <v>71030.434782608689</v>
      </c>
      <c r="V368" s="59">
        <v>14.078472179714758</v>
      </c>
    </row>
    <row r="369" spans="1:22">
      <c r="A369" s="89">
        <v>369</v>
      </c>
      <c r="B369" s="89">
        <v>369</v>
      </c>
      <c r="C369" s="89" t="s">
        <v>779</v>
      </c>
      <c r="D369" s="58" t="s">
        <v>410</v>
      </c>
      <c r="E369" s="58" t="s">
        <v>775</v>
      </c>
      <c r="F369" s="89" t="s">
        <v>466</v>
      </c>
      <c r="G369" s="89" t="s">
        <v>467</v>
      </c>
      <c r="H369" s="89" t="s">
        <v>179</v>
      </c>
      <c r="I369" s="90">
        <v>38000</v>
      </c>
      <c r="J369" s="90">
        <v>38000</v>
      </c>
      <c r="K369" s="89" t="s">
        <v>185</v>
      </c>
      <c r="L369" s="91">
        <v>11.095000000000001</v>
      </c>
      <c r="M369" s="92">
        <v>12</v>
      </c>
      <c r="N369" s="91">
        <v>11.912000000000001</v>
      </c>
      <c r="O369" s="90">
        <v>1</v>
      </c>
      <c r="P369" s="92">
        <v>8.9340000000000011</v>
      </c>
      <c r="Q369" s="93">
        <v>96.600000000000023</v>
      </c>
      <c r="R369" s="92">
        <v>96.600000000000023</v>
      </c>
      <c r="S369" s="87">
        <v>3448180</v>
      </c>
      <c r="T369" s="94">
        <v>11</v>
      </c>
      <c r="U369" s="95">
        <v>35695.445134575559</v>
      </c>
      <c r="V369" s="96">
        <v>28.014778810850949</v>
      </c>
    </row>
    <row r="370" spans="1:22">
      <c r="A370" s="58">
        <v>370</v>
      </c>
      <c r="B370" s="58">
        <v>370</v>
      </c>
      <c r="C370" s="58" t="s">
        <v>780</v>
      </c>
      <c r="D370" s="58" t="s">
        <v>380</v>
      </c>
      <c r="E370" s="58" t="s">
        <v>384</v>
      </c>
      <c r="F370" s="58" t="s">
        <v>469</v>
      </c>
      <c r="G370" s="58" t="s">
        <v>470</v>
      </c>
      <c r="H370" s="58" t="s">
        <v>179</v>
      </c>
      <c r="I370">
        <v>38000</v>
      </c>
      <c r="J370">
        <v>38000</v>
      </c>
      <c r="K370" s="58" t="s">
        <v>185</v>
      </c>
      <c r="L370" s="74">
        <v>11.064</v>
      </c>
      <c r="M370" s="85">
        <v>12</v>
      </c>
      <c r="N370" s="74">
        <v>3.0910000000000002</v>
      </c>
      <c r="O370">
        <v>1</v>
      </c>
      <c r="P370" s="84">
        <v>2.3182499999999999</v>
      </c>
      <c r="Q370" s="86">
        <v>24.150000000000006</v>
      </c>
      <c r="R370" s="85">
        <v>24.150000000000006</v>
      </c>
      <c r="S370" s="87">
        <v>1413750</v>
      </c>
      <c r="T370" s="1">
        <v>5</v>
      </c>
      <c r="U370" s="88">
        <v>58540.372670807439</v>
      </c>
      <c r="V370" s="59">
        <v>17.08222811671088</v>
      </c>
    </row>
    <row r="371" spans="1:22">
      <c r="A371" s="58">
        <v>371</v>
      </c>
      <c r="B371" s="58">
        <v>371</v>
      </c>
      <c r="C371" s="58" t="s">
        <v>781</v>
      </c>
      <c r="D371" s="58" t="s">
        <v>410</v>
      </c>
      <c r="E371" s="58" t="s">
        <v>410</v>
      </c>
      <c r="F371" s="58" t="s">
        <v>782</v>
      </c>
      <c r="G371" s="58" t="s">
        <v>783</v>
      </c>
      <c r="H371" s="58" t="s">
        <v>199</v>
      </c>
      <c r="I371">
        <v>110000</v>
      </c>
      <c r="J371">
        <v>110000</v>
      </c>
      <c r="K371">
        <v>38000</v>
      </c>
      <c r="L371" s="74">
        <v>8.0220000000000002</v>
      </c>
      <c r="M371" s="85">
        <v>9</v>
      </c>
      <c r="N371" s="74">
        <v>2.6320000000000001</v>
      </c>
      <c r="O371">
        <v>1</v>
      </c>
      <c r="P371" s="84">
        <v>1.9740000000000002</v>
      </c>
      <c r="Q371" s="86">
        <v>20.700000000000003</v>
      </c>
      <c r="R371" s="85">
        <v>20.700000000000003</v>
      </c>
      <c r="S371" s="87">
        <v>2227140</v>
      </c>
      <c r="T371" s="1">
        <v>8</v>
      </c>
      <c r="U371" s="88">
        <v>107591.30434782607</v>
      </c>
      <c r="V371" s="59">
        <v>9.2944314232603258</v>
      </c>
    </row>
    <row r="372" spans="1:22">
      <c r="A372" s="58">
        <v>372</v>
      </c>
      <c r="B372" s="58">
        <v>372</v>
      </c>
      <c r="C372" s="58" t="s">
        <v>784</v>
      </c>
      <c r="D372" s="58" t="s">
        <v>197</v>
      </c>
      <c r="E372" s="58" t="s">
        <v>197</v>
      </c>
      <c r="F372" s="58" t="s">
        <v>299</v>
      </c>
      <c r="G372" s="58" t="s">
        <v>300</v>
      </c>
      <c r="H372" s="58" t="s">
        <v>179</v>
      </c>
      <c r="I372">
        <v>38000</v>
      </c>
      <c r="J372">
        <v>38000</v>
      </c>
      <c r="K372" s="58" t="s">
        <v>185</v>
      </c>
      <c r="L372" s="74">
        <v>17.981999999999999</v>
      </c>
      <c r="M372" s="85">
        <v>18</v>
      </c>
      <c r="N372" s="74">
        <v>5.1719999999999997</v>
      </c>
      <c r="O372">
        <v>1</v>
      </c>
      <c r="P372" s="84">
        <v>3.8789999999999996</v>
      </c>
      <c r="Q372" s="86">
        <v>41.400000000000006</v>
      </c>
      <c r="R372" s="85">
        <v>41.400000000000006</v>
      </c>
      <c r="S372" s="87">
        <v>2350470</v>
      </c>
      <c r="T372" s="1">
        <v>6</v>
      </c>
      <c r="U372" s="88">
        <v>56774.637681159409</v>
      </c>
      <c r="V372" s="59">
        <v>17.613498576880371</v>
      </c>
    </row>
    <row r="373" spans="1:22">
      <c r="A373" s="58">
        <v>373</v>
      </c>
      <c r="B373" s="58">
        <v>373</v>
      </c>
      <c r="C373" s="58" t="s">
        <v>785</v>
      </c>
      <c r="D373" s="58" t="s">
        <v>197</v>
      </c>
      <c r="E373" s="58" t="s">
        <v>197</v>
      </c>
      <c r="F373" s="58" t="s">
        <v>299</v>
      </c>
      <c r="G373" s="58" t="s">
        <v>300</v>
      </c>
      <c r="H373" s="58" t="s">
        <v>179</v>
      </c>
      <c r="I373">
        <v>38000</v>
      </c>
      <c r="J373">
        <v>38000</v>
      </c>
      <c r="K373" s="58" t="s">
        <v>185</v>
      </c>
      <c r="L373" s="74">
        <v>18.012</v>
      </c>
      <c r="M373" s="85">
        <v>19</v>
      </c>
      <c r="N373" s="74">
        <v>1.0640000000000001</v>
      </c>
      <c r="O373">
        <v>1</v>
      </c>
      <c r="P373" s="84">
        <v>0.79800000000000004</v>
      </c>
      <c r="Q373" s="86">
        <v>6.9</v>
      </c>
      <c r="R373" s="85">
        <v>6.9</v>
      </c>
      <c r="S373" s="87">
        <v>1906800</v>
      </c>
      <c r="T373" s="1">
        <v>2</v>
      </c>
      <c r="U373" s="88">
        <v>276347.82608695648</v>
      </c>
      <c r="V373" s="59">
        <v>3.6186280679672751</v>
      </c>
    </row>
    <row r="374" spans="1:22">
      <c r="A374" s="58">
        <v>374</v>
      </c>
      <c r="B374" s="58">
        <v>374</v>
      </c>
      <c r="C374" s="58" t="s">
        <v>786</v>
      </c>
      <c r="D374" s="58" t="s">
        <v>215</v>
      </c>
      <c r="E374" s="58" t="s">
        <v>215</v>
      </c>
      <c r="F374" s="58" t="s">
        <v>225</v>
      </c>
      <c r="G374" s="58" t="s">
        <v>226</v>
      </c>
      <c r="H374" s="58" t="s">
        <v>179</v>
      </c>
      <c r="I374">
        <v>38000</v>
      </c>
      <c r="J374">
        <v>38000</v>
      </c>
      <c r="K374">
        <v>20000</v>
      </c>
      <c r="L374" s="74">
        <v>7.3490000000000002</v>
      </c>
      <c r="M374" s="85">
        <v>8</v>
      </c>
      <c r="N374" s="74">
        <v>1.4870000000000001</v>
      </c>
      <c r="O374">
        <v>1</v>
      </c>
      <c r="P374" s="84">
        <v>1.1152500000000001</v>
      </c>
      <c r="Q374" s="86">
        <v>10.350000000000001</v>
      </c>
      <c r="R374" s="85">
        <v>10.350000000000001</v>
      </c>
      <c r="S374" s="87">
        <v>909950</v>
      </c>
      <c r="T374" s="1">
        <v>4</v>
      </c>
      <c r="U374" s="88">
        <v>87917.874396135259</v>
      </c>
      <c r="V374" s="59">
        <v>11.374251332490799</v>
      </c>
    </row>
    <row r="375" spans="1:22">
      <c r="A375" s="58">
        <v>375</v>
      </c>
      <c r="B375" s="58">
        <v>375</v>
      </c>
      <c r="C375" s="58" t="s">
        <v>787</v>
      </c>
      <c r="D375" s="58" t="s">
        <v>215</v>
      </c>
      <c r="E375" s="58" t="s">
        <v>215</v>
      </c>
      <c r="F375" s="58" t="s">
        <v>483</v>
      </c>
      <c r="G375" s="58" t="s">
        <v>484</v>
      </c>
      <c r="H375" s="58" t="s">
        <v>179</v>
      </c>
      <c r="I375">
        <v>38000</v>
      </c>
      <c r="L375" s="74">
        <v>6.673</v>
      </c>
      <c r="M375" s="85">
        <v>7</v>
      </c>
      <c r="N375" s="74">
        <v>0.82199999999999995</v>
      </c>
      <c r="O375">
        <v>1</v>
      </c>
      <c r="P375" s="84">
        <v>0.61649999999999994</v>
      </c>
      <c r="Q375" s="86">
        <v>6.9</v>
      </c>
      <c r="R375" s="85">
        <v>6.9</v>
      </c>
      <c r="S375" s="87">
        <v>839680</v>
      </c>
      <c r="T375" s="1">
        <v>4</v>
      </c>
      <c r="U375" s="88">
        <v>121692.7536231884</v>
      </c>
      <c r="V375" s="59">
        <v>8.2174161585365848</v>
      </c>
    </row>
    <row r="376" spans="1:22">
      <c r="A376" s="58">
        <v>376</v>
      </c>
      <c r="B376" s="58">
        <v>376</v>
      </c>
      <c r="C376" s="58" t="s">
        <v>788</v>
      </c>
      <c r="D376" s="58" t="s">
        <v>182</v>
      </c>
      <c r="E376" s="58" t="s">
        <v>197</v>
      </c>
      <c r="F376" s="58" t="s">
        <v>486</v>
      </c>
      <c r="G376" s="58" t="s">
        <v>487</v>
      </c>
      <c r="H376" s="58" t="s">
        <v>179</v>
      </c>
      <c r="I376">
        <v>38000</v>
      </c>
      <c r="J376">
        <v>38000</v>
      </c>
      <c r="K376" s="58" t="s">
        <v>185</v>
      </c>
      <c r="L376" s="74">
        <v>12.593</v>
      </c>
      <c r="M376" s="85">
        <v>13</v>
      </c>
      <c r="N376" s="74">
        <v>1.6779999999999999</v>
      </c>
      <c r="O376">
        <v>1</v>
      </c>
      <c r="P376" s="84">
        <v>1.2585</v>
      </c>
      <c r="Q376" s="86">
        <v>13.8</v>
      </c>
      <c r="R376" s="85">
        <v>13.8</v>
      </c>
      <c r="S376" s="87">
        <v>1261300</v>
      </c>
      <c r="T376" s="1">
        <v>4</v>
      </c>
      <c r="U376" s="88">
        <v>91398.55072463768</v>
      </c>
      <c r="V376" s="59">
        <v>10.941092523586775</v>
      </c>
    </row>
    <row r="377" spans="1:22">
      <c r="A377" s="58">
        <v>377</v>
      </c>
      <c r="B377" s="58">
        <v>377</v>
      </c>
      <c r="C377" s="58" t="s">
        <v>789</v>
      </c>
      <c r="D377" s="58" t="s">
        <v>182</v>
      </c>
      <c r="E377" s="58" t="s">
        <v>197</v>
      </c>
      <c r="F377" s="58" t="s">
        <v>486</v>
      </c>
      <c r="G377" s="58" t="s">
        <v>487</v>
      </c>
      <c r="H377" s="58" t="s">
        <v>179</v>
      </c>
      <c r="I377">
        <v>38000</v>
      </c>
      <c r="J377">
        <v>38000</v>
      </c>
      <c r="K377" s="58" t="s">
        <v>185</v>
      </c>
      <c r="L377" s="74">
        <v>14.301</v>
      </c>
      <c r="M377" s="85">
        <v>15</v>
      </c>
      <c r="N377" s="74">
        <v>0.79100000000000004</v>
      </c>
      <c r="O377">
        <v>1</v>
      </c>
      <c r="P377" s="84">
        <v>0.59325000000000006</v>
      </c>
      <c r="Q377" s="86">
        <v>3.45</v>
      </c>
      <c r="R377" s="85">
        <v>3.45</v>
      </c>
      <c r="S377" s="87">
        <v>1650640</v>
      </c>
      <c r="T377" s="1">
        <v>1</v>
      </c>
      <c r="U377" s="88">
        <v>478446.37681159418</v>
      </c>
      <c r="V377" s="59">
        <v>2.0900983860805504</v>
      </c>
    </row>
    <row r="378" spans="1:22">
      <c r="A378" s="58">
        <v>378</v>
      </c>
      <c r="B378" s="58">
        <v>378</v>
      </c>
      <c r="C378" s="58" t="s">
        <v>790</v>
      </c>
      <c r="D378" s="58" t="s">
        <v>176</v>
      </c>
      <c r="E378" s="58" t="s">
        <v>176</v>
      </c>
      <c r="F378" s="58" t="s">
        <v>222</v>
      </c>
      <c r="G378" s="58" t="s">
        <v>223</v>
      </c>
      <c r="H378" s="58" t="s">
        <v>179</v>
      </c>
      <c r="I378">
        <v>38000</v>
      </c>
      <c r="J378">
        <v>38000</v>
      </c>
      <c r="K378">
        <v>20000</v>
      </c>
      <c r="L378" s="74">
        <v>12.593999999999999</v>
      </c>
      <c r="M378" s="85">
        <v>13</v>
      </c>
      <c r="N378" s="74">
        <v>1.657</v>
      </c>
      <c r="O378">
        <v>1</v>
      </c>
      <c r="P378" s="84">
        <v>1.24275</v>
      </c>
      <c r="Q378" s="86">
        <v>10.350000000000001</v>
      </c>
      <c r="R378" s="85">
        <v>10.350000000000001</v>
      </c>
      <c r="S378" s="87">
        <v>1627650</v>
      </c>
      <c r="T378" s="1">
        <v>3</v>
      </c>
      <c r="U378" s="88">
        <v>157260.86956521738</v>
      </c>
      <c r="V378" s="59">
        <v>6.3588609344760867</v>
      </c>
    </row>
    <row r="379" spans="1:22">
      <c r="A379" s="58">
        <v>379</v>
      </c>
      <c r="B379" s="58">
        <v>379</v>
      </c>
      <c r="C379" s="58" t="s">
        <v>791</v>
      </c>
      <c r="D379" s="58" t="s">
        <v>197</v>
      </c>
      <c r="E379" s="58" t="s">
        <v>197</v>
      </c>
      <c r="F379" s="58" t="s">
        <v>494</v>
      </c>
      <c r="G379" s="58" t="s">
        <v>495</v>
      </c>
      <c r="H379" s="58" t="s">
        <v>179</v>
      </c>
      <c r="I379">
        <v>38000</v>
      </c>
      <c r="J379">
        <v>38000</v>
      </c>
      <c r="K379">
        <v>10000</v>
      </c>
      <c r="L379" s="74">
        <v>8.4450000000000003</v>
      </c>
      <c r="M379" s="85">
        <v>9</v>
      </c>
      <c r="N379" s="74">
        <v>1.0980000000000001</v>
      </c>
      <c r="O379">
        <v>1</v>
      </c>
      <c r="P379" s="84">
        <v>0.82350000000000012</v>
      </c>
      <c r="Q379" s="86">
        <v>6.9</v>
      </c>
      <c r="R379" s="85">
        <v>6.9</v>
      </c>
      <c r="S379" s="87">
        <v>1379800</v>
      </c>
      <c r="T379" s="1">
        <v>2</v>
      </c>
      <c r="U379" s="88">
        <v>199971.0144927536</v>
      </c>
      <c r="V379" s="59">
        <v>5.0007247427163355</v>
      </c>
    </row>
    <row r="380" spans="1:22">
      <c r="A380" s="58">
        <v>380</v>
      </c>
      <c r="B380" s="58">
        <v>380</v>
      </c>
      <c r="C380" s="58" t="s">
        <v>792</v>
      </c>
      <c r="D380" s="58" t="s">
        <v>207</v>
      </c>
      <c r="E380" s="58" t="s">
        <v>207</v>
      </c>
      <c r="F380" s="58" t="s">
        <v>705</v>
      </c>
      <c r="G380" s="58" t="s">
        <v>706</v>
      </c>
      <c r="H380" s="58" t="s">
        <v>179</v>
      </c>
      <c r="I380">
        <v>38000</v>
      </c>
      <c r="J380" s="58" t="s">
        <v>185</v>
      </c>
      <c r="K380">
        <v>38000</v>
      </c>
      <c r="L380" s="74">
        <v>6.1859999999999999</v>
      </c>
      <c r="M380" s="85">
        <v>7</v>
      </c>
      <c r="N380" s="74">
        <v>1.2849999999999999</v>
      </c>
      <c r="O380">
        <v>1</v>
      </c>
      <c r="P380" s="84">
        <v>0.96374999999999988</v>
      </c>
      <c r="Q380" s="86">
        <v>10.350000000000001</v>
      </c>
      <c r="R380" s="85">
        <v>10.350000000000001</v>
      </c>
      <c r="S380" s="87">
        <v>839680</v>
      </c>
      <c r="T380" s="1">
        <v>4</v>
      </c>
      <c r="U380" s="88">
        <v>81128.502415458919</v>
      </c>
      <c r="V380" s="59">
        <v>12.32612423780488</v>
      </c>
    </row>
    <row r="381" spans="1:22">
      <c r="A381" s="58">
        <v>381</v>
      </c>
      <c r="B381" s="58">
        <v>381</v>
      </c>
      <c r="C381" s="58" t="s">
        <v>793</v>
      </c>
      <c r="D381" s="58" t="s">
        <v>187</v>
      </c>
      <c r="E381" s="58" t="s">
        <v>187</v>
      </c>
      <c r="F381" s="58" t="s">
        <v>228</v>
      </c>
      <c r="G381" s="58" t="s">
        <v>229</v>
      </c>
      <c r="H381" s="58" t="s">
        <v>179</v>
      </c>
      <c r="I381">
        <v>38000</v>
      </c>
      <c r="J381">
        <v>38000</v>
      </c>
      <c r="K381" s="58" t="s">
        <v>185</v>
      </c>
      <c r="L381" s="74">
        <v>6.0010000000000003</v>
      </c>
      <c r="M381" s="85">
        <v>7</v>
      </c>
      <c r="N381" s="74">
        <v>4.0380000000000003</v>
      </c>
      <c r="O381">
        <v>1</v>
      </c>
      <c r="P381" s="84">
        <v>3.0285000000000002</v>
      </c>
      <c r="Q381" s="86">
        <v>31.05</v>
      </c>
      <c r="R381" s="85">
        <v>31.05</v>
      </c>
      <c r="S381" s="87">
        <v>1126610</v>
      </c>
      <c r="T381" s="1">
        <v>6</v>
      </c>
      <c r="U381" s="88">
        <v>36283.735909822863</v>
      </c>
      <c r="V381" s="59">
        <v>27.560557779533291</v>
      </c>
    </row>
    <row r="382" spans="1:22">
      <c r="A382" s="58">
        <v>382</v>
      </c>
      <c r="B382" s="58">
        <v>382</v>
      </c>
      <c r="C382" s="58" t="s">
        <v>794</v>
      </c>
      <c r="D382" s="58" t="s">
        <v>182</v>
      </c>
      <c r="E382" s="58" t="s">
        <v>182</v>
      </c>
      <c r="F382" s="58" t="s">
        <v>595</v>
      </c>
      <c r="G382" s="58" t="s">
        <v>596</v>
      </c>
      <c r="H382" s="58" t="s">
        <v>179</v>
      </c>
      <c r="I382">
        <v>38000</v>
      </c>
      <c r="J382">
        <v>38000</v>
      </c>
      <c r="K382" s="58" t="s">
        <v>185</v>
      </c>
      <c r="L382" s="74">
        <v>10.631</v>
      </c>
      <c r="M382" s="85">
        <v>11</v>
      </c>
      <c r="N382" s="74">
        <v>1.42</v>
      </c>
      <c r="O382">
        <v>1</v>
      </c>
      <c r="P382" s="84">
        <v>1.0649999999999999</v>
      </c>
      <c r="Q382" s="86">
        <v>10.350000000000001</v>
      </c>
      <c r="R382" s="85">
        <v>10.350000000000001</v>
      </c>
      <c r="S382" s="87">
        <v>1522250</v>
      </c>
      <c r="T382" s="1">
        <v>3</v>
      </c>
      <c r="U382" s="88">
        <v>147077.29468599032</v>
      </c>
      <c r="V382" s="59">
        <v>6.7991460009853846</v>
      </c>
    </row>
    <row r="383" spans="1:22">
      <c r="A383" s="58">
        <v>383</v>
      </c>
      <c r="B383" s="58">
        <v>383</v>
      </c>
      <c r="C383" s="58" t="s">
        <v>795</v>
      </c>
      <c r="D383" s="58" t="s">
        <v>234</v>
      </c>
      <c r="E383" s="58" t="s">
        <v>234</v>
      </c>
      <c r="F383" s="58" t="s">
        <v>341</v>
      </c>
      <c r="G383" s="58" t="s">
        <v>342</v>
      </c>
      <c r="H383" s="58" t="s">
        <v>199</v>
      </c>
      <c r="I383">
        <v>110000</v>
      </c>
      <c r="J383" s="58" t="s">
        <v>185</v>
      </c>
      <c r="K383">
        <v>110000</v>
      </c>
      <c r="L383" s="74">
        <v>11.377000000000001</v>
      </c>
      <c r="M383" s="85">
        <v>12</v>
      </c>
      <c r="N383" s="74">
        <v>0.71599999999999997</v>
      </c>
      <c r="O383">
        <v>1</v>
      </c>
      <c r="P383" s="84">
        <v>0.53699999999999992</v>
      </c>
      <c r="Q383" s="86">
        <v>3.45</v>
      </c>
      <c r="R383" s="85">
        <v>3.45</v>
      </c>
      <c r="S383" s="87">
        <v>2048870</v>
      </c>
      <c r="T383" s="1">
        <v>7</v>
      </c>
      <c r="U383" s="88">
        <v>593875.36231884058</v>
      </c>
      <c r="V383" s="59">
        <v>1.6838550030016546</v>
      </c>
    </row>
    <row r="384" spans="1:22">
      <c r="A384" s="58">
        <v>384</v>
      </c>
      <c r="B384" s="58">
        <v>384</v>
      </c>
      <c r="C384" s="58" t="s">
        <v>796</v>
      </c>
      <c r="D384" s="58" t="s">
        <v>234</v>
      </c>
      <c r="E384" s="58" t="s">
        <v>234</v>
      </c>
      <c r="F384" s="58" t="s">
        <v>595</v>
      </c>
      <c r="G384" s="58" t="s">
        <v>596</v>
      </c>
      <c r="H384" s="58" t="s">
        <v>179</v>
      </c>
      <c r="I384">
        <v>38000</v>
      </c>
      <c r="J384">
        <v>38000</v>
      </c>
      <c r="K384" s="58" t="s">
        <v>185</v>
      </c>
      <c r="L384" s="74">
        <v>12.936</v>
      </c>
      <c r="M384" s="85">
        <v>13</v>
      </c>
      <c r="N384" s="74">
        <v>0.66500000000000004</v>
      </c>
      <c r="O384">
        <v>1</v>
      </c>
      <c r="P384" s="84">
        <v>0.49875000000000003</v>
      </c>
      <c r="Q384" s="86">
        <v>3.45</v>
      </c>
      <c r="R384" s="85">
        <v>3.45</v>
      </c>
      <c r="S384" s="87">
        <v>1545240</v>
      </c>
      <c r="T384" s="1">
        <v>1</v>
      </c>
      <c r="U384" s="88">
        <v>447895.65217391303</v>
      </c>
      <c r="V384" s="59">
        <v>2.2326628873184746</v>
      </c>
    </row>
    <row r="385" spans="1:22">
      <c r="A385" s="58">
        <v>385</v>
      </c>
      <c r="B385" s="58">
        <v>385</v>
      </c>
      <c r="C385" s="58" t="s">
        <v>797</v>
      </c>
      <c r="D385" s="58" t="s">
        <v>187</v>
      </c>
      <c r="E385" s="58" t="s">
        <v>187</v>
      </c>
      <c r="F385" s="58" t="s">
        <v>231</v>
      </c>
      <c r="G385" s="58" t="s">
        <v>232</v>
      </c>
      <c r="H385" s="58" t="s">
        <v>179</v>
      </c>
      <c r="I385">
        <v>38000</v>
      </c>
      <c r="J385" s="58" t="s">
        <v>185</v>
      </c>
      <c r="K385">
        <v>38000</v>
      </c>
      <c r="L385" s="74">
        <v>5.4619999999999997</v>
      </c>
      <c r="M385" s="85">
        <v>6</v>
      </c>
      <c r="N385" s="74">
        <v>0.80400000000000005</v>
      </c>
      <c r="O385">
        <v>1</v>
      </c>
      <c r="P385" s="84">
        <v>0.60299999999999998</v>
      </c>
      <c r="Q385" s="86">
        <v>6.9</v>
      </c>
      <c r="R385" s="85">
        <v>6.9</v>
      </c>
      <c r="S385" s="87">
        <v>769410</v>
      </c>
      <c r="T385" s="1">
        <v>4</v>
      </c>
      <c r="U385" s="88">
        <v>111508.6956521739</v>
      </c>
      <c r="V385" s="59">
        <v>8.9679104768588918</v>
      </c>
    </row>
    <row r="386" spans="1:22">
      <c r="A386" s="58">
        <v>386</v>
      </c>
      <c r="B386" s="58">
        <v>386</v>
      </c>
      <c r="C386" s="58" t="s">
        <v>798</v>
      </c>
      <c r="D386" s="58" t="s">
        <v>234</v>
      </c>
      <c r="E386" s="58" t="s">
        <v>234</v>
      </c>
      <c r="F386" s="58" t="s">
        <v>623</v>
      </c>
      <c r="G386" s="58" t="s">
        <v>624</v>
      </c>
      <c r="H386" s="58" t="s">
        <v>179</v>
      </c>
      <c r="I386">
        <v>38000</v>
      </c>
      <c r="J386">
        <v>38000</v>
      </c>
      <c r="K386" s="58" t="s">
        <v>185</v>
      </c>
      <c r="L386" s="74">
        <v>13.255000000000001</v>
      </c>
      <c r="M386" s="85">
        <v>14</v>
      </c>
      <c r="N386" s="74">
        <v>1.149</v>
      </c>
      <c r="O386">
        <v>1</v>
      </c>
      <c r="P386" s="84">
        <v>0.86175000000000002</v>
      </c>
      <c r="Q386" s="86">
        <v>6.9</v>
      </c>
      <c r="R386" s="85">
        <v>6.9</v>
      </c>
      <c r="S386" s="87">
        <v>1643300</v>
      </c>
      <c r="T386" s="1">
        <v>2</v>
      </c>
      <c r="U386" s="88">
        <v>238159.42028985507</v>
      </c>
      <c r="V386" s="59">
        <v>4.1988681311994158</v>
      </c>
    </row>
    <row r="387" spans="1:22">
      <c r="A387" s="58">
        <v>387</v>
      </c>
      <c r="B387" s="58">
        <v>387</v>
      </c>
      <c r="C387" s="58" t="s">
        <v>799</v>
      </c>
      <c r="D387" s="58" t="s">
        <v>187</v>
      </c>
      <c r="E387" s="58" t="s">
        <v>187</v>
      </c>
      <c r="F387" s="58" t="s">
        <v>800</v>
      </c>
      <c r="G387" s="58" t="s">
        <v>801</v>
      </c>
      <c r="H387" s="58" t="s">
        <v>199</v>
      </c>
      <c r="I387">
        <v>110000</v>
      </c>
      <c r="J387">
        <v>20000</v>
      </c>
      <c r="K387">
        <v>110000</v>
      </c>
      <c r="L387" s="74">
        <v>1.5189999999999999</v>
      </c>
      <c r="M387" s="85">
        <v>2</v>
      </c>
      <c r="N387" s="74">
        <v>0.13600000000000001</v>
      </c>
      <c r="O387">
        <v>2</v>
      </c>
      <c r="P387" s="84">
        <v>0.13600000000000001</v>
      </c>
      <c r="Q387" s="86">
        <v>4.2</v>
      </c>
      <c r="R387" s="85">
        <v>4.2</v>
      </c>
      <c r="S387" s="87">
        <v>1340080</v>
      </c>
      <c r="T387" s="1">
        <v>11</v>
      </c>
      <c r="U387" s="88">
        <v>319066.66666666663</v>
      </c>
      <c r="V387" s="59">
        <v>3.134141245298788</v>
      </c>
    </row>
    <row r="388" spans="1:22">
      <c r="A388" s="58">
        <v>388</v>
      </c>
      <c r="B388" s="58">
        <v>388</v>
      </c>
      <c r="C388" s="58" t="s">
        <v>802</v>
      </c>
      <c r="D388" s="58" t="s">
        <v>187</v>
      </c>
      <c r="E388" s="58" t="s">
        <v>187</v>
      </c>
      <c r="F388" s="58" t="s">
        <v>432</v>
      </c>
      <c r="G388" s="58" t="s">
        <v>433</v>
      </c>
      <c r="H388" s="58" t="s">
        <v>199</v>
      </c>
      <c r="I388">
        <v>110000</v>
      </c>
      <c r="L388" s="74">
        <v>2.0459999999999998</v>
      </c>
      <c r="M388" s="85">
        <v>3</v>
      </c>
      <c r="N388" s="74">
        <v>0.29199999999999998</v>
      </c>
      <c r="O388">
        <v>2</v>
      </c>
      <c r="P388" s="84">
        <v>0.29199999999999998</v>
      </c>
      <c r="Q388" s="86">
        <v>4.2</v>
      </c>
      <c r="R388" s="85">
        <v>4.2</v>
      </c>
      <c r="S388" s="87">
        <v>1574570</v>
      </c>
      <c r="T388" s="1">
        <v>7</v>
      </c>
      <c r="U388" s="88">
        <v>374897.61904761905</v>
      </c>
      <c r="V388" s="59">
        <v>2.6673949078161021</v>
      </c>
    </row>
    <row r="389" spans="1:22">
      <c r="A389" s="58">
        <v>389</v>
      </c>
      <c r="B389" s="58">
        <v>389</v>
      </c>
      <c r="C389" s="58" t="s">
        <v>803</v>
      </c>
      <c r="D389" s="58" t="s">
        <v>187</v>
      </c>
      <c r="E389" s="58" t="s">
        <v>187</v>
      </c>
      <c r="F389" s="58" t="s">
        <v>429</v>
      </c>
      <c r="G389" s="58" t="s">
        <v>430</v>
      </c>
      <c r="H389" s="58" t="s">
        <v>179</v>
      </c>
      <c r="I389">
        <v>38000</v>
      </c>
      <c r="J389">
        <v>38000</v>
      </c>
      <c r="K389" s="58" t="s">
        <v>185</v>
      </c>
      <c r="L389" s="74">
        <v>4.9450000000000003</v>
      </c>
      <c r="M389" s="85">
        <v>5</v>
      </c>
      <c r="N389" s="74">
        <v>0.28799999999999998</v>
      </c>
      <c r="O389">
        <v>2</v>
      </c>
      <c r="P389" s="84">
        <v>0.28799999999999998</v>
      </c>
      <c r="Q389" s="86">
        <v>4.2</v>
      </c>
      <c r="R389" s="85">
        <v>4.2</v>
      </c>
      <c r="S389" s="87">
        <v>699140</v>
      </c>
      <c r="T389" s="1">
        <v>4</v>
      </c>
      <c r="U389" s="88">
        <v>166461.90476190476</v>
      </c>
      <c r="V389" s="59">
        <v>6.0073804960379897</v>
      </c>
    </row>
    <row r="390" spans="1:22">
      <c r="A390" s="58">
        <v>390</v>
      </c>
      <c r="B390" s="58">
        <v>390</v>
      </c>
      <c r="C390" s="58" t="s">
        <v>804</v>
      </c>
      <c r="D390" s="58" t="s">
        <v>384</v>
      </c>
      <c r="E390" s="58" t="s">
        <v>384</v>
      </c>
      <c r="F390" s="58" t="s">
        <v>805</v>
      </c>
      <c r="G390" s="58" t="s">
        <v>806</v>
      </c>
      <c r="H390" s="58" t="s">
        <v>179</v>
      </c>
      <c r="I390">
        <v>38000</v>
      </c>
      <c r="J390">
        <v>20000</v>
      </c>
      <c r="K390">
        <v>38000</v>
      </c>
      <c r="L390" s="74">
        <v>2.0699999999999998</v>
      </c>
      <c r="M390" s="85">
        <v>3</v>
      </c>
      <c r="N390" s="74">
        <v>9.0999999999999998E-2</v>
      </c>
      <c r="O390">
        <v>2</v>
      </c>
      <c r="P390" s="84">
        <v>9.0999999999999998E-2</v>
      </c>
      <c r="Q390" s="86">
        <v>4.2</v>
      </c>
      <c r="R390" s="85">
        <v>4.2</v>
      </c>
      <c r="S390" s="87">
        <v>558600</v>
      </c>
      <c r="T390" s="1">
        <v>4</v>
      </c>
      <c r="U390" s="88">
        <v>133000</v>
      </c>
      <c r="V390" s="59">
        <v>7.518796992481203</v>
      </c>
    </row>
    <row r="391" spans="1:22">
      <c r="A391" s="58">
        <v>391</v>
      </c>
      <c r="B391" s="58">
        <v>391</v>
      </c>
      <c r="C391" s="58" t="s">
        <v>807</v>
      </c>
      <c r="D391" s="58" t="s">
        <v>176</v>
      </c>
      <c r="E391" s="58" t="s">
        <v>176</v>
      </c>
      <c r="F391" s="58" t="s">
        <v>222</v>
      </c>
      <c r="G391" s="58" t="s">
        <v>223</v>
      </c>
      <c r="H391" s="58" t="s">
        <v>179</v>
      </c>
      <c r="I391">
        <v>38000</v>
      </c>
      <c r="J391">
        <v>38000</v>
      </c>
      <c r="K391">
        <v>20000</v>
      </c>
      <c r="L391" s="74">
        <v>6.1449999999999996</v>
      </c>
      <c r="M391" s="85">
        <v>7</v>
      </c>
      <c r="N391" s="74">
        <v>9.4E-2</v>
      </c>
      <c r="O391">
        <v>2</v>
      </c>
      <c r="P391" s="84">
        <v>9.4E-2</v>
      </c>
      <c r="Q391" s="86">
        <v>4.2</v>
      </c>
      <c r="R391" s="85">
        <v>4.2</v>
      </c>
      <c r="S391" s="87">
        <v>839680</v>
      </c>
      <c r="T391" s="1">
        <v>4</v>
      </c>
      <c r="U391" s="88">
        <v>199923.80952380953</v>
      </c>
      <c r="V391" s="59">
        <v>5.0019054878048781</v>
      </c>
    </row>
    <row r="392" spans="1:22">
      <c r="A392" s="58">
        <v>392</v>
      </c>
      <c r="B392" s="58">
        <v>392</v>
      </c>
      <c r="C392" s="58" t="s">
        <v>808</v>
      </c>
      <c r="D392" s="58" t="s">
        <v>197</v>
      </c>
      <c r="E392" s="58" t="s">
        <v>197</v>
      </c>
      <c r="F392" s="58" t="s">
        <v>296</v>
      </c>
      <c r="G392" s="58" t="s">
        <v>297</v>
      </c>
      <c r="H392" s="58" t="s">
        <v>179</v>
      </c>
      <c r="I392">
        <v>38000</v>
      </c>
      <c r="J392">
        <v>38000</v>
      </c>
      <c r="K392" s="58" t="s">
        <v>185</v>
      </c>
      <c r="L392" s="74">
        <v>5.6680000000000001</v>
      </c>
      <c r="M392" s="85">
        <v>6</v>
      </c>
      <c r="N392" s="74">
        <v>0.09</v>
      </c>
      <c r="O392">
        <v>2</v>
      </c>
      <c r="P392" s="84">
        <v>0.09</v>
      </c>
      <c r="Q392" s="86">
        <v>4.2</v>
      </c>
      <c r="R392" s="85">
        <v>4.2</v>
      </c>
      <c r="S392" s="87">
        <v>769410</v>
      </c>
      <c r="T392" s="1">
        <v>4</v>
      </c>
      <c r="U392" s="88">
        <v>183192.85714285713</v>
      </c>
      <c r="V392" s="59">
        <v>5.4587281163488903</v>
      </c>
    </row>
    <row r="393" spans="1:22">
      <c r="A393" s="58">
        <v>393</v>
      </c>
      <c r="B393" s="58">
        <v>393</v>
      </c>
      <c r="C393" s="58" t="s">
        <v>809</v>
      </c>
      <c r="D393" s="58" t="s">
        <v>197</v>
      </c>
      <c r="E393" s="58" t="s">
        <v>197</v>
      </c>
      <c r="F393" s="58" t="s">
        <v>296</v>
      </c>
      <c r="G393" s="58" t="s">
        <v>297</v>
      </c>
      <c r="H393" s="58" t="s">
        <v>179</v>
      </c>
      <c r="I393">
        <v>38000</v>
      </c>
      <c r="J393">
        <v>38000</v>
      </c>
      <c r="K393" s="58" t="s">
        <v>185</v>
      </c>
      <c r="L393" s="74">
        <v>5.3849999999999998</v>
      </c>
      <c r="M393" s="85">
        <v>6</v>
      </c>
      <c r="N393" s="74">
        <v>0.192</v>
      </c>
      <c r="O393">
        <v>2</v>
      </c>
      <c r="P393" s="84">
        <v>0.192</v>
      </c>
      <c r="Q393" s="86">
        <v>4.2</v>
      </c>
      <c r="R393" s="85">
        <v>4.2</v>
      </c>
      <c r="S393" s="87">
        <v>769410</v>
      </c>
      <c r="T393" s="1">
        <v>4</v>
      </c>
      <c r="U393" s="88">
        <v>183192.85714285713</v>
      </c>
      <c r="V393" s="59">
        <v>5.4587281163488903</v>
      </c>
    </row>
    <row r="394" spans="1:22">
      <c r="A394" s="58">
        <v>394</v>
      </c>
      <c r="B394" s="58">
        <v>394</v>
      </c>
      <c r="C394" s="58" t="s">
        <v>810</v>
      </c>
      <c r="D394" s="58" t="s">
        <v>234</v>
      </c>
      <c r="E394" s="58" t="s">
        <v>234</v>
      </c>
      <c r="F394" s="58" t="s">
        <v>326</v>
      </c>
      <c r="G394" s="58" t="s">
        <v>327</v>
      </c>
      <c r="H394" s="58" t="s">
        <v>199</v>
      </c>
      <c r="I394">
        <v>110000</v>
      </c>
      <c r="J394">
        <v>110000</v>
      </c>
      <c r="K394">
        <v>38000</v>
      </c>
      <c r="L394" s="74">
        <v>3.407</v>
      </c>
      <c r="M394" s="85">
        <v>4</v>
      </c>
      <c r="N394" s="74">
        <v>0.14299999999999999</v>
      </c>
      <c r="O394">
        <v>2</v>
      </c>
      <c r="P394" s="84">
        <v>0.14299999999999999</v>
      </c>
      <c r="Q394" s="86">
        <v>4.2</v>
      </c>
      <c r="R394" s="85">
        <v>4.2</v>
      </c>
      <c r="S394" s="87">
        <v>1627270</v>
      </c>
      <c r="T394" s="1">
        <v>7</v>
      </c>
      <c r="U394" s="88">
        <v>387445.23809523811</v>
      </c>
      <c r="V394" s="59">
        <v>2.5810099123071155</v>
      </c>
    </row>
    <row r="395" spans="1:22">
      <c r="A395" s="58">
        <v>395</v>
      </c>
      <c r="B395" s="58">
        <v>395</v>
      </c>
      <c r="C395" s="58" t="s">
        <v>811</v>
      </c>
      <c r="D395" s="58" t="s">
        <v>234</v>
      </c>
      <c r="E395" s="58" t="s">
        <v>234</v>
      </c>
      <c r="F395" s="58" t="s">
        <v>235</v>
      </c>
      <c r="G395" s="58" t="s">
        <v>236</v>
      </c>
      <c r="H395" s="58" t="s">
        <v>179</v>
      </c>
      <c r="I395">
        <v>38000</v>
      </c>
      <c r="J395">
        <v>38000</v>
      </c>
      <c r="K395">
        <v>20000</v>
      </c>
      <c r="L395" s="74">
        <v>12.305</v>
      </c>
      <c r="M395" s="85">
        <v>13</v>
      </c>
      <c r="N395" s="74">
        <v>0.114</v>
      </c>
      <c r="O395">
        <v>2</v>
      </c>
      <c r="P395" s="84">
        <v>0.114</v>
      </c>
      <c r="Q395" s="86">
        <v>4.2</v>
      </c>
      <c r="R395" s="85">
        <v>4.2</v>
      </c>
      <c r="S395" s="87">
        <v>1545240</v>
      </c>
      <c r="T395" s="1">
        <v>1</v>
      </c>
      <c r="U395" s="88">
        <v>367914.28571428568</v>
      </c>
      <c r="V395" s="59">
        <v>2.7180243845616214</v>
      </c>
    </row>
    <row r="396" spans="1:22">
      <c r="A396" s="58">
        <v>396</v>
      </c>
      <c r="B396" s="58">
        <v>396</v>
      </c>
      <c r="C396" s="58" t="s">
        <v>812</v>
      </c>
      <c r="D396" s="58" t="s">
        <v>234</v>
      </c>
      <c r="E396" s="58" t="s">
        <v>234</v>
      </c>
      <c r="F396" s="58" t="s">
        <v>235</v>
      </c>
      <c r="G396" s="58" t="s">
        <v>236</v>
      </c>
      <c r="H396" s="58" t="s">
        <v>179</v>
      </c>
      <c r="I396">
        <v>38000</v>
      </c>
      <c r="J396">
        <v>38000</v>
      </c>
      <c r="K396">
        <v>20000</v>
      </c>
      <c r="L396" s="74">
        <v>6.6239999999999997</v>
      </c>
      <c r="M396" s="85">
        <v>7</v>
      </c>
      <c r="N396" s="74">
        <v>0.09</v>
      </c>
      <c r="O396">
        <v>2</v>
      </c>
      <c r="P396" s="84">
        <v>0.09</v>
      </c>
      <c r="Q396" s="86">
        <v>4.2</v>
      </c>
      <c r="R396" s="85">
        <v>4.2</v>
      </c>
      <c r="S396" s="87">
        <v>839680</v>
      </c>
      <c r="T396" s="1">
        <v>4</v>
      </c>
      <c r="U396" s="88">
        <v>199923.80952380953</v>
      </c>
      <c r="V396" s="59">
        <v>5.0019054878048781</v>
      </c>
    </row>
    <row r="397" spans="1:22">
      <c r="A397" s="58">
        <v>397</v>
      </c>
      <c r="B397" s="58">
        <v>397</v>
      </c>
      <c r="C397" s="58" t="s">
        <v>813</v>
      </c>
      <c r="D397" s="58" t="s">
        <v>234</v>
      </c>
      <c r="E397" s="58" t="s">
        <v>234</v>
      </c>
      <c r="F397" s="58" t="s">
        <v>630</v>
      </c>
      <c r="G397" s="58" t="s">
        <v>631</v>
      </c>
      <c r="H397" s="58" t="s">
        <v>179</v>
      </c>
      <c r="I397">
        <v>38000</v>
      </c>
      <c r="J397" s="58" t="s">
        <v>185</v>
      </c>
      <c r="K397">
        <v>38000</v>
      </c>
      <c r="L397" s="74">
        <v>7.282</v>
      </c>
      <c r="M397" s="85">
        <v>8</v>
      </c>
      <c r="N397" s="74">
        <v>0.14399999999999999</v>
      </c>
      <c r="O397">
        <v>2</v>
      </c>
      <c r="P397" s="84">
        <v>0.14399999999999999</v>
      </c>
      <c r="Q397" s="86">
        <v>4.2</v>
      </c>
      <c r="R397" s="85">
        <v>4.2</v>
      </c>
      <c r="S397" s="87">
        <v>909950</v>
      </c>
      <c r="T397" s="1">
        <v>4</v>
      </c>
      <c r="U397" s="88">
        <v>216654.76190476189</v>
      </c>
      <c r="V397" s="59">
        <v>4.6156382218803227</v>
      </c>
    </row>
    <row r="398" spans="1:22">
      <c r="A398" s="58">
        <v>398</v>
      </c>
      <c r="B398" s="58">
        <v>398</v>
      </c>
      <c r="C398" s="58" t="s">
        <v>814</v>
      </c>
      <c r="D398" s="58" t="s">
        <v>234</v>
      </c>
      <c r="E398" s="58" t="s">
        <v>234</v>
      </c>
      <c r="F398" s="58" t="s">
        <v>329</v>
      </c>
      <c r="G398" s="58" t="s">
        <v>330</v>
      </c>
      <c r="H398" s="58" t="s">
        <v>179</v>
      </c>
      <c r="I398">
        <v>38000</v>
      </c>
      <c r="J398">
        <v>38000</v>
      </c>
      <c r="K398" s="58" t="s">
        <v>185</v>
      </c>
      <c r="L398" s="74">
        <v>17.352</v>
      </c>
      <c r="M398" s="85">
        <v>18</v>
      </c>
      <c r="N398" s="74">
        <v>9.6000000000000002E-2</v>
      </c>
      <c r="O398">
        <v>2</v>
      </c>
      <c r="P398" s="84">
        <v>9.6000000000000002E-2</v>
      </c>
      <c r="Q398" s="86">
        <v>4.2</v>
      </c>
      <c r="R398" s="85">
        <v>4.2</v>
      </c>
      <c r="S398" s="87">
        <v>1808740</v>
      </c>
      <c r="T398" s="1">
        <v>1</v>
      </c>
      <c r="U398" s="88">
        <v>430652.38095238095</v>
      </c>
      <c r="V398" s="59">
        <v>2.3220584495284009</v>
      </c>
    </row>
    <row r="399" spans="1:22">
      <c r="A399" s="58">
        <v>399</v>
      </c>
      <c r="B399" s="58">
        <v>399</v>
      </c>
      <c r="C399" s="58" t="s">
        <v>815</v>
      </c>
      <c r="D399" s="58" t="s">
        <v>234</v>
      </c>
      <c r="E399" s="58" t="s">
        <v>234</v>
      </c>
      <c r="F399" s="58" t="s">
        <v>326</v>
      </c>
      <c r="G399" s="58" t="s">
        <v>327</v>
      </c>
      <c r="H399" s="58" t="s">
        <v>199</v>
      </c>
      <c r="I399">
        <v>110000</v>
      </c>
      <c r="J399">
        <v>110000</v>
      </c>
      <c r="K399">
        <v>38000</v>
      </c>
      <c r="L399" s="74">
        <v>21.42</v>
      </c>
      <c r="M399" s="85">
        <v>22</v>
      </c>
      <c r="N399" s="74">
        <v>9.9000000000000005E-2</v>
      </c>
      <c r="O399">
        <v>2</v>
      </c>
      <c r="P399" s="84">
        <v>9.9000000000000005E-2</v>
      </c>
      <c r="Q399" s="86">
        <v>4.2</v>
      </c>
      <c r="R399" s="85">
        <v>4.2</v>
      </c>
      <c r="S399" s="87">
        <v>2575870</v>
      </c>
      <c r="T399" s="1">
        <v>7</v>
      </c>
      <c r="U399" s="88">
        <v>613302.38095238095</v>
      </c>
      <c r="V399" s="59">
        <v>1.6305170680197369</v>
      </c>
    </row>
    <row r="400" spans="1:22">
      <c r="A400" s="58">
        <v>400</v>
      </c>
      <c r="B400" s="58">
        <v>400</v>
      </c>
      <c r="C400" s="58" t="s">
        <v>816</v>
      </c>
      <c r="D400" s="58" t="s">
        <v>234</v>
      </c>
      <c r="E400" s="58" t="s">
        <v>234</v>
      </c>
      <c r="F400" s="58" t="s">
        <v>329</v>
      </c>
      <c r="G400" s="58" t="s">
        <v>330</v>
      </c>
      <c r="H400" s="58" t="s">
        <v>179</v>
      </c>
      <c r="I400">
        <v>38000</v>
      </c>
      <c r="J400">
        <v>38000</v>
      </c>
      <c r="K400" s="58" t="s">
        <v>185</v>
      </c>
      <c r="L400" s="74">
        <v>7.4240000000000004</v>
      </c>
      <c r="M400" s="85">
        <v>8</v>
      </c>
      <c r="N400" s="74">
        <v>9.4E-2</v>
      </c>
      <c r="O400">
        <v>2</v>
      </c>
      <c r="P400" s="84">
        <v>9.4E-2</v>
      </c>
      <c r="Q400" s="86">
        <v>4.2</v>
      </c>
      <c r="R400" s="85">
        <v>4.2</v>
      </c>
      <c r="S400" s="87">
        <v>909950</v>
      </c>
      <c r="T400" s="1">
        <v>4</v>
      </c>
      <c r="U400" s="88">
        <v>216654.76190476189</v>
      </c>
      <c r="V400" s="59">
        <v>4.6156382218803227</v>
      </c>
    </row>
    <row r="401" spans="1:22">
      <c r="A401" s="58">
        <v>401</v>
      </c>
      <c r="B401" s="58">
        <v>401</v>
      </c>
      <c r="C401" s="58" t="s">
        <v>817</v>
      </c>
      <c r="D401" s="58" t="s">
        <v>346</v>
      </c>
      <c r="E401" s="58" t="s">
        <v>346</v>
      </c>
      <c r="F401" s="58" t="s">
        <v>347</v>
      </c>
      <c r="G401" s="58" t="s">
        <v>348</v>
      </c>
      <c r="H401" s="58" t="s">
        <v>199</v>
      </c>
      <c r="I401">
        <v>110000</v>
      </c>
      <c r="J401">
        <v>110000</v>
      </c>
      <c r="K401" s="58" t="s">
        <v>200</v>
      </c>
      <c r="L401" s="74">
        <v>8.3149999999999995</v>
      </c>
      <c r="M401" s="85">
        <v>9</v>
      </c>
      <c r="N401" s="74">
        <v>0.10100000000000001</v>
      </c>
      <c r="O401">
        <v>2</v>
      </c>
      <c r="P401" s="84">
        <v>0.10100000000000001</v>
      </c>
      <c r="Q401" s="86">
        <v>4.2</v>
      </c>
      <c r="R401" s="85">
        <v>4.2</v>
      </c>
      <c r="S401" s="87">
        <v>1890770</v>
      </c>
      <c r="T401" s="1">
        <v>7</v>
      </c>
      <c r="U401" s="88">
        <v>450183.33333333331</v>
      </c>
      <c r="V401" s="59">
        <v>2.2213172411239865</v>
      </c>
    </row>
    <row r="402" spans="1:22">
      <c r="A402" s="58">
        <v>402</v>
      </c>
      <c r="B402" s="58">
        <v>402</v>
      </c>
      <c r="C402" s="58" t="s">
        <v>818</v>
      </c>
      <c r="D402" s="58" t="s">
        <v>346</v>
      </c>
      <c r="E402" s="58" t="s">
        <v>346</v>
      </c>
      <c r="F402" s="58" t="s">
        <v>352</v>
      </c>
      <c r="G402" s="58" t="s">
        <v>353</v>
      </c>
      <c r="H402" s="58" t="s">
        <v>179</v>
      </c>
      <c r="I402">
        <v>38000</v>
      </c>
      <c r="J402">
        <v>38000</v>
      </c>
      <c r="K402">
        <v>10000</v>
      </c>
      <c r="L402" s="74">
        <v>9.4870000000000001</v>
      </c>
      <c r="M402" s="85">
        <v>10</v>
      </c>
      <c r="N402" s="74">
        <v>0.16500000000000001</v>
      </c>
      <c r="O402">
        <v>2</v>
      </c>
      <c r="P402" s="84">
        <v>0.16500000000000001</v>
      </c>
      <c r="Q402" s="86">
        <v>4.2</v>
      </c>
      <c r="R402" s="85">
        <v>4.2</v>
      </c>
      <c r="S402" s="87">
        <v>1387140</v>
      </c>
      <c r="T402" s="1">
        <v>1</v>
      </c>
      <c r="U402" s="88">
        <v>330271.42857142858</v>
      </c>
      <c r="V402" s="59">
        <v>3.0278126216531858</v>
      </c>
    </row>
    <row r="403" spans="1:22">
      <c r="A403" s="58">
        <v>403</v>
      </c>
      <c r="B403" s="58">
        <v>403</v>
      </c>
      <c r="C403" s="58" t="s">
        <v>819</v>
      </c>
      <c r="D403" s="58" t="s">
        <v>187</v>
      </c>
      <c r="E403" s="58" t="s">
        <v>187</v>
      </c>
      <c r="F403" s="58" t="s">
        <v>820</v>
      </c>
      <c r="G403" s="58" t="s">
        <v>821</v>
      </c>
      <c r="H403" s="58" t="s">
        <v>179</v>
      </c>
      <c r="I403">
        <v>38000</v>
      </c>
      <c r="J403">
        <v>20000</v>
      </c>
      <c r="K403">
        <v>38000</v>
      </c>
      <c r="L403" s="74">
        <v>6.0880000000000001</v>
      </c>
      <c r="M403" s="85">
        <v>7</v>
      </c>
      <c r="N403" s="74">
        <v>0.14399999999999999</v>
      </c>
      <c r="O403">
        <v>2</v>
      </c>
      <c r="P403" s="84">
        <v>0.14399999999999999</v>
      </c>
      <c r="Q403" s="86">
        <v>4.2</v>
      </c>
      <c r="R403" s="85">
        <v>4.2</v>
      </c>
      <c r="S403" s="87">
        <v>839680</v>
      </c>
      <c r="T403" s="1">
        <v>4</v>
      </c>
      <c r="U403" s="88">
        <v>199923.80952380953</v>
      </c>
      <c r="V403" s="59">
        <v>5.0019054878048781</v>
      </c>
    </row>
    <row r="404" spans="1:22">
      <c r="A404" s="58">
        <v>404</v>
      </c>
      <c r="B404" s="58">
        <v>404</v>
      </c>
      <c r="C404" s="58" t="s">
        <v>822</v>
      </c>
      <c r="D404" s="58" t="s">
        <v>187</v>
      </c>
      <c r="E404" s="58" t="s">
        <v>187</v>
      </c>
      <c r="F404" s="58" t="s">
        <v>823</v>
      </c>
      <c r="G404" s="58" t="s">
        <v>824</v>
      </c>
      <c r="H404" s="58" t="s">
        <v>179</v>
      </c>
      <c r="I404">
        <v>38000</v>
      </c>
      <c r="J404" s="58" t="s">
        <v>185</v>
      </c>
      <c r="K404">
        <v>38000</v>
      </c>
      <c r="L404" s="74">
        <v>1.1879999999999999</v>
      </c>
      <c r="M404" s="85">
        <v>2</v>
      </c>
      <c r="N404" s="74">
        <v>0.16900000000000001</v>
      </c>
      <c r="O404">
        <v>2</v>
      </c>
      <c r="P404" s="84">
        <v>0.16900000000000001</v>
      </c>
      <c r="Q404" s="86">
        <v>4.2</v>
      </c>
      <c r="R404" s="85">
        <v>4.2</v>
      </c>
      <c r="S404" s="87">
        <v>488330</v>
      </c>
      <c r="T404" s="1">
        <v>4</v>
      </c>
      <c r="U404" s="88">
        <v>116269.04761904762</v>
      </c>
      <c r="V404" s="59">
        <v>8.6007413019884087</v>
      </c>
    </row>
    <row r="405" spans="1:22">
      <c r="A405" s="58">
        <v>405</v>
      </c>
      <c r="B405" s="58">
        <v>405</v>
      </c>
      <c r="C405" s="58" t="s">
        <v>825</v>
      </c>
      <c r="D405" s="58" t="s">
        <v>187</v>
      </c>
      <c r="E405" s="58" t="s">
        <v>187</v>
      </c>
      <c r="F405" s="58" t="s">
        <v>365</v>
      </c>
      <c r="G405" s="58" t="s">
        <v>366</v>
      </c>
      <c r="H405" s="58" t="s">
        <v>179</v>
      </c>
      <c r="I405">
        <v>38000</v>
      </c>
      <c r="J405">
        <v>38000</v>
      </c>
      <c r="K405">
        <v>10000</v>
      </c>
      <c r="L405" s="74">
        <v>4.8840000000000003</v>
      </c>
      <c r="M405" s="85">
        <v>5</v>
      </c>
      <c r="N405" s="74">
        <v>9.4E-2</v>
      </c>
      <c r="O405">
        <v>2</v>
      </c>
      <c r="P405" s="84">
        <v>9.4E-2</v>
      </c>
      <c r="Q405" s="86">
        <v>4.2</v>
      </c>
      <c r="R405" s="85">
        <v>4.2</v>
      </c>
      <c r="S405" s="87">
        <v>699140</v>
      </c>
      <c r="T405" s="1">
        <v>4</v>
      </c>
      <c r="U405" s="88">
        <v>166461.90476190476</v>
      </c>
      <c r="V405" s="59">
        <v>6.0073804960379897</v>
      </c>
    </row>
    <row r="406" spans="1:22">
      <c r="A406" s="58">
        <v>406</v>
      </c>
      <c r="B406" s="58">
        <v>406</v>
      </c>
      <c r="C406" s="58" t="s">
        <v>826</v>
      </c>
      <c r="D406" s="58" t="s">
        <v>187</v>
      </c>
      <c r="E406" s="58" t="s">
        <v>187</v>
      </c>
      <c r="F406" s="58" t="s">
        <v>677</v>
      </c>
      <c r="G406" s="58" t="s">
        <v>678</v>
      </c>
      <c r="H406" s="58" t="s">
        <v>179</v>
      </c>
      <c r="I406">
        <v>38000</v>
      </c>
      <c r="J406" s="58" t="s">
        <v>185</v>
      </c>
      <c r="K406">
        <v>38000</v>
      </c>
      <c r="L406" s="74">
        <v>4.6340000000000003</v>
      </c>
      <c r="M406" s="85">
        <v>5</v>
      </c>
      <c r="N406" s="74">
        <v>0.129</v>
      </c>
      <c r="O406">
        <v>2</v>
      </c>
      <c r="P406" s="84">
        <v>0.129</v>
      </c>
      <c r="Q406" s="86">
        <v>4.2</v>
      </c>
      <c r="R406" s="85">
        <v>4.2</v>
      </c>
      <c r="S406" s="87">
        <v>699140</v>
      </c>
      <c r="T406" s="1">
        <v>4</v>
      </c>
      <c r="U406" s="88">
        <v>166461.90476190476</v>
      </c>
      <c r="V406" s="59">
        <v>6.0073804960379897</v>
      </c>
    </row>
    <row r="407" spans="1:22">
      <c r="A407" s="58">
        <v>407</v>
      </c>
      <c r="B407" s="58">
        <v>407</v>
      </c>
      <c r="C407" s="58" t="s">
        <v>827</v>
      </c>
      <c r="D407" s="58" t="s">
        <v>187</v>
      </c>
      <c r="E407" s="58" t="s">
        <v>187</v>
      </c>
      <c r="F407" s="58" t="s">
        <v>377</v>
      </c>
      <c r="H407" s="58" t="s">
        <v>179</v>
      </c>
      <c r="I407">
        <v>38000</v>
      </c>
      <c r="L407" s="74">
        <v>5.5869999999999997</v>
      </c>
      <c r="M407" s="85">
        <v>6</v>
      </c>
      <c r="N407" s="74">
        <v>0.12</v>
      </c>
      <c r="O407">
        <v>2</v>
      </c>
      <c r="P407" s="84">
        <v>0.12</v>
      </c>
      <c r="Q407" s="86">
        <v>4.2</v>
      </c>
      <c r="R407" s="85">
        <v>4.2</v>
      </c>
      <c r="S407" s="87">
        <v>769410</v>
      </c>
      <c r="T407" s="1">
        <v>4</v>
      </c>
      <c r="U407" s="88">
        <v>183192.85714285713</v>
      </c>
      <c r="V407" s="59">
        <v>5.4587281163488903</v>
      </c>
    </row>
    <row r="408" spans="1:22">
      <c r="A408" s="58">
        <v>408</v>
      </c>
      <c r="B408" s="58">
        <v>408</v>
      </c>
      <c r="C408" s="58" t="s">
        <v>828</v>
      </c>
      <c r="D408" s="58" t="s">
        <v>187</v>
      </c>
      <c r="E408" s="58" t="s">
        <v>187</v>
      </c>
      <c r="F408" s="58" t="s">
        <v>415</v>
      </c>
      <c r="G408" s="58" t="s">
        <v>416</v>
      </c>
      <c r="H408" s="58" t="s">
        <v>179</v>
      </c>
      <c r="I408">
        <v>38000</v>
      </c>
      <c r="J408">
        <v>38000</v>
      </c>
      <c r="K408" s="58" t="s">
        <v>185</v>
      </c>
      <c r="L408" s="74">
        <v>3.2869999999999999</v>
      </c>
      <c r="M408" s="85">
        <v>4</v>
      </c>
      <c r="N408" s="74">
        <v>0.33600000000000002</v>
      </c>
      <c r="O408">
        <v>2</v>
      </c>
      <c r="P408" s="84">
        <v>0.33600000000000002</v>
      </c>
      <c r="Q408" s="86">
        <v>4.2</v>
      </c>
      <c r="R408" s="85">
        <v>4.2</v>
      </c>
      <c r="S408" s="87">
        <v>628870</v>
      </c>
      <c r="T408" s="1">
        <v>4</v>
      </c>
      <c r="U408" s="88">
        <v>149730.95238095237</v>
      </c>
      <c r="V408" s="59">
        <v>6.6786458250512828</v>
      </c>
    </row>
    <row r="409" spans="1:22">
      <c r="A409" s="58">
        <v>409</v>
      </c>
      <c r="B409" s="58">
        <v>409</v>
      </c>
      <c r="C409" s="58" t="s">
        <v>829</v>
      </c>
      <c r="D409" s="58" t="s">
        <v>234</v>
      </c>
      <c r="E409" s="58" t="s">
        <v>234</v>
      </c>
      <c r="F409" s="58" t="s">
        <v>326</v>
      </c>
      <c r="G409" s="58" t="s">
        <v>327</v>
      </c>
      <c r="H409" s="58" t="s">
        <v>199</v>
      </c>
      <c r="I409">
        <v>110000</v>
      </c>
      <c r="J409">
        <v>110000</v>
      </c>
      <c r="K409">
        <v>38000</v>
      </c>
      <c r="L409" s="74">
        <v>4.9450000000000003</v>
      </c>
      <c r="M409" s="85">
        <v>5</v>
      </c>
      <c r="N409" s="74">
        <v>0.105</v>
      </c>
      <c r="O409">
        <v>2</v>
      </c>
      <c r="P409" s="84">
        <v>0.105</v>
      </c>
      <c r="Q409" s="86">
        <v>4.2</v>
      </c>
      <c r="R409" s="85">
        <v>4.2</v>
      </c>
      <c r="S409" s="87">
        <v>1679970</v>
      </c>
      <c r="T409" s="1">
        <v>7</v>
      </c>
      <c r="U409" s="88">
        <v>399992.8571428571</v>
      </c>
      <c r="V409" s="59">
        <v>2.5000446436543511</v>
      </c>
    </row>
    <row r="410" spans="1:22">
      <c r="A410" s="58">
        <v>410</v>
      </c>
      <c r="B410" s="58">
        <v>410</v>
      </c>
      <c r="C410" s="58" t="s">
        <v>830</v>
      </c>
      <c r="D410" s="58" t="s">
        <v>234</v>
      </c>
      <c r="E410" s="58" t="s">
        <v>234</v>
      </c>
      <c r="F410" s="58" t="s">
        <v>831</v>
      </c>
      <c r="H410" s="58" t="s">
        <v>179</v>
      </c>
      <c r="I410">
        <v>38000</v>
      </c>
      <c r="J410" s="58" t="s">
        <v>185</v>
      </c>
      <c r="K410">
        <v>38000</v>
      </c>
      <c r="L410" s="74">
        <v>1.4550000000000001</v>
      </c>
      <c r="M410" s="85">
        <v>2</v>
      </c>
      <c r="N410" s="74">
        <v>0.10100000000000001</v>
      </c>
      <c r="O410">
        <v>2</v>
      </c>
      <c r="P410" s="84">
        <v>0.10100000000000001</v>
      </c>
      <c r="Q410" s="86">
        <v>4.2</v>
      </c>
      <c r="R410" s="85">
        <v>4.2</v>
      </c>
      <c r="S410" s="87">
        <v>488330</v>
      </c>
      <c r="T410" s="1">
        <v>4</v>
      </c>
      <c r="U410" s="88">
        <v>116269.04761904762</v>
      </c>
      <c r="V410" s="59">
        <v>8.6007413019884087</v>
      </c>
    </row>
    <row r="411" spans="1:22">
      <c r="A411" s="58">
        <v>411</v>
      </c>
      <c r="B411" s="58">
        <v>411</v>
      </c>
      <c r="C411" s="58" t="s">
        <v>832</v>
      </c>
      <c r="D411" s="58" t="s">
        <v>380</v>
      </c>
      <c r="E411" s="58" t="s">
        <v>380</v>
      </c>
      <c r="F411" s="58" t="s">
        <v>386</v>
      </c>
      <c r="G411" s="58" t="s">
        <v>387</v>
      </c>
      <c r="H411" s="58" t="s">
        <v>179</v>
      </c>
      <c r="I411">
        <v>38000</v>
      </c>
      <c r="J411">
        <v>38000</v>
      </c>
      <c r="K411">
        <v>20000</v>
      </c>
      <c r="L411" s="74">
        <v>6.3860000000000001</v>
      </c>
      <c r="M411" s="85">
        <v>7</v>
      </c>
      <c r="N411" s="74">
        <v>9.9000000000000005E-2</v>
      </c>
      <c r="O411">
        <v>2</v>
      </c>
      <c r="P411" s="84">
        <v>9.9000000000000005E-2</v>
      </c>
      <c r="Q411" s="86">
        <v>4.2</v>
      </c>
      <c r="R411" s="85">
        <v>4.2</v>
      </c>
      <c r="S411" s="87">
        <v>839680</v>
      </c>
      <c r="T411" s="1">
        <v>4</v>
      </c>
      <c r="U411" s="88">
        <v>199923.80952380953</v>
      </c>
      <c r="V411" s="59">
        <v>5.0019054878048781</v>
      </c>
    </row>
    <row r="412" spans="1:22">
      <c r="A412" s="58">
        <v>412</v>
      </c>
      <c r="B412" s="58">
        <v>412</v>
      </c>
      <c r="C412" s="58" t="s">
        <v>833</v>
      </c>
      <c r="D412" s="58" t="s">
        <v>207</v>
      </c>
      <c r="E412" s="58" t="s">
        <v>207</v>
      </c>
      <c r="F412" s="58" t="s">
        <v>698</v>
      </c>
      <c r="G412" s="58" t="s">
        <v>699</v>
      </c>
      <c r="H412" s="58" t="s">
        <v>199</v>
      </c>
      <c r="I412">
        <v>110000</v>
      </c>
      <c r="J412" s="58" t="s">
        <v>185</v>
      </c>
      <c r="K412">
        <v>110000</v>
      </c>
      <c r="L412" s="74">
        <v>10.122</v>
      </c>
      <c r="M412" s="85">
        <v>11</v>
      </c>
      <c r="N412" s="74">
        <v>9.4E-2</v>
      </c>
      <c r="O412">
        <v>2</v>
      </c>
      <c r="P412" s="84">
        <v>9.4E-2</v>
      </c>
      <c r="Q412" s="86">
        <v>4.2</v>
      </c>
      <c r="R412" s="85">
        <v>4.2</v>
      </c>
      <c r="S412" s="87">
        <v>1996170</v>
      </c>
      <c r="T412" s="1">
        <v>7</v>
      </c>
      <c r="U412" s="88">
        <v>475278.57142857142</v>
      </c>
      <c r="V412" s="59">
        <v>2.1040292159485414</v>
      </c>
    </row>
    <row r="413" spans="1:22">
      <c r="A413" s="58">
        <v>413</v>
      </c>
      <c r="B413" s="58">
        <v>413</v>
      </c>
      <c r="C413" s="58" t="s">
        <v>834</v>
      </c>
      <c r="D413" s="58" t="s">
        <v>207</v>
      </c>
      <c r="E413" s="58" t="s">
        <v>207</v>
      </c>
      <c r="F413" s="58" t="s">
        <v>698</v>
      </c>
      <c r="G413" s="58" t="s">
        <v>699</v>
      </c>
      <c r="H413" s="58" t="s">
        <v>199</v>
      </c>
      <c r="I413">
        <v>110000</v>
      </c>
      <c r="J413" s="58" t="s">
        <v>185</v>
      </c>
      <c r="K413">
        <v>110000</v>
      </c>
      <c r="L413" s="74">
        <v>10.942</v>
      </c>
      <c r="M413" s="85">
        <v>11</v>
      </c>
      <c r="N413" s="74">
        <v>0.13200000000000001</v>
      </c>
      <c r="O413">
        <v>2</v>
      </c>
      <c r="P413" s="84">
        <v>0.13200000000000001</v>
      </c>
      <c r="Q413" s="86">
        <v>4.2</v>
      </c>
      <c r="R413" s="85">
        <v>4.2</v>
      </c>
      <c r="S413" s="87">
        <v>1996170</v>
      </c>
      <c r="T413" s="1">
        <v>7</v>
      </c>
      <c r="U413" s="88">
        <v>475278.57142857142</v>
      </c>
      <c r="V413" s="59">
        <v>2.1040292159485414</v>
      </c>
    </row>
    <row r="414" spans="1:22">
      <c r="A414" s="58">
        <v>414</v>
      </c>
      <c r="B414" s="58">
        <v>414</v>
      </c>
      <c r="C414" s="58" t="s">
        <v>835</v>
      </c>
      <c r="D414" s="58" t="s">
        <v>207</v>
      </c>
      <c r="E414" s="58" t="s">
        <v>207</v>
      </c>
      <c r="F414" s="58" t="s">
        <v>698</v>
      </c>
      <c r="G414" s="58" t="s">
        <v>699</v>
      </c>
      <c r="H414" s="58" t="s">
        <v>199</v>
      </c>
      <c r="I414">
        <v>110000</v>
      </c>
      <c r="J414" s="58" t="s">
        <v>185</v>
      </c>
      <c r="K414">
        <v>110000</v>
      </c>
      <c r="L414" s="74">
        <v>8.5779999999999994</v>
      </c>
      <c r="M414" s="85">
        <v>9</v>
      </c>
      <c r="N414" s="74">
        <v>0.14499999999999999</v>
      </c>
      <c r="O414">
        <v>2</v>
      </c>
      <c r="P414" s="84">
        <v>0.14499999999999999</v>
      </c>
      <c r="Q414" s="86">
        <v>4.2</v>
      </c>
      <c r="R414" s="85">
        <v>4.2</v>
      </c>
      <c r="S414" s="87">
        <v>1890770</v>
      </c>
      <c r="T414" s="1">
        <v>7</v>
      </c>
      <c r="U414" s="88">
        <v>450183.33333333331</v>
      </c>
      <c r="V414" s="59">
        <v>2.2213172411239865</v>
      </c>
    </row>
    <row r="415" spans="1:22">
      <c r="A415" s="58">
        <v>415</v>
      </c>
      <c r="B415" s="58">
        <v>415</v>
      </c>
      <c r="C415" s="58" t="s">
        <v>836</v>
      </c>
      <c r="D415" s="58" t="s">
        <v>202</v>
      </c>
      <c r="E415" s="58" t="s">
        <v>202</v>
      </c>
      <c r="F415" s="58" t="s">
        <v>398</v>
      </c>
      <c r="G415" s="58" t="s">
        <v>399</v>
      </c>
      <c r="H415" s="58" t="s">
        <v>179</v>
      </c>
      <c r="I415">
        <v>38000</v>
      </c>
      <c r="J415">
        <v>38000</v>
      </c>
      <c r="K415">
        <v>10000</v>
      </c>
      <c r="L415" s="74">
        <v>7.02</v>
      </c>
      <c r="M415" s="85">
        <v>8</v>
      </c>
      <c r="N415" s="74">
        <v>0.27200000000000002</v>
      </c>
      <c r="O415">
        <v>2</v>
      </c>
      <c r="P415" s="84">
        <v>0.27200000000000002</v>
      </c>
      <c r="Q415" s="86">
        <v>4.2</v>
      </c>
      <c r="R415" s="85">
        <v>4.2</v>
      </c>
      <c r="S415" s="87">
        <v>909950</v>
      </c>
      <c r="T415" s="1">
        <v>4</v>
      </c>
      <c r="U415" s="88">
        <v>216654.76190476189</v>
      </c>
      <c r="V415" s="59">
        <v>4.6156382218803227</v>
      </c>
    </row>
    <row r="416" spans="1:22">
      <c r="A416" s="58">
        <v>416</v>
      </c>
      <c r="B416" s="58">
        <v>416</v>
      </c>
      <c r="C416" s="58" t="s">
        <v>837</v>
      </c>
      <c r="D416" s="58" t="s">
        <v>207</v>
      </c>
      <c r="E416" s="58" t="s">
        <v>207</v>
      </c>
      <c r="F416" s="58" t="s">
        <v>208</v>
      </c>
      <c r="G416" s="58" t="s">
        <v>209</v>
      </c>
      <c r="H416" s="58" t="s">
        <v>199</v>
      </c>
      <c r="I416">
        <v>110000</v>
      </c>
      <c r="J416">
        <v>110000</v>
      </c>
      <c r="K416">
        <v>38000</v>
      </c>
      <c r="L416" s="74">
        <v>7.03</v>
      </c>
      <c r="M416" s="85">
        <v>8</v>
      </c>
      <c r="N416" s="74">
        <v>0.156</v>
      </c>
      <c r="O416">
        <v>2</v>
      </c>
      <c r="P416" s="84">
        <v>0.156</v>
      </c>
      <c r="Q416" s="86">
        <v>4.2</v>
      </c>
      <c r="R416" s="85">
        <v>4.2</v>
      </c>
      <c r="S416" s="87">
        <v>1838070</v>
      </c>
      <c r="T416" s="1">
        <v>7</v>
      </c>
      <c r="U416" s="88">
        <v>437635.71428571426</v>
      </c>
      <c r="V416" s="59">
        <v>2.2850054676916547</v>
      </c>
    </row>
    <row r="417" spans="1:22">
      <c r="A417" s="58">
        <v>417</v>
      </c>
      <c r="B417" s="58">
        <v>417</v>
      </c>
      <c r="C417" s="58" t="s">
        <v>838</v>
      </c>
      <c r="D417" s="58" t="s">
        <v>207</v>
      </c>
      <c r="E417" s="58" t="s">
        <v>207</v>
      </c>
      <c r="F417" s="58" t="s">
        <v>393</v>
      </c>
      <c r="G417" s="58" t="s">
        <v>394</v>
      </c>
      <c r="H417" s="58" t="s">
        <v>179</v>
      </c>
      <c r="I417">
        <v>38000</v>
      </c>
      <c r="J417">
        <v>38000</v>
      </c>
      <c r="K417" s="58" t="s">
        <v>185</v>
      </c>
      <c r="L417" s="74">
        <v>2.9780000000000002</v>
      </c>
      <c r="M417" s="85">
        <v>3</v>
      </c>
      <c r="N417" s="74">
        <v>0.152</v>
      </c>
      <c r="O417">
        <v>2</v>
      </c>
      <c r="P417" s="84">
        <v>0.152</v>
      </c>
      <c r="Q417" s="86">
        <v>4.2</v>
      </c>
      <c r="R417" s="85">
        <v>4.2</v>
      </c>
      <c r="S417" s="87">
        <v>558600</v>
      </c>
      <c r="T417" s="1">
        <v>4</v>
      </c>
      <c r="U417" s="88">
        <v>133000</v>
      </c>
      <c r="V417" s="59">
        <v>7.518796992481203</v>
      </c>
    </row>
    <row r="418" spans="1:22">
      <c r="A418" s="58">
        <v>418</v>
      </c>
      <c r="B418" s="58">
        <v>418</v>
      </c>
      <c r="C418" s="58" t="s">
        <v>839</v>
      </c>
      <c r="D418" s="58" t="s">
        <v>215</v>
      </c>
      <c r="E418" s="58" t="s">
        <v>215</v>
      </c>
      <c r="F418" s="58" t="s">
        <v>840</v>
      </c>
      <c r="G418" s="58" t="s">
        <v>841</v>
      </c>
      <c r="H418" s="58" t="s">
        <v>199</v>
      </c>
      <c r="I418">
        <v>110000</v>
      </c>
      <c r="J418" s="58" t="s">
        <v>185</v>
      </c>
      <c r="K418">
        <v>110000</v>
      </c>
      <c r="L418" s="74">
        <v>1.5680000000000001</v>
      </c>
      <c r="M418" s="85">
        <v>2</v>
      </c>
      <c r="N418" s="74">
        <v>0.247</v>
      </c>
      <c r="O418">
        <v>2</v>
      </c>
      <c r="P418" s="84">
        <v>0.247</v>
      </c>
      <c r="Q418" s="86">
        <v>4.2</v>
      </c>
      <c r="R418" s="85">
        <v>4.2</v>
      </c>
      <c r="S418" s="87">
        <v>1340080</v>
      </c>
      <c r="T418" s="1">
        <v>11</v>
      </c>
      <c r="U418" s="88">
        <v>319066.66666666663</v>
      </c>
      <c r="V418" s="59">
        <v>3.134141245298788</v>
      </c>
    </row>
    <row r="419" spans="1:22">
      <c r="A419" s="58">
        <v>419</v>
      </c>
      <c r="B419" s="58">
        <v>419</v>
      </c>
      <c r="C419" s="58" t="s">
        <v>842</v>
      </c>
      <c r="D419" s="58" t="s">
        <v>215</v>
      </c>
      <c r="E419" s="58" t="s">
        <v>215</v>
      </c>
      <c r="F419" s="58" t="s">
        <v>719</v>
      </c>
      <c r="G419" s="58" t="s">
        <v>720</v>
      </c>
      <c r="H419" s="58" t="s">
        <v>199</v>
      </c>
      <c r="I419">
        <v>110000</v>
      </c>
      <c r="J419">
        <v>38000</v>
      </c>
      <c r="K419">
        <v>110000</v>
      </c>
      <c r="L419" s="74">
        <v>3.66</v>
      </c>
      <c r="M419" s="85">
        <v>4</v>
      </c>
      <c r="N419" s="74">
        <v>0.13700000000000001</v>
      </c>
      <c r="O419">
        <v>2</v>
      </c>
      <c r="P419" s="84">
        <v>0.13700000000000001</v>
      </c>
      <c r="Q419" s="86">
        <v>4.2</v>
      </c>
      <c r="R419" s="85">
        <v>4.2</v>
      </c>
      <c r="S419" s="87">
        <v>1627270</v>
      </c>
      <c r="T419" s="1">
        <v>7</v>
      </c>
      <c r="U419" s="88">
        <v>387445.23809523811</v>
      </c>
      <c r="V419" s="59">
        <v>2.5810099123071155</v>
      </c>
    </row>
    <row r="420" spans="1:22">
      <c r="A420" s="58">
        <v>420</v>
      </c>
      <c r="B420" s="58">
        <v>420</v>
      </c>
      <c r="C420" s="58" t="s">
        <v>843</v>
      </c>
      <c r="D420" s="58" t="s">
        <v>215</v>
      </c>
      <c r="E420" s="58" t="s">
        <v>215</v>
      </c>
      <c r="F420" s="58" t="s">
        <v>724</v>
      </c>
      <c r="G420" s="58" t="s">
        <v>725</v>
      </c>
      <c r="H420" s="58" t="s">
        <v>179</v>
      </c>
      <c r="I420">
        <v>38000</v>
      </c>
      <c r="J420" s="58" t="s">
        <v>185</v>
      </c>
      <c r="K420">
        <v>38000</v>
      </c>
      <c r="L420" s="74">
        <v>5.7869999999999999</v>
      </c>
      <c r="M420" s="85">
        <v>6</v>
      </c>
      <c r="N420" s="74">
        <v>9.0999999999999998E-2</v>
      </c>
      <c r="O420">
        <v>2</v>
      </c>
      <c r="P420" s="84">
        <v>9.0999999999999998E-2</v>
      </c>
      <c r="Q420" s="86">
        <v>4.2</v>
      </c>
      <c r="R420" s="85">
        <v>4.2</v>
      </c>
      <c r="S420" s="87">
        <v>769410</v>
      </c>
      <c r="T420" s="1">
        <v>4</v>
      </c>
      <c r="U420" s="88">
        <v>183192.85714285713</v>
      </c>
      <c r="V420" s="59">
        <v>5.4587281163488903</v>
      </c>
    </row>
    <row r="421" spans="1:22">
      <c r="A421" s="58">
        <v>421</v>
      </c>
      <c r="B421" s="58">
        <v>421</v>
      </c>
      <c r="C421" s="58" t="s">
        <v>844</v>
      </c>
      <c r="D421" s="58" t="s">
        <v>215</v>
      </c>
      <c r="E421" s="58" t="s">
        <v>215</v>
      </c>
      <c r="F421" s="58" t="s">
        <v>845</v>
      </c>
      <c r="G421" s="58" t="s">
        <v>846</v>
      </c>
      <c r="H421" s="58" t="s">
        <v>199</v>
      </c>
      <c r="I421">
        <v>110000</v>
      </c>
      <c r="L421" s="74">
        <v>3.7309999999999999</v>
      </c>
      <c r="M421" s="85">
        <v>4</v>
      </c>
      <c r="N421" s="74">
        <v>0.13600000000000001</v>
      </c>
      <c r="O421">
        <v>2</v>
      </c>
      <c r="P421" s="84">
        <v>0.13600000000000001</v>
      </c>
      <c r="Q421" s="86">
        <v>4.2</v>
      </c>
      <c r="R421" s="85">
        <v>4.2</v>
      </c>
      <c r="S421" s="87">
        <v>1627270</v>
      </c>
      <c r="T421" s="1">
        <v>7</v>
      </c>
      <c r="U421" s="88">
        <v>387445.23809523811</v>
      </c>
      <c r="V421" s="59">
        <v>2.5810099123071155</v>
      </c>
    </row>
    <row r="422" spans="1:22">
      <c r="A422" s="58">
        <v>422</v>
      </c>
      <c r="B422" s="58">
        <v>422</v>
      </c>
      <c r="C422" s="58" t="s">
        <v>847</v>
      </c>
      <c r="D422" s="58" t="s">
        <v>775</v>
      </c>
      <c r="E422" s="58" t="s">
        <v>775</v>
      </c>
      <c r="F422" s="58" t="s">
        <v>848</v>
      </c>
      <c r="G422" s="58" t="s">
        <v>849</v>
      </c>
      <c r="H422" s="58" t="s">
        <v>179</v>
      </c>
      <c r="I422">
        <v>38000</v>
      </c>
      <c r="J422">
        <v>38000</v>
      </c>
      <c r="K422" s="58" t="s">
        <v>185</v>
      </c>
      <c r="L422" s="74">
        <v>4.6609999999999996</v>
      </c>
      <c r="M422" s="85">
        <v>5</v>
      </c>
      <c r="N422" s="74">
        <v>0.17799999999999999</v>
      </c>
      <c r="O422">
        <v>2</v>
      </c>
      <c r="P422" s="84">
        <v>0.17799999999999999</v>
      </c>
      <c r="Q422" s="86">
        <v>4.2</v>
      </c>
      <c r="R422" s="85">
        <v>4.2</v>
      </c>
      <c r="S422" s="87">
        <v>699140</v>
      </c>
      <c r="T422" s="1">
        <v>4</v>
      </c>
      <c r="U422" s="88">
        <v>166461.90476190476</v>
      </c>
      <c r="V422" s="59">
        <v>6.0073804960379897</v>
      </c>
    </row>
    <row r="423" spans="1:22">
      <c r="A423" s="58">
        <v>423</v>
      </c>
      <c r="B423" s="58">
        <v>423</v>
      </c>
      <c r="C423" s="58" t="s">
        <v>850</v>
      </c>
      <c r="D423" s="58" t="s">
        <v>187</v>
      </c>
      <c r="E423" s="58" t="s">
        <v>187</v>
      </c>
      <c r="F423" s="58" t="s">
        <v>359</v>
      </c>
      <c r="G423" s="58" t="s">
        <v>360</v>
      </c>
      <c r="H423" s="58" t="s">
        <v>179</v>
      </c>
      <c r="I423">
        <v>38000</v>
      </c>
      <c r="J423" s="58" t="s">
        <v>185</v>
      </c>
      <c r="K423">
        <v>38000</v>
      </c>
      <c r="L423" s="74">
        <v>1.3240000000000001</v>
      </c>
      <c r="M423" s="85">
        <v>2</v>
      </c>
      <c r="N423" s="74">
        <v>0.127</v>
      </c>
      <c r="O423">
        <v>2</v>
      </c>
      <c r="P423" s="84">
        <v>0.127</v>
      </c>
      <c r="Q423" s="86">
        <v>4.2</v>
      </c>
      <c r="R423" s="85">
        <v>4.2</v>
      </c>
      <c r="S423" s="87">
        <v>488330</v>
      </c>
      <c r="T423" s="1">
        <v>4</v>
      </c>
      <c r="U423" s="88">
        <v>116269.04761904762</v>
      </c>
      <c r="V423" s="59">
        <v>8.6007413019884087</v>
      </c>
    </row>
    <row r="424" spans="1:22">
      <c r="A424" s="58">
        <v>424</v>
      </c>
      <c r="B424" s="58">
        <v>424</v>
      </c>
      <c r="C424" s="58" t="s">
        <v>851</v>
      </c>
      <c r="D424" s="58" t="s">
        <v>852</v>
      </c>
      <c r="E424" s="58" t="s">
        <v>852</v>
      </c>
      <c r="F424" s="58" t="s">
        <v>853</v>
      </c>
      <c r="G424" s="58" t="s">
        <v>854</v>
      </c>
      <c r="H424" s="58" t="s">
        <v>179</v>
      </c>
      <c r="I424">
        <v>38000</v>
      </c>
      <c r="J424" s="58" t="s">
        <v>185</v>
      </c>
      <c r="K424">
        <v>38000</v>
      </c>
      <c r="L424" s="74">
        <v>1.345</v>
      </c>
      <c r="M424" s="85">
        <v>2</v>
      </c>
      <c r="N424" s="74">
        <v>0.108</v>
      </c>
      <c r="O424">
        <v>2</v>
      </c>
      <c r="P424" s="84">
        <v>0.108</v>
      </c>
      <c r="Q424" s="86">
        <v>4.2</v>
      </c>
      <c r="R424" s="85">
        <v>4.2</v>
      </c>
      <c r="S424" s="87">
        <v>488330</v>
      </c>
      <c r="T424" s="1">
        <v>4</v>
      </c>
      <c r="U424" s="88">
        <v>116269.04761904762</v>
      </c>
      <c r="V424" s="59">
        <v>8.6007413019884087</v>
      </c>
    </row>
    <row r="425" spans="1:22">
      <c r="A425" s="58">
        <v>425</v>
      </c>
      <c r="B425" s="58">
        <v>425</v>
      </c>
      <c r="C425" s="58" t="s">
        <v>855</v>
      </c>
      <c r="D425" s="58" t="s">
        <v>187</v>
      </c>
      <c r="E425" s="58" t="s">
        <v>187</v>
      </c>
      <c r="F425" s="58" t="s">
        <v>752</v>
      </c>
      <c r="G425" s="58" t="s">
        <v>753</v>
      </c>
      <c r="H425" s="58" t="s">
        <v>199</v>
      </c>
      <c r="I425">
        <v>110000</v>
      </c>
      <c r="J425" s="58" t="s">
        <v>185</v>
      </c>
      <c r="K425">
        <v>110000</v>
      </c>
      <c r="L425" s="74">
        <v>2.274</v>
      </c>
      <c r="M425" s="85">
        <v>3</v>
      </c>
      <c r="N425" s="74">
        <v>0.189</v>
      </c>
      <c r="O425">
        <v>2</v>
      </c>
      <c r="P425" s="84">
        <v>0.189</v>
      </c>
      <c r="Q425" s="86">
        <v>4.2</v>
      </c>
      <c r="R425" s="85">
        <v>4.2</v>
      </c>
      <c r="S425" s="87">
        <v>1574570</v>
      </c>
      <c r="T425" s="1">
        <v>7</v>
      </c>
      <c r="U425" s="88">
        <v>374897.61904761905</v>
      </c>
      <c r="V425" s="59">
        <v>2.6673949078161021</v>
      </c>
    </row>
    <row r="426" spans="1:22">
      <c r="A426" s="58">
        <v>426</v>
      </c>
      <c r="B426" s="58">
        <v>426</v>
      </c>
      <c r="C426" s="58" t="s">
        <v>856</v>
      </c>
      <c r="D426" s="58" t="s">
        <v>187</v>
      </c>
      <c r="E426" s="58" t="s">
        <v>187</v>
      </c>
      <c r="F426" s="58" t="s">
        <v>752</v>
      </c>
      <c r="G426" s="58" t="s">
        <v>753</v>
      </c>
      <c r="H426" s="58" t="s">
        <v>199</v>
      </c>
      <c r="I426">
        <v>110000</v>
      </c>
      <c r="J426" s="58" t="s">
        <v>185</v>
      </c>
      <c r="K426">
        <v>110000</v>
      </c>
      <c r="L426" s="74">
        <v>9.9030000000000005</v>
      </c>
      <c r="M426" s="85">
        <v>10</v>
      </c>
      <c r="N426" s="74">
        <v>0.224</v>
      </c>
      <c r="O426">
        <v>2</v>
      </c>
      <c r="P426" s="84">
        <v>0.224</v>
      </c>
      <c r="Q426" s="86">
        <v>4.2</v>
      </c>
      <c r="R426" s="85">
        <v>4.2</v>
      </c>
      <c r="S426" s="87">
        <v>1943470</v>
      </c>
      <c r="T426" s="1">
        <v>7</v>
      </c>
      <c r="U426" s="88">
        <v>462730.95238095237</v>
      </c>
      <c r="V426" s="59">
        <v>2.1610830113148132</v>
      </c>
    </row>
    <row r="427" spans="1:22">
      <c r="A427" s="58">
        <v>427</v>
      </c>
      <c r="B427" s="58">
        <v>427</v>
      </c>
      <c r="C427" s="58" t="s">
        <v>857</v>
      </c>
      <c r="D427" s="58" t="s">
        <v>182</v>
      </c>
      <c r="E427" s="58" t="s">
        <v>182</v>
      </c>
      <c r="F427" s="58" t="s">
        <v>440</v>
      </c>
      <c r="G427" s="58" t="s">
        <v>441</v>
      </c>
      <c r="H427" s="58" t="s">
        <v>199</v>
      </c>
      <c r="I427">
        <v>110000</v>
      </c>
      <c r="L427" s="74">
        <v>8.4670000000000005</v>
      </c>
      <c r="M427" s="85">
        <v>9</v>
      </c>
      <c r="N427" s="74">
        <v>0.16600000000000001</v>
      </c>
      <c r="O427">
        <v>2</v>
      </c>
      <c r="P427" s="84">
        <v>0.16600000000000001</v>
      </c>
      <c r="Q427" s="86">
        <v>4.2</v>
      </c>
      <c r="R427" s="85">
        <v>4.2</v>
      </c>
      <c r="S427" s="87">
        <v>1890770</v>
      </c>
      <c r="T427" s="1">
        <v>7</v>
      </c>
      <c r="U427" s="88">
        <v>450183.33333333331</v>
      </c>
      <c r="V427" s="59">
        <v>2.2213172411239865</v>
      </c>
    </row>
    <row r="428" spans="1:22">
      <c r="A428" s="58">
        <v>428</v>
      </c>
      <c r="B428" s="58">
        <v>428</v>
      </c>
      <c r="C428" s="58" t="s">
        <v>858</v>
      </c>
      <c r="D428" s="58" t="s">
        <v>187</v>
      </c>
      <c r="E428" s="58" t="s">
        <v>187</v>
      </c>
      <c r="F428" s="58" t="s">
        <v>859</v>
      </c>
      <c r="G428" s="58" t="s">
        <v>860</v>
      </c>
      <c r="H428" s="58" t="s">
        <v>179</v>
      </c>
      <c r="I428">
        <v>38000</v>
      </c>
      <c r="J428">
        <v>38000</v>
      </c>
      <c r="K428" s="58" t="s">
        <v>185</v>
      </c>
      <c r="L428" s="74">
        <v>3.52</v>
      </c>
      <c r="M428" s="85">
        <v>4</v>
      </c>
      <c r="N428" s="74">
        <v>0.17</v>
      </c>
      <c r="O428">
        <v>2</v>
      </c>
      <c r="P428" s="84">
        <v>0.17</v>
      </c>
      <c r="Q428" s="86">
        <v>4.2</v>
      </c>
      <c r="R428" s="85">
        <v>4.2</v>
      </c>
      <c r="S428" s="87">
        <v>628870</v>
      </c>
      <c r="T428" s="1">
        <v>4</v>
      </c>
      <c r="U428" s="88">
        <v>149730.95238095237</v>
      </c>
      <c r="V428" s="59">
        <v>6.6786458250512828</v>
      </c>
    </row>
    <row r="429" spans="1:22">
      <c r="A429" s="58">
        <v>429</v>
      </c>
      <c r="B429" s="58">
        <v>429</v>
      </c>
      <c r="C429" s="58" t="s">
        <v>861</v>
      </c>
      <c r="D429" s="58" t="s">
        <v>176</v>
      </c>
      <c r="E429" s="58" t="s">
        <v>176</v>
      </c>
      <c r="F429" s="58" t="s">
        <v>177</v>
      </c>
      <c r="G429" s="58" t="s">
        <v>178</v>
      </c>
      <c r="H429" s="58" t="s">
        <v>179</v>
      </c>
      <c r="I429">
        <v>38000</v>
      </c>
      <c r="J429">
        <v>38000</v>
      </c>
      <c r="K429">
        <v>20000</v>
      </c>
      <c r="L429" s="74">
        <v>7.1260000000000003</v>
      </c>
      <c r="M429" s="85">
        <v>8</v>
      </c>
      <c r="N429" s="74">
        <v>0.224</v>
      </c>
      <c r="O429">
        <v>2</v>
      </c>
      <c r="P429" s="84">
        <v>0.224</v>
      </c>
      <c r="Q429" s="86">
        <v>4.2</v>
      </c>
      <c r="R429" s="85">
        <v>4.2</v>
      </c>
      <c r="S429" s="87">
        <v>909950</v>
      </c>
      <c r="T429" s="1">
        <v>4</v>
      </c>
      <c r="U429" s="88">
        <v>216654.76190476189</v>
      </c>
      <c r="V429" s="59">
        <v>4.6156382218803227</v>
      </c>
    </row>
    <row r="430" spans="1:22">
      <c r="A430" s="58">
        <v>430</v>
      </c>
      <c r="B430" s="58">
        <v>430</v>
      </c>
      <c r="C430" s="58" t="s">
        <v>862</v>
      </c>
      <c r="D430" s="58" t="s">
        <v>410</v>
      </c>
      <c r="E430" s="58" t="s">
        <v>410</v>
      </c>
      <c r="F430" s="58" t="s">
        <v>863</v>
      </c>
      <c r="G430" s="58" t="s">
        <v>864</v>
      </c>
      <c r="H430" s="58" t="s">
        <v>179</v>
      </c>
      <c r="I430">
        <v>38000</v>
      </c>
      <c r="J430">
        <v>38000</v>
      </c>
      <c r="K430" s="58" t="s">
        <v>185</v>
      </c>
      <c r="L430" s="74">
        <v>8.4440000000000008</v>
      </c>
      <c r="M430" s="85">
        <v>9</v>
      </c>
      <c r="N430" s="74">
        <v>0.104</v>
      </c>
      <c r="O430">
        <v>2</v>
      </c>
      <c r="P430" s="84">
        <v>0.104</v>
      </c>
      <c r="Q430" s="86">
        <v>4.2</v>
      </c>
      <c r="R430" s="85">
        <v>4.2</v>
      </c>
      <c r="S430" s="87">
        <v>1334440</v>
      </c>
      <c r="T430" s="1">
        <v>1</v>
      </c>
      <c r="U430" s="88">
        <v>317723.80952380953</v>
      </c>
      <c r="V430" s="59">
        <v>3.1473876682353645</v>
      </c>
    </row>
    <row r="431" spans="1:22">
      <c r="A431" s="58">
        <v>431</v>
      </c>
      <c r="B431" s="58">
        <v>431</v>
      </c>
      <c r="C431" s="58" t="s">
        <v>865</v>
      </c>
      <c r="D431" s="58" t="s">
        <v>384</v>
      </c>
      <c r="E431" s="58" t="s">
        <v>384</v>
      </c>
      <c r="F431" s="58" t="s">
        <v>866</v>
      </c>
      <c r="G431" s="58" t="s">
        <v>867</v>
      </c>
      <c r="H431" s="58" t="s">
        <v>179</v>
      </c>
      <c r="I431">
        <v>38000</v>
      </c>
      <c r="J431">
        <v>38000</v>
      </c>
      <c r="K431" s="58" t="s">
        <v>185</v>
      </c>
      <c r="L431" s="74">
        <v>1.758</v>
      </c>
      <c r="M431" s="85">
        <v>2</v>
      </c>
      <c r="N431" s="74">
        <v>0.19500000000000001</v>
      </c>
      <c r="O431">
        <v>2</v>
      </c>
      <c r="P431" s="84">
        <v>0.19500000000000001</v>
      </c>
      <c r="Q431" s="86">
        <v>4.2</v>
      </c>
      <c r="R431" s="85">
        <v>4.2</v>
      </c>
      <c r="S431" s="87">
        <v>488330</v>
      </c>
      <c r="T431" s="1">
        <v>4</v>
      </c>
      <c r="U431" s="88">
        <v>116269.04761904762</v>
      </c>
      <c r="V431" s="59">
        <v>8.6007413019884087</v>
      </c>
    </row>
    <row r="432" spans="1:22">
      <c r="A432" s="58">
        <v>432</v>
      </c>
      <c r="B432" s="58">
        <v>432</v>
      </c>
      <c r="C432" s="58" t="s">
        <v>868</v>
      </c>
      <c r="D432" s="58" t="s">
        <v>489</v>
      </c>
      <c r="E432" s="58" t="s">
        <v>489</v>
      </c>
      <c r="F432" s="58" t="s">
        <v>869</v>
      </c>
      <c r="G432" s="58" t="s">
        <v>870</v>
      </c>
      <c r="H432" s="58" t="s">
        <v>179</v>
      </c>
      <c r="I432">
        <v>38000</v>
      </c>
      <c r="J432">
        <v>38000</v>
      </c>
      <c r="K432" s="58" t="s">
        <v>185</v>
      </c>
      <c r="L432" s="74">
        <v>12.023999999999999</v>
      </c>
      <c r="M432" s="85">
        <v>13</v>
      </c>
      <c r="N432" s="74">
        <v>0.19700000000000001</v>
      </c>
      <c r="O432">
        <v>2</v>
      </c>
      <c r="P432" s="84">
        <v>0.19700000000000001</v>
      </c>
      <c r="Q432" s="86">
        <v>4.2</v>
      </c>
      <c r="R432" s="85">
        <v>4.2</v>
      </c>
      <c r="S432" s="87">
        <v>1545240</v>
      </c>
      <c r="T432" s="1">
        <v>1</v>
      </c>
      <c r="U432" s="88">
        <v>367914.28571428568</v>
      </c>
      <c r="V432" s="59">
        <v>2.7180243845616214</v>
      </c>
    </row>
    <row r="433" spans="1:22">
      <c r="A433" s="58">
        <v>433</v>
      </c>
      <c r="B433" s="58">
        <v>433</v>
      </c>
      <c r="C433" s="58" t="s">
        <v>871</v>
      </c>
      <c r="D433" s="58" t="s">
        <v>410</v>
      </c>
      <c r="E433" s="58" t="s">
        <v>410</v>
      </c>
      <c r="F433" s="58" t="s">
        <v>411</v>
      </c>
      <c r="G433" s="58" t="s">
        <v>412</v>
      </c>
      <c r="H433" s="58" t="s">
        <v>179</v>
      </c>
      <c r="I433">
        <v>38000</v>
      </c>
      <c r="J433">
        <v>38000</v>
      </c>
      <c r="K433" s="58" t="s">
        <v>185</v>
      </c>
      <c r="L433" s="74">
        <v>7.5410000000000004</v>
      </c>
      <c r="M433" s="85">
        <v>8</v>
      </c>
      <c r="N433" s="74">
        <v>0.13800000000000001</v>
      </c>
      <c r="O433">
        <v>2</v>
      </c>
      <c r="P433" s="84">
        <v>0.13800000000000001</v>
      </c>
      <c r="Q433" s="86">
        <v>4.2</v>
      </c>
      <c r="R433" s="85">
        <v>4.2</v>
      </c>
      <c r="S433" s="87">
        <v>909950</v>
      </c>
      <c r="T433" s="1">
        <v>4</v>
      </c>
      <c r="U433" s="88">
        <v>216654.76190476189</v>
      </c>
      <c r="V433" s="59">
        <v>4.6156382218803227</v>
      </c>
    </row>
    <row r="434" spans="1:22">
      <c r="A434" s="58">
        <v>434</v>
      </c>
      <c r="B434" s="58">
        <v>434</v>
      </c>
      <c r="C434" s="58" t="s">
        <v>872</v>
      </c>
      <c r="D434" s="58" t="s">
        <v>182</v>
      </c>
      <c r="E434" s="58" t="s">
        <v>182</v>
      </c>
      <c r="F434" s="58" t="s">
        <v>873</v>
      </c>
      <c r="G434" s="58" t="s">
        <v>874</v>
      </c>
      <c r="H434" s="58" t="s">
        <v>179</v>
      </c>
      <c r="I434">
        <v>38000</v>
      </c>
      <c r="J434">
        <v>38000</v>
      </c>
      <c r="K434" s="58" t="s">
        <v>185</v>
      </c>
      <c r="L434" s="74">
        <v>10.763999999999999</v>
      </c>
      <c r="M434" s="85">
        <v>11</v>
      </c>
      <c r="N434" s="74">
        <v>0.33200000000000002</v>
      </c>
      <c r="O434">
        <v>2</v>
      </c>
      <c r="P434" s="84">
        <v>0.33200000000000002</v>
      </c>
      <c r="Q434" s="86">
        <v>4.2</v>
      </c>
      <c r="R434" s="85">
        <v>4.2</v>
      </c>
      <c r="S434" s="87">
        <v>1439840</v>
      </c>
      <c r="T434" s="1">
        <v>1</v>
      </c>
      <c r="U434" s="88">
        <v>342819.04761904763</v>
      </c>
      <c r="V434" s="59">
        <v>2.9169907767529724</v>
      </c>
    </row>
    <row r="435" spans="1:22">
      <c r="A435" s="58">
        <v>435</v>
      </c>
      <c r="B435" s="58">
        <v>435</v>
      </c>
      <c r="C435" s="58" t="s">
        <v>875</v>
      </c>
      <c r="D435" s="58" t="s">
        <v>410</v>
      </c>
      <c r="E435" s="58" t="s">
        <v>410</v>
      </c>
      <c r="F435" s="58" t="s">
        <v>876</v>
      </c>
      <c r="G435" s="58" t="s">
        <v>877</v>
      </c>
      <c r="H435" s="58" t="s">
        <v>179</v>
      </c>
      <c r="I435">
        <v>38000</v>
      </c>
      <c r="J435">
        <v>38000</v>
      </c>
      <c r="K435" s="58" t="s">
        <v>185</v>
      </c>
      <c r="L435" s="74">
        <v>9.3209999999999997</v>
      </c>
      <c r="M435" s="85">
        <v>10</v>
      </c>
      <c r="N435" s="74">
        <v>0.12</v>
      </c>
      <c r="O435">
        <v>2</v>
      </c>
      <c r="P435" s="84">
        <v>0.12</v>
      </c>
      <c r="Q435" s="86">
        <v>4.2</v>
      </c>
      <c r="R435" s="85">
        <v>4.2</v>
      </c>
      <c r="S435" s="87">
        <v>1387140</v>
      </c>
      <c r="T435" s="1">
        <v>1</v>
      </c>
      <c r="U435" s="88">
        <v>330271.42857142858</v>
      </c>
      <c r="V435" s="59">
        <v>3.0278126216531858</v>
      </c>
    </row>
    <row r="436" spans="1:22">
      <c r="A436" s="58">
        <v>436</v>
      </c>
      <c r="B436" s="58">
        <v>436</v>
      </c>
      <c r="C436" s="58" t="s">
        <v>878</v>
      </c>
      <c r="D436" s="58" t="s">
        <v>410</v>
      </c>
      <c r="E436" s="58" t="s">
        <v>410</v>
      </c>
      <c r="F436" s="58" t="s">
        <v>879</v>
      </c>
      <c r="G436" s="58" t="s">
        <v>880</v>
      </c>
      <c r="H436" s="58" t="s">
        <v>179</v>
      </c>
      <c r="I436">
        <v>38000</v>
      </c>
      <c r="J436" s="58" t="s">
        <v>185</v>
      </c>
      <c r="K436">
        <v>38000</v>
      </c>
      <c r="L436" s="74">
        <v>5.7960000000000003</v>
      </c>
      <c r="M436" s="85">
        <v>6</v>
      </c>
      <c r="N436" s="74">
        <v>0.218</v>
      </c>
      <c r="O436">
        <v>2</v>
      </c>
      <c r="P436" s="84">
        <v>0.218</v>
      </c>
      <c r="Q436" s="86">
        <v>4.2</v>
      </c>
      <c r="R436" s="85">
        <v>4.2</v>
      </c>
      <c r="S436" s="87">
        <v>769410</v>
      </c>
      <c r="T436" s="1">
        <v>4</v>
      </c>
      <c r="U436" s="88">
        <v>183192.85714285713</v>
      </c>
      <c r="V436" s="59">
        <v>5.4587281163488903</v>
      </c>
    </row>
    <row r="437" spans="1:22">
      <c r="A437" s="58">
        <v>437</v>
      </c>
      <c r="B437" s="58">
        <v>437</v>
      </c>
      <c r="C437" s="58" t="s">
        <v>881</v>
      </c>
      <c r="D437" s="58" t="s">
        <v>882</v>
      </c>
      <c r="E437" s="58" t="s">
        <v>882</v>
      </c>
      <c r="F437" s="58" t="s">
        <v>883</v>
      </c>
      <c r="G437" s="58" t="s">
        <v>884</v>
      </c>
      <c r="H437" s="58" t="s">
        <v>179</v>
      </c>
      <c r="I437">
        <v>38000</v>
      </c>
      <c r="J437">
        <v>20000</v>
      </c>
      <c r="K437">
        <v>38000</v>
      </c>
      <c r="L437" s="74">
        <v>8.0549999999999997</v>
      </c>
      <c r="M437" s="85">
        <v>9</v>
      </c>
      <c r="N437" s="74">
        <v>0.20599999999999999</v>
      </c>
      <c r="O437">
        <v>2</v>
      </c>
      <c r="P437" s="84">
        <v>0.20599999999999999</v>
      </c>
      <c r="Q437" s="86">
        <v>4.2</v>
      </c>
      <c r="R437" s="85">
        <v>4.2</v>
      </c>
      <c r="S437" s="87">
        <v>1334440</v>
      </c>
      <c r="T437" s="1">
        <v>1</v>
      </c>
      <c r="U437" s="88">
        <v>317723.80952380953</v>
      </c>
      <c r="V437" s="59">
        <v>3.1473876682353645</v>
      </c>
    </row>
    <row r="438" spans="1:22">
      <c r="A438" s="58">
        <v>438</v>
      </c>
      <c r="B438" s="58">
        <v>438</v>
      </c>
      <c r="C438" s="58" t="s">
        <v>885</v>
      </c>
      <c r="D438" s="58" t="s">
        <v>207</v>
      </c>
      <c r="E438" s="58" t="s">
        <v>207</v>
      </c>
      <c r="F438" s="58" t="s">
        <v>242</v>
      </c>
      <c r="G438" s="58" t="s">
        <v>243</v>
      </c>
      <c r="H438" s="58" t="s">
        <v>179</v>
      </c>
      <c r="I438">
        <v>38000</v>
      </c>
      <c r="J438">
        <v>38000</v>
      </c>
      <c r="K438">
        <v>20000</v>
      </c>
      <c r="L438" s="74">
        <v>6.7530000000000001</v>
      </c>
      <c r="M438" s="85">
        <v>7</v>
      </c>
      <c r="N438" s="74">
        <v>0.128</v>
      </c>
      <c r="O438">
        <v>2</v>
      </c>
      <c r="P438" s="84">
        <v>0.128</v>
      </c>
      <c r="Q438" s="86">
        <v>4.2</v>
      </c>
      <c r="R438" s="85">
        <v>4.2</v>
      </c>
      <c r="S438" s="87">
        <v>839680</v>
      </c>
      <c r="T438" s="1">
        <v>4</v>
      </c>
      <c r="U438" s="88">
        <v>199923.80952380953</v>
      </c>
      <c r="V438" s="59">
        <v>5.0019054878048781</v>
      </c>
    </row>
    <row r="439" spans="1:22">
      <c r="A439" s="58">
        <v>439</v>
      </c>
      <c r="B439" s="58">
        <v>439</v>
      </c>
      <c r="C439" s="58" t="s">
        <v>886</v>
      </c>
      <c r="D439" s="58" t="s">
        <v>207</v>
      </c>
      <c r="E439" s="58" t="s">
        <v>207</v>
      </c>
      <c r="F439" s="58" t="s">
        <v>698</v>
      </c>
      <c r="G439" s="58" t="s">
        <v>699</v>
      </c>
      <c r="H439" s="58" t="s">
        <v>199</v>
      </c>
      <c r="I439">
        <v>110000</v>
      </c>
      <c r="J439" s="58" t="s">
        <v>185</v>
      </c>
      <c r="K439">
        <v>110000</v>
      </c>
      <c r="L439" s="74">
        <v>7.819</v>
      </c>
      <c r="M439" s="85">
        <v>8</v>
      </c>
      <c r="N439" s="74">
        <v>0.112</v>
      </c>
      <c r="O439">
        <v>2</v>
      </c>
      <c r="P439" s="84">
        <v>0.112</v>
      </c>
      <c r="Q439" s="86">
        <v>4.2</v>
      </c>
      <c r="R439" s="85">
        <v>4.2</v>
      </c>
      <c r="S439" s="87">
        <v>1838070</v>
      </c>
      <c r="T439" s="1">
        <v>7</v>
      </c>
      <c r="U439" s="88">
        <v>437635.71428571426</v>
      </c>
      <c r="V439" s="59">
        <v>2.2850054676916547</v>
      </c>
    </row>
    <row r="440" spans="1:22">
      <c r="A440" s="58">
        <v>440</v>
      </c>
      <c r="B440" s="58">
        <v>440</v>
      </c>
      <c r="C440" s="58" t="s">
        <v>887</v>
      </c>
      <c r="D440" s="58" t="s">
        <v>182</v>
      </c>
      <c r="E440" s="58" t="s">
        <v>182</v>
      </c>
      <c r="F440" s="58" t="s">
        <v>888</v>
      </c>
      <c r="G440" s="58" t="s">
        <v>889</v>
      </c>
      <c r="H440" s="58" t="s">
        <v>199</v>
      </c>
      <c r="I440">
        <v>110000</v>
      </c>
      <c r="J440">
        <v>110000</v>
      </c>
      <c r="K440">
        <v>38000</v>
      </c>
      <c r="L440" s="74">
        <v>5.1360000000000001</v>
      </c>
      <c r="M440" s="85">
        <v>6</v>
      </c>
      <c r="N440" s="74">
        <v>0.28999999999999998</v>
      </c>
      <c r="O440">
        <v>2</v>
      </c>
      <c r="P440" s="84">
        <v>0.28999999999999998</v>
      </c>
      <c r="Q440" s="86">
        <v>4.2</v>
      </c>
      <c r="R440" s="85">
        <v>4.2</v>
      </c>
      <c r="S440" s="87">
        <v>1732670</v>
      </c>
      <c r="T440" s="1">
        <v>7</v>
      </c>
      <c r="U440" s="88">
        <v>412540.47619047615</v>
      </c>
      <c r="V440" s="59">
        <v>2.4240045709800482</v>
      </c>
    </row>
    <row r="441" spans="1:22">
      <c r="A441" s="58">
        <v>441</v>
      </c>
      <c r="B441" s="58">
        <v>441</v>
      </c>
      <c r="C441" s="58" t="s">
        <v>890</v>
      </c>
      <c r="D441" s="58" t="s">
        <v>182</v>
      </c>
      <c r="E441" s="58" t="s">
        <v>182</v>
      </c>
      <c r="F441" s="58" t="s">
        <v>891</v>
      </c>
      <c r="G441" s="58" t="s">
        <v>892</v>
      </c>
      <c r="H441" s="58" t="s">
        <v>199</v>
      </c>
      <c r="I441">
        <v>110000</v>
      </c>
      <c r="J441">
        <v>110000</v>
      </c>
      <c r="K441">
        <v>38000</v>
      </c>
      <c r="L441" s="74">
        <v>6.375</v>
      </c>
      <c r="M441" s="85">
        <v>7</v>
      </c>
      <c r="N441" s="74">
        <v>0.21</v>
      </c>
      <c r="O441">
        <v>2</v>
      </c>
      <c r="P441" s="84">
        <v>0.21</v>
      </c>
      <c r="Q441" s="86">
        <v>4.2</v>
      </c>
      <c r="R441" s="85">
        <v>4.2</v>
      </c>
      <c r="S441" s="87">
        <v>1785370</v>
      </c>
      <c r="T441" s="1">
        <v>7</v>
      </c>
      <c r="U441" s="88">
        <v>425088.09523809521</v>
      </c>
      <c r="V441" s="59">
        <v>2.3524535530450272</v>
      </c>
    </row>
    <row r="442" spans="1:22">
      <c r="A442" s="58">
        <v>442</v>
      </c>
      <c r="B442" s="58">
        <v>442</v>
      </c>
      <c r="C442" s="58" t="s">
        <v>893</v>
      </c>
      <c r="D442" s="58" t="s">
        <v>215</v>
      </c>
      <c r="E442" s="58" t="s">
        <v>215</v>
      </c>
      <c r="F442" s="58" t="s">
        <v>479</v>
      </c>
      <c r="G442" s="58" t="s">
        <v>480</v>
      </c>
      <c r="H442" s="58" t="s">
        <v>179</v>
      </c>
      <c r="I442">
        <v>38000</v>
      </c>
      <c r="J442">
        <v>38000</v>
      </c>
      <c r="K442" s="58" t="s">
        <v>185</v>
      </c>
      <c r="L442" s="74">
        <v>6.7919999999999998</v>
      </c>
      <c r="M442" s="85">
        <v>7</v>
      </c>
      <c r="N442" s="74">
        <v>0.16300000000000001</v>
      </c>
      <c r="O442">
        <v>2</v>
      </c>
      <c r="P442" s="84">
        <v>0.16300000000000001</v>
      </c>
      <c r="Q442" s="86">
        <v>4.2</v>
      </c>
      <c r="R442" s="85">
        <v>4.2</v>
      </c>
      <c r="S442" s="87">
        <v>839680</v>
      </c>
      <c r="T442" s="1">
        <v>4</v>
      </c>
      <c r="U442" s="88">
        <v>199923.80952380953</v>
      </c>
      <c r="V442" s="59">
        <v>5.0019054878048781</v>
      </c>
    </row>
    <row r="443" spans="1:22">
      <c r="A443" s="58">
        <v>443</v>
      </c>
      <c r="B443" s="58">
        <v>443</v>
      </c>
      <c r="C443" s="58" t="s">
        <v>894</v>
      </c>
      <c r="D443" s="58" t="s">
        <v>182</v>
      </c>
      <c r="E443" s="58" t="s">
        <v>182</v>
      </c>
      <c r="F443" s="58" t="s">
        <v>873</v>
      </c>
      <c r="G443" s="58" t="s">
        <v>874</v>
      </c>
      <c r="H443" s="58" t="s">
        <v>179</v>
      </c>
      <c r="I443">
        <v>38000</v>
      </c>
      <c r="J443">
        <v>38000</v>
      </c>
      <c r="K443" s="58" t="s">
        <v>185</v>
      </c>
      <c r="L443" s="74">
        <v>2.1800000000000002</v>
      </c>
      <c r="M443" s="85">
        <v>3</v>
      </c>
      <c r="N443" s="74">
        <v>0.255</v>
      </c>
      <c r="O443">
        <v>2</v>
      </c>
      <c r="P443" s="84">
        <v>0.255</v>
      </c>
      <c r="Q443" s="86">
        <v>4.2</v>
      </c>
      <c r="R443" s="85">
        <v>4.2</v>
      </c>
      <c r="S443" s="87">
        <v>558600</v>
      </c>
      <c r="T443" s="1">
        <v>4</v>
      </c>
      <c r="U443" s="88">
        <v>133000</v>
      </c>
      <c r="V443" s="59">
        <v>7.518796992481203</v>
      </c>
    </row>
    <row r="444" spans="1:22">
      <c r="A444" s="58">
        <v>444</v>
      </c>
      <c r="B444" s="58">
        <v>444</v>
      </c>
      <c r="C444" s="58" t="s">
        <v>895</v>
      </c>
      <c r="D444" s="58" t="s">
        <v>215</v>
      </c>
      <c r="E444" s="58" t="s">
        <v>215</v>
      </c>
      <c r="F444" s="58" t="s">
        <v>406</v>
      </c>
      <c r="G444" s="58" t="s">
        <v>407</v>
      </c>
      <c r="H444" s="58" t="s">
        <v>179</v>
      </c>
      <c r="I444">
        <v>38000</v>
      </c>
      <c r="J444" s="58" t="s">
        <v>185</v>
      </c>
      <c r="K444">
        <v>38000</v>
      </c>
      <c r="L444" s="74">
        <v>6.5140000000000002</v>
      </c>
      <c r="M444" s="85">
        <v>7</v>
      </c>
      <c r="N444" s="74">
        <v>0.16600000000000001</v>
      </c>
      <c r="O444">
        <v>2</v>
      </c>
      <c r="P444" s="84">
        <v>0.16600000000000001</v>
      </c>
      <c r="Q444" s="86">
        <v>4.2</v>
      </c>
      <c r="R444" s="85">
        <v>4.2</v>
      </c>
      <c r="S444" s="87">
        <v>839680</v>
      </c>
      <c r="T444" s="1">
        <v>4</v>
      </c>
      <c r="U444" s="88">
        <v>199923.80952380953</v>
      </c>
      <c r="V444" s="59">
        <v>5.0019054878048781</v>
      </c>
    </row>
    <row r="445" spans="1:22">
      <c r="A445" s="58">
        <v>445</v>
      </c>
      <c r="B445" s="58">
        <v>445</v>
      </c>
      <c r="C445" s="58" t="s">
        <v>896</v>
      </c>
      <c r="D445" s="58" t="s">
        <v>182</v>
      </c>
      <c r="E445" s="58" t="s">
        <v>182</v>
      </c>
      <c r="F445" s="58" t="s">
        <v>595</v>
      </c>
      <c r="G445" s="58" t="s">
        <v>596</v>
      </c>
      <c r="H445" s="58" t="s">
        <v>179</v>
      </c>
      <c r="I445">
        <v>38000</v>
      </c>
      <c r="J445">
        <v>38000</v>
      </c>
      <c r="K445" s="58" t="s">
        <v>185</v>
      </c>
      <c r="L445" s="74">
        <v>5.907</v>
      </c>
      <c r="M445" s="85">
        <v>6</v>
      </c>
      <c r="N445" s="74">
        <v>0.109</v>
      </c>
      <c r="O445">
        <v>2</v>
      </c>
      <c r="P445" s="84">
        <v>0.109</v>
      </c>
      <c r="Q445" s="86">
        <v>4.2</v>
      </c>
      <c r="R445" s="85">
        <v>4.2</v>
      </c>
      <c r="S445" s="87">
        <v>769410</v>
      </c>
      <c r="T445" s="1">
        <v>4</v>
      </c>
      <c r="U445" s="88">
        <v>183192.85714285713</v>
      </c>
      <c r="V445" s="59">
        <v>5.4587281163488903</v>
      </c>
    </row>
    <row r="446" spans="1:22">
      <c r="A446" s="58">
        <v>446</v>
      </c>
      <c r="B446" s="58">
        <v>446</v>
      </c>
      <c r="C446" s="58" t="s">
        <v>897</v>
      </c>
      <c r="D446" s="58" t="s">
        <v>182</v>
      </c>
      <c r="E446" s="58" t="s">
        <v>182</v>
      </c>
      <c r="F446" s="58" t="s">
        <v>312</v>
      </c>
      <c r="G446" s="58" t="s">
        <v>313</v>
      </c>
      <c r="H446" s="58" t="s">
        <v>179</v>
      </c>
      <c r="I446">
        <v>38000</v>
      </c>
      <c r="J446">
        <v>38000</v>
      </c>
      <c r="K446">
        <v>10000</v>
      </c>
      <c r="L446" s="74">
        <v>4.42</v>
      </c>
      <c r="M446" s="85">
        <v>5</v>
      </c>
      <c r="N446" s="74">
        <v>0.13100000000000001</v>
      </c>
      <c r="O446">
        <v>2</v>
      </c>
      <c r="P446" s="84">
        <v>0.13100000000000001</v>
      </c>
      <c r="Q446" s="86">
        <v>4.2</v>
      </c>
      <c r="R446" s="85">
        <v>4.2</v>
      </c>
      <c r="S446" s="87">
        <v>699140</v>
      </c>
      <c r="T446" s="1">
        <v>4</v>
      </c>
      <c r="U446" s="88">
        <v>166461.90476190476</v>
      </c>
      <c r="V446" s="59">
        <v>6.0073804960379897</v>
      </c>
    </row>
    <row r="447" spans="1:22">
      <c r="A447" s="58">
        <v>447</v>
      </c>
      <c r="B447" s="58">
        <v>447</v>
      </c>
      <c r="C447" s="58" t="s">
        <v>898</v>
      </c>
      <c r="D447" s="58" t="s">
        <v>176</v>
      </c>
      <c r="E447" s="58" t="s">
        <v>176</v>
      </c>
      <c r="F447" s="58" t="s">
        <v>257</v>
      </c>
      <c r="G447" s="58" t="s">
        <v>258</v>
      </c>
      <c r="H447" s="58" t="s">
        <v>179</v>
      </c>
      <c r="I447">
        <v>38000</v>
      </c>
      <c r="J447">
        <v>38000</v>
      </c>
      <c r="K447" s="58" t="s">
        <v>185</v>
      </c>
      <c r="L447" s="74">
        <v>10.053000000000001</v>
      </c>
      <c r="M447" s="85">
        <v>11</v>
      </c>
      <c r="N447" s="74">
        <v>0.112</v>
      </c>
      <c r="O447">
        <v>2</v>
      </c>
      <c r="P447" s="84">
        <v>0.112</v>
      </c>
      <c r="Q447" s="86">
        <v>4.2</v>
      </c>
      <c r="R447" s="85">
        <v>4.2</v>
      </c>
      <c r="S447" s="87">
        <v>1439840</v>
      </c>
      <c r="T447" s="1">
        <v>1</v>
      </c>
      <c r="U447" s="88">
        <v>342819.04761904763</v>
      </c>
      <c r="V447" s="59">
        <v>2.9169907767529724</v>
      </c>
    </row>
    <row r="448" spans="1:22">
      <c r="A448" s="58">
        <v>448</v>
      </c>
      <c r="B448" s="58">
        <v>448</v>
      </c>
      <c r="C448" s="58" t="s">
        <v>899</v>
      </c>
      <c r="D448" s="58" t="s">
        <v>197</v>
      </c>
      <c r="E448" s="58" t="s">
        <v>197</v>
      </c>
      <c r="F448" s="58" t="s">
        <v>296</v>
      </c>
      <c r="G448" s="58" t="s">
        <v>297</v>
      </c>
      <c r="H448" s="58" t="s">
        <v>179</v>
      </c>
      <c r="I448">
        <v>38000</v>
      </c>
      <c r="J448">
        <v>38000</v>
      </c>
      <c r="K448" s="58" t="s">
        <v>185</v>
      </c>
      <c r="L448" s="74">
        <v>4.87</v>
      </c>
      <c r="M448" s="85">
        <v>5</v>
      </c>
      <c r="N448" s="74">
        <v>0.127</v>
      </c>
      <c r="O448">
        <v>2</v>
      </c>
      <c r="P448" s="84">
        <v>0.127</v>
      </c>
      <c r="Q448" s="86">
        <v>4.2</v>
      </c>
      <c r="R448" s="85">
        <v>4.2</v>
      </c>
      <c r="S448" s="87">
        <v>699140</v>
      </c>
      <c r="T448" s="1">
        <v>4</v>
      </c>
      <c r="U448" s="88">
        <v>166461.90476190476</v>
      </c>
      <c r="V448" s="59">
        <v>6.0073804960379897</v>
      </c>
    </row>
    <row r="449" spans="1:22">
      <c r="A449" s="58">
        <v>449</v>
      </c>
      <c r="B449" s="58">
        <v>449</v>
      </c>
      <c r="C449" s="58" t="s">
        <v>900</v>
      </c>
      <c r="D449" s="58" t="s">
        <v>450</v>
      </c>
      <c r="E449" s="58" t="s">
        <v>450</v>
      </c>
      <c r="F449" s="58" t="s">
        <v>901</v>
      </c>
      <c r="G449" s="58" t="s">
        <v>407</v>
      </c>
      <c r="H449" s="58" t="s">
        <v>179</v>
      </c>
      <c r="I449">
        <v>38000</v>
      </c>
      <c r="J449">
        <v>38000</v>
      </c>
      <c r="K449" s="58" t="s">
        <v>185</v>
      </c>
      <c r="L449" s="74">
        <v>8.5489999999999995</v>
      </c>
      <c r="M449" s="85">
        <v>9</v>
      </c>
      <c r="N449" s="74">
        <v>0.28199999999999997</v>
      </c>
      <c r="O449">
        <v>2</v>
      </c>
      <c r="P449" s="84">
        <v>0.28199999999999997</v>
      </c>
      <c r="Q449" s="86">
        <v>4.2</v>
      </c>
      <c r="R449" s="85">
        <v>4.2</v>
      </c>
      <c r="S449" s="87">
        <v>1334440</v>
      </c>
      <c r="T449" s="1">
        <v>1</v>
      </c>
      <c r="U449" s="88">
        <v>317723.80952380953</v>
      </c>
      <c r="V449" s="59">
        <v>3.1473876682353645</v>
      </c>
    </row>
    <row r="450" spans="1:22">
      <c r="A450" s="58">
        <v>450</v>
      </c>
      <c r="B450" s="58">
        <v>450</v>
      </c>
      <c r="C450" s="58" t="s">
        <v>902</v>
      </c>
      <c r="D450" s="58" t="s">
        <v>775</v>
      </c>
      <c r="E450" s="58" t="s">
        <v>775</v>
      </c>
      <c r="F450" s="58" t="s">
        <v>903</v>
      </c>
      <c r="G450" s="58" t="s">
        <v>904</v>
      </c>
      <c r="H450" s="58" t="s">
        <v>179</v>
      </c>
      <c r="I450">
        <v>38000</v>
      </c>
      <c r="J450">
        <v>38000</v>
      </c>
      <c r="K450" s="58" t="s">
        <v>185</v>
      </c>
      <c r="L450" s="74">
        <v>6.1130000000000004</v>
      </c>
      <c r="M450" s="85">
        <v>7</v>
      </c>
      <c r="N450" s="74">
        <v>9.7000000000000003E-2</v>
      </c>
      <c r="O450">
        <v>2</v>
      </c>
      <c r="P450" s="84">
        <v>9.7000000000000003E-2</v>
      </c>
      <c r="Q450" s="86">
        <v>4.2</v>
      </c>
      <c r="R450" s="85">
        <v>4.2</v>
      </c>
      <c r="S450" s="87">
        <v>839680</v>
      </c>
      <c r="T450" s="1">
        <v>4</v>
      </c>
      <c r="U450" s="88">
        <v>199923.80952380953</v>
      </c>
      <c r="V450" s="59">
        <v>5.0019054878048781</v>
      </c>
    </row>
    <row r="451" spans="1:22">
      <c r="A451" s="58">
        <v>451</v>
      </c>
      <c r="B451" s="58">
        <v>451</v>
      </c>
      <c r="C451" s="58" t="s">
        <v>905</v>
      </c>
      <c r="D451" s="58" t="s">
        <v>182</v>
      </c>
      <c r="E451" s="58" t="s">
        <v>182</v>
      </c>
      <c r="F451" s="58" t="s">
        <v>440</v>
      </c>
      <c r="G451" s="58" t="s">
        <v>441</v>
      </c>
      <c r="H451" s="58" t="s">
        <v>199</v>
      </c>
      <c r="I451">
        <v>110000</v>
      </c>
      <c r="L451" s="74">
        <v>2.5670000000000002</v>
      </c>
      <c r="M451" s="85">
        <v>3</v>
      </c>
      <c r="N451" s="74">
        <v>0.20799999999999999</v>
      </c>
      <c r="O451">
        <v>2</v>
      </c>
      <c r="P451" s="84">
        <v>0.20799999999999999</v>
      </c>
      <c r="Q451" s="86">
        <v>4.2</v>
      </c>
      <c r="R451" s="85">
        <v>4.2</v>
      </c>
      <c r="S451" s="87">
        <v>1574570</v>
      </c>
      <c r="T451" s="1">
        <v>7</v>
      </c>
      <c r="U451" s="88">
        <v>374897.61904761905</v>
      </c>
      <c r="V451" s="59">
        <v>2.6673949078161021</v>
      </c>
    </row>
    <row r="452" spans="1:22">
      <c r="A452" s="58">
        <v>452</v>
      </c>
      <c r="B452" s="58">
        <v>452</v>
      </c>
      <c r="C452" s="58" t="s">
        <v>906</v>
      </c>
      <c r="D452" s="58" t="s">
        <v>215</v>
      </c>
      <c r="E452" s="58" t="s">
        <v>215</v>
      </c>
      <c r="F452" s="58" t="s">
        <v>901</v>
      </c>
      <c r="G452" s="58" t="s">
        <v>407</v>
      </c>
      <c r="H452" s="58" t="s">
        <v>179</v>
      </c>
      <c r="I452">
        <v>38000</v>
      </c>
      <c r="J452">
        <v>38000</v>
      </c>
      <c r="K452" s="58" t="s">
        <v>185</v>
      </c>
      <c r="L452" s="74">
        <v>8.6050000000000004</v>
      </c>
      <c r="M452" s="85">
        <v>9</v>
      </c>
      <c r="N452" s="74">
        <v>9.4E-2</v>
      </c>
      <c r="O452">
        <v>2</v>
      </c>
      <c r="P452" s="84">
        <v>9.4E-2</v>
      </c>
      <c r="Q452" s="86">
        <v>4.2</v>
      </c>
      <c r="R452" s="85">
        <v>4.2</v>
      </c>
      <c r="S452" s="87">
        <v>1334440</v>
      </c>
      <c r="T452" s="1">
        <v>1</v>
      </c>
      <c r="U452" s="88">
        <v>317723.80952380953</v>
      </c>
      <c r="V452" s="59">
        <v>3.1473876682353645</v>
      </c>
    </row>
    <row r="453" spans="1:22">
      <c r="A453" s="58">
        <v>453</v>
      </c>
      <c r="B453" s="58">
        <v>453</v>
      </c>
      <c r="C453" s="58" t="s">
        <v>907</v>
      </c>
      <c r="D453" s="58" t="s">
        <v>215</v>
      </c>
      <c r="E453" s="58" t="s">
        <v>215</v>
      </c>
      <c r="F453" s="58" t="s">
        <v>908</v>
      </c>
      <c r="G453" s="58" t="s">
        <v>909</v>
      </c>
      <c r="H453" s="58" t="s">
        <v>199</v>
      </c>
      <c r="I453">
        <v>110000</v>
      </c>
      <c r="J453">
        <v>20000</v>
      </c>
      <c r="K453">
        <v>110000</v>
      </c>
      <c r="L453" s="74">
        <v>4.4820000000000002</v>
      </c>
      <c r="M453" s="85">
        <v>5</v>
      </c>
      <c r="N453" s="74">
        <v>9.9000000000000005E-2</v>
      </c>
      <c r="O453">
        <v>2</v>
      </c>
      <c r="P453" s="84">
        <v>9.9000000000000005E-2</v>
      </c>
      <c r="Q453" s="86">
        <v>4.2</v>
      </c>
      <c r="R453" s="85">
        <v>4.2</v>
      </c>
      <c r="S453" s="87">
        <v>1679970</v>
      </c>
      <c r="T453" s="1">
        <v>7</v>
      </c>
      <c r="U453" s="88">
        <v>399992.8571428571</v>
      </c>
      <c r="V453" s="59">
        <v>2.5000446436543511</v>
      </c>
    </row>
    <row r="454" spans="1:22">
      <c r="A454" s="58">
        <v>454</v>
      </c>
      <c r="B454" s="58">
        <v>454</v>
      </c>
      <c r="C454" s="58" t="s">
        <v>910</v>
      </c>
      <c r="D454" s="58" t="s">
        <v>207</v>
      </c>
      <c r="E454" s="58" t="s">
        <v>207</v>
      </c>
      <c r="F454" s="58" t="s">
        <v>476</v>
      </c>
      <c r="G454" s="58" t="s">
        <v>477</v>
      </c>
      <c r="H454" s="58" t="s">
        <v>179</v>
      </c>
      <c r="I454">
        <v>38000</v>
      </c>
      <c r="J454">
        <v>20000</v>
      </c>
      <c r="K454">
        <v>38000</v>
      </c>
      <c r="L454" s="74">
        <v>9.1639999999999997</v>
      </c>
      <c r="M454" s="85">
        <v>10</v>
      </c>
      <c r="N454" s="74">
        <v>0.111</v>
      </c>
      <c r="O454">
        <v>2</v>
      </c>
      <c r="P454" s="84">
        <v>0.111</v>
      </c>
      <c r="Q454" s="86">
        <v>4.2</v>
      </c>
      <c r="R454" s="85">
        <v>4.2</v>
      </c>
      <c r="S454" s="87">
        <v>1387140</v>
      </c>
      <c r="T454" s="1">
        <v>1</v>
      </c>
      <c r="U454" s="88">
        <v>330271.42857142858</v>
      </c>
      <c r="V454" s="59">
        <v>3.0278126216531858</v>
      </c>
    </row>
    <row r="455" spans="1:22">
      <c r="A455" s="58">
        <v>455</v>
      </c>
      <c r="B455" s="58">
        <v>455</v>
      </c>
      <c r="C455" s="58" t="s">
        <v>911</v>
      </c>
      <c r="D455" s="58" t="s">
        <v>182</v>
      </c>
      <c r="E455" s="58" t="s">
        <v>182</v>
      </c>
      <c r="F455" s="58" t="s">
        <v>912</v>
      </c>
      <c r="G455" s="58" t="s">
        <v>913</v>
      </c>
      <c r="H455" s="58" t="s">
        <v>179</v>
      </c>
      <c r="I455">
        <v>38000</v>
      </c>
      <c r="J455">
        <v>38000</v>
      </c>
      <c r="K455" s="58" t="s">
        <v>185</v>
      </c>
      <c r="L455" s="74">
        <v>4.7439999999999998</v>
      </c>
      <c r="M455" s="85">
        <v>5</v>
      </c>
      <c r="N455" s="74">
        <v>0.108</v>
      </c>
      <c r="O455">
        <v>2</v>
      </c>
      <c r="P455" s="84">
        <v>0.108</v>
      </c>
      <c r="Q455" s="86">
        <v>4.2</v>
      </c>
      <c r="R455" s="85">
        <v>4.2</v>
      </c>
      <c r="S455" s="87">
        <v>699140</v>
      </c>
      <c r="T455" s="1">
        <v>4</v>
      </c>
      <c r="U455" s="88">
        <v>166461.90476190476</v>
      </c>
      <c r="V455" s="59">
        <v>6.0073804960379897</v>
      </c>
    </row>
    <row r="456" spans="1:22">
      <c r="A456" s="58">
        <v>456</v>
      </c>
      <c r="B456" s="58">
        <v>456</v>
      </c>
      <c r="C456" s="58" t="s">
        <v>914</v>
      </c>
      <c r="D456" s="58" t="s">
        <v>384</v>
      </c>
      <c r="E456" s="58" t="s">
        <v>384</v>
      </c>
      <c r="F456" s="58" t="s">
        <v>915</v>
      </c>
      <c r="G456" s="58" t="s">
        <v>916</v>
      </c>
      <c r="H456" s="58" t="s">
        <v>199</v>
      </c>
      <c r="I456">
        <v>110000</v>
      </c>
      <c r="J456" s="58" t="s">
        <v>185</v>
      </c>
      <c r="K456">
        <v>110000</v>
      </c>
      <c r="L456" s="74">
        <v>7.5739999999999998</v>
      </c>
      <c r="M456" s="85">
        <v>8</v>
      </c>
      <c r="N456" s="74">
        <v>0.317</v>
      </c>
      <c r="O456">
        <v>2</v>
      </c>
      <c r="P456" s="84">
        <v>0.317</v>
      </c>
      <c r="Q456" s="86">
        <v>4.2</v>
      </c>
      <c r="R456" s="85">
        <v>4.2</v>
      </c>
      <c r="S456" s="87">
        <v>1838070</v>
      </c>
      <c r="T456" s="1">
        <v>7</v>
      </c>
      <c r="U456" s="88">
        <v>437635.71428571426</v>
      </c>
      <c r="V456" s="59">
        <v>2.2850054676916547</v>
      </c>
    </row>
    <row r="457" spans="1:22">
      <c r="A457" s="58">
        <v>457</v>
      </c>
      <c r="B457" s="58">
        <v>457</v>
      </c>
      <c r="C457" s="58" t="s">
        <v>917</v>
      </c>
      <c r="D457" s="58" t="s">
        <v>410</v>
      </c>
      <c r="E457" s="58" t="s">
        <v>410</v>
      </c>
      <c r="F457" s="58" t="s">
        <v>918</v>
      </c>
      <c r="G457" s="58" t="s">
        <v>919</v>
      </c>
      <c r="H457" s="58" t="s">
        <v>179</v>
      </c>
      <c r="I457">
        <v>38000</v>
      </c>
      <c r="J457" s="58" t="s">
        <v>185</v>
      </c>
      <c r="K457">
        <v>38000</v>
      </c>
      <c r="L457" s="74">
        <v>7.4429999999999996</v>
      </c>
      <c r="M457" s="85">
        <v>8</v>
      </c>
      <c r="N457" s="74">
        <v>0.29399999999999998</v>
      </c>
      <c r="O457">
        <v>2</v>
      </c>
      <c r="P457" s="84">
        <v>0.29399999999999998</v>
      </c>
      <c r="Q457" s="86">
        <v>4.2</v>
      </c>
      <c r="R457" s="85">
        <v>4.2</v>
      </c>
      <c r="S457" s="87">
        <v>909950</v>
      </c>
      <c r="T457" s="1">
        <v>4</v>
      </c>
      <c r="U457" s="88">
        <v>216654.76190476189</v>
      </c>
      <c r="V457" s="59">
        <v>4.6156382218803227</v>
      </c>
    </row>
    <row r="458" spans="1:22">
      <c r="A458" s="58">
        <v>458</v>
      </c>
      <c r="B458" s="58">
        <v>458</v>
      </c>
      <c r="C458" s="58" t="s">
        <v>920</v>
      </c>
      <c r="D458" s="58" t="s">
        <v>176</v>
      </c>
      <c r="E458" s="58" t="s">
        <v>775</v>
      </c>
      <c r="F458" s="58" t="s">
        <v>921</v>
      </c>
      <c r="H458" s="58" t="s">
        <v>199</v>
      </c>
      <c r="I458">
        <v>110000</v>
      </c>
      <c r="J458" s="58" t="s">
        <v>185</v>
      </c>
      <c r="K458">
        <v>110000</v>
      </c>
      <c r="L458" s="74">
        <v>7.2240000000000002</v>
      </c>
      <c r="M458" s="85">
        <v>8</v>
      </c>
      <c r="N458" s="74">
        <v>0.111</v>
      </c>
      <c r="O458">
        <v>2</v>
      </c>
      <c r="P458" s="84">
        <v>0.111</v>
      </c>
      <c r="Q458" s="86">
        <v>4.2</v>
      </c>
      <c r="R458" s="85">
        <v>4.2</v>
      </c>
      <c r="S458" s="87">
        <v>1838070</v>
      </c>
      <c r="T458" s="1">
        <v>7</v>
      </c>
      <c r="U458" s="88">
        <v>437635.71428571426</v>
      </c>
      <c r="V458" s="59">
        <v>2.2850054676916547</v>
      </c>
    </row>
    <row r="459" spans="1:22">
      <c r="A459" s="58">
        <v>459</v>
      </c>
      <c r="B459" s="58">
        <v>459</v>
      </c>
      <c r="C459" s="58" t="s">
        <v>922</v>
      </c>
      <c r="D459" s="58" t="s">
        <v>234</v>
      </c>
      <c r="E459" s="58" t="s">
        <v>234</v>
      </c>
      <c r="F459" s="58" t="s">
        <v>326</v>
      </c>
      <c r="G459" s="58" t="s">
        <v>327</v>
      </c>
      <c r="H459" s="58" t="s">
        <v>199</v>
      </c>
      <c r="I459">
        <v>110000</v>
      </c>
      <c r="J459">
        <v>110000</v>
      </c>
      <c r="K459">
        <v>38000</v>
      </c>
      <c r="L459" s="74">
        <v>7.8220000000000001</v>
      </c>
      <c r="M459" s="85">
        <v>8</v>
      </c>
      <c r="N459" s="74">
        <v>0.114</v>
      </c>
      <c r="O459">
        <v>2</v>
      </c>
      <c r="P459" s="84">
        <v>0.114</v>
      </c>
      <c r="Q459" s="86">
        <v>4.2</v>
      </c>
      <c r="R459" s="85">
        <v>4.2</v>
      </c>
      <c r="S459" s="87">
        <v>1838070</v>
      </c>
      <c r="T459" s="1">
        <v>7</v>
      </c>
      <c r="U459" s="88">
        <v>437635.71428571426</v>
      </c>
      <c r="V459" s="59">
        <v>2.2850054676916547</v>
      </c>
    </row>
    <row r="460" spans="1:22">
      <c r="A460" s="58">
        <v>460</v>
      </c>
      <c r="B460" s="58">
        <v>460</v>
      </c>
      <c r="C460" s="58" t="s">
        <v>923</v>
      </c>
      <c r="D460" s="58" t="s">
        <v>182</v>
      </c>
      <c r="E460" s="58" t="s">
        <v>182</v>
      </c>
      <c r="F460" s="58" t="s">
        <v>873</v>
      </c>
      <c r="G460" s="58" t="s">
        <v>874</v>
      </c>
      <c r="H460" s="58" t="s">
        <v>179</v>
      </c>
      <c r="I460">
        <v>38000</v>
      </c>
      <c r="J460">
        <v>38000</v>
      </c>
      <c r="K460" s="58" t="s">
        <v>185</v>
      </c>
      <c r="L460" s="74">
        <v>5.1760000000000002</v>
      </c>
      <c r="M460" s="85">
        <v>6</v>
      </c>
      <c r="N460" s="74">
        <v>0.115</v>
      </c>
      <c r="O460">
        <v>2</v>
      </c>
      <c r="P460" s="84">
        <v>0.115</v>
      </c>
      <c r="Q460" s="86">
        <v>4.2</v>
      </c>
      <c r="R460" s="85">
        <v>4.2</v>
      </c>
      <c r="S460" s="87">
        <v>769410</v>
      </c>
      <c r="T460" s="1">
        <v>4</v>
      </c>
      <c r="U460" s="88">
        <v>183192.85714285713</v>
      </c>
      <c r="V460" s="59">
        <v>5.4587281163488903</v>
      </c>
    </row>
    <row r="461" spans="1:22">
      <c r="A461" s="58">
        <v>461</v>
      </c>
      <c r="B461" s="58">
        <v>461</v>
      </c>
      <c r="C461" s="58" t="s">
        <v>924</v>
      </c>
      <c r="D461" s="58" t="s">
        <v>215</v>
      </c>
      <c r="E461" s="58" t="s">
        <v>215</v>
      </c>
      <c r="F461" s="58" t="s">
        <v>925</v>
      </c>
      <c r="G461" s="58" t="s">
        <v>926</v>
      </c>
      <c r="H461" s="58" t="s">
        <v>179</v>
      </c>
      <c r="I461">
        <v>38000</v>
      </c>
      <c r="J461">
        <v>38000</v>
      </c>
      <c r="K461" s="58" t="s">
        <v>185</v>
      </c>
      <c r="L461" s="74">
        <v>4.2249999999999996</v>
      </c>
      <c r="M461" s="85">
        <v>5</v>
      </c>
      <c r="N461" s="74">
        <v>0.38300000000000001</v>
      </c>
      <c r="O461">
        <v>2</v>
      </c>
      <c r="P461" s="84">
        <v>0.38300000000000001</v>
      </c>
      <c r="Q461" s="86">
        <v>4.2</v>
      </c>
      <c r="R461" s="85">
        <v>4.2</v>
      </c>
      <c r="S461" s="87">
        <v>699140</v>
      </c>
      <c r="T461" s="1">
        <v>4</v>
      </c>
      <c r="U461" s="88">
        <v>166461.90476190476</v>
      </c>
      <c r="V461" s="59">
        <v>6.0073804960379897</v>
      </c>
    </row>
    <row r="462" spans="1:22">
      <c r="A462" s="58">
        <v>462</v>
      </c>
      <c r="B462" s="58">
        <v>462</v>
      </c>
      <c r="C462" s="58" t="s">
        <v>927</v>
      </c>
      <c r="D462" s="58" t="s">
        <v>176</v>
      </c>
      <c r="E462" s="58" t="s">
        <v>176</v>
      </c>
      <c r="F462" s="58" t="s">
        <v>928</v>
      </c>
      <c r="G462" s="58" t="s">
        <v>929</v>
      </c>
      <c r="H462" s="58" t="s">
        <v>199</v>
      </c>
      <c r="I462">
        <v>110000</v>
      </c>
      <c r="J462">
        <v>110000</v>
      </c>
      <c r="K462">
        <v>38000</v>
      </c>
      <c r="L462" s="74">
        <v>6.5259999999999998</v>
      </c>
      <c r="M462" s="85">
        <v>7</v>
      </c>
      <c r="N462" s="74">
        <v>0.113</v>
      </c>
      <c r="O462">
        <v>2</v>
      </c>
      <c r="P462" s="84">
        <v>0.113</v>
      </c>
      <c r="Q462" s="86">
        <v>4.2</v>
      </c>
      <c r="R462" s="85">
        <v>4.2</v>
      </c>
      <c r="S462" s="87">
        <v>1785370</v>
      </c>
      <c r="T462" s="1">
        <v>7</v>
      </c>
      <c r="U462" s="88">
        <v>425088.09523809521</v>
      </c>
      <c r="V462" s="59">
        <v>2.3524535530450272</v>
      </c>
    </row>
    <row r="463" spans="1:22">
      <c r="A463" s="58">
        <v>463</v>
      </c>
      <c r="B463" s="58">
        <v>463</v>
      </c>
      <c r="C463" s="58" t="s">
        <v>930</v>
      </c>
      <c r="D463" s="58" t="s">
        <v>450</v>
      </c>
      <c r="E463" s="58" t="s">
        <v>450</v>
      </c>
      <c r="F463" s="58" t="s">
        <v>931</v>
      </c>
      <c r="G463" s="58" t="s">
        <v>932</v>
      </c>
      <c r="H463" s="58" t="s">
        <v>199</v>
      </c>
      <c r="I463">
        <v>110000</v>
      </c>
      <c r="J463">
        <v>20000</v>
      </c>
      <c r="K463">
        <v>110000</v>
      </c>
      <c r="L463" s="74">
        <v>5.9859999999999998</v>
      </c>
      <c r="M463" s="85">
        <v>6</v>
      </c>
      <c r="N463" s="74">
        <v>0.28499999999999998</v>
      </c>
      <c r="O463">
        <v>2</v>
      </c>
      <c r="P463" s="84">
        <v>0.28499999999999998</v>
      </c>
      <c r="Q463" s="86">
        <v>4.2</v>
      </c>
      <c r="R463" s="85">
        <v>4.2</v>
      </c>
      <c r="S463" s="87">
        <v>1732670</v>
      </c>
      <c r="T463" s="1">
        <v>7</v>
      </c>
      <c r="U463" s="88">
        <v>412540.47619047615</v>
      </c>
      <c r="V463" s="59">
        <v>2.4240045709800482</v>
      </c>
    </row>
    <row r="464" spans="1:22">
      <c r="A464" s="58">
        <v>464</v>
      </c>
      <c r="B464" s="58">
        <v>464</v>
      </c>
      <c r="C464" s="58" t="s">
        <v>933</v>
      </c>
      <c r="D464" s="58" t="s">
        <v>234</v>
      </c>
      <c r="E464" s="58" t="s">
        <v>234</v>
      </c>
      <c r="F464" s="58" t="s">
        <v>524</v>
      </c>
      <c r="G464" s="58" t="s">
        <v>525</v>
      </c>
      <c r="H464" s="58" t="s">
        <v>179</v>
      </c>
      <c r="I464">
        <v>38000</v>
      </c>
      <c r="L464" s="74">
        <v>6.1689999999999996</v>
      </c>
      <c r="M464" s="85">
        <v>7</v>
      </c>
      <c r="N464" s="74">
        <v>0.19600000000000001</v>
      </c>
      <c r="O464">
        <v>2</v>
      </c>
      <c r="P464" s="84">
        <v>0.19600000000000001</v>
      </c>
      <c r="Q464" s="86">
        <v>4.2</v>
      </c>
      <c r="R464" s="85">
        <v>4.2</v>
      </c>
      <c r="S464" s="87">
        <v>839680</v>
      </c>
      <c r="T464" s="1">
        <v>4</v>
      </c>
      <c r="U464" s="88">
        <v>199923.80952380953</v>
      </c>
      <c r="V464" s="59">
        <v>5.0019054878048781</v>
      </c>
    </row>
    <row r="465" spans="1:22">
      <c r="A465" s="58">
        <v>465</v>
      </c>
      <c r="B465" s="58">
        <v>465</v>
      </c>
      <c r="C465" s="58" t="s">
        <v>934</v>
      </c>
      <c r="D465" s="58" t="s">
        <v>234</v>
      </c>
      <c r="E465" s="58" t="s">
        <v>234</v>
      </c>
      <c r="F465" s="58" t="s">
        <v>935</v>
      </c>
      <c r="G465" s="58" t="s">
        <v>936</v>
      </c>
      <c r="H465" s="58" t="s">
        <v>179</v>
      </c>
      <c r="I465">
        <v>38000</v>
      </c>
      <c r="J465">
        <v>38000</v>
      </c>
      <c r="K465" s="58" t="s">
        <v>185</v>
      </c>
      <c r="L465" s="74">
        <v>6.835</v>
      </c>
      <c r="M465" s="85">
        <v>7</v>
      </c>
      <c r="N465" s="74">
        <v>0.108</v>
      </c>
      <c r="O465">
        <v>2</v>
      </c>
      <c r="P465" s="84">
        <v>0.108</v>
      </c>
      <c r="Q465" s="86">
        <v>4.2</v>
      </c>
      <c r="R465" s="85">
        <v>4.2</v>
      </c>
      <c r="S465" s="87">
        <v>839680</v>
      </c>
      <c r="T465" s="1">
        <v>4</v>
      </c>
      <c r="U465" s="88">
        <v>199923.80952380953</v>
      </c>
      <c r="V465" s="59">
        <v>5.0019054878048781</v>
      </c>
    </row>
    <row r="466" spans="1:22">
      <c r="A466" s="58">
        <v>466</v>
      </c>
      <c r="B466" s="58">
        <v>466</v>
      </c>
      <c r="C466" s="58" t="s">
        <v>937</v>
      </c>
      <c r="D466" s="58" t="s">
        <v>234</v>
      </c>
      <c r="E466" s="58" t="s">
        <v>234</v>
      </c>
      <c r="F466" s="58" t="s">
        <v>938</v>
      </c>
      <c r="G466" s="58" t="s">
        <v>939</v>
      </c>
      <c r="H466" s="58" t="s">
        <v>179</v>
      </c>
      <c r="I466">
        <v>38000</v>
      </c>
      <c r="J466">
        <v>38000</v>
      </c>
      <c r="K466" s="58" t="s">
        <v>185</v>
      </c>
      <c r="L466" s="74">
        <v>11.055999999999999</v>
      </c>
      <c r="M466" s="85">
        <v>12</v>
      </c>
      <c r="N466" s="74">
        <v>0.16600000000000001</v>
      </c>
      <c r="O466">
        <v>2</v>
      </c>
      <c r="P466" s="84">
        <v>0.16600000000000001</v>
      </c>
      <c r="Q466" s="86">
        <v>4.2</v>
      </c>
      <c r="R466" s="85">
        <v>4.2</v>
      </c>
      <c r="S466" s="87">
        <v>1492540</v>
      </c>
      <c r="T466" s="1">
        <v>1</v>
      </c>
      <c r="U466" s="88">
        <v>355366.66666666663</v>
      </c>
      <c r="V466" s="59">
        <v>2.8139949348091173</v>
      </c>
    </row>
    <row r="467" spans="1:22">
      <c r="A467" s="58">
        <v>467</v>
      </c>
      <c r="B467" s="58">
        <v>467</v>
      </c>
      <c r="C467" s="58" t="s">
        <v>940</v>
      </c>
      <c r="D467" s="58" t="s">
        <v>346</v>
      </c>
      <c r="E467" s="58" t="s">
        <v>346</v>
      </c>
      <c r="F467" s="58" t="s">
        <v>941</v>
      </c>
      <c r="G467" s="58" t="s">
        <v>942</v>
      </c>
      <c r="H467" s="58" t="s">
        <v>179</v>
      </c>
      <c r="I467">
        <v>38000</v>
      </c>
      <c r="J467">
        <v>38000</v>
      </c>
      <c r="K467">
        <v>10000</v>
      </c>
      <c r="L467" s="74">
        <v>6.0990000000000002</v>
      </c>
      <c r="M467" s="85">
        <v>7</v>
      </c>
      <c r="N467" s="74">
        <v>0.13700000000000001</v>
      </c>
      <c r="O467">
        <v>2</v>
      </c>
      <c r="P467" s="84">
        <v>0.13700000000000001</v>
      </c>
      <c r="Q467" s="86">
        <v>4.2</v>
      </c>
      <c r="R467" s="85">
        <v>4.2</v>
      </c>
      <c r="S467" s="87">
        <v>839680</v>
      </c>
      <c r="T467" s="1">
        <v>4</v>
      </c>
      <c r="U467" s="88">
        <v>199923.80952380953</v>
      </c>
      <c r="V467" s="59">
        <v>5.0019054878048781</v>
      </c>
    </row>
    <row r="468" spans="1:22">
      <c r="A468" s="58">
        <v>468</v>
      </c>
      <c r="B468" s="58">
        <v>468</v>
      </c>
      <c r="C468" s="58" t="s">
        <v>943</v>
      </c>
      <c r="D468" s="58" t="s">
        <v>346</v>
      </c>
      <c r="E468" s="58" t="s">
        <v>346</v>
      </c>
      <c r="F468" s="58" t="s">
        <v>941</v>
      </c>
      <c r="G468" s="58" t="s">
        <v>942</v>
      </c>
      <c r="H468" s="58" t="s">
        <v>179</v>
      </c>
      <c r="I468">
        <v>38000</v>
      </c>
      <c r="J468">
        <v>38000</v>
      </c>
      <c r="K468">
        <v>10000</v>
      </c>
      <c r="L468" s="74">
        <v>3.0859999999999999</v>
      </c>
      <c r="M468" s="85">
        <v>4</v>
      </c>
      <c r="N468" s="74">
        <v>0.157</v>
      </c>
      <c r="O468">
        <v>2</v>
      </c>
      <c r="P468" s="84">
        <v>0.157</v>
      </c>
      <c r="Q468" s="86">
        <v>4.2</v>
      </c>
      <c r="R468" s="85">
        <v>4.2</v>
      </c>
      <c r="S468" s="87">
        <v>628870</v>
      </c>
      <c r="T468" s="1">
        <v>4</v>
      </c>
      <c r="U468" s="88">
        <v>149730.95238095237</v>
      </c>
      <c r="V468" s="59">
        <v>6.6786458250512828</v>
      </c>
    </row>
    <row r="469" spans="1:22">
      <c r="A469" s="58">
        <v>469</v>
      </c>
      <c r="B469" s="58">
        <v>469</v>
      </c>
      <c r="C469" s="58" t="s">
        <v>944</v>
      </c>
      <c r="D469" s="58" t="s">
        <v>346</v>
      </c>
      <c r="E469" s="58" t="s">
        <v>234</v>
      </c>
      <c r="F469" s="58" t="s">
        <v>945</v>
      </c>
      <c r="G469" s="58" t="s">
        <v>946</v>
      </c>
      <c r="H469" s="58" t="s">
        <v>179</v>
      </c>
      <c r="I469">
        <v>38000</v>
      </c>
      <c r="J469">
        <v>38000</v>
      </c>
      <c r="K469" s="58" t="s">
        <v>185</v>
      </c>
      <c r="L469" s="74">
        <v>8.7240000000000002</v>
      </c>
      <c r="M469" s="85">
        <v>9</v>
      </c>
      <c r="N469" s="74">
        <v>0.28000000000000003</v>
      </c>
      <c r="O469">
        <v>2</v>
      </c>
      <c r="P469" s="84">
        <v>0.28000000000000003</v>
      </c>
      <c r="Q469" s="86">
        <v>4.2</v>
      </c>
      <c r="R469" s="85">
        <v>4.2</v>
      </c>
      <c r="S469" s="87">
        <v>1334440</v>
      </c>
      <c r="T469" s="1">
        <v>1</v>
      </c>
      <c r="U469" s="88">
        <v>317723.80952380953</v>
      </c>
      <c r="V469" s="59">
        <v>3.1473876682353645</v>
      </c>
    </row>
    <row r="470" spans="1:22">
      <c r="A470" s="58">
        <v>470</v>
      </c>
      <c r="B470" s="58">
        <v>470</v>
      </c>
      <c r="C470" s="58" t="s">
        <v>947</v>
      </c>
      <c r="D470" s="58" t="s">
        <v>234</v>
      </c>
      <c r="E470" s="58" t="s">
        <v>234</v>
      </c>
      <c r="F470" s="58" t="s">
        <v>630</v>
      </c>
      <c r="G470" s="58" t="s">
        <v>631</v>
      </c>
      <c r="H470" s="58" t="s">
        <v>179</v>
      </c>
      <c r="I470">
        <v>38000</v>
      </c>
      <c r="J470" s="58" t="s">
        <v>185</v>
      </c>
      <c r="K470">
        <v>38000</v>
      </c>
      <c r="L470" s="74">
        <v>11.465999999999999</v>
      </c>
      <c r="M470" s="85">
        <v>12</v>
      </c>
      <c r="N470" s="74">
        <v>0.13</v>
      </c>
      <c r="O470">
        <v>2</v>
      </c>
      <c r="P470" s="84">
        <v>0.13</v>
      </c>
      <c r="Q470" s="86">
        <v>4.2</v>
      </c>
      <c r="R470" s="85">
        <v>4.2</v>
      </c>
      <c r="S470" s="87">
        <v>1492540</v>
      </c>
      <c r="T470" s="1">
        <v>1</v>
      </c>
      <c r="U470" s="88">
        <v>355366.66666666663</v>
      </c>
      <c r="V470" s="59">
        <v>2.8139949348091173</v>
      </c>
    </row>
    <row r="471" spans="1:22">
      <c r="A471" s="58">
        <v>471</v>
      </c>
      <c r="B471" s="58">
        <v>471</v>
      </c>
      <c r="C471" s="58" t="s">
        <v>948</v>
      </c>
      <c r="D471" s="58" t="s">
        <v>182</v>
      </c>
      <c r="E471" s="58" t="s">
        <v>182</v>
      </c>
      <c r="F471" s="58" t="s">
        <v>949</v>
      </c>
      <c r="G471" s="58" t="s">
        <v>950</v>
      </c>
      <c r="H471" s="58" t="s">
        <v>179</v>
      </c>
      <c r="I471">
        <v>38000</v>
      </c>
      <c r="J471">
        <v>38000</v>
      </c>
      <c r="K471">
        <v>20000</v>
      </c>
      <c r="L471" s="74">
        <v>6.6040000000000001</v>
      </c>
      <c r="M471" s="85">
        <v>7</v>
      </c>
      <c r="N471" s="74">
        <v>0.214</v>
      </c>
      <c r="O471">
        <v>2</v>
      </c>
      <c r="P471" s="84">
        <v>0.214</v>
      </c>
      <c r="Q471" s="86">
        <v>4.2</v>
      </c>
      <c r="R471" s="85">
        <v>4.2</v>
      </c>
      <c r="S471" s="87">
        <v>839680</v>
      </c>
      <c r="T471" s="1">
        <v>4</v>
      </c>
      <c r="U471" s="88">
        <v>199923.80952380953</v>
      </c>
      <c r="V471" s="59">
        <v>5.0019054878048781</v>
      </c>
    </row>
    <row r="472" spans="1:22">
      <c r="A472" s="58">
        <v>472</v>
      </c>
      <c r="B472" s="58">
        <v>472</v>
      </c>
      <c r="C472" s="58" t="s">
        <v>951</v>
      </c>
      <c r="D472" s="58" t="s">
        <v>182</v>
      </c>
      <c r="E472" s="58" t="s">
        <v>182</v>
      </c>
      <c r="F472" s="58" t="s">
        <v>949</v>
      </c>
      <c r="G472" s="58" t="s">
        <v>950</v>
      </c>
      <c r="H472" s="58" t="s">
        <v>179</v>
      </c>
      <c r="I472">
        <v>38000</v>
      </c>
      <c r="J472">
        <v>38000</v>
      </c>
      <c r="K472">
        <v>20000</v>
      </c>
      <c r="L472" s="74">
        <v>7.383</v>
      </c>
      <c r="M472" s="85">
        <v>8</v>
      </c>
      <c r="N472" s="74">
        <v>0.10299999999999999</v>
      </c>
      <c r="O472">
        <v>2</v>
      </c>
      <c r="P472" s="84">
        <v>0.10299999999999999</v>
      </c>
      <c r="Q472" s="86">
        <v>4.2</v>
      </c>
      <c r="R472" s="85">
        <v>4.2</v>
      </c>
      <c r="S472" s="87">
        <v>909950</v>
      </c>
      <c r="T472" s="1">
        <v>4</v>
      </c>
      <c r="U472" s="88">
        <v>216654.76190476189</v>
      </c>
      <c r="V472" s="59">
        <v>4.6156382218803227</v>
      </c>
    </row>
    <row r="473" spans="1:22">
      <c r="A473" s="58">
        <v>473</v>
      </c>
      <c r="B473" s="58">
        <v>473</v>
      </c>
      <c r="C473" s="58" t="s">
        <v>952</v>
      </c>
      <c r="D473" s="58" t="s">
        <v>182</v>
      </c>
      <c r="E473" s="58" t="s">
        <v>182</v>
      </c>
      <c r="F473" s="58" t="s">
        <v>949</v>
      </c>
      <c r="G473" s="58" t="s">
        <v>950</v>
      </c>
      <c r="H473" s="58" t="s">
        <v>179</v>
      </c>
      <c r="I473">
        <v>38000</v>
      </c>
      <c r="J473">
        <v>38000</v>
      </c>
      <c r="K473">
        <v>20000</v>
      </c>
      <c r="L473" s="74">
        <v>7.0789999999999997</v>
      </c>
      <c r="M473" s="85">
        <v>8</v>
      </c>
      <c r="N473" s="74">
        <v>0.124</v>
      </c>
      <c r="O473">
        <v>2</v>
      </c>
      <c r="P473" s="84">
        <v>0.124</v>
      </c>
      <c r="Q473" s="86">
        <v>4.2</v>
      </c>
      <c r="R473" s="85">
        <v>4.2</v>
      </c>
      <c r="S473" s="87">
        <v>909950</v>
      </c>
      <c r="T473" s="1">
        <v>4</v>
      </c>
      <c r="U473" s="88">
        <v>216654.76190476189</v>
      </c>
      <c r="V473" s="59">
        <v>4.6156382218803227</v>
      </c>
    </row>
    <row r="474" spans="1:22">
      <c r="A474" s="58">
        <v>474</v>
      </c>
      <c r="B474" s="58">
        <v>474</v>
      </c>
      <c r="C474" s="58" t="s">
        <v>953</v>
      </c>
      <c r="D474" s="58" t="s">
        <v>234</v>
      </c>
      <c r="E474" s="58" t="s">
        <v>234</v>
      </c>
      <c r="F474" s="58" t="s">
        <v>337</v>
      </c>
      <c r="G474" s="58" t="s">
        <v>338</v>
      </c>
      <c r="H474" s="58" t="s">
        <v>179</v>
      </c>
      <c r="I474">
        <v>38000</v>
      </c>
      <c r="J474">
        <v>38000</v>
      </c>
      <c r="K474" s="58" t="s">
        <v>185</v>
      </c>
      <c r="L474" s="74">
        <v>5.9829999999999997</v>
      </c>
      <c r="M474" s="85">
        <v>6</v>
      </c>
      <c r="N474" s="74">
        <v>0.20799999999999999</v>
      </c>
      <c r="O474">
        <v>2</v>
      </c>
      <c r="P474" s="84">
        <v>0.20799999999999999</v>
      </c>
      <c r="Q474" s="86">
        <v>4.2</v>
      </c>
      <c r="R474" s="85">
        <v>4.2</v>
      </c>
      <c r="S474" s="87">
        <v>769410</v>
      </c>
      <c r="T474" s="1">
        <v>4</v>
      </c>
      <c r="U474" s="88">
        <v>183192.85714285713</v>
      </c>
      <c r="V474" s="59">
        <v>5.4587281163488903</v>
      </c>
    </row>
    <row r="475" spans="1:22">
      <c r="A475" s="58">
        <v>475</v>
      </c>
      <c r="B475" s="58">
        <v>475</v>
      </c>
      <c r="C475" s="58" t="s">
        <v>954</v>
      </c>
      <c r="D475" s="58" t="s">
        <v>253</v>
      </c>
      <c r="E475" s="58" t="s">
        <v>253</v>
      </c>
      <c r="F475" s="58" t="s">
        <v>254</v>
      </c>
      <c r="G475" s="58" t="s">
        <v>255</v>
      </c>
      <c r="H475" s="58" t="s">
        <v>179</v>
      </c>
      <c r="I475">
        <v>38000</v>
      </c>
      <c r="J475">
        <v>38000</v>
      </c>
      <c r="K475" s="58" t="s">
        <v>185</v>
      </c>
      <c r="L475" s="74">
        <v>1.639</v>
      </c>
      <c r="M475" s="85">
        <v>2</v>
      </c>
      <c r="N475" s="74">
        <v>0.222</v>
      </c>
      <c r="O475">
        <v>2</v>
      </c>
      <c r="P475" s="84">
        <v>0.222</v>
      </c>
      <c r="Q475" s="86">
        <v>4.2</v>
      </c>
      <c r="R475" s="85">
        <v>4.2</v>
      </c>
      <c r="S475" s="87">
        <v>488330</v>
      </c>
      <c r="T475" s="1">
        <v>4</v>
      </c>
      <c r="U475" s="88">
        <v>116269.04761904762</v>
      </c>
      <c r="V475" s="59">
        <v>8.6007413019884087</v>
      </c>
    </row>
    <row r="476" spans="1:22">
      <c r="A476" s="58">
        <v>476</v>
      </c>
      <c r="B476" s="58">
        <v>476</v>
      </c>
      <c r="C476" s="58" t="s">
        <v>955</v>
      </c>
      <c r="D476" s="58" t="s">
        <v>182</v>
      </c>
      <c r="E476" s="58" t="s">
        <v>182</v>
      </c>
      <c r="F476" s="58" t="s">
        <v>956</v>
      </c>
      <c r="G476" s="58" t="s">
        <v>957</v>
      </c>
      <c r="H476" s="58" t="s">
        <v>179</v>
      </c>
      <c r="I476">
        <v>38000</v>
      </c>
      <c r="J476">
        <v>38000</v>
      </c>
      <c r="K476" s="58" t="s">
        <v>185</v>
      </c>
      <c r="L476" s="74">
        <v>6.7130000000000001</v>
      </c>
      <c r="M476" s="85">
        <v>7</v>
      </c>
      <c r="N476" s="74">
        <v>0.34300000000000003</v>
      </c>
      <c r="O476">
        <v>2</v>
      </c>
      <c r="P476" s="84">
        <v>0.34300000000000003</v>
      </c>
      <c r="Q476" s="86">
        <v>4.2</v>
      </c>
      <c r="R476" s="85">
        <v>4.2</v>
      </c>
      <c r="S476" s="87">
        <v>839680</v>
      </c>
      <c r="T476" s="1">
        <v>4</v>
      </c>
      <c r="U476" s="88">
        <v>199923.80952380953</v>
      </c>
      <c r="V476" s="59">
        <v>5.0019054878048781</v>
      </c>
    </row>
    <row r="477" spans="1:22">
      <c r="A477" s="58">
        <v>477</v>
      </c>
      <c r="B477" s="58">
        <v>477</v>
      </c>
      <c r="C477" s="58" t="s">
        <v>958</v>
      </c>
      <c r="D477" s="58" t="s">
        <v>234</v>
      </c>
      <c r="E477" s="58" t="s">
        <v>234</v>
      </c>
      <c r="F477" s="58" t="s">
        <v>959</v>
      </c>
      <c r="G477" s="58" t="s">
        <v>960</v>
      </c>
      <c r="H477" s="58" t="s">
        <v>179</v>
      </c>
      <c r="I477">
        <v>38000</v>
      </c>
      <c r="J477">
        <v>38000</v>
      </c>
      <c r="K477" s="58" t="s">
        <v>185</v>
      </c>
      <c r="L477" s="74">
        <v>8.2119999999999997</v>
      </c>
      <c r="M477" s="85">
        <v>9</v>
      </c>
      <c r="N477" s="74">
        <v>0.38500000000000001</v>
      </c>
      <c r="O477">
        <v>2</v>
      </c>
      <c r="P477" s="84">
        <v>0.38500000000000001</v>
      </c>
      <c r="Q477" s="86">
        <v>4.2</v>
      </c>
      <c r="R477" s="85">
        <v>4.2</v>
      </c>
      <c r="S477" s="87">
        <v>1334440</v>
      </c>
      <c r="T477" s="1">
        <v>1</v>
      </c>
      <c r="U477" s="88">
        <v>317723.80952380953</v>
      </c>
      <c r="V477" s="59">
        <v>3.1473876682353645</v>
      </c>
    </row>
    <row r="478" spans="1:22">
      <c r="A478" s="58">
        <v>478</v>
      </c>
      <c r="B478" s="58">
        <v>478</v>
      </c>
      <c r="C478" s="58" t="s">
        <v>961</v>
      </c>
      <c r="D478" s="58" t="s">
        <v>234</v>
      </c>
      <c r="E478" s="58" t="s">
        <v>234</v>
      </c>
      <c r="F478" s="58" t="s">
        <v>935</v>
      </c>
      <c r="G478" s="58" t="s">
        <v>936</v>
      </c>
      <c r="H478" s="58" t="s">
        <v>179</v>
      </c>
      <c r="I478">
        <v>38000</v>
      </c>
      <c r="J478">
        <v>38000</v>
      </c>
      <c r="K478" s="58" t="s">
        <v>185</v>
      </c>
      <c r="L478" s="74">
        <v>6.7439999999999998</v>
      </c>
      <c r="M478" s="85">
        <v>7</v>
      </c>
      <c r="N478" s="74">
        <v>0.21099999999999999</v>
      </c>
      <c r="O478">
        <v>2</v>
      </c>
      <c r="P478" s="84">
        <v>0.21099999999999999</v>
      </c>
      <c r="Q478" s="86">
        <v>4.2</v>
      </c>
      <c r="R478" s="85">
        <v>4.2</v>
      </c>
      <c r="S478" s="87">
        <v>839680</v>
      </c>
      <c r="T478" s="1">
        <v>4</v>
      </c>
      <c r="U478" s="88">
        <v>199923.80952380953</v>
      </c>
      <c r="V478" s="59">
        <v>5.0019054878048781</v>
      </c>
    </row>
    <row r="479" spans="1:22">
      <c r="A479" s="58">
        <v>479</v>
      </c>
      <c r="B479" s="58">
        <v>479</v>
      </c>
      <c r="C479" s="58" t="s">
        <v>962</v>
      </c>
      <c r="D479" s="58" t="s">
        <v>234</v>
      </c>
      <c r="E479" s="58" t="s">
        <v>234</v>
      </c>
      <c r="F479" s="58" t="s">
        <v>935</v>
      </c>
      <c r="G479" s="58" t="s">
        <v>936</v>
      </c>
      <c r="H479" s="58" t="s">
        <v>179</v>
      </c>
      <c r="I479">
        <v>38000</v>
      </c>
      <c r="J479">
        <v>38000</v>
      </c>
      <c r="K479" s="58" t="s">
        <v>185</v>
      </c>
      <c r="L479" s="74">
        <v>7.2919999999999998</v>
      </c>
      <c r="M479" s="85">
        <v>8</v>
      </c>
      <c r="N479" s="74">
        <v>0.27400000000000002</v>
      </c>
      <c r="O479">
        <v>2</v>
      </c>
      <c r="P479" s="84">
        <v>0.27400000000000002</v>
      </c>
      <c r="Q479" s="86">
        <v>4.2</v>
      </c>
      <c r="R479" s="85">
        <v>4.2</v>
      </c>
      <c r="S479" s="87">
        <v>909950</v>
      </c>
      <c r="T479" s="1">
        <v>4</v>
      </c>
      <c r="U479" s="88">
        <v>216654.76190476189</v>
      </c>
      <c r="V479" s="59">
        <v>4.6156382218803227</v>
      </c>
    </row>
    <row r="480" spans="1:22">
      <c r="A480" s="58">
        <v>480</v>
      </c>
      <c r="B480" s="58">
        <v>480</v>
      </c>
      <c r="C480" s="58" t="s">
        <v>963</v>
      </c>
      <c r="D480" s="58" t="s">
        <v>187</v>
      </c>
      <c r="E480" s="58" t="s">
        <v>187</v>
      </c>
      <c r="F480" s="58" t="s">
        <v>531</v>
      </c>
      <c r="G480" s="58" t="s">
        <v>532</v>
      </c>
      <c r="H480" s="58" t="s">
        <v>179</v>
      </c>
      <c r="I480">
        <v>38000</v>
      </c>
      <c r="J480">
        <v>38000</v>
      </c>
      <c r="K480" s="58" t="s">
        <v>185</v>
      </c>
      <c r="L480" s="74">
        <v>6.06</v>
      </c>
      <c r="M480" s="85">
        <v>7</v>
      </c>
      <c r="N480" s="74">
        <v>0.13400000000000001</v>
      </c>
      <c r="O480">
        <v>2</v>
      </c>
      <c r="P480" s="84">
        <v>0.13400000000000001</v>
      </c>
      <c r="Q480" s="86">
        <v>4.2</v>
      </c>
      <c r="R480" s="85">
        <v>4.2</v>
      </c>
      <c r="S480" s="87">
        <v>839680</v>
      </c>
      <c r="T480" s="1">
        <v>4</v>
      </c>
      <c r="U480" s="88">
        <v>199923.80952380953</v>
      </c>
      <c r="V480" s="59">
        <v>5.0019054878048781</v>
      </c>
    </row>
    <row r="481" spans="1:22">
      <c r="A481" s="58">
        <v>481</v>
      </c>
      <c r="B481" s="58">
        <v>481</v>
      </c>
      <c r="C481" s="58" t="s">
        <v>964</v>
      </c>
      <c r="D481" s="58" t="s">
        <v>182</v>
      </c>
      <c r="E481" s="58" t="s">
        <v>182</v>
      </c>
      <c r="F481" s="58" t="s">
        <v>183</v>
      </c>
      <c r="G481" s="58" t="s">
        <v>184</v>
      </c>
      <c r="H481" s="58" t="s">
        <v>179</v>
      </c>
      <c r="I481">
        <v>38000</v>
      </c>
      <c r="J481">
        <v>38000</v>
      </c>
      <c r="K481" s="58" t="s">
        <v>185</v>
      </c>
      <c r="L481" s="74">
        <v>9.3719999999999999</v>
      </c>
      <c r="M481" s="85">
        <v>10</v>
      </c>
      <c r="N481" s="74">
        <v>0.128</v>
      </c>
      <c r="O481">
        <v>2</v>
      </c>
      <c r="P481" s="84">
        <v>0.128</v>
      </c>
      <c r="Q481" s="86">
        <v>4.2</v>
      </c>
      <c r="R481" s="85">
        <v>4.2</v>
      </c>
      <c r="S481" s="87">
        <v>1387140</v>
      </c>
      <c r="T481" s="1">
        <v>1</v>
      </c>
      <c r="U481" s="88">
        <v>330271.42857142858</v>
      </c>
      <c r="V481" s="59">
        <v>3.0278126216531858</v>
      </c>
    </row>
    <row r="482" spans="1:22">
      <c r="A482" s="58">
        <v>482</v>
      </c>
      <c r="B482" s="58">
        <v>482</v>
      </c>
      <c r="C482" s="58" t="s">
        <v>965</v>
      </c>
      <c r="D482" s="58" t="s">
        <v>234</v>
      </c>
      <c r="E482" s="58" t="s">
        <v>234</v>
      </c>
      <c r="F482" s="58" t="s">
        <v>326</v>
      </c>
      <c r="G482" s="58" t="s">
        <v>327</v>
      </c>
      <c r="H482" s="58" t="s">
        <v>199</v>
      </c>
      <c r="I482">
        <v>110000</v>
      </c>
      <c r="J482">
        <v>110000</v>
      </c>
      <c r="K482">
        <v>38000</v>
      </c>
      <c r="L482" s="74">
        <v>12.004</v>
      </c>
      <c r="M482" s="85">
        <v>13</v>
      </c>
      <c r="N482" s="74">
        <v>0.10299999999999999</v>
      </c>
      <c r="O482">
        <v>2</v>
      </c>
      <c r="P482" s="84">
        <v>0.10299999999999999</v>
      </c>
      <c r="Q482" s="86">
        <v>4.2</v>
      </c>
      <c r="R482" s="85">
        <v>4.2</v>
      </c>
      <c r="S482" s="87">
        <v>2101570</v>
      </c>
      <c r="T482" s="1">
        <v>7</v>
      </c>
      <c r="U482" s="88">
        <v>500373.80952380953</v>
      </c>
      <c r="V482" s="59">
        <v>1.9985058789381271</v>
      </c>
    </row>
    <row r="483" spans="1:22">
      <c r="A483" s="58">
        <v>483</v>
      </c>
      <c r="B483" s="58">
        <v>483</v>
      </c>
      <c r="C483" s="58" t="s">
        <v>966</v>
      </c>
      <c r="D483" s="58" t="s">
        <v>346</v>
      </c>
      <c r="E483" s="58" t="s">
        <v>346</v>
      </c>
      <c r="F483" s="58" t="s">
        <v>646</v>
      </c>
      <c r="G483" s="58" t="s">
        <v>647</v>
      </c>
      <c r="H483" s="58" t="s">
        <v>179</v>
      </c>
      <c r="I483">
        <v>38000</v>
      </c>
      <c r="J483" s="58" t="s">
        <v>185</v>
      </c>
      <c r="K483">
        <v>38000</v>
      </c>
      <c r="L483" s="74">
        <v>8.5649999999999995</v>
      </c>
      <c r="M483" s="85">
        <v>9</v>
      </c>
      <c r="N483" s="74">
        <v>0.113</v>
      </c>
      <c r="O483">
        <v>2</v>
      </c>
      <c r="P483" s="84">
        <v>0.113</v>
      </c>
      <c r="Q483" s="86">
        <v>4.2</v>
      </c>
      <c r="R483" s="85">
        <v>4.2</v>
      </c>
      <c r="S483" s="87">
        <v>1334440</v>
      </c>
      <c r="T483" s="1">
        <v>1</v>
      </c>
      <c r="U483" s="88">
        <v>317723.80952380953</v>
      </c>
      <c r="V483" s="59">
        <v>3.1473876682353645</v>
      </c>
    </row>
    <row r="484" spans="1:22">
      <c r="A484" s="58">
        <v>484</v>
      </c>
      <c r="B484" s="58">
        <v>484</v>
      </c>
      <c r="C484" s="58" t="s">
        <v>967</v>
      </c>
      <c r="D484" s="58" t="s">
        <v>234</v>
      </c>
      <c r="E484" s="58" t="s">
        <v>234</v>
      </c>
      <c r="F484" s="58" t="s">
        <v>595</v>
      </c>
      <c r="G484" s="58" t="s">
        <v>596</v>
      </c>
      <c r="H484" s="58" t="s">
        <v>179</v>
      </c>
      <c r="I484">
        <v>38000</v>
      </c>
      <c r="J484">
        <v>38000</v>
      </c>
      <c r="K484" s="58" t="s">
        <v>185</v>
      </c>
      <c r="L484" s="74">
        <v>5.78</v>
      </c>
      <c r="M484" s="85">
        <v>6</v>
      </c>
      <c r="N484" s="74">
        <v>0.109</v>
      </c>
      <c r="O484">
        <v>2</v>
      </c>
      <c r="P484" s="84">
        <v>0.109</v>
      </c>
      <c r="Q484" s="86">
        <v>4.2</v>
      </c>
      <c r="R484" s="85">
        <v>4.2</v>
      </c>
      <c r="S484" s="87">
        <v>769410</v>
      </c>
      <c r="T484" s="1">
        <v>4</v>
      </c>
      <c r="U484" s="88">
        <v>183192.85714285713</v>
      </c>
      <c r="V484" s="59">
        <v>5.4587281163488903</v>
      </c>
    </row>
    <row r="485" spans="1:22">
      <c r="A485" s="58">
        <v>485</v>
      </c>
      <c r="B485" s="58">
        <v>485</v>
      </c>
      <c r="C485" s="58" t="s">
        <v>968</v>
      </c>
      <c r="D485" s="58" t="s">
        <v>187</v>
      </c>
      <c r="E485" s="58" t="s">
        <v>187</v>
      </c>
      <c r="F485" s="58" t="s">
        <v>435</v>
      </c>
      <c r="G485" s="58" t="s">
        <v>436</v>
      </c>
      <c r="H485" s="58" t="s">
        <v>199</v>
      </c>
      <c r="I485">
        <v>110000</v>
      </c>
      <c r="J485">
        <v>38000</v>
      </c>
      <c r="K485">
        <v>110000</v>
      </c>
      <c r="L485" s="74">
        <v>1.2789999999999999</v>
      </c>
      <c r="M485" s="85">
        <v>2</v>
      </c>
      <c r="N485" s="74">
        <v>0.32900000000000001</v>
      </c>
      <c r="O485">
        <v>2</v>
      </c>
      <c r="P485" s="84">
        <v>0.32900000000000001</v>
      </c>
      <c r="Q485" s="86">
        <v>4.2</v>
      </c>
      <c r="R485" s="85">
        <v>4.2</v>
      </c>
      <c r="S485" s="87">
        <v>1340080</v>
      </c>
      <c r="T485" s="1">
        <v>11</v>
      </c>
      <c r="U485" s="88">
        <v>319066.66666666663</v>
      </c>
      <c r="V485" s="59">
        <v>3.134141245298788</v>
      </c>
    </row>
    <row r="486" spans="1:22">
      <c r="A486" s="58">
        <v>486</v>
      </c>
      <c r="B486" s="58">
        <v>486</v>
      </c>
      <c r="C486" s="58" t="s">
        <v>969</v>
      </c>
      <c r="D486" s="58" t="s">
        <v>234</v>
      </c>
      <c r="E486" s="58" t="s">
        <v>234</v>
      </c>
      <c r="F486" s="58" t="s">
        <v>630</v>
      </c>
      <c r="G486" s="58" t="s">
        <v>631</v>
      </c>
      <c r="H486" s="58" t="s">
        <v>179</v>
      </c>
      <c r="I486">
        <v>38000</v>
      </c>
      <c r="J486" s="58" t="s">
        <v>185</v>
      </c>
      <c r="K486">
        <v>38000</v>
      </c>
      <c r="L486" s="74">
        <v>1.8180000000000001</v>
      </c>
      <c r="M486" s="85">
        <v>2</v>
      </c>
      <c r="N486" s="74">
        <v>0.30099999999999999</v>
      </c>
      <c r="O486">
        <v>2</v>
      </c>
      <c r="P486" s="84">
        <v>0.30099999999999999</v>
      </c>
      <c r="Q486" s="86">
        <v>4.2</v>
      </c>
      <c r="R486" s="85">
        <v>4.2</v>
      </c>
      <c r="S486" s="87">
        <v>488330</v>
      </c>
      <c r="T486" s="1">
        <v>4</v>
      </c>
      <c r="U486" s="88">
        <v>116269.04761904762</v>
      </c>
      <c r="V486" s="59">
        <v>8.6007413019884087</v>
      </c>
    </row>
    <row r="487" spans="1:22">
      <c r="A487" s="58">
        <v>487</v>
      </c>
      <c r="B487" s="58">
        <v>487</v>
      </c>
      <c r="C487" s="58" t="s">
        <v>970</v>
      </c>
      <c r="D487" s="58" t="s">
        <v>182</v>
      </c>
      <c r="E487" s="58" t="s">
        <v>182</v>
      </c>
      <c r="F487" s="58" t="s">
        <v>971</v>
      </c>
      <c r="G487" s="58" t="s">
        <v>972</v>
      </c>
      <c r="H487" s="58" t="s">
        <v>199</v>
      </c>
      <c r="I487">
        <v>110000</v>
      </c>
      <c r="J487">
        <v>110000</v>
      </c>
      <c r="K487">
        <v>38000</v>
      </c>
      <c r="L487" s="74">
        <v>9.6310000000000002</v>
      </c>
      <c r="M487" s="85">
        <v>10</v>
      </c>
      <c r="N487" s="74">
        <v>0.51700000000000002</v>
      </c>
      <c r="O487">
        <v>2</v>
      </c>
      <c r="P487" s="84">
        <v>0.51700000000000002</v>
      </c>
      <c r="Q487" s="86">
        <v>4.2</v>
      </c>
      <c r="R487" s="85">
        <v>4.2</v>
      </c>
      <c r="S487" s="87">
        <v>1943470</v>
      </c>
      <c r="T487" s="1">
        <v>7</v>
      </c>
      <c r="U487" s="88">
        <v>462730.95238095237</v>
      </c>
      <c r="V487" s="59">
        <v>2.1610830113148132</v>
      </c>
    </row>
    <row r="488" spans="1:22">
      <c r="A488" s="58">
        <v>488</v>
      </c>
      <c r="B488" s="58">
        <v>488</v>
      </c>
      <c r="C488" s="58" t="s">
        <v>973</v>
      </c>
      <c r="D488" s="58" t="s">
        <v>215</v>
      </c>
      <c r="E488" s="58" t="s">
        <v>215</v>
      </c>
      <c r="F488" s="58" t="s">
        <v>724</v>
      </c>
      <c r="G488" s="58" t="s">
        <v>725</v>
      </c>
      <c r="H488" s="58" t="s">
        <v>179</v>
      </c>
      <c r="I488">
        <v>38000</v>
      </c>
      <c r="J488" s="58" t="s">
        <v>185</v>
      </c>
      <c r="K488">
        <v>38000</v>
      </c>
      <c r="L488" s="74">
        <v>2.3380000000000001</v>
      </c>
      <c r="M488" s="85">
        <v>3</v>
      </c>
      <c r="N488" s="74">
        <v>0.51200000000000001</v>
      </c>
      <c r="O488">
        <v>2</v>
      </c>
      <c r="P488" s="84">
        <v>0.51200000000000001</v>
      </c>
      <c r="Q488" s="86">
        <v>4.2</v>
      </c>
      <c r="R488" s="85">
        <v>4.2</v>
      </c>
      <c r="S488" s="87">
        <v>558600</v>
      </c>
      <c r="T488" s="1">
        <v>4</v>
      </c>
      <c r="U488" s="88">
        <v>133000</v>
      </c>
      <c r="V488" s="59">
        <v>7.518796992481203</v>
      </c>
    </row>
    <row r="489" spans="1:22">
      <c r="A489" s="58">
        <v>489</v>
      </c>
      <c r="B489" s="58">
        <v>489</v>
      </c>
      <c r="C489" s="58" t="s">
        <v>974</v>
      </c>
      <c r="D489" s="58" t="s">
        <v>176</v>
      </c>
      <c r="E489" s="58" t="s">
        <v>176</v>
      </c>
      <c r="F489" s="58" t="s">
        <v>177</v>
      </c>
      <c r="G489" s="58" t="s">
        <v>178</v>
      </c>
      <c r="H489" s="58" t="s">
        <v>179</v>
      </c>
      <c r="I489">
        <v>38000</v>
      </c>
      <c r="J489">
        <v>38000</v>
      </c>
      <c r="K489">
        <v>20000</v>
      </c>
      <c r="L489" s="74">
        <v>10.234999999999999</v>
      </c>
      <c r="M489" s="85">
        <v>11</v>
      </c>
      <c r="N489" s="74">
        <v>0.48799999999999999</v>
      </c>
      <c r="O489">
        <v>2</v>
      </c>
      <c r="P489" s="84">
        <v>0.48799999999999999</v>
      </c>
      <c r="Q489" s="86">
        <v>4.2</v>
      </c>
      <c r="R489" s="85">
        <v>4.2</v>
      </c>
      <c r="S489" s="87">
        <v>1439840</v>
      </c>
      <c r="T489" s="1">
        <v>1</v>
      </c>
      <c r="U489" s="88">
        <v>342819.04761904763</v>
      </c>
      <c r="V489" s="59">
        <v>2.9169907767529724</v>
      </c>
    </row>
    <row r="490" spans="1:22">
      <c r="A490" s="58">
        <v>490</v>
      </c>
      <c r="B490" s="58">
        <v>490</v>
      </c>
      <c r="C490" s="58" t="s">
        <v>975</v>
      </c>
      <c r="D490" s="58" t="s">
        <v>215</v>
      </c>
      <c r="E490" s="58" t="s">
        <v>215</v>
      </c>
      <c r="F490" s="58" t="s">
        <v>225</v>
      </c>
      <c r="G490" s="58" t="s">
        <v>226</v>
      </c>
      <c r="H490" s="58" t="s">
        <v>179</v>
      </c>
      <c r="I490">
        <v>38000</v>
      </c>
      <c r="J490">
        <v>38000</v>
      </c>
      <c r="K490">
        <v>20000</v>
      </c>
      <c r="L490" s="74">
        <v>8.3460000000000001</v>
      </c>
      <c r="M490" s="85">
        <v>9</v>
      </c>
      <c r="N490" s="74">
        <v>0.10299999999999999</v>
      </c>
      <c r="O490">
        <v>2</v>
      </c>
      <c r="P490" s="84">
        <v>0.10299999999999999</v>
      </c>
      <c r="Q490" s="86">
        <v>4.2</v>
      </c>
      <c r="R490" s="85">
        <v>4.2</v>
      </c>
      <c r="S490" s="87">
        <v>1334440</v>
      </c>
      <c r="T490" s="1">
        <v>1</v>
      </c>
      <c r="U490" s="88">
        <v>317723.80952380953</v>
      </c>
      <c r="V490" s="59">
        <v>3.1473876682353645</v>
      </c>
    </row>
    <row r="491" spans="1:22">
      <c r="A491" s="58">
        <v>491</v>
      </c>
      <c r="B491" s="58">
        <v>491</v>
      </c>
      <c r="C491" s="58" t="s">
        <v>976</v>
      </c>
      <c r="D491" s="58" t="s">
        <v>489</v>
      </c>
      <c r="E491" s="58" t="s">
        <v>489</v>
      </c>
      <c r="F491" s="58" t="s">
        <v>863</v>
      </c>
      <c r="G491" s="58" t="s">
        <v>864</v>
      </c>
      <c r="H491" s="58" t="s">
        <v>179</v>
      </c>
      <c r="I491">
        <v>38000</v>
      </c>
      <c r="J491">
        <v>38000</v>
      </c>
      <c r="K491" s="58" t="s">
        <v>185</v>
      </c>
      <c r="L491" s="74">
        <v>11.804</v>
      </c>
      <c r="M491" s="85">
        <v>12</v>
      </c>
      <c r="N491" s="74">
        <v>0.154</v>
      </c>
      <c r="O491">
        <v>2</v>
      </c>
      <c r="P491" s="84">
        <v>0.154</v>
      </c>
      <c r="Q491" s="86">
        <v>4.2</v>
      </c>
      <c r="R491" s="85">
        <v>4.2</v>
      </c>
      <c r="S491" s="87">
        <v>1492540</v>
      </c>
      <c r="T491" s="1">
        <v>1</v>
      </c>
      <c r="U491" s="88">
        <v>355366.66666666663</v>
      </c>
      <c r="V491" s="59">
        <v>2.8139949348091173</v>
      </c>
    </row>
    <row r="492" spans="1:22">
      <c r="A492" s="58">
        <v>492</v>
      </c>
      <c r="B492" s="58">
        <v>492</v>
      </c>
      <c r="C492" s="58" t="s">
        <v>977</v>
      </c>
      <c r="D492" s="58" t="s">
        <v>450</v>
      </c>
      <c r="E492" s="58" t="s">
        <v>450</v>
      </c>
      <c r="F492" s="58" t="s">
        <v>772</v>
      </c>
      <c r="G492" s="58" t="s">
        <v>773</v>
      </c>
      <c r="H492" s="58" t="s">
        <v>179</v>
      </c>
      <c r="I492">
        <v>38000</v>
      </c>
      <c r="J492">
        <v>38000</v>
      </c>
      <c r="K492" s="58" t="s">
        <v>185</v>
      </c>
      <c r="L492" s="74">
        <v>6.3209999999999997</v>
      </c>
      <c r="M492" s="85">
        <v>7</v>
      </c>
      <c r="N492" s="74">
        <v>0.41199999999999998</v>
      </c>
      <c r="O492">
        <v>2</v>
      </c>
      <c r="P492" s="84">
        <v>0.41199999999999998</v>
      </c>
      <c r="Q492" s="86">
        <v>4.2</v>
      </c>
      <c r="R492" s="85">
        <v>4.2</v>
      </c>
      <c r="S492" s="87">
        <v>839680</v>
      </c>
      <c r="T492" s="1">
        <v>4</v>
      </c>
      <c r="U492" s="88">
        <v>199923.80952380953</v>
      </c>
      <c r="V492" s="59">
        <v>5.0019054878048781</v>
      </c>
    </row>
    <row r="493" spans="1:22">
      <c r="A493" s="58">
        <v>493</v>
      </c>
      <c r="B493" s="58">
        <v>493</v>
      </c>
      <c r="C493" s="58" t="s">
        <v>978</v>
      </c>
      <c r="D493" s="58" t="s">
        <v>187</v>
      </c>
      <c r="E493" s="58" t="s">
        <v>187</v>
      </c>
      <c r="F493" s="58" t="s">
        <v>377</v>
      </c>
      <c r="H493" s="58" t="s">
        <v>179</v>
      </c>
      <c r="I493">
        <v>38000</v>
      </c>
      <c r="L493" s="74">
        <v>11.25</v>
      </c>
      <c r="M493" s="85">
        <v>12</v>
      </c>
      <c r="N493" s="74">
        <v>0.312</v>
      </c>
      <c r="O493">
        <v>2</v>
      </c>
      <c r="P493" s="84">
        <v>0.312</v>
      </c>
      <c r="Q493" s="86">
        <v>4.2</v>
      </c>
      <c r="R493" s="85">
        <v>4.2</v>
      </c>
      <c r="S493" s="87">
        <v>1492540</v>
      </c>
      <c r="T493" s="1">
        <v>1</v>
      </c>
      <c r="U493" s="88">
        <v>355366.66666666663</v>
      </c>
      <c r="V493" s="59">
        <v>2.8139949348091173</v>
      </c>
    </row>
    <row r="494" spans="1:22">
      <c r="A494" s="58">
        <v>494</v>
      </c>
      <c r="B494" s="58">
        <v>494</v>
      </c>
      <c r="C494" s="58" t="s">
        <v>979</v>
      </c>
      <c r="D494" s="58" t="s">
        <v>346</v>
      </c>
      <c r="E494" s="58" t="s">
        <v>346</v>
      </c>
      <c r="F494" s="58" t="s">
        <v>652</v>
      </c>
      <c r="G494" s="58" t="s">
        <v>653</v>
      </c>
      <c r="H494" s="58" t="s">
        <v>179</v>
      </c>
      <c r="I494">
        <v>38000</v>
      </c>
      <c r="J494">
        <v>38000</v>
      </c>
      <c r="K494" s="58" t="s">
        <v>185</v>
      </c>
      <c r="L494" s="74">
        <v>12.622</v>
      </c>
      <c r="M494" s="85">
        <v>13</v>
      </c>
      <c r="N494" s="74">
        <v>0.39300000000000002</v>
      </c>
      <c r="O494">
        <v>2</v>
      </c>
      <c r="P494" s="84">
        <v>0.39300000000000002</v>
      </c>
      <c r="Q494" s="86">
        <v>4.2</v>
      </c>
      <c r="R494" s="85">
        <v>4.2</v>
      </c>
      <c r="S494" s="87">
        <v>1545240</v>
      </c>
      <c r="T494" s="1">
        <v>1</v>
      </c>
      <c r="U494" s="88">
        <v>367914.28571428568</v>
      </c>
      <c r="V494" s="59">
        <v>2.7180243845616214</v>
      </c>
    </row>
    <row r="495" spans="1:22">
      <c r="A495" s="58">
        <v>495</v>
      </c>
      <c r="B495" s="58">
        <v>495</v>
      </c>
      <c r="C495" s="58" t="s">
        <v>980</v>
      </c>
      <c r="D495" s="58" t="s">
        <v>234</v>
      </c>
      <c r="E495" s="58" t="s">
        <v>234</v>
      </c>
      <c r="F495" s="58" t="s">
        <v>945</v>
      </c>
      <c r="G495" s="58" t="s">
        <v>946</v>
      </c>
      <c r="H495" s="58" t="s">
        <v>179</v>
      </c>
      <c r="I495">
        <v>38000</v>
      </c>
      <c r="J495">
        <v>38000</v>
      </c>
      <c r="K495" s="58" t="s">
        <v>185</v>
      </c>
      <c r="L495" s="74">
        <v>7.3330000000000002</v>
      </c>
      <c r="M495" s="85">
        <v>8</v>
      </c>
      <c r="N495" s="74">
        <v>0.14799999999999999</v>
      </c>
      <c r="O495">
        <v>2</v>
      </c>
      <c r="P495" s="84">
        <v>0.14799999999999999</v>
      </c>
      <c r="Q495" s="86">
        <v>4.2</v>
      </c>
      <c r="R495" s="85">
        <v>4.2</v>
      </c>
      <c r="S495" s="87">
        <v>909950</v>
      </c>
      <c r="T495" s="1">
        <v>4</v>
      </c>
      <c r="U495" s="88">
        <v>216654.76190476189</v>
      </c>
      <c r="V495" s="59">
        <v>4.6156382218803227</v>
      </c>
    </row>
    <row r="496" spans="1:22">
      <c r="A496" s="58">
        <v>496</v>
      </c>
      <c r="B496" s="58">
        <v>496</v>
      </c>
      <c r="C496" s="58" t="s">
        <v>981</v>
      </c>
      <c r="D496" s="58" t="s">
        <v>234</v>
      </c>
      <c r="E496" s="58" t="s">
        <v>234</v>
      </c>
      <c r="F496" s="58" t="s">
        <v>235</v>
      </c>
      <c r="G496" s="58" t="s">
        <v>236</v>
      </c>
      <c r="H496" s="58" t="s">
        <v>179</v>
      </c>
      <c r="I496">
        <v>38000</v>
      </c>
      <c r="J496">
        <v>38000</v>
      </c>
      <c r="K496">
        <v>20000</v>
      </c>
      <c r="L496" s="74">
        <v>10.874000000000001</v>
      </c>
      <c r="M496" s="85">
        <v>11</v>
      </c>
      <c r="N496" s="74">
        <v>0.438</v>
      </c>
      <c r="O496">
        <v>2</v>
      </c>
      <c r="P496" s="84">
        <v>0.438</v>
      </c>
      <c r="Q496" s="86">
        <v>4.2</v>
      </c>
      <c r="R496" s="85">
        <v>4.2</v>
      </c>
      <c r="S496" s="87">
        <v>1439840</v>
      </c>
      <c r="T496" s="1">
        <v>1</v>
      </c>
      <c r="U496" s="88">
        <v>342819.04761904763</v>
      </c>
      <c r="V496" s="59">
        <v>2.9169907767529724</v>
      </c>
    </row>
    <row r="497" spans="1:22">
      <c r="A497" s="58">
        <v>497</v>
      </c>
      <c r="B497" s="58">
        <v>497</v>
      </c>
      <c r="C497" s="58" t="s">
        <v>982</v>
      </c>
      <c r="D497" s="58" t="s">
        <v>187</v>
      </c>
      <c r="E497" s="58" t="s">
        <v>187</v>
      </c>
      <c r="F497" s="58" t="s">
        <v>246</v>
      </c>
      <c r="G497" s="58" t="s">
        <v>247</v>
      </c>
      <c r="H497" s="58" t="s">
        <v>199</v>
      </c>
      <c r="I497">
        <v>110000</v>
      </c>
      <c r="J497">
        <v>33000</v>
      </c>
      <c r="K497">
        <v>110000</v>
      </c>
      <c r="L497" s="74">
        <v>8.8070000000000004</v>
      </c>
      <c r="M497" s="85">
        <v>9</v>
      </c>
      <c r="N497" s="74">
        <v>0.316</v>
      </c>
      <c r="O497">
        <v>2</v>
      </c>
      <c r="P497" s="84">
        <v>0.316</v>
      </c>
      <c r="Q497" s="86">
        <v>4.2</v>
      </c>
      <c r="R497" s="85">
        <v>4.2</v>
      </c>
      <c r="S497" s="87">
        <v>1890770</v>
      </c>
      <c r="T497" s="1">
        <v>7</v>
      </c>
      <c r="U497" s="88">
        <v>450183.33333333331</v>
      </c>
      <c r="V497" s="59">
        <v>2.2213172411239865</v>
      </c>
    </row>
    <row r="498" spans="1:22">
      <c r="A498" s="58">
        <v>498</v>
      </c>
      <c r="B498" s="58">
        <v>498</v>
      </c>
      <c r="C498" s="58" t="s">
        <v>983</v>
      </c>
      <c r="D498" s="58" t="s">
        <v>253</v>
      </c>
      <c r="E498" s="58" t="s">
        <v>253</v>
      </c>
      <c r="F498" s="58" t="s">
        <v>538</v>
      </c>
      <c r="G498" s="58" t="s">
        <v>539</v>
      </c>
      <c r="H498" s="58" t="s">
        <v>179</v>
      </c>
      <c r="I498">
        <v>38000</v>
      </c>
      <c r="J498">
        <v>38000</v>
      </c>
      <c r="K498" s="58" t="s">
        <v>185</v>
      </c>
      <c r="L498" s="74">
        <v>6.1239999999999997</v>
      </c>
      <c r="M498" s="85">
        <v>7</v>
      </c>
      <c r="N498" s="74">
        <v>0.109</v>
      </c>
      <c r="O498">
        <v>2</v>
      </c>
      <c r="P498" s="84">
        <v>0.109</v>
      </c>
      <c r="Q498" s="86">
        <v>4.2</v>
      </c>
      <c r="R498" s="85">
        <v>4.2</v>
      </c>
      <c r="S498" s="87">
        <v>839680</v>
      </c>
      <c r="T498" s="1">
        <v>4</v>
      </c>
      <c r="U498" s="88">
        <v>199923.80952380953</v>
      </c>
      <c r="V498" s="59">
        <v>5.0019054878048781</v>
      </c>
    </row>
    <row r="499" spans="1:22">
      <c r="A499" s="58">
        <v>499</v>
      </c>
      <c r="B499" s="58">
        <v>499</v>
      </c>
      <c r="C499" s="58" t="s">
        <v>984</v>
      </c>
      <c r="D499" s="58" t="s">
        <v>253</v>
      </c>
      <c r="E499" s="58" t="s">
        <v>253</v>
      </c>
      <c r="F499" s="58" t="s">
        <v>538</v>
      </c>
      <c r="G499" s="58" t="s">
        <v>539</v>
      </c>
      <c r="H499" s="58" t="s">
        <v>179</v>
      </c>
      <c r="I499">
        <v>38000</v>
      </c>
      <c r="J499">
        <v>38000</v>
      </c>
      <c r="K499" s="58" t="s">
        <v>185</v>
      </c>
      <c r="L499" s="74">
        <v>4.5090000000000003</v>
      </c>
      <c r="M499" s="85">
        <v>5</v>
      </c>
      <c r="N499" s="74">
        <v>9.2999999999999999E-2</v>
      </c>
      <c r="O499">
        <v>2</v>
      </c>
      <c r="P499" s="84">
        <v>9.2999999999999999E-2</v>
      </c>
      <c r="Q499" s="86">
        <v>4.2</v>
      </c>
      <c r="R499" s="85">
        <v>4.2</v>
      </c>
      <c r="S499" s="87">
        <v>699140</v>
      </c>
      <c r="T499" s="1">
        <v>4</v>
      </c>
      <c r="U499" s="88">
        <v>166461.90476190476</v>
      </c>
      <c r="V499" s="59">
        <v>6.0073804960379897</v>
      </c>
    </row>
    <row r="500" spans="1:22">
      <c r="A500" s="58">
        <v>500</v>
      </c>
      <c r="B500" s="58">
        <v>500</v>
      </c>
      <c r="C500" s="58" t="s">
        <v>985</v>
      </c>
      <c r="D500" s="58" t="s">
        <v>253</v>
      </c>
      <c r="E500" s="58" t="s">
        <v>253</v>
      </c>
      <c r="F500" s="58" t="s">
        <v>254</v>
      </c>
      <c r="G500" s="58" t="s">
        <v>255</v>
      </c>
      <c r="H500" s="58" t="s">
        <v>179</v>
      </c>
      <c r="I500">
        <v>38000</v>
      </c>
      <c r="J500">
        <v>38000</v>
      </c>
      <c r="K500" s="58" t="s">
        <v>185</v>
      </c>
      <c r="L500" s="74">
        <v>8.5960000000000001</v>
      </c>
      <c r="M500" s="85">
        <v>9</v>
      </c>
      <c r="N500" s="74">
        <v>0.27200000000000002</v>
      </c>
      <c r="O500">
        <v>2</v>
      </c>
      <c r="P500" s="84">
        <v>0.27200000000000002</v>
      </c>
      <c r="Q500" s="86">
        <v>4.2</v>
      </c>
      <c r="R500" s="85">
        <v>4.2</v>
      </c>
      <c r="S500" s="87">
        <v>1334440</v>
      </c>
      <c r="T500" s="1">
        <v>1</v>
      </c>
      <c r="U500" s="88">
        <v>317723.80952380953</v>
      </c>
      <c r="V500" s="59">
        <v>3.1473876682353645</v>
      </c>
    </row>
    <row r="501" spans="1:22">
      <c r="A501" s="58">
        <v>501</v>
      </c>
      <c r="B501" s="58">
        <v>501</v>
      </c>
      <c r="C501" s="58" t="s">
        <v>986</v>
      </c>
      <c r="D501" s="58" t="s">
        <v>215</v>
      </c>
      <c r="E501" s="58" t="s">
        <v>215</v>
      </c>
      <c r="F501" s="58" t="s">
        <v>216</v>
      </c>
      <c r="G501" s="58" t="s">
        <v>217</v>
      </c>
      <c r="H501" s="58" t="s">
        <v>179</v>
      </c>
      <c r="I501">
        <v>38000</v>
      </c>
      <c r="J501">
        <v>38000</v>
      </c>
      <c r="K501" s="58" t="s">
        <v>185</v>
      </c>
      <c r="L501" s="74">
        <v>20.361999999999998</v>
      </c>
      <c r="M501" s="85">
        <v>21</v>
      </c>
      <c r="N501" s="74">
        <v>0.19</v>
      </c>
      <c r="O501">
        <v>2</v>
      </c>
      <c r="P501" s="84">
        <v>0.19</v>
      </c>
      <c r="Q501" s="86">
        <v>4.2</v>
      </c>
      <c r="R501" s="85">
        <v>4.2</v>
      </c>
      <c r="S501" s="87">
        <v>1966840</v>
      </c>
      <c r="T501" s="1">
        <v>1</v>
      </c>
      <c r="U501" s="88">
        <v>468295.23809523805</v>
      </c>
      <c r="V501" s="59">
        <v>2.135405015151207</v>
      </c>
    </row>
    <row r="502" spans="1:22">
      <c r="A502" s="58">
        <v>502</v>
      </c>
      <c r="B502" s="58">
        <v>502</v>
      </c>
      <c r="C502" s="58" t="s">
        <v>987</v>
      </c>
      <c r="D502" s="58" t="s">
        <v>215</v>
      </c>
      <c r="E502" s="58" t="s">
        <v>215</v>
      </c>
      <c r="F502" s="58" t="s">
        <v>479</v>
      </c>
      <c r="G502" s="58" t="s">
        <v>480</v>
      </c>
      <c r="H502" s="58" t="s">
        <v>179</v>
      </c>
      <c r="I502">
        <v>38000</v>
      </c>
      <c r="J502">
        <v>38000</v>
      </c>
      <c r="K502" s="58" t="s">
        <v>185</v>
      </c>
      <c r="L502" s="74">
        <v>25.701000000000001</v>
      </c>
      <c r="M502" s="85">
        <v>26</v>
      </c>
      <c r="N502" s="74">
        <v>0.154</v>
      </c>
      <c r="O502">
        <v>2</v>
      </c>
      <c r="P502" s="84">
        <v>0.154</v>
      </c>
      <c r="Q502" s="86">
        <v>4.2</v>
      </c>
      <c r="R502" s="85">
        <v>4.2</v>
      </c>
      <c r="S502" s="87">
        <v>2230340</v>
      </c>
      <c r="T502" s="1">
        <v>1</v>
      </c>
      <c r="U502" s="88">
        <v>531033.33333333326</v>
      </c>
      <c r="V502" s="59">
        <v>1.8831209591362752</v>
      </c>
    </row>
    <row r="503" spans="1:22">
      <c r="A503" s="58">
        <v>503</v>
      </c>
      <c r="B503" s="58">
        <v>503</v>
      </c>
      <c r="C503" s="58" t="s">
        <v>988</v>
      </c>
      <c r="D503" s="58" t="s">
        <v>215</v>
      </c>
      <c r="E503" s="58" t="s">
        <v>215</v>
      </c>
      <c r="F503" s="58" t="s">
        <v>479</v>
      </c>
      <c r="G503" s="58" t="s">
        <v>480</v>
      </c>
      <c r="H503" s="58" t="s">
        <v>179</v>
      </c>
      <c r="I503">
        <v>38000</v>
      </c>
      <c r="J503">
        <v>38000</v>
      </c>
      <c r="K503" s="58" t="s">
        <v>185</v>
      </c>
      <c r="L503" s="74">
        <v>15.634</v>
      </c>
      <c r="M503" s="85">
        <v>16</v>
      </c>
      <c r="N503" s="74">
        <v>0.15</v>
      </c>
      <c r="O503">
        <v>2</v>
      </c>
      <c r="P503" s="84">
        <v>0.15</v>
      </c>
      <c r="Q503" s="86">
        <v>4.2</v>
      </c>
      <c r="R503" s="85">
        <v>4.2</v>
      </c>
      <c r="S503" s="87">
        <v>1703340</v>
      </c>
      <c r="T503" s="1">
        <v>1</v>
      </c>
      <c r="U503" s="88">
        <v>405557.14285714284</v>
      </c>
      <c r="V503" s="59">
        <v>2.4657437739969708</v>
      </c>
    </row>
    <row r="504" spans="1:22">
      <c r="A504" s="58">
        <v>504</v>
      </c>
      <c r="B504" s="58">
        <v>504</v>
      </c>
      <c r="C504" s="58" t="s">
        <v>989</v>
      </c>
      <c r="D504" s="58" t="s">
        <v>215</v>
      </c>
      <c r="E504" s="58" t="s">
        <v>215</v>
      </c>
      <c r="F504" s="58" t="s">
        <v>257</v>
      </c>
      <c r="G504" s="58" t="s">
        <v>258</v>
      </c>
      <c r="H504" s="58" t="s">
        <v>179</v>
      </c>
      <c r="I504">
        <v>38000</v>
      </c>
      <c r="J504">
        <v>38000</v>
      </c>
      <c r="K504">
        <v>20000</v>
      </c>
      <c r="L504" s="74">
        <v>10.195</v>
      </c>
      <c r="M504" s="85">
        <v>11</v>
      </c>
      <c r="N504" s="74">
        <v>0.12</v>
      </c>
      <c r="O504">
        <v>2</v>
      </c>
      <c r="P504" s="84">
        <v>0.12</v>
      </c>
      <c r="Q504" s="86">
        <v>4.2</v>
      </c>
      <c r="R504" s="85">
        <v>4.2</v>
      </c>
      <c r="S504" s="87">
        <v>1439840</v>
      </c>
      <c r="T504" s="1">
        <v>1</v>
      </c>
      <c r="U504" s="88">
        <v>342819.04761904763</v>
      </c>
      <c r="V504" s="59">
        <v>2.9169907767529724</v>
      </c>
    </row>
    <row r="505" spans="1:22">
      <c r="A505" s="58">
        <v>505</v>
      </c>
      <c r="B505" s="58">
        <v>505</v>
      </c>
      <c r="C505" s="58" t="s">
        <v>990</v>
      </c>
      <c r="D505" s="58" t="s">
        <v>176</v>
      </c>
      <c r="E505" s="58" t="s">
        <v>176</v>
      </c>
      <c r="F505" s="58" t="s">
        <v>257</v>
      </c>
      <c r="G505" s="58" t="s">
        <v>258</v>
      </c>
      <c r="H505" s="58" t="s">
        <v>179</v>
      </c>
      <c r="I505">
        <v>38000</v>
      </c>
      <c r="J505">
        <v>38000</v>
      </c>
      <c r="K505">
        <v>20000</v>
      </c>
      <c r="L505" s="74">
        <v>6.5030000000000001</v>
      </c>
      <c r="M505" s="85">
        <v>7</v>
      </c>
      <c r="N505" s="74">
        <v>0.13900000000000001</v>
      </c>
      <c r="O505">
        <v>2</v>
      </c>
      <c r="P505" s="84">
        <v>0.13900000000000001</v>
      </c>
      <c r="Q505" s="86">
        <v>4.2</v>
      </c>
      <c r="R505" s="85">
        <v>4.2</v>
      </c>
      <c r="S505" s="87">
        <v>839680</v>
      </c>
      <c r="T505" s="1">
        <v>4</v>
      </c>
      <c r="U505" s="88">
        <v>199923.80952380953</v>
      </c>
      <c r="V505" s="59">
        <v>5.0019054878048781</v>
      </c>
    </row>
    <row r="506" spans="1:22">
      <c r="A506" s="58">
        <v>506</v>
      </c>
      <c r="B506" s="58">
        <v>506</v>
      </c>
      <c r="C506" s="58" t="s">
        <v>991</v>
      </c>
      <c r="D506" s="58" t="s">
        <v>215</v>
      </c>
      <c r="E506" s="58" t="s">
        <v>176</v>
      </c>
      <c r="F506" s="58" t="s">
        <v>257</v>
      </c>
      <c r="G506" s="58" t="s">
        <v>258</v>
      </c>
      <c r="H506" s="58" t="s">
        <v>179</v>
      </c>
      <c r="I506">
        <v>38000</v>
      </c>
      <c r="J506">
        <v>38000</v>
      </c>
      <c r="K506">
        <v>20000</v>
      </c>
      <c r="L506" s="74">
        <v>5.0679999999999996</v>
      </c>
      <c r="M506" s="85">
        <v>6</v>
      </c>
      <c r="N506" s="74">
        <v>0.151</v>
      </c>
      <c r="O506">
        <v>2</v>
      </c>
      <c r="P506" s="84">
        <v>0.151</v>
      </c>
      <c r="Q506" s="86">
        <v>4.2</v>
      </c>
      <c r="R506" s="85">
        <v>4.2</v>
      </c>
      <c r="S506" s="87">
        <v>769410</v>
      </c>
      <c r="T506" s="1">
        <v>4</v>
      </c>
      <c r="U506" s="88">
        <v>183192.85714285713</v>
      </c>
      <c r="V506" s="59">
        <v>5.4587281163488903</v>
      </c>
    </row>
    <row r="507" spans="1:22">
      <c r="A507" s="58">
        <v>507</v>
      </c>
      <c r="B507" s="58">
        <v>507</v>
      </c>
      <c r="C507" s="58" t="s">
        <v>992</v>
      </c>
      <c r="D507" s="58" t="s">
        <v>176</v>
      </c>
      <c r="E507" s="58" t="s">
        <v>176</v>
      </c>
      <c r="F507" s="58" t="s">
        <v>265</v>
      </c>
      <c r="G507" s="58" t="s">
        <v>266</v>
      </c>
      <c r="H507" s="58" t="s">
        <v>179</v>
      </c>
      <c r="I507">
        <v>38000</v>
      </c>
      <c r="J507">
        <v>38000</v>
      </c>
      <c r="K507" s="58" t="s">
        <v>185</v>
      </c>
      <c r="L507" s="74">
        <v>13.211</v>
      </c>
      <c r="M507" s="85">
        <v>14</v>
      </c>
      <c r="N507" s="74">
        <v>0.26900000000000002</v>
      </c>
      <c r="O507">
        <v>2</v>
      </c>
      <c r="P507" s="84">
        <v>0.26900000000000002</v>
      </c>
      <c r="Q507" s="86">
        <v>4.2</v>
      </c>
      <c r="R507" s="85">
        <v>4.2</v>
      </c>
      <c r="S507" s="87">
        <v>1597940</v>
      </c>
      <c r="T507" s="1">
        <v>1</v>
      </c>
      <c r="U507" s="88">
        <v>380461.90476190473</v>
      </c>
      <c r="V507" s="59">
        <v>2.6283840444572388</v>
      </c>
    </row>
    <row r="508" spans="1:22">
      <c r="A508" s="58">
        <v>508</v>
      </c>
      <c r="B508" s="58">
        <v>508</v>
      </c>
      <c r="C508" s="58" t="s">
        <v>993</v>
      </c>
      <c r="D508" s="58" t="s">
        <v>176</v>
      </c>
      <c r="E508" s="58" t="s">
        <v>176</v>
      </c>
      <c r="F508" s="58" t="s">
        <v>265</v>
      </c>
      <c r="G508" s="58" t="s">
        <v>266</v>
      </c>
      <c r="H508" s="58" t="s">
        <v>179</v>
      </c>
      <c r="I508">
        <v>38000</v>
      </c>
      <c r="J508">
        <v>38000</v>
      </c>
      <c r="K508" s="58" t="s">
        <v>185</v>
      </c>
      <c r="L508" s="74">
        <v>17.54</v>
      </c>
      <c r="M508" s="85">
        <v>18</v>
      </c>
      <c r="N508" s="74">
        <v>0.24099999999999999</v>
      </c>
      <c r="O508">
        <v>2</v>
      </c>
      <c r="P508" s="84">
        <v>0.24099999999999999</v>
      </c>
      <c r="Q508" s="86">
        <v>4.2</v>
      </c>
      <c r="R508" s="85">
        <v>4.2</v>
      </c>
      <c r="S508" s="87">
        <v>1808740</v>
      </c>
      <c r="T508" s="1">
        <v>1</v>
      </c>
      <c r="U508" s="88">
        <v>430652.38095238095</v>
      </c>
      <c r="V508" s="59">
        <v>2.3220584495284009</v>
      </c>
    </row>
    <row r="509" spans="1:22">
      <c r="A509" s="58">
        <v>509</v>
      </c>
      <c r="B509" s="58">
        <v>509</v>
      </c>
      <c r="C509" s="58" t="s">
        <v>994</v>
      </c>
      <c r="D509" s="58" t="s">
        <v>176</v>
      </c>
      <c r="E509" s="58" t="s">
        <v>176</v>
      </c>
      <c r="F509" s="58" t="s">
        <v>265</v>
      </c>
      <c r="G509" s="58" t="s">
        <v>266</v>
      </c>
      <c r="H509" s="58" t="s">
        <v>179</v>
      </c>
      <c r="I509">
        <v>38000</v>
      </c>
      <c r="J509">
        <v>38000</v>
      </c>
      <c r="K509" s="58" t="s">
        <v>185</v>
      </c>
      <c r="L509" s="74">
        <v>17.443000000000001</v>
      </c>
      <c r="M509" s="85">
        <v>18</v>
      </c>
      <c r="N509" s="74">
        <v>0.34799999999999998</v>
      </c>
      <c r="O509">
        <v>2</v>
      </c>
      <c r="P509" s="84">
        <v>0.34799999999999998</v>
      </c>
      <c r="Q509" s="86">
        <v>4.2</v>
      </c>
      <c r="R509" s="85">
        <v>4.2</v>
      </c>
      <c r="S509" s="87">
        <v>1808740</v>
      </c>
      <c r="T509" s="1">
        <v>1</v>
      </c>
      <c r="U509" s="88">
        <v>430652.38095238095</v>
      </c>
      <c r="V509" s="59">
        <v>2.3220584495284009</v>
      </c>
    </row>
    <row r="510" spans="1:22">
      <c r="A510" s="58">
        <v>510</v>
      </c>
      <c r="B510" s="58">
        <v>510</v>
      </c>
      <c r="C510" s="58" t="s">
        <v>995</v>
      </c>
      <c r="D510" s="58" t="s">
        <v>176</v>
      </c>
      <c r="E510" s="58" t="s">
        <v>176</v>
      </c>
      <c r="F510" s="58" t="s">
        <v>265</v>
      </c>
      <c r="G510" s="58" t="s">
        <v>266</v>
      </c>
      <c r="H510" s="58" t="s">
        <v>179</v>
      </c>
      <c r="I510">
        <v>38000</v>
      </c>
      <c r="J510">
        <v>38000</v>
      </c>
      <c r="K510" s="58" t="s">
        <v>185</v>
      </c>
      <c r="L510" s="74">
        <v>8.8480000000000008</v>
      </c>
      <c r="M510" s="85">
        <v>9</v>
      </c>
      <c r="N510" s="74">
        <v>0.19900000000000001</v>
      </c>
      <c r="O510">
        <v>2</v>
      </c>
      <c r="P510" s="84">
        <v>0.19900000000000001</v>
      </c>
      <c r="Q510" s="86">
        <v>4.2</v>
      </c>
      <c r="R510" s="85">
        <v>4.2</v>
      </c>
      <c r="S510" s="87">
        <v>1334440</v>
      </c>
      <c r="T510" s="1">
        <v>1</v>
      </c>
      <c r="U510" s="88">
        <v>317723.80952380953</v>
      </c>
      <c r="V510" s="59">
        <v>3.1473876682353645</v>
      </c>
    </row>
    <row r="511" spans="1:22">
      <c r="A511" s="58">
        <v>511</v>
      </c>
      <c r="B511" s="58">
        <v>511</v>
      </c>
      <c r="C511" s="58" t="s">
        <v>996</v>
      </c>
      <c r="D511" s="58" t="s">
        <v>176</v>
      </c>
      <c r="E511" s="58" t="s">
        <v>176</v>
      </c>
      <c r="F511" s="58" t="s">
        <v>265</v>
      </c>
      <c r="G511" s="58" t="s">
        <v>266</v>
      </c>
      <c r="H511" s="58" t="s">
        <v>179</v>
      </c>
      <c r="I511">
        <v>38000</v>
      </c>
      <c r="J511">
        <v>38000</v>
      </c>
      <c r="K511" s="58" t="s">
        <v>185</v>
      </c>
      <c r="L511" s="74">
        <v>8.6430000000000007</v>
      </c>
      <c r="M511" s="85">
        <v>9</v>
      </c>
      <c r="N511" s="74">
        <v>0.155</v>
      </c>
      <c r="O511">
        <v>2</v>
      </c>
      <c r="P511" s="84">
        <v>0.155</v>
      </c>
      <c r="Q511" s="86">
        <v>4.2</v>
      </c>
      <c r="R511" s="85">
        <v>4.2</v>
      </c>
      <c r="S511" s="87">
        <v>1334440</v>
      </c>
      <c r="T511" s="1">
        <v>1</v>
      </c>
      <c r="U511" s="88">
        <v>317723.80952380953</v>
      </c>
      <c r="V511" s="59">
        <v>3.1473876682353645</v>
      </c>
    </row>
    <row r="512" spans="1:22">
      <c r="A512" s="58">
        <v>512</v>
      </c>
      <c r="B512" s="58">
        <v>512</v>
      </c>
      <c r="C512" s="58" t="s">
        <v>997</v>
      </c>
      <c r="D512" s="58" t="s">
        <v>176</v>
      </c>
      <c r="E512" s="58" t="s">
        <v>176</v>
      </c>
      <c r="F512" s="58" t="s">
        <v>265</v>
      </c>
      <c r="G512" s="58" t="s">
        <v>266</v>
      </c>
      <c r="H512" s="58" t="s">
        <v>179</v>
      </c>
      <c r="I512">
        <v>38000</v>
      </c>
      <c r="J512">
        <v>38000</v>
      </c>
      <c r="K512" s="58" t="s">
        <v>185</v>
      </c>
      <c r="L512" s="74">
        <v>18.411999999999999</v>
      </c>
      <c r="M512" s="85">
        <v>19</v>
      </c>
      <c r="N512" s="74">
        <v>0.11799999999999999</v>
      </c>
      <c r="O512">
        <v>2</v>
      </c>
      <c r="P512" s="84">
        <v>0.11799999999999999</v>
      </c>
      <c r="Q512" s="86">
        <v>4.2</v>
      </c>
      <c r="R512" s="85">
        <v>4.2</v>
      </c>
      <c r="S512" s="87">
        <v>1861440</v>
      </c>
      <c r="T512" s="1">
        <v>1</v>
      </c>
      <c r="U512" s="88">
        <v>443200</v>
      </c>
      <c r="V512" s="59">
        <v>2.256317689530686</v>
      </c>
    </row>
    <row r="513" spans="1:22">
      <c r="A513" s="58">
        <v>513</v>
      </c>
      <c r="B513" s="58">
        <v>513</v>
      </c>
      <c r="C513" s="58" t="s">
        <v>998</v>
      </c>
      <c r="D513" s="58" t="s">
        <v>176</v>
      </c>
      <c r="E513" s="58" t="s">
        <v>176</v>
      </c>
      <c r="F513" s="58" t="s">
        <v>269</v>
      </c>
      <c r="G513" s="58" t="s">
        <v>270</v>
      </c>
      <c r="H513" s="58" t="s">
        <v>179</v>
      </c>
      <c r="I513">
        <v>38000</v>
      </c>
      <c r="J513">
        <v>38000</v>
      </c>
      <c r="K513">
        <v>20000</v>
      </c>
      <c r="L513" s="74">
        <v>19.015000000000001</v>
      </c>
      <c r="M513" s="85">
        <v>20</v>
      </c>
      <c r="N513" s="74">
        <v>0.4</v>
      </c>
      <c r="O513">
        <v>2</v>
      </c>
      <c r="P513" s="84">
        <v>0.4</v>
      </c>
      <c r="Q513" s="86">
        <v>4.2</v>
      </c>
      <c r="R513" s="85">
        <v>4.2</v>
      </c>
      <c r="S513" s="87">
        <v>1914140</v>
      </c>
      <c r="T513" s="1">
        <v>1</v>
      </c>
      <c r="U513" s="88">
        <v>455747.61904761905</v>
      </c>
      <c r="V513" s="59">
        <v>2.1941968717021743</v>
      </c>
    </row>
    <row r="514" spans="1:22">
      <c r="A514" s="58">
        <v>514</v>
      </c>
      <c r="B514" s="58">
        <v>514</v>
      </c>
      <c r="C514" s="58" t="s">
        <v>999</v>
      </c>
      <c r="D514" s="58" t="s">
        <v>176</v>
      </c>
      <c r="E514" s="58" t="s">
        <v>176</v>
      </c>
      <c r="F514" s="58" t="s">
        <v>272</v>
      </c>
      <c r="G514" s="58" t="s">
        <v>273</v>
      </c>
      <c r="H514" s="58" t="s">
        <v>179</v>
      </c>
      <c r="I514">
        <v>38000</v>
      </c>
      <c r="J514">
        <v>38000</v>
      </c>
      <c r="K514" s="58" t="s">
        <v>185</v>
      </c>
      <c r="L514" s="74">
        <v>8.843</v>
      </c>
      <c r="M514" s="85">
        <v>9</v>
      </c>
      <c r="N514" s="74">
        <v>0.45400000000000001</v>
      </c>
      <c r="O514">
        <v>2</v>
      </c>
      <c r="P514" s="84">
        <v>0.45400000000000001</v>
      </c>
      <c r="Q514" s="86">
        <v>4.2</v>
      </c>
      <c r="R514" s="85">
        <v>4.2</v>
      </c>
      <c r="S514" s="87">
        <v>1334440</v>
      </c>
      <c r="T514" s="1">
        <v>1</v>
      </c>
      <c r="U514" s="88">
        <v>317723.80952380953</v>
      </c>
      <c r="V514" s="59">
        <v>3.1473876682353645</v>
      </c>
    </row>
    <row r="515" spans="1:22">
      <c r="A515" s="58">
        <v>515</v>
      </c>
      <c r="B515" s="58">
        <v>515</v>
      </c>
      <c r="C515" s="58" t="s">
        <v>1000</v>
      </c>
      <c r="D515" s="58" t="s">
        <v>176</v>
      </c>
      <c r="E515" s="58" t="s">
        <v>176</v>
      </c>
      <c r="F515" s="58" t="s">
        <v>265</v>
      </c>
      <c r="G515" s="58" t="s">
        <v>266</v>
      </c>
      <c r="H515" s="58" t="s">
        <v>179</v>
      </c>
      <c r="I515">
        <v>38000</v>
      </c>
      <c r="J515">
        <v>38000</v>
      </c>
      <c r="K515" s="58" t="s">
        <v>185</v>
      </c>
      <c r="L515" s="74">
        <v>14.157999999999999</v>
      </c>
      <c r="M515" s="85">
        <v>15</v>
      </c>
      <c r="N515" s="74">
        <v>0.156</v>
      </c>
      <c r="O515">
        <v>2</v>
      </c>
      <c r="P515" s="84">
        <v>0.156</v>
      </c>
      <c r="Q515" s="86">
        <v>4.2</v>
      </c>
      <c r="R515" s="85">
        <v>4.2</v>
      </c>
      <c r="S515" s="87">
        <v>1650640</v>
      </c>
      <c r="T515" s="1">
        <v>1</v>
      </c>
      <c r="U515" s="88">
        <v>393009.52380952379</v>
      </c>
      <c r="V515" s="59">
        <v>2.5444676004458877</v>
      </c>
    </row>
    <row r="516" spans="1:22">
      <c r="A516" s="58">
        <v>516</v>
      </c>
      <c r="B516" s="58">
        <v>516</v>
      </c>
      <c r="C516" s="58" t="s">
        <v>1001</v>
      </c>
      <c r="D516" s="58" t="s">
        <v>176</v>
      </c>
      <c r="E516" s="58" t="s">
        <v>176</v>
      </c>
      <c r="F516" s="58" t="s">
        <v>265</v>
      </c>
      <c r="G516" s="58" t="s">
        <v>266</v>
      </c>
      <c r="H516" s="58" t="s">
        <v>179</v>
      </c>
      <c r="I516">
        <v>38000</v>
      </c>
      <c r="J516">
        <v>38000</v>
      </c>
      <c r="K516" s="58" t="s">
        <v>185</v>
      </c>
      <c r="L516" s="74">
        <v>7.7080000000000002</v>
      </c>
      <c r="M516" s="85">
        <v>8</v>
      </c>
      <c r="N516" s="74">
        <v>0.13200000000000001</v>
      </c>
      <c r="O516">
        <v>2</v>
      </c>
      <c r="P516" s="84">
        <v>0.13200000000000001</v>
      </c>
      <c r="Q516" s="86">
        <v>4.2</v>
      </c>
      <c r="R516" s="85">
        <v>4.2</v>
      </c>
      <c r="S516" s="87">
        <v>909950</v>
      </c>
      <c r="T516" s="1">
        <v>4</v>
      </c>
      <c r="U516" s="88">
        <v>216654.76190476189</v>
      </c>
      <c r="V516" s="59">
        <v>4.6156382218803227</v>
      </c>
    </row>
    <row r="517" spans="1:22">
      <c r="A517" s="58">
        <v>517</v>
      </c>
      <c r="B517" s="58">
        <v>517</v>
      </c>
      <c r="C517" s="58" t="s">
        <v>1002</v>
      </c>
      <c r="D517" s="58" t="s">
        <v>176</v>
      </c>
      <c r="E517" s="58" t="s">
        <v>176</v>
      </c>
      <c r="F517" s="58" t="s">
        <v>177</v>
      </c>
      <c r="G517" s="58" t="s">
        <v>178</v>
      </c>
      <c r="H517" s="58" t="s">
        <v>179</v>
      </c>
      <c r="I517">
        <v>38000</v>
      </c>
      <c r="J517">
        <v>38000</v>
      </c>
      <c r="K517">
        <v>20000</v>
      </c>
      <c r="L517" s="74">
        <v>8.8010000000000002</v>
      </c>
      <c r="M517" s="85">
        <v>9</v>
      </c>
      <c r="N517" s="74">
        <v>0.109</v>
      </c>
      <c r="O517">
        <v>2</v>
      </c>
      <c r="P517" s="84">
        <v>0.109</v>
      </c>
      <c r="Q517" s="86">
        <v>4.2</v>
      </c>
      <c r="R517" s="85">
        <v>4.2</v>
      </c>
      <c r="S517" s="87">
        <v>1334440</v>
      </c>
      <c r="T517" s="1">
        <v>1</v>
      </c>
      <c r="U517" s="88">
        <v>317723.80952380953</v>
      </c>
      <c r="V517" s="59">
        <v>3.1473876682353645</v>
      </c>
    </row>
    <row r="518" spans="1:22">
      <c r="A518" s="58">
        <v>518</v>
      </c>
      <c r="B518" s="58">
        <v>518</v>
      </c>
      <c r="C518" s="58" t="s">
        <v>1003</v>
      </c>
      <c r="D518" s="58" t="s">
        <v>176</v>
      </c>
      <c r="E518" s="58" t="s">
        <v>176</v>
      </c>
      <c r="F518" s="58" t="s">
        <v>269</v>
      </c>
      <c r="G518" s="58" t="s">
        <v>270</v>
      </c>
      <c r="H518" s="58" t="s">
        <v>179</v>
      </c>
      <c r="I518">
        <v>38000</v>
      </c>
      <c r="J518">
        <v>38000</v>
      </c>
      <c r="K518">
        <v>20000</v>
      </c>
      <c r="L518" s="74">
        <v>16.282</v>
      </c>
      <c r="M518" s="85">
        <v>17</v>
      </c>
      <c r="N518" s="74">
        <v>0.14399999999999999</v>
      </c>
      <c r="O518">
        <v>2</v>
      </c>
      <c r="P518" s="84">
        <v>0.14399999999999999</v>
      </c>
      <c r="Q518" s="86">
        <v>4.2</v>
      </c>
      <c r="R518" s="85">
        <v>4.2</v>
      </c>
      <c r="S518" s="87">
        <v>1756040</v>
      </c>
      <c r="T518" s="1">
        <v>1</v>
      </c>
      <c r="U518" s="88">
        <v>418104.76190476189</v>
      </c>
      <c r="V518" s="59">
        <v>2.3917450627548349</v>
      </c>
    </row>
    <row r="519" spans="1:22">
      <c r="A519" s="58">
        <v>519</v>
      </c>
      <c r="B519" s="58">
        <v>519</v>
      </c>
      <c r="C519" s="58" t="s">
        <v>1004</v>
      </c>
      <c r="D519" s="58" t="s">
        <v>176</v>
      </c>
      <c r="E519" s="58" t="s">
        <v>176</v>
      </c>
      <c r="F519" s="58" t="s">
        <v>262</v>
      </c>
      <c r="G519" s="58" t="s">
        <v>263</v>
      </c>
      <c r="H519" s="58" t="s">
        <v>179</v>
      </c>
      <c r="I519">
        <v>38000</v>
      </c>
      <c r="J519" s="58" t="s">
        <v>185</v>
      </c>
      <c r="K519">
        <v>38000</v>
      </c>
      <c r="L519" s="74">
        <v>2.4319999999999999</v>
      </c>
      <c r="M519" s="85">
        <v>3</v>
      </c>
      <c r="N519" s="74">
        <v>0.20799999999999999</v>
      </c>
      <c r="O519">
        <v>2</v>
      </c>
      <c r="P519" s="84">
        <v>0.20799999999999999</v>
      </c>
      <c r="Q519" s="86">
        <v>4.2</v>
      </c>
      <c r="R519" s="85">
        <v>4.2</v>
      </c>
      <c r="S519" s="87">
        <v>558600</v>
      </c>
      <c r="T519" s="1">
        <v>4</v>
      </c>
      <c r="U519" s="88">
        <v>133000</v>
      </c>
      <c r="V519" s="59">
        <v>7.518796992481203</v>
      </c>
    </row>
    <row r="520" spans="1:22">
      <c r="A520" s="58">
        <v>520</v>
      </c>
      <c r="B520" s="58">
        <v>520</v>
      </c>
      <c r="C520" s="58" t="s">
        <v>1005</v>
      </c>
      <c r="D520" s="58" t="s">
        <v>176</v>
      </c>
      <c r="E520" s="58" t="s">
        <v>176</v>
      </c>
      <c r="F520" s="58" t="s">
        <v>262</v>
      </c>
      <c r="G520" s="58" t="s">
        <v>263</v>
      </c>
      <c r="H520" s="58" t="s">
        <v>179</v>
      </c>
      <c r="I520">
        <v>38000</v>
      </c>
      <c r="J520" s="58" t="s">
        <v>185</v>
      </c>
      <c r="K520">
        <v>38000</v>
      </c>
      <c r="L520" s="74">
        <v>1.5449999999999999</v>
      </c>
      <c r="M520" s="85">
        <v>2</v>
      </c>
      <c r="N520" s="74">
        <v>9.2999999999999999E-2</v>
      </c>
      <c r="O520">
        <v>2</v>
      </c>
      <c r="P520" s="84">
        <v>9.2999999999999999E-2</v>
      </c>
      <c r="Q520" s="86">
        <v>4.2</v>
      </c>
      <c r="R520" s="85">
        <v>4.2</v>
      </c>
      <c r="S520" s="87">
        <v>488330</v>
      </c>
      <c r="T520" s="1">
        <v>4</v>
      </c>
      <c r="U520" s="88">
        <v>116269.04761904762</v>
      </c>
      <c r="V520" s="59">
        <v>8.6007413019884087</v>
      </c>
    </row>
    <row r="521" spans="1:22">
      <c r="A521" s="58">
        <v>521</v>
      </c>
      <c r="B521" s="58">
        <v>521</v>
      </c>
      <c r="C521" s="58" t="s">
        <v>1006</v>
      </c>
      <c r="D521" s="58" t="s">
        <v>176</v>
      </c>
      <c r="E521" s="58" t="s">
        <v>176</v>
      </c>
      <c r="F521" s="58" t="s">
        <v>262</v>
      </c>
      <c r="G521" s="58" t="s">
        <v>263</v>
      </c>
      <c r="H521" s="58" t="s">
        <v>179</v>
      </c>
      <c r="I521">
        <v>38000</v>
      </c>
      <c r="J521" s="58" t="s">
        <v>185</v>
      </c>
      <c r="K521">
        <v>38000</v>
      </c>
      <c r="L521" s="74">
        <v>2.2999999999999998</v>
      </c>
      <c r="M521" s="85">
        <v>3</v>
      </c>
      <c r="N521" s="74">
        <v>0.40500000000000003</v>
      </c>
      <c r="O521">
        <v>2</v>
      </c>
      <c r="P521" s="84">
        <v>0.40500000000000003</v>
      </c>
      <c r="Q521" s="86">
        <v>4.2</v>
      </c>
      <c r="R521" s="85">
        <v>4.2</v>
      </c>
      <c r="S521" s="87">
        <v>558600</v>
      </c>
      <c r="T521" s="1">
        <v>4</v>
      </c>
      <c r="U521" s="88">
        <v>133000</v>
      </c>
      <c r="V521" s="59">
        <v>7.518796992481203</v>
      </c>
    </row>
    <row r="522" spans="1:22">
      <c r="A522" s="58">
        <v>522</v>
      </c>
      <c r="B522" s="58">
        <v>522</v>
      </c>
      <c r="C522" s="58" t="s">
        <v>1007</v>
      </c>
      <c r="D522" s="58" t="s">
        <v>176</v>
      </c>
      <c r="E522" s="58" t="s">
        <v>176</v>
      </c>
      <c r="F522" s="58" t="s">
        <v>222</v>
      </c>
      <c r="G522" s="58" t="s">
        <v>223</v>
      </c>
      <c r="H522" s="58" t="s">
        <v>179</v>
      </c>
      <c r="I522">
        <v>38000</v>
      </c>
      <c r="J522">
        <v>38000</v>
      </c>
      <c r="K522">
        <v>20000</v>
      </c>
      <c r="L522" s="74">
        <v>12.420999999999999</v>
      </c>
      <c r="M522" s="85">
        <v>13</v>
      </c>
      <c r="N522" s="74">
        <v>0.108</v>
      </c>
      <c r="O522">
        <v>2</v>
      </c>
      <c r="P522" s="84">
        <v>0.108</v>
      </c>
      <c r="Q522" s="86">
        <v>4.2</v>
      </c>
      <c r="R522" s="85">
        <v>4.2</v>
      </c>
      <c r="S522" s="87">
        <v>1545240</v>
      </c>
      <c r="T522" s="1">
        <v>1</v>
      </c>
      <c r="U522" s="88">
        <v>367914.28571428568</v>
      </c>
      <c r="V522" s="59">
        <v>2.7180243845616214</v>
      </c>
    </row>
    <row r="523" spans="1:22">
      <c r="A523" s="58">
        <v>523</v>
      </c>
      <c r="B523" s="58">
        <v>523</v>
      </c>
      <c r="C523" s="58" t="s">
        <v>1008</v>
      </c>
      <c r="D523" s="58" t="s">
        <v>176</v>
      </c>
      <c r="E523" s="58" t="s">
        <v>176</v>
      </c>
      <c r="F523" s="58" t="s">
        <v>290</v>
      </c>
      <c r="G523" s="58" t="s">
        <v>291</v>
      </c>
      <c r="H523" s="58" t="s">
        <v>179</v>
      </c>
      <c r="I523">
        <v>38000</v>
      </c>
      <c r="J523">
        <v>38000</v>
      </c>
      <c r="K523">
        <v>20000</v>
      </c>
      <c r="L523" s="74">
        <v>8.4190000000000005</v>
      </c>
      <c r="M523" s="85">
        <v>9</v>
      </c>
      <c r="N523" s="74">
        <v>0.495</v>
      </c>
      <c r="O523">
        <v>2</v>
      </c>
      <c r="P523" s="84">
        <v>0.495</v>
      </c>
      <c r="Q523" s="86">
        <v>4.2</v>
      </c>
      <c r="R523" s="85">
        <v>4.2</v>
      </c>
      <c r="S523" s="87">
        <v>1334440</v>
      </c>
      <c r="T523" s="1">
        <v>1</v>
      </c>
      <c r="U523" s="88">
        <v>317723.80952380953</v>
      </c>
      <c r="V523" s="59">
        <v>3.1473876682353645</v>
      </c>
    </row>
    <row r="524" spans="1:22">
      <c r="A524" s="58">
        <v>524</v>
      </c>
      <c r="B524" s="58">
        <v>524</v>
      </c>
      <c r="C524" s="58" t="s">
        <v>1009</v>
      </c>
      <c r="D524" s="58" t="s">
        <v>176</v>
      </c>
      <c r="E524" s="58" t="s">
        <v>176</v>
      </c>
      <c r="F524" s="58" t="s">
        <v>290</v>
      </c>
      <c r="G524" s="58" t="s">
        <v>291</v>
      </c>
      <c r="H524" s="58" t="s">
        <v>179</v>
      </c>
      <c r="I524">
        <v>38000</v>
      </c>
      <c r="J524">
        <v>38000</v>
      </c>
      <c r="K524">
        <v>20000</v>
      </c>
      <c r="L524" s="74">
        <v>3.448</v>
      </c>
      <c r="M524" s="85">
        <v>4</v>
      </c>
      <c r="N524" s="74">
        <v>0.35099999999999998</v>
      </c>
      <c r="O524">
        <v>2</v>
      </c>
      <c r="P524" s="84">
        <v>0.35099999999999998</v>
      </c>
      <c r="Q524" s="86">
        <v>4.2</v>
      </c>
      <c r="R524" s="85">
        <v>4.2</v>
      </c>
      <c r="S524" s="87">
        <v>628870</v>
      </c>
      <c r="T524" s="1">
        <v>4</v>
      </c>
      <c r="U524" s="88">
        <v>149730.95238095237</v>
      </c>
      <c r="V524" s="59">
        <v>6.6786458250512828</v>
      </c>
    </row>
    <row r="525" spans="1:22">
      <c r="A525" s="58">
        <v>525</v>
      </c>
      <c r="B525" s="58">
        <v>525</v>
      </c>
      <c r="C525" s="58" t="s">
        <v>1010</v>
      </c>
      <c r="D525" s="58" t="s">
        <v>176</v>
      </c>
      <c r="E525" s="58" t="s">
        <v>176</v>
      </c>
      <c r="F525" s="58" t="s">
        <v>222</v>
      </c>
      <c r="G525" s="58" t="s">
        <v>223</v>
      </c>
      <c r="H525" s="58" t="s">
        <v>179</v>
      </c>
      <c r="I525">
        <v>38000</v>
      </c>
      <c r="J525">
        <v>38000</v>
      </c>
      <c r="K525">
        <v>20000</v>
      </c>
      <c r="L525" s="74">
        <v>3.6869999999999998</v>
      </c>
      <c r="M525" s="85">
        <v>4</v>
      </c>
      <c r="N525" s="74">
        <v>0.42</v>
      </c>
      <c r="O525">
        <v>2</v>
      </c>
      <c r="P525" s="84">
        <v>0.42</v>
      </c>
      <c r="Q525" s="86">
        <v>4.2</v>
      </c>
      <c r="R525" s="85">
        <v>4.2</v>
      </c>
      <c r="S525" s="87">
        <v>628870</v>
      </c>
      <c r="T525" s="1">
        <v>4</v>
      </c>
      <c r="U525" s="88">
        <v>149730.95238095237</v>
      </c>
      <c r="V525" s="59">
        <v>6.6786458250512828</v>
      </c>
    </row>
    <row r="526" spans="1:22">
      <c r="A526" s="58">
        <v>526</v>
      </c>
      <c r="B526" s="58">
        <v>526</v>
      </c>
      <c r="C526" s="58" t="s">
        <v>1011</v>
      </c>
      <c r="D526" s="58" t="s">
        <v>176</v>
      </c>
      <c r="E526" s="58" t="s">
        <v>176</v>
      </c>
      <c r="F526" s="58" t="s">
        <v>222</v>
      </c>
      <c r="G526" s="58" t="s">
        <v>223</v>
      </c>
      <c r="H526" s="58" t="s">
        <v>179</v>
      </c>
      <c r="I526">
        <v>38000</v>
      </c>
      <c r="J526">
        <v>38000</v>
      </c>
      <c r="K526">
        <v>20000</v>
      </c>
      <c r="L526" s="74">
        <v>6.867</v>
      </c>
      <c r="M526" s="85">
        <v>7</v>
      </c>
      <c r="N526" s="74">
        <v>0.21</v>
      </c>
      <c r="O526">
        <v>2</v>
      </c>
      <c r="P526" s="84">
        <v>0.21</v>
      </c>
      <c r="Q526" s="86">
        <v>4.2</v>
      </c>
      <c r="R526" s="85">
        <v>4.2</v>
      </c>
      <c r="S526" s="87">
        <v>839680</v>
      </c>
      <c r="T526" s="1">
        <v>4</v>
      </c>
      <c r="U526" s="88">
        <v>199923.80952380953</v>
      </c>
      <c r="V526" s="59">
        <v>5.0019054878048781</v>
      </c>
    </row>
    <row r="527" spans="1:22">
      <c r="A527" s="58">
        <v>527</v>
      </c>
      <c r="B527" s="58">
        <v>527</v>
      </c>
      <c r="C527" s="58" t="s">
        <v>1012</v>
      </c>
      <c r="D527" s="58" t="s">
        <v>176</v>
      </c>
      <c r="E527" s="58" t="s">
        <v>176</v>
      </c>
      <c r="F527" s="58" t="s">
        <v>1013</v>
      </c>
      <c r="G527" s="58" t="s">
        <v>1014</v>
      </c>
      <c r="H527" s="58" t="s">
        <v>179</v>
      </c>
      <c r="I527">
        <v>38000</v>
      </c>
      <c r="J527">
        <v>38000</v>
      </c>
      <c r="K527">
        <v>20000</v>
      </c>
      <c r="L527" s="74">
        <v>5.1890000000000001</v>
      </c>
      <c r="M527" s="85">
        <v>6</v>
      </c>
      <c r="N527" s="74">
        <v>0.14699999999999999</v>
      </c>
      <c r="O527">
        <v>2</v>
      </c>
      <c r="P527" s="84">
        <v>0.14699999999999999</v>
      </c>
      <c r="Q527" s="86">
        <v>4.2</v>
      </c>
      <c r="R527" s="85">
        <v>4.2</v>
      </c>
      <c r="S527" s="87">
        <v>769410</v>
      </c>
      <c r="T527" s="1">
        <v>4</v>
      </c>
      <c r="U527" s="88">
        <v>183192.85714285713</v>
      </c>
      <c r="V527" s="59">
        <v>5.4587281163488903</v>
      </c>
    </row>
    <row r="528" spans="1:22">
      <c r="A528" s="58">
        <v>528</v>
      </c>
      <c r="B528" s="58">
        <v>528</v>
      </c>
      <c r="C528" s="58" t="s">
        <v>1015</v>
      </c>
      <c r="D528" s="58" t="s">
        <v>197</v>
      </c>
      <c r="E528" s="58" t="s">
        <v>197</v>
      </c>
      <c r="F528" s="58" t="s">
        <v>299</v>
      </c>
      <c r="G528" s="58" t="s">
        <v>300</v>
      </c>
      <c r="H528" s="58" t="s">
        <v>179</v>
      </c>
      <c r="I528">
        <v>38000</v>
      </c>
      <c r="J528">
        <v>38000</v>
      </c>
      <c r="K528" s="58" t="s">
        <v>185</v>
      </c>
      <c r="L528" s="74">
        <v>20.277999999999999</v>
      </c>
      <c r="M528" s="85">
        <v>21</v>
      </c>
      <c r="N528" s="74">
        <v>0.33</v>
      </c>
      <c r="O528">
        <v>2</v>
      </c>
      <c r="P528" s="84">
        <v>0.33</v>
      </c>
      <c r="Q528" s="86">
        <v>4.2</v>
      </c>
      <c r="R528" s="85">
        <v>4.2</v>
      </c>
      <c r="S528" s="87">
        <v>1966840</v>
      </c>
      <c r="T528" s="1">
        <v>1</v>
      </c>
      <c r="U528" s="88">
        <v>468295.23809523805</v>
      </c>
      <c r="V528" s="59">
        <v>2.135405015151207</v>
      </c>
    </row>
    <row r="529" spans="1:22">
      <c r="A529" s="58">
        <v>529</v>
      </c>
      <c r="B529" s="58">
        <v>529</v>
      </c>
      <c r="C529" s="58" t="s">
        <v>1016</v>
      </c>
      <c r="D529" s="58" t="s">
        <v>197</v>
      </c>
      <c r="E529" s="58" t="s">
        <v>197</v>
      </c>
      <c r="F529" s="58" t="s">
        <v>299</v>
      </c>
      <c r="G529" s="58" t="s">
        <v>300</v>
      </c>
      <c r="H529" s="58" t="s">
        <v>179</v>
      </c>
      <c r="I529">
        <v>38000</v>
      </c>
      <c r="J529">
        <v>38000</v>
      </c>
      <c r="K529" s="58" t="s">
        <v>185</v>
      </c>
      <c r="L529" s="74">
        <v>22.224</v>
      </c>
      <c r="M529" s="85">
        <v>23</v>
      </c>
      <c r="N529" s="74">
        <v>9.1999999999999998E-2</v>
      </c>
      <c r="O529">
        <v>2</v>
      </c>
      <c r="P529" s="84">
        <v>9.1999999999999998E-2</v>
      </c>
      <c r="Q529" s="86">
        <v>4.2</v>
      </c>
      <c r="R529" s="85">
        <v>4.2</v>
      </c>
      <c r="S529" s="87">
        <v>2072240</v>
      </c>
      <c r="T529" s="1">
        <v>1</v>
      </c>
      <c r="U529" s="88">
        <v>493390.47619047615</v>
      </c>
      <c r="V529" s="59">
        <v>2.0267922634443889</v>
      </c>
    </row>
    <row r="530" spans="1:22">
      <c r="A530" s="58">
        <v>530</v>
      </c>
      <c r="B530" s="58">
        <v>530</v>
      </c>
      <c r="C530" s="58" t="s">
        <v>1017</v>
      </c>
      <c r="D530" s="58" t="s">
        <v>197</v>
      </c>
      <c r="E530" s="58" t="s">
        <v>197</v>
      </c>
      <c r="F530" s="58" t="s">
        <v>299</v>
      </c>
      <c r="G530" s="58" t="s">
        <v>300</v>
      </c>
      <c r="H530" s="58" t="s">
        <v>179</v>
      </c>
      <c r="I530">
        <v>38000</v>
      </c>
      <c r="J530">
        <v>38000</v>
      </c>
      <c r="K530" s="58" t="s">
        <v>185</v>
      </c>
      <c r="L530" s="74">
        <v>14.654999999999999</v>
      </c>
      <c r="M530" s="85">
        <v>15</v>
      </c>
      <c r="N530" s="74">
        <v>0.17100000000000001</v>
      </c>
      <c r="O530">
        <v>2</v>
      </c>
      <c r="P530" s="84">
        <v>0.17100000000000001</v>
      </c>
      <c r="Q530" s="86">
        <v>4.2</v>
      </c>
      <c r="R530" s="85">
        <v>4.2</v>
      </c>
      <c r="S530" s="87">
        <v>1650640</v>
      </c>
      <c r="T530" s="1">
        <v>1</v>
      </c>
      <c r="U530" s="88">
        <v>393009.52380952379</v>
      </c>
      <c r="V530" s="59">
        <v>2.5444676004458877</v>
      </c>
    </row>
    <row r="531" spans="1:22">
      <c r="A531" s="58">
        <v>531</v>
      </c>
      <c r="B531" s="58">
        <v>531</v>
      </c>
      <c r="C531" s="58" t="s">
        <v>1018</v>
      </c>
      <c r="D531" s="58" t="s">
        <v>197</v>
      </c>
      <c r="E531" s="58" t="s">
        <v>197</v>
      </c>
      <c r="F531" s="58" t="s">
        <v>486</v>
      </c>
      <c r="G531" s="58" t="s">
        <v>487</v>
      </c>
      <c r="H531" s="58" t="s">
        <v>179</v>
      </c>
      <c r="I531">
        <v>38000</v>
      </c>
      <c r="J531">
        <v>38000</v>
      </c>
      <c r="K531" s="58" t="s">
        <v>185</v>
      </c>
      <c r="L531" s="74">
        <v>18.608000000000001</v>
      </c>
      <c r="M531" s="85">
        <v>19</v>
      </c>
      <c r="N531" s="74">
        <v>0.312</v>
      </c>
      <c r="O531">
        <v>2</v>
      </c>
      <c r="P531" s="84">
        <v>0.312</v>
      </c>
      <c r="Q531" s="86">
        <v>4.2</v>
      </c>
      <c r="R531" s="85">
        <v>4.2</v>
      </c>
      <c r="S531" s="87">
        <v>1861440</v>
      </c>
      <c r="T531" s="1">
        <v>1</v>
      </c>
      <c r="U531" s="88">
        <v>443200</v>
      </c>
      <c r="V531" s="59">
        <v>2.256317689530686</v>
      </c>
    </row>
    <row r="532" spans="1:22">
      <c r="A532" s="58">
        <v>532</v>
      </c>
      <c r="B532" s="58">
        <v>532</v>
      </c>
      <c r="C532" s="58" t="s">
        <v>1019</v>
      </c>
      <c r="D532" s="58" t="s">
        <v>182</v>
      </c>
      <c r="E532" s="58" t="s">
        <v>182</v>
      </c>
      <c r="F532" s="58" t="s">
        <v>183</v>
      </c>
      <c r="G532" s="58" t="s">
        <v>184</v>
      </c>
      <c r="H532" s="58" t="s">
        <v>179</v>
      </c>
      <c r="I532">
        <v>38000</v>
      </c>
      <c r="J532">
        <v>38000</v>
      </c>
      <c r="K532" s="58" t="s">
        <v>185</v>
      </c>
      <c r="L532" s="74">
        <v>10.936</v>
      </c>
      <c r="M532" s="85">
        <v>11</v>
      </c>
      <c r="N532" s="74">
        <v>0.17199999999999999</v>
      </c>
      <c r="O532">
        <v>2</v>
      </c>
      <c r="P532" s="84">
        <v>0.17199999999999999</v>
      </c>
      <c r="Q532" s="86">
        <v>4.2</v>
      </c>
      <c r="R532" s="85">
        <v>4.2</v>
      </c>
      <c r="S532" s="87">
        <v>1439840</v>
      </c>
      <c r="T532" s="1">
        <v>1</v>
      </c>
      <c r="U532" s="88">
        <v>342819.04761904763</v>
      </c>
      <c r="V532" s="59">
        <v>2.9169907767529724</v>
      </c>
    </row>
    <row r="533" spans="1:22">
      <c r="A533" s="58">
        <v>533</v>
      </c>
      <c r="B533" s="58">
        <v>533</v>
      </c>
      <c r="C533" s="58" t="s">
        <v>1020</v>
      </c>
      <c r="D533" s="58" t="s">
        <v>182</v>
      </c>
      <c r="E533" s="58" t="s">
        <v>182</v>
      </c>
      <c r="F533" s="58" t="s">
        <v>183</v>
      </c>
      <c r="G533" s="58" t="s">
        <v>184</v>
      </c>
      <c r="H533" s="58" t="s">
        <v>179</v>
      </c>
      <c r="I533">
        <v>38000</v>
      </c>
      <c r="J533">
        <v>38000</v>
      </c>
      <c r="K533" s="58" t="s">
        <v>185</v>
      </c>
      <c r="L533" s="74">
        <v>14.888</v>
      </c>
      <c r="M533" s="85">
        <v>15</v>
      </c>
      <c r="N533" s="74">
        <v>0.17399999999999999</v>
      </c>
      <c r="O533">
        <v>2</v>
      </c>
      <c r="P533" s="84">
        <v>0.17399999999999999</v>
      </c>
      <c r="Q533" s="86">
        <v>4.2</v>
      </c>
      <c r="R533" s="85">
        <v>4.2</v>
      </c>
      <c r="S533" s="87">
        <v>1650640</v>
      </c>
      <c r="T533" s="1">
        <v>1</v>
      </c>
      <c r="U533" s="88">
        <v>393009.52380952379</v>
      </c>
      <c r="V533" s="59">
        <v>2.5444676004458877</v>
      </c>
    </row>
    <row r="534" spans="1:22">
      <c r="A534" s="58">
        <v>534</v>
      </c>
      <c r="B534" s="58">
        <v>534</v>
      </c>
      <c r="C534" s="58" t="s">
        <v>1021</v>
      </c>
      <c r="D534" s="58" t="s">
        <v>182</v>
      </c>
      <c r="E534" s="58" t="s">
        <v>182</v>
      </c>
      <c r="F534" s="58" t="s">
        <v>302</v>
      </c>
      <c r="G534" s="58" t="s">
        <v>303</v>
      </c>
      <c r="H534" s="58" t="s">
        <v>179</v>
      </c>
      <c r="I534">
        <v>38000</v>
      </c>
      <c r="J534">
        <v>38000</v>
      </c>
      <c r="K534" s="58" t="s">
        <v>185</v>
      </c>
      <c r="L534" s="74">
        <v>11.564</v>
      </c>
      <c r="M534" s="85">
        <v>12</v>
      </c>
      <c r="N534" s="74">
        <v>0.433</v>
      </c>
      <c r="O534">
        <v>2</v>
      </c>
      <c r="P534" s="84">
        <v>0.433</v>
      </c>
      <c r="Q534" s="86">
        <v>4.2</v>
      </c>
      <c r="R534" s="85">
        <v>4.2</v>
      </c>
      <c r="S534" s="87">
        <v>1492540</v>
      </c>
      <c r="T534" s="1">
        <v>1</v>
      </c>
      <c r="U534" s="88">
        <v>355366.66666666663</v>
      </c>
      <c r="V534" s="59">
        <v>2.8139949348091173</v>
      </c>
    </row>
    <row r="535" spans="1:22">
      <c r="A535" s="58">
        <v>535</v>
      </c>
      <c r="B535" s="58">
        <v>535</v>
      </c>
      <c r="C535" s="58" t="s">
        <v>1022</v>
      </c>
      <c r="D535" s="58" t="s">
        <v>182</v>
      </c>
      <c r="E535" s="58" t="s">
        <v>182</v>
      </c>
      <c r="F535" s="58" t="s">
        <v>302</v>
      </c>
      <c r="G535" s="58" t="s">
        <v>303</v>
      </c>
      <c r="H535" s="58" t="s">
        <v>179</v>
      </c>
      <c r="I535">
        <v>38000</v>
      </c>
      <c r="J535">
        <v>38000</v>
      </c>
      <c r="K535" s="58" t="s">
        <v>185</v>
      </c>
      <c r="L535" s="74">
        <v>4.6289999999999996</v>
      </c>
      <c r="M535" s="85">
        <v>5</v>
      </c>
      <c r="N535" s="74">
        <v>0.27200000000000002</v>
      </c>
      <c r="O535">
        <v>2</v>
      </c>
      <c r="P535" s="84">
        <v>0.27200000000000002</v>
      </c>
      <c r="Q535" s="86">
        <v>4.2</v>
      </c>
      <c r="R535" s="85">
        <v>4.2</v>
      </c>
      <c r="S535" s="87">
        <v>699140</v>
      </c>
      <c r="T535" s="1">
        <v>4</v>
      </c>
      <c r="U535" s="88">
        <v>166461.90476190476</v>
      </c>
      <c r="V535" s="59">
        <v>6.0073804960379897</v>
      </c>
    </row>
    <row r="536" spans="1:22">
      <c r="A536" s="58">
        <v>536</v>
      </c>
      <c r="B536" s="58">
        <v>536</v>
      </c>
      <c r="C536" s="58" t="s">
        <v>1023</v>
      </c>
      <c r="D536" s="58" t="s">
        <v>182</v>
      </c>
      <c r="E536" s="58" t="s">
        <v>182</v>
      </c>
      <c r="F536" s="58" t="s">
        <v>302</v>
      </c>
      <c r="G536" s="58" t="s">
        <v>303</v>
      </c>
      <c r="H536" s="58" t="s">
        <v>179</v>
      </c>
      <c r="I536">
        <v>38000</v>
      </c>
      <c r="J536">
        <v>38000</v>
      </c>
      <c r="K536" s="58" t="s">
        <v>185</v>
      </c>
      <c r="L536" s="74">
        <v>5.2220000000000004</v>
      </c>
      <c r="M536" s="85">
        <v>6</v>
      </c>
      <c r="N536" s="74">
        <v>0.248</v>
      </c>
      <c r="O536">
        <v>2</v>
      </c>
      <c r="P536" s="84">
        <v>0.248</v>
      </c>
      <c r="Q536" s="86">
        <v>4.2</v>
      </c>
      <c r="R536" s="85">
        <v>4.2</v>
      </c>
      <c r="S536" s="87">
        <v>769410</v>
      </c>
      <c r="T536" s="1">
        <v>4</v>
      </c>
      <c r="U536" s="88">
        <v>183192.85714285713</v>
      </c>
      <c r="V536" s="59">
        <v>5.4587281163488903</v>
      </c>
    </row>
    <row r="537" spans="1:22">
      <c r="A537" s="58">
        <v>537</v>
      </c>
      <c r="B537" s="58">
        <v>537</v>
      </c>
      <c r="C537" s="58" t="s">
        <v>1024</v>
      </c>
      <c r="D537" s="58" t="s">
        <v>182</v>
      </c>
      <c r="E537" s="58" t="s">
        <v>182</v>
      </c>
      <c r="F537" s="58" t="s">
        <v>302</v>
      </c>
      <c r="G537" s="58" t="s">
        <v>303</v>
      </c>
      <c r="H537" s="58" t="s">
        <v>179</v>
      </c>
      <c r="I537">
        <v>38000</v>
      </c>
      <c r="J537">
        <v>38000</v>
      </c>
      <c r="K537" s="58" t="s">
        <v>185</v>
      </c>
      <c r="L537" s="74">
        <v>8.2880000000000003</v>
      </c>
      <c r="M537" s="85">
        <v>9</v>
      </c>
      <c r="N537" s="74">
        <v>0.20699999999999999</v>
      </c>
      <c r="O537">
        <v>2</v>
      </c>
      <c r="P537" s="84">
        <v>0.20699999999999999</v>
      </c>
      <c r="Q537" s="86">
        <v>4.2</v>
      </c>
      <c r="R537" s="85">
        <v>4.2</v>
      </c>
      <c r="S537" s="87">
        <v>1334440</v>
      </c>
      <c r="T537" s="1">
        <v>1</v>
      </c>
      <c r="U537" s="88">
        <v>317723.80952380953</v>
      </c>
      <c r="V537" s="59">
        <v>3.1473876682353645</v>
      </c>
    </row>
    <row r="538" spans="1:22">
      <c r="A538" s="58">
        <v>538</v>
      </c>
      <c r="B538" s="58">
        <v>538</v>
      </c>
      <c r="C538" s="58" t="s">
        <v>1025</v>
      </c>
      <c r="D538" s="58" t="s">
        <v>234</v>
      </c>
      <c r="E538" s="58" t="s">
        <v>234</v>
      </c>
      <c r="F538" s="58" t="s">
        <v>302</v>
      </c>
      <c r="G538" s="58" t="s">
        <v>303</v>
      </c>
      <c r="H538" s="58" t="s">
        <v>179</v>
      </c>
      <c r="I538">
        <v>38000</v>
      </c>
      <c r="J538">
        <v>38000</v>
      </c>
      <c r="K538" s="58" t="s">
        <v>185</v>
      </c>
      <c r="L538" s="74">
        <v>18.506</v>
      </c>
      <c r="M538" s="85">
        <v>19</v>
      </c>
      <c r="N538" s="74">
        <v>0.21199999999999999</v>
      </c>
      <c r="O538">
        <v>2</v>
      </c>
      <c r="P538" s="84">
        <v>0.21199999999999999</v>
      </c>
      <c r="Q538" s="86">
        <v>4.2</v>
      </c>
      <c r="R538" s="85">
        <v>4.2</v>
      </c>
      <c r="S538" s="87">
        <v>1861440</v>
      </c>
      <c r="T538" s="1">
        <v>1</v>
      </c>
      <c r="U538" s="88">
        <v>443200</v>
      </c>
      <c r="V538" s="59">
        <v>2.256317689530686</v>
      </c>
    </row>
    <row r="539" spans="1:22">
      <c r="A539" s="58">
        <v>539</v>
      </c>
      <c r="B539" s="58">
        <v>539</v>
      </c>
      <c r="C539" s="58" t="s">
        <v>1026</v>
      </c>
      <c r="D539" s="58" t="s">
        <v>234</v>
      </c>
      <c r="E539" s="58" t="s">
        <v>234</v>
      </c>
      <c r="F539" s="58" t="s">
        <v>309</v>
      </c>
      <c r="G539" s="58" t="s">
        <v>310</v>
      </c>
      <c r="H539" s="58" t="s">
        <v>179</v>
      </c>
      <c r="I539">
        <v>38000</v>
      </c>
      <c r="J539">
        <v>38000</v>
      </c>
      <c r="K539">
        <v>20000</v>
      </c>
      <c r="L539" s="74">
        <v>16.36</v>
      </c>
      <c r="M539" s="85">
        <v>17</v>
      </c>
      <c r="N539" s="74">
        <v>0.41</v>
      </c>
      <c r="O539">
        <v>2</v>
      </c>
      <c r="P539" s="84">
        <v>0.41</v>
      </c>
      <c r="Q539" s="86">
        <v>4.2</v>
      </c>
      <c r="R539" s="85">
        <v>4.2</v>
      </c>
      <c r="S539" s="87">
        <v>1756040</v>
      </c>
      <c r="T539" s="1">
        <v>1</v>
      </c>
      <c r="U539" s="88">
        <v>418104.76190476189</v>
      </c>
      <c r="V539" s="59">
        <v>2.3917450627548349</v>
      </c>
    </row>
    <row r="540" spans="1:22">
      <c r="A540" s="58">
        <v>540</v>
      </c>
      <c r="B540" s="58">
        <v>540</v>
      </c>
      <c r="C540" s="58" t="s">
        <v>1027</v>
      </c>
      <c r="D540" s="58" t="s">
        <v>182</v>
      </c>
      <c r="E540" s="58" t="s">
        <v>182</v>
      </c>
      <c r="F540" s="58" t="s">
        <v>595</v>
      </c>
      <c r="G540" s="58" t="s">
        <v>596</v>
      </c>
      <c r="H540" s="58" t="s">
        <v>179</v>
      </c>
      <c r="I540">
        <v>38000</v>
      </c>
      <c r="J540">
        <v>38000</v>
      </c>
      <c r="K540" s="58" t="s">
        <v>185</v>
      </c>
      <c r="L540" s="74">
        <v>14.183</v>
      </c>
      <c r="M540" s="85">
        <v>15</v>
      </c>
      <c r="N540" s="74">
        <v>0.47599999999999998</v>
      </c>
      <c r="O540">
        <v>2</v>
      </c>
      <c r="P540" s="84">
        <v>0.47599999999999998</v>
      </c>
      <c r="Q540" s="86">
        <v>4.2</v>
      </c>
      <c r="R540" s="85">
        <v>4.2</v>
      </c>
      <c r="S540" s="87">
        <v>1650640</v>
      </c>
      <c r="T540" s="1">
        <v>1</v>
      </c>
      <c r="U540" s="88">
        <v>393009.52380952379</v>
      </c>
      <c r="V540" s="59">
        <v>2.5444676004458877</v>
      </c>
    </row>
    <row r="541" spans="1:22">
      <c r="A541" s="58">
        <v>541</v>
      </c>
      <c r="B541" s="58">
        <v>541</v>
      </c>
      <c r="C541" s="58" t="s">
        <v>1028</v>
      </c>
      <c r="D541" s="58" t="s">
        <v>182</v>
      </c>
      <c r="E541" s="58" t="s">
        <v>182</v>
      </c>
      <c r="F541" s="58" t="s">
        <v>440</v>
      </c>
      <c r="G541" s="58" t="s">
        <v>441</v>
      </c>
      <c r="H541" s="58" t="s">
        <v>199</v>
      </c>
      <c r="I541">
        <v>110000</v>
      </c>
      <c r="L541" s="74">
        <v>16.065000000000001</v>
      </c>
      <c r="M541" s="85">
        <v>17</v>
      </c>
      <c r="N541" s="74">
        <v>0.11700000000000001</v>
      </c>
      <c r="O541">
        <v>2</v>
      </c>
      <c r="P541" s="84">
        <v>0.11700000000000001</v>
      </c>
      <c r="Q541" s="86">
        <v>4.2</v>
      </c>
      <c r="R541" s="85">
        <v>4.2</v>
      </c>
      <c r="S541" s="87">
        <v>2312370</v>
      </c>
      <c r="T541" s="1">
        <v>7</v>
      </c>
      <c r="U541" s="88">
        <v>550564.28571428568</v>
      </c>
      <c r="V541" s="59">
        <v>1.8163183227597659</v>
      </c>
    </row>
    <row r="542" spans="1:22">
      <c r="A542" s="58">
        <v>542</v>
      </c>
      <c r="B542" s="58">
        <v>542</v>
      </c>
      <c r="C542" s="58" t="s">
        <v>1029</v>
      </c>
      <c r="D542" s="58" t="s">
        <v>182</v>
      </c>
      <c r="E542" s="58" t="s">
        <v>182</v>
      </c>
      <c r="F542" s="58" t="s">
        <v>440</v>
      </c>
      <c r="G542" s="58" t="s">
        <v>441</v>
      </c>
      <c r="H542" s="58" t="s">
        <v>199</v>
      </c>
      <c r="I542">
        <v>110000</v>
      </c>
      <c r="L542" s="74">
        <v>15.196</v>
      </c>
      <c r="M542" s="85">
        <v>16</v>
      </c>
      <c r="N542" s="74">
        <v>0.19800000000000001</v>
      </c>
      <c r="O542">
        <v>2</v>
      </c>
      <c r="P542" s="84">
        <v>0.19800000000000001</v>
      </c>
      <c r="Q542" s="86">
        <v>4.2</v>
      </c>
      <c r="R542" s="85">
        <v>4.2</v>
      </c>
      <c r="S542" s="87">
        <v>2259670</v>
      </c>
      <c r="T542" s="1">
        <v>7</v>
      </c>
      <c r="U542" s="88">
        <v>538016.66666666663</v>
      </c>
      <c r="V542" s="59">
        <v>1.8586784796010036</v>
      </c>
    </row>
    <row r="543" spans="1:22">
      <c r="A543" s="58">
        <v>543</v>
      </c>
      <c r="B543" s="58">
        <v>543</v>
      </c>
      <c r="C543" s="58" t="s">
        <v>1030</v>
      </c>
      <c r="D543" s="58" t="s">
        <v>182</v>
      </c>
      <c r="E543" s="58" t="s">
        <v>182</v>
      </c>
      <c r="F543" s="58" t="s">
        <v>302</v>
      </c>
      <c r="G543" s="58" t="s">
        <v>303</v>
      </c>
      <c r="H543" s="58" t="s">
        <v>179</v>
      </c>
      <c r="I543">
        <v>38000</v>
      </c>
      <c r="J543">
        <v>38000</v>
      </c>
      <c r="K543" s="58" t="s">
        <v>185</v>
      </c>
      <c r="L543" s="74">
        <v>15.058999999999999</v>
      </c>
      <c r="M543" s="85">
        <v>16</v>
      </c>
      <c r="N543" s="74">
        <v>0.27</v>
      </c>
      <c r="O543">
        <v>2</v>
      </c>
      <c r="P543" s="84">
        <v>0.27</v>
      </c>
      <c r="Q543" s="86">
        <v>4.2</v>
      </c>
      <c r="R543" s="85">
        <v>4.2</v>
      </c>
      <c r="S543" s="87">
        <v>1703340</v>
      </c>
      <c r="T543" s="1">
        <v>1</v>
      </c>
      <c r="U543" s="88">
        <v>405557.14285714284</v>
      </c>
      <c r="V543" s="59">
        <v>2.4657437739969708</v>
      </c>
    </row>
    <row r="544" spans="1:22">
      <c r="A544" s="58">
        <v>544</v>
      </c>
      <c r="B544" s="58">
        <v>544</v>
      </c>
      <c r="C544" s="58" t="s">
        <v>1031</v>
      </c>
      <c r="D544" s="58" t="s">
        <v>182</v>
      </c>
      <c r="E544" s="58" t="s">
        <v>182</v>
      </c>
      <c r="F544" s="58" t="s">
        <v>302</v>
      </c>
      <c r="G544" s="58" t="s">
        <v>303</v>
      </c>
      <c r="H544" s="58" t="s">
        <v>179</v>
      </c>
      <c r="I544">
        <v>38000</v>
      </c>
      <c r="J544">
        <v>38000</v>
      </c>
      <c r="K544" s="58" t="s">
        <v>185</v>
      </c>
      <c r="L544" s="74">
        <v>14.984</v>
      </c>
      <c r="M544" s="85">
        <v>15</v>
      </c>
      <c r="N544" s="74">
        <v>0.217</v>
      </c>
      <c r="O544">
        <v>2</v>
      </c>
      <c r="P544" s="84">
        <v>0.217</v>
      </c>
      <c r="Q544" s="86">
        <v>4.2</v>
      </c>
      <c r="R544" s="85">
        <v>4.2</v>
      </c>
      <c r="S544" s="87">
        <v>1650640</v>
      </c>
      <c r="T544" s="1">
        <v>1</v>
      </c>
      <c r="U544" s="88">
        <v>393009.52380952379</v>
      </c>
      <c r="V544" s="59">
        <v>2.5444676004458877</v>
      </c>
    </row>
    <row r="545" spans="1:22">
      <c r="A545" s="58">
        <v>545</v>
      </c>
      <c r="B545" s="58">
        <v>545</v>
      </c>
      <c r="C545" s="58" t="s">
        <v>1032</v>
      </c>
      <c r="D545" s="58" t="s">
        <v>182</v>
      </c>
      <c r="E545" s="58" t="s">
        <v>182</v>
      </c>
      <c r="F545" s="58" t="s">
        <v>302</v>
      </c>
      <c r="G545" s="58" t="s">
        <v>303</v>
      </c>
      <c r="H545" s="58" t="s">
        <v>179</v>
      </c>
      <c r="I545">
        <v>38000</v>
      </c>
      <c r="J545">
        <v>38000</v>
      </c>
      <c r="K545" s="58" t="s">
        <v>185</v>
      </c>
      <c r="L545" s="74">
        <v>14.57</v>
      </c>
      <c r="M545" s="85">
        <v>15</v>
      </c>
      <c r="N545" s="74">
        <v>0.111</v>
      </c>
      <c r="O545">
        <v>2</v>
      </c>
      <c r="P545" s="84">
        <v>0.111</v>
      </c>
      <c r="Q545" s="86">
        <v>4.2</v>
      </c>
      <c r="R545" s="85">
        <v>4.2</v>
      </c>
      <c r="S545" s="87">
        <v>1650640</v>
      </c>
      <c r="T545" s="1">
        <v>1</v>
      </c>
      <c r="U545" s="88">
        <v>393009.52380952379</v>
      </c>
      <c r="V545" s="59">
        <v>2.5444676004458877</v>
      </c>
    </row>
    <row r="546" spans="1:22">
      <c r="A546" s="58">
        <v>546</v>
      </c>
      <c r="B546" s="58">
        <v>546</v>
      </c>
      <c r="C546" s="58" t="s">
        <v>1033</v>
      </c>
      <c r="D546" s="58" t="s">
        <v>182</v>
      </c>
      <c r="E546" s="58" t="s">
        <v>182</v>
      </c>
      <c r="F546" s="58" t="s">
        <v>183</v>
      </c>
      <c r="G546" s="58" t="s">
        <v>184</v>
      </c>
      <c r="H546" s="58" t="s">
        <v>179</v>
      </c>
      <c r="I546">
        <v>38000</v>
      </c>
      <c r="J546">
        <v>38000</v>
      </c>
      <c r="K546" s="58" t="s">
        <v>185</v>
      </c>
      <c r="L546" s="74">
        <v>6.1189999999999998</v>
      </c>
      <c r="M546" s="85">
        <v>7</v>
      </c>
      <c r="N546" s="74">
        <v>0.20100000000000001</v>
      </c>
      <c r="O546">
        <v>2</v>
      </c>
      <c r="P546" s="84">
        <v>0.20100000000000001</v>
      </c>
      <c r="Q546" s="86">
        <v>4.2</v>
      </c>
      <c r="R546" s="85">
        <v>4.2</v>
      </c>
      <c r="S546" s="87">
        <v>839680</v>
      </c>
      <c r="T546" s="1">
        <v>4</v>
      </c>
      <c r="U546" s="88">
        <v>199923.80952380953</v>
      </c>
      <c r="V546" s="59">
        <v>5.0019054878048781</v>
      </c>
    </row>
    <row r="547" spans="1:22">
      <c r="A547" s="58">
        <v>547</v>
      </c>
      <c r="B547" s="58">
        <v>547</v>
      </c>
      <c r="C547" s="58" t="s">
        <v>1034</v>
      </c>
      <c r="D547" s="58" t="s">
        <v>234</v>
      </c>
      <c r="E547" s="58" t="s">
        <v>234</v>
      </c>
      <c r="F547" s="58" t="s">
        <v>309</v>
      </c>
      <c r="G547" s="58" t="s">
        <v>310</v>
      </c>
      <c r="H547" s="58" t="s">
        <v>179</v>
      </c>
      <c r="I547">
        <v>38000</v>
      </c>
      <c r="J547">
        <v>38000</v>
      </c>
      <c r="K547">
        <v>20000</v>
      </c>
      <c r="L547" s="74">
        <v>18.274999999999999</v>
      </c>
      <c r="M547" s="85">
        <v>19</v>
      </c>
      <c r="N547" s="74">
        <v>9.4E-2</v>
      </c>
      <c r="O547">
        <v>2</v>
      </c>
      <c r="P547" s="84">
        <v>9.4E-2</v>
      </c>
      <c r="Q547" s="86">
        <v>4.2</v>
      </c>
      <c r="R547" s="85">
        <v>4.2</v>
      </c>
      <c r="S547" s="87">
        <v>1861440</v>
      </c>
      <c r="T547" s="1">
        <v>1</v>
      </c>
      <c r="U547" s="88">
        <v>443200</v>
      </c>
      <c r="V547" s="59">
        <v>2.256317689530686</v>
      </c>
    </row>
    <row r="548" spans="1:22">
      <c r="A548" s="58">
        <v>548</v>
      </c>
      <c r="B548" s="58">
        <v>548</v>
      </c>
      <c r="C548" s="58" t="s">
        <v>1035</v>
      </c>
      <c r="D548" s="58" t="s">
        <v>234</v>
      </c>
      <c r="E548" s="58" t="s">
        <v>234</v>
      </c>
      <c r="F548" s="58" t="s">
        <v>316</v>
      </c>
      <c r="G548" s="58" t="s">
        <v>317</v>
      </c>
      <c r="H548" s="58" t="s">
        <v>199</v>
      </c>
      <c r="I548">
        <v>110000</v>
      </c>
      <c r="J548">
        <v>110000</v>
      </c>
      <c r="K548">
        <v>38000</v>
      </c>
      <c r="L548" s="74">
        <v>6.1470000000000002</v>
      </c>
      <c r="M548" s="85">
        <v>7</v>
      </c>
      <c r="N548" s="74">
        <v>0.107</v>
      </c>
      <c r="O548">
        <v>2</v>
      </c>
      <c r="P548" s="84">
        <v>0.107</v>
      </c>
      <c r="Q548" s="86">
        <v>4.2</v>
      </c>
      <c r="R548" s="85">
        <v>4.2</v>
      </c>
      <c r="S548" s="87">
        <v>1785370</v>
      </c>
      <c r="T548" s="1">
        <v>7</v>
      </c>
      <c r="U548" s="88">
        <v>425088.09523809521</v>
      </c>
      <c r="V548" s="59">
        <v>2.3524535530450272</v>
      </c>
    </row>
    <row r="549" spans="1:22">
      <c r="A549" s="58">
        <v>549</v>
      </c>
      <c r="B549" s="58">
        <v>549</v>
      </c>
      <c r="C549" s="58" t="s">
        <v>1036</v>
      </c>
      <c r="D549" s="58" t="s">
        <v>182</v>
      </c>
      <c r="E549" s="58" t="s">
        <v>182</v>
      </c>
      <c r="F549" s="58" t="s">
        <v>183</v>
      </c>
      <c r="G549" s="58" t="s">
        <v>184</v>
      </c>
      <c r="H549" s="58" t="s">
        <v>179</v>
      </c>
      <c r="I549">
        <v>38000</v>
      </c>
      <c r="J549">
        <v>38000</v>
      </c>
      <c r="K549" s="58" t="s">
        <v>185</v>
      </c>
      <c r="L549" s="74">
        <v>9.2260000000000009</v>
      </c>
      <c r="M549" s="85">
        <v>10</v>
      </c>
      <c r="N549" s="74">
        <v>0.35299999999999998</v>
      </c>
      <c r="O549">
        <v>2</v>
      </c>
      <c r="P549" s="84">
        <v>0.35299999999999998</v>
      </c>
      <c r="Q549" s="86">
        <v>4.2</v>
      </c>
      <c r="R549" s="85">
        <v>4.2</v>
      </c>
      <c r="S549" s="87">
        <v>1387140</v>
      </c>
      <c r="T549" s="1">
        <v>1</v>
      </c>
      <c r="U549" s="88">
        <v>330271.42857142858</v>
      </c>
      <c r="V549" s="59">
        <v>3.0278126216531858</v>
      </c>
    </row>
    <row r="550" spans="1:22">
      <c r="A550" s="58">
        <v>550</v>
      </c>
      <c r="B550" s="58">
        <v>550</v>
      </c>
      <c r="C550" s="58" t="s">
        <v>1037</v>
      </c>
      <c r="D550" s="58" t="s">
        <v>234</v>
      </c>
      <c r="E550" s="58" t="s">
        <v>234</v>
      </c>
      <c r="F550" s="58" t="s">
        <v>235</v>
      </c>
      <c r="G550" s="58" t="s">
        <v>236</v>
      </c>
      <c r="H550" s="58" t="s">
        <v>179</v>
      </c>
      <c r="I550">
        <v>38000</v>
      </c>
      <c r="J550">
        <v>38000</v>
      </c>
      <c r="K550">
        <v>20000</v>
      </c>
      <c r="L550" s="74">
        <v>6.4859999999999998</v>
      </c>
      <c r="M550" s="85">
        <v>7</v>
      </c>
      <c r="N550" s="74">
        <v>0.371</v>
      </c>
      <c r="O550">
        <v>2</v>
      </c>
      <c r="P550" s="84">
        <v>0.371</v>
      </c>
      <c r="Q550" s="86">
        <v>4.2</v>
      </c>
      <c r="R550" s="85">
        <v>4.2</v>
      </c>
      <c r="S550" s="87">
        <v>839680</v>
      </c>
      <c r="T550" s="1">
        <v>4</v>
      </c>
      <c r="U550" s="88">
        <v>199923.80952380953</v>
      </c>
      <c r="V550" s="59">
        <v>5.0019054878048781</v>
      </c>
    </row>
    <row r="551" spans="1:22">
      <c r="A551" s="58">
        <v>551</v>
      </c>
      <c r="B551" s="58">
        <v>551</v>
      </c>
      <c r="C551" s="58" t="s">
        <v>1038</v>
      </c>
      <c r="D551" s="58" t="s">
        <v>234</v>
      </c>
      <c r="E551" s="58" t="s">
        <v>234</v>
      </c>
      <c r="F551" s="58" t="s">
        <v>235</v>
      </c>
      <c r="G551" s="58" t="s">
        <v>236</v>
      </c>
      <c r="H551" s="58" t="s">
        <v>179</v>
      </c>
      <c r="I551">
        <v>38000</v>
      </c>
      <c r="J551">
        <v>38000</v>
      </c>
      <c r="K551">
        <v>20000</v>
      </c>
      <c r="L551" s="74">
        <v>5.2850000000000001</v>
      </c>
      <c r="M551" s="85">
        <v>6</v>
      </c>
      <c r="N551" s="74">
        <v>0.40600000000000003</v>
      </c>
      <c r="O551">
        <v>2</v>
      </c>
      <c r="P551" s="84">
        <v>0.40600000000000003</v>
      </c>
      <c r="Q551" s="86">
        <v>4.2</v>
      </c>
      <c r="R551" s="85">
        <v>4.2</v>
      </c>
      <c r="S551" s="87">
        <v>769410</v>
      </c>
      <c r="T551" s="1">
        <v>4</v>
      </c>
      <c r="U551" s="88">
        <v>183192.85714285713</v>
      </c>
      <c r="V551" s="59">
        <v>5.4587281163488903</v>
      </c>
    </row>
    <row r="552" spans="1:22">
      <c r="A552" s="58">
        <v>552</v>
      </c>
      <c r="B552" s="58">
        <v>552</v>
      </c>
      <c r="C552" s="58" t="s">
        <v>1039</v>
      </c>
      <c r="D552" s="58" t="s">
        <v>234</v>
      </c>
      <c r="E552" s="58" t="s">
        <v>234</v>
      </c>
      <c r="F552" s="58" t="s">
        <v>323</v>
      </c>
      <c r="G552" s="58" t="s">
        <v>324</v>
      </c>
      <c r="H552" s="58" t="s">
        <v>179</v>
      </c>
      <c r="I552">
        <v>38000</v>
      </c>
      <c r="J552">
        <v>38000</v>
      </c>
      <c r="K552">
        <v>20000</v>
      </c>
      <c r="L552" s="74">
        <v>12.324999999999999</v>
      </c>
      <c r="M552" s="85">
        <v>13</v>
      </c>
      <c r="N552" s="74">
        <v>0.11</v>
      </c>
      <c r="O552">
        <v>2</v>
      </c>
      <c r="P552" s="84">
        <v>0.11</v>
      </c>
      <c r="Q552" s="86">
        <v>4.2</v>
      </c>
      <c r="R552" s="85">
        <v>4.2</v>
      </c>
      <c r="S552" s="87">
        <v>1545240</v>
      </c>
      <c r="T552" s="1">
        <v>1</v>
      </c>
      <c r="U552" s="88">
        <v>367914.28571428568</v>
      </c>
      <c r="V552" s="59">
        <v>2.7180243845616214</v>
      </c>
    </row>
    <row r="553" spans="1:22">
      <c r="A553" s="58">
        <v>553</v>
      </c>
      <c r="B553" s="58">
        <v>553</v>
      </c>
      <c r="C553" s="58" t="s">
        <v>1040</v>
      </c>
      <c r="D553" s="58" t="s">
        <v>234</v>
      </c>
      <c r="E553" s="58" t="s">
        <v>234</v>
      </c>
      <c r="F553" s="58" t="s">
        <v>326</v>
      </c>
      <c r="G553" s="58" t="s">
        <v>327</v>
      </c>
      <c r="H553" s="58" t="s">
        <v>199</v>
      </c>
      <c r="I553">
        <v>110000</v>
      </c>
      <c r="J553">
        <v>110000</v>
      </c>
      <c r="K553">
        <v>38000</v>
      </c>
      <c r="L553" s="74">
        <v>12.785</v>
      </c>
      <c r="M553" s="85">
        <v>13</v>
      </c>
      <c r="N553" s="74">
        <v>0.09</v>
      </c>
      <c r="O553">
        <v>2</v>
      </c>
      <c r="P553" s="84">
        <v>0.09</v>
      </c>
      <c r="Q553" s="86">
        <v>4.2</v>
      </c>
      <c r="R553" s="85">
        <v>4.2</v>
      </c>
      <c r="S553" s="87">
        <v>2101570</v>
      </c>
      <c r="T553" s="1">
        <v>7</v>
      </c>
      <c r="U553" s="88">
        <v>500373.80952380953</v>
      </c>
      <c r="V553" s="59">
        <v>1.9985058789381271</v>
      </c>
    </row>
    <row r="554" spans="1:22">
      <c r="A554" s="58">
        <v>554</v>
      </c>
      <c r="B554" s="58">
        <v>554</v>
      </c>
      <c r="C554" s="58" t="s">
        <v>1041</v>
      </c>
      <c r="D554" s="58" t="s">
        <v>234</v>
      </c>
      <c r="E554" s="58" t="s">
        <v>234</v>
      </c>
      <c r="F554" s="58" t="s">
        <v>630</v>
      </c>
      <c r="G554" s="58" t="s">
        <v>631</v>
      </c>
      <c r="H554" s="58" t="s">
        <v>179</v>
      </c>
      <c r="I554">
        <v>38000</v>
      </c>
      <c r="J554" s="58" t="s">
        <v>185</v>
      </c>
      <c r="K554">
        <v>38000</v>
      </c>
      <c r="L554" s="74">
        <v>4.3620000000000001</v>
      </c>
      <c r="M554" s="85">
        <v>5</v>
      </c>
      <c r="N554" s="74">
        <v>0.33</v>
      </c>
      <c r="O554">
        <v>2</v>
      </c>
      <c r="P554" s="84">
        <v>0.33</v>
      </c>
      <c r="Q554" s="86">
        <v>4.2</v>
      </c>
      <c r="R554" s="85">
        <v>4.2</v>
      </c>
      <c r="S554" s="87">
        <v>699140</v>
      </c>
      <c r="T554" s="1">
        <v>4</v>
      </c>
      <c r="U554" s="88">
        <v>166461.90476190476</v>
      </c>
      <c r="V554" s="59">
        <v>6.0073804960379897</v>
      </c>
    </row>
    <row r="555" spans="1:22">
      <c r="A555" s="58">
        <v>555</v>
      </c>
      <c r="B555" s="58">
        <v>555</v>
      </c>
      <c r="C555" s="58" t="s">
        <v>1042</v>
      </c>
      <c r="D555" s="58" t="s">
        <v>234</v>
      </c>
      <c r="E555" s="58" t="s">
        <v>234</v>
      </c>
      <c r="F555" s="58" t="s">
        <v>630</v>
      </c>
      <c r="G555" s="58" t="s">
        <v>631</v>
      </c>
      <c r="H555" s="58" t="s">
        <v>179</v>
      </c>
      <c r="I555">
        <v>38000</v>
      </c>
      <c r="J555" s="58" t="s">
        <v>185</v>
      </c>
      <c r="K555">
        <v>38000</v>
      </c>
      <c r="L555" s="74">
        <v>3.7669999999999999</v>
      </c>
      <c r="M555" s="85">
        <v>4</v>
      </c>
      <c r="N555" s="74">
        <v>0.39100000000000001</v>
      </c>
      <c r="O555">
        <v>2</v>
      </c>
      <c r="P555" s="84">
        <v>0.39100000000000001</v>
      </c>
      <c r="Q555" s="86">
        <v>4.2</v>
      </c>
      <c r="R555" s="85">
        <v>4.2</v>
      </c>
      <c r="S555" s="87">
        <v>628870</v>
      </c>
      <c r="T555" s="1">
        <v>4</v>
      </c>
      <c r="U555" s="88">
        <v>149730.95238095237</v>
      </c>
      <c r="V555" s="59">
        <v>6.6786458250512828</v>
      </c>
    </row>
    <row r="556" spans="1:22">
      <c r="A556" s="58">
        <v>556</v>
      </c>
      <c r="B556" s="58">
        <v>556</v>
      </c>
      <c r="C556" s="58" t="s">
        <v>1043</v>
      </c>
      <c r="D556" s="58" t="s">
        <v>234</v>
      </c>
      <c r="E556" s="58" t="s">
        <v>234</v>
      </c>
      <c r="F556" s="58" t="s">
        <v>329</v>
      </c>
      <c r="G556" s="58" t="s">
        <v>330</v>
      </c>
      <c r="H556" s="58" t="s">
        <v>179</v>
      </c>
      <c r="I556">
        <v>38000</v>
      </c>
      <c r="J556">
        <v>38000</v>
      </c>
      <c r="K556" s="58" t="s">
        <v>185</v>
      </c>
      <c r="L556" s="74">
        <v>11.967000000000001</v>
      </c>
      <c r="M556" s="85">
        <v>12</v>
      </c>
      <c r="N556" s="74">
        <v>0.192</v>
      </c>
      <c r="O556">
        <v>2</v>
      </c>
      <c r="P556" s="84">
        <v>0.192</v>
      </c>
      <c r="Q556" s="86">
        <v>4.2</v>
      </c>
      <c r="R556" s="85">
        <v>4.2</v>
      </c>
      <c r="S556" s="87">
        <v>1492540</v>
      </c>
      <c r="T556" s="1">
        <v>1</v>
      </c>
      <c r="U556" s="88">
        <v>355366.66666666663</v>
      </c>
      <c r="V556" s="59">
        <v>2.8139949348091173</v>
      </c>
    </row>
    <row r="557" spans="1:22">
      <c r="A557" s="58">
        <v>557</v>
      </c>
      <c r="B557" s="58">
        <v>557</v>
      </c>
      <c r="C557" s="58" t="s">
        <v>1044</v>
      </c>
      <c r="D557" s="58" t="s">
        <v>234</v>
      </c>
      <c r="E557" s="58" t="s">
        <v>234</v>
      </c>
      <c r="F557" s="58" t="s">
        <v>329</v>
      </c>
      <c r="G557" s="58" t="s">
        <v>330</v>
      </c>
      <c r="H557" s="58" t="s">
        <v>179</v>
      </c>
      <c r="I557">
        <v>38000</v>
      </c>
      <c r="J557">
        <v>38000</v>
      </c>
      <c r="K557" s="58" t="s">
        <v>185</v>
      </c>
      <c r="L557" s="74">
        <v>16.382999999999999</v>
      </c>
      <c r="M557" s="85">
        <v>17</v>
      </c>
      <c r="N557" s="74">
        <v>0.36</v>
      </c>
      <c r="O557">
        <v>2</v>
      </c>
      <c r="P557" s="84">
        <v>0.36</v>
      </c>
      <c r="Q557" s="86">
        <v>4.2</v>
      </c>
      <c r="R557" s="85">
        <v>4.2</v>
      </c>
      <c r="S557" s="87">
        <v>1756040</v>
      </c>
      <c r="T557" s="1">
        <v>1</v>
      </c>
      <c r="U557" s="88">
        <v>418104.76190476189</v>
      </c>
      <c r="V557" s="59">
        <v>2.3917450627548349</v>
      </c>
    </row>
    <row r="558" spans="1:22">
      <c r="A558" s="58">
        <v>558</v>
      </c>
      <c r="B558" s="58">
        <v>558</v>
      </c>
      <c r="C558" s="58" t="s">
        <v>1045</v>
      </c>
      <c r="D558" s="58" t="s">
        <v>234</v>
      </c>
      <c r="E558" s="58" t="s">
        <v>234</v>
      </c>
      <c r="F558" s="58" t="s">
        <v>329</v>
      </c>
      <c r="G558" s="58" t="s">
        <v>330</v>
      </c>
      <c r="H558" s="58" t="s">
        <v>179</v>
      </c>
      <c r="I558">
        <v>38000</v>
      </c>
      <c r="J558">
        <v>38000</v>
      </c>
      <c r="K558" s="58" t="s">
        <v>185</v>
      </c>
      <c r="L558" s="74">
        <v>19.204000000000001</v>
      </c>
      <c r="M558" s="85">
        <v>20</v>
      </c>
      <c r="N558" s="74">
        <v>0.64800000000000002</v>
      </c>
      <c r="O558">
        <v>2</v>
      </c>
      <c r="P558" s="84">
        <v>0.48599999999999999</v>
      </c>
      <c r="Q558" s="86">
        <v>4.2</v>
      </c>
      <c r="R558" s="85">
        <v>4.2</v>
      </c>
      <c r="S558" s="87">
        <v>1914140</v>
      </c>
      <c r="T558" s="1">
        <v>1</v>
      </c>
      <c r="U558" s="88">
        <v>455747.61904761905</v>
      </c>
      <c r="V558" s="59">
        <v>2.1941968717021743</v>
      </c>
    </row>
    <row r="559" spans="1:22">
      <c r="A559" s="58">
        <v>559</v>
      </c>
      <c r="B559" s="58">
        <v>559</v>
      </c>
      <c r="C559" s="58" t="s">
        <v>1046</v>
      </c>
      <c r="D559" s="58" t="s">
        <v>234</v>
      </c>
      <c r="E559" s="58" t="s">
        <v>234</v>
      </c>
      <c r="F559" s="58" t="s">
        <v>341</v>
      </c>
      <c r="G559" s="58" t="s">
        <v>342</v>
      </c>
      <c r="H559" s="58" t="s">
        <v>199</v>
      </c>
      <c r="I559">
        <v>110000</v>
      </c>
      <c r="J559" s="58" t="s">
        <v>185</v>
      </c>
      <c r="K559">
        <v>110000</v>
      </c>
      <c r="L559" s="74">
        <v>13.532999999999999</v>
      </c>
      <c r="M559" s="85">
        <v>14</v>
      </c>
      <c r="N559" s="74">
        <v>0.24299999999999999</v>
      </c>
      <c r="O559">
        <v>2</v>
      </c>
      <c r="P559" s="84">
        <v>0.24299999999999999</v>
      </c>
      <c r="Q559" s="86">
        <v>4.2</v>
      </c>
      <c r="R559" s="85">
        <v>4.2</v>
      </c>
      <c r="S559" s="87">
        <v>2154270</v>
      </c>
      <c r="T559" s="1">
        <v>7</v>
      </c>
      <c r="U559" s="88">
        <v>512921.42857142852</v>
      </c>
      <c r="V559" s="59">
        <v>1.9496163433552898</v>
      </c>
    </row>
    <row r="560" spans="1:22">
      <c r="A560" s="58">
        <v>560</v>
      </c>
      <c r="B560" s="58">
        <v>560</v>
      </c>
      <c r="C560" s="58" t="s">
        <v>1047</v>
      </c>
      <c r="D560" s="58" t="s">
        <v>234</v>
      </c>
      <c r="E560" s="58" t="s">
        <v>234</v>
      </c>
      <c r="F560" s="58" t="s">
        <v>329</v>
      </c>
      <c r="G560" s="58" t="s">
        <v>330</v>
      </c>
      <c r="H560" s="58" t="s">
        <v>179</v>
      </c>
      <c r="I560">
        <v>38000</v>
      </c>
      <c r="J560">
        <v>38000</v>
      </c>
      <c r="K560" s="58" t="s">
        <v>185</v>
      </c>
      <c r="L560" s="74">
        <v>5.6769999999999996</v>
      </c>
      <c r="M560" s="85">
        <v>6</v>
      </c>
      <c r="N560" s="74">
        <v>0.28100000000000003</v>
      </c>
      <c r="O560">
        <v>2</v>
      </c>
      <c r="P560" s="84">
        <v>0.28100000000000003</v>
      </c>
      <c r="Q560" s="86">
        <v>4.2</v>
      </c>
      <c r="R560" s="85">
        <v>4.2</v>
      </c>
      <c r="S560" s="87">
        <v>769410</v>
      </c>
      <c r="T560" s="1">
        <v>4</v>
      </c>
      <c r="U560" s="88">
        <v>183192.85714285713</v>
      </c>
      <c r="V560" s="59">
        <v>5.4587281163488903</v>
      </c>
    </row>
    <row r="561" spans="1:22">
      <c r="A561" s="58">
        <v>561</v>
      </c>
      <c r="B561" s="58">
        <v>561</v>
      </c>
      <c r="C561" s="58" t="s">
        <v>1048</v>
      </c>
      <c r="D561" s="58" t="s">
        <v>346</v>
      </c>
      <c r="E561" s="58" t="s">
        <v>346</v>
      </c>
      <c r="F561" s="58" t="s">
        <v>1049</v>
      </c>
      <c r="G561" s="58" t="s">
        <v>1050</v>
      </c>
      <c r="H561" s="58" t="s">
        <v>179</v>
      </c>
      <c r="I561">
        <v>38000</v>
      </c>
      <c r="J561">
        <v>38000</v>
      </c>
      <c r="K561">
        <v>10000</v>
      </c>
      <c r="L561" s="74">
        <v>3.2040000000000002</v>
      </c>
      <c r="M561" s="85">
        <v>4</v>
      </c>
      <c r="N561" s="74">
        <v>0.60299999999999998</v>
      </c>
      <c r="O561">
        <v>2</v>
      </c>
      <c r="P561" s="84">
        <v>0.60299999999999998</v>
      </c>
      <c r="Q561" s="86">
        <v>4.2</v>
      </c>
      <c r="R561" s="85">
        <v>4.2</v>
      </c>
      <c r="S561" s="87">
        <v>628870</v>
      </c>
      <c r="T561" s="1">
        <v>4</v>
      </c>
      <c r="U561" s="88">
        <v>149730.95238095237</v>
      </c>
      <c r="V561" s="59">
        <v>6.6786458250512828</v>
      </c>
    </row>
    <row r="562" spans="1:22">
      <c r="A562" s="58">
        <v>562</v>
      </c>
      <c r="B562" s="58">
        <v>562</v>
      </c>
      <c r="C562" s="58" t="s">
        <v>1051</v>
      </c>
      <c r="D562" s="58" t="s">
        <v>346</v>
      </c>
      <c r="E562" s="58" t="s">
        <v>346</v>
      </c>
      <c r="F562" s="58" t="s">
        <v>352</v>
      </c>
      <c r="G562" s="58" t="s">
        <v>353</v>
      </c>
      <c r="H562" s="58" t="s">
        <v>179</v>
      </c>
      <c r="I562">
        <v>38000</v>
      </c>
      <c r="J562">
        <v>38000</v>
      </c>
      <c r="K562">
        <v>10000</v>
      </c>
      <c r="L562" s="74">
        <v>11.372999999999999</v>
      </c>
      <c r="M562" s="85">
        <v>12</v>
      </c>
      <c r="N562" s="74">
        <v>0.28399999999999997</v>
      </c>
      <c r="O562">
        <v>2</v>
      </c>
      <c r="P562" s="84">
        <v>0.28399999999999997</v>
      </c>
      <c r="Q562" s="86">
        <v>4.2</v>
      </c>
      <c r="R562" s="85">
        <v>4.2</v>
      </c>
      <c r="S562" s="87">
        <v>1492540</v>
      </c>
      <c r="T562" s="1">
        <v>1</v>
      </c>
      <c r="U562" s="88">
        <v>355366.66666666663</v>
      </c>
      <c r="V562" s="59">
        <v>2.8139949348091173</v>
      </c>
    </row>
    <row r="563" spans="1:22">
      <c r="A563" s="58">
        <v>563</v>
      </c>
      <c r="B563" s="58">
        <v>563</v>
      </c>
      <c r="C563" s="58" t="s">
        <v>1052</v>
      </c>
      <c r="D563" s="58" t="s">
        <v>346</v>
      </c>
      <c r="E563" s="58" t="s">
        <v>346</v>
      </c>
      <c r="F563" s="58" t="s">
        <v>352</v>
      </c>
      <c r="G563" s="58" t="s">
        <v>353</v>
      </c>
      <c r="H563" s="58" t="s">
        <v>179</v>
      </c>
      <c r="I563">
        <v>38000</v>
      </c>
      <c r="J563">
        <v>38000</v>
      </c>
      <c r="K563">
        <v>10000</v>
      </c>
      <c r="L563" s="74">
        <v>7.9409999999999998</v>
      </c>
      <c r="M563" s="85">
        <v>8</v>
      </c>
      <c r="N563" s="74">
        <v>0.153</v>
      </c>
      <c r="O563">
        <v>2</v>
      </c>
      <c r="P563" s="84">
        <v>0.153</v>
      </c>
      <c r="Q563" s="86">
        <v>4.2</v>
      </c>
      <c r="R563" s="85">
        <v>4.2</v>
      </c>
      <c r="S563" s="87">
        <v>909950</v>
      </c>
      <c r="T563" s="1">
        <v>4</v>
      </c>
      <c r="U563" s="88">
        <v>216654.76190476189</v>
      </c>
      <c r="V563" s="59">
        <v>4.6156382218803227</v>
      </c>
    </row>
    <row r="564" spans="1:22">
      <c r="A564" s="58">
        <v>564</v>
      </c>
      <c r="B564" s="58">
        <v>564</v>
      </c>
      <c r="C564" s="58" t="s">
        <v>1053</v>
      </c>
      <c r="D564" s="58" t="s">
        <v>351</v>
      </c>
      <c r="E564" s="58" t="s">
        <v>351</v>
      </c>
      <c r="F564" s="58" t="s">
        <v>514</v>
      </c>
      <c r="G564" s="58" t="s">
        <v>515</v>
      </c>
      <c r="H564" s="58" t="s">
        <v>179</v>
      </c>
      <c r="I564">
        <v>38000</v>
      </c>
      <c r="J564">
        <v>38000</v>
      </c>
      <c r="K564">
        <v>20000</v>
      </c>
      <c r="L564" s="74">
        <v>6.7510000000000003</v>
      </c>
      <c r="M564" s="85">
        <v>7</v>
      </c>
      <c r="N564" s="74">
        <v>0.34399999999999997</v>
      </c>
      <c r="O564">
        <v>2</v>
      </c>
      <c r="P564" s="84">
        <v>0.34399999999999997</v>
      </c>
      <c r="Q564" s="86">
        <v>4.2</v>
      </c>
      <c r="R564" s="85">
        <v>4.2</v>
      </c>
      <c r="S564" s="87">
        <v>839680</v>
      </c>
      <c r="T564" s="1">
        <v>4</v>
      </c>
      <c r="U564" s="88">
        <v>199923.80952380953</v>
      </c>
      <c r="V564" s="59">
        <v>5.0019054878048781</v>
      </c>
    </row>
    <row r="565" spans="1:22">
      <c r="A565" s="58">
        <v>565</v>
      </c>
      <c r="B565" s="58">
        <v>565</v>
      </c>
      <c r="C565" s="58" t="s">
        <v>1054</v>
      </c>
      <c r="D565" s="58" t="s">
        <v>187</v>
      </c>
      <c r="E565" s="58" t="s">
        <v>187</v>
      </c>
      <c r="F565" s="58" t="s">
        <v>429</v>
      </c>
      <c r="G565" s="58" t="s">
        <v>430</v>
      </c>
      <c r="H565" s="58" t="s">
        <v>179</v>
      </c>
      <c r="I565">
        <v>38000</v>
      </c>
      <c r="J565">
        <v>38000</v>
      </c>
      <c r="K565" s="58" t="s">
        <v>185</v>
      </c>
      <c r="L565" s="74">
        <v>7.0739999999999998</v>
      </c>
      <c r="M565" s="85">
        <v>8</v>
      </c>
      <c r="N565" s="74">
        <v>0.40200000000000002</v>
      </c>
      <c r="O565">
        <v>2</v>
      </c>
      <c r="P565" s="84">
        <v>0.40200000000000002</v>
      </c>
      <c r="Q565" s="86">
        <v>4.2</v>
      </c>
      <c r="R565" s="85">
        <v>4.2</v>
      </c>
      <c r="S565" s="87">
        <v>909950</v>
      </c>
      <c r="T565" s="1">
        <v>4</v>
      </c>
      <c r="U565" s="88">
        <v>216654.76190476189</v>
      </c>
      <c r="V565" s="59">
        <v>4.6156382218803227</v>
      </c>
    </row>
    <row r="566" spans="1:22">
      <c r="A566" s="58">
        <v>566</v>
      </c>
      <c r="B566" s="58">
        <v>566</v>
      </c>
      <c r="C566" s="58" t="s">
        <v>1055</v>
      </c>
      <c r="D566" s="58" t="s">
        <v>187</v>
      </c>
      <c r="E566" s="58" t="s">
        <v>187</v>
      </c>
      <c r="F566" s="58" t="s">
        <v>188</v>
      </c>
      <c r="G566" s="58" t="s">
        <v>189</v>
      </c>
      <c r="H566" s="58" t="s">
        <v>179</v>
      </c>
      <c r="I566">
        <v>38000</v>
      </c>
      <c r="J566">
        <v>38000</v>
      </c>
      <c r="K566">
        <v>10000</v>
      </c>
      <c r="L566" s="74">
        <v>6.8140000000000001</v>
      </c>
      <c r="M566" s="85">
        <v>7</v>
      </c>
      <c r="N566" s="74">
        <v>0.107</v>
      </c>
      <c r="O566">
        <v>2</v>
      </c>
      <c r="P566" s="84">
        <v>0.107</v>
      </c>
      <c r="Q566" s="86">
        <v>4.2</v>
      </c>
      <c r="R566" s="85">
        <v>4.2</v>
      </c>
      <c r="S566" s="87">
        <v>839680</v>
      </c>
      <c r="T566" s="1">
        <v>4</v>
      </c>
      <c r="U566" s="88">
        <v>199923.80952380953</v>
      </c>
      <c r="V566" s="59">
        <v>5.0019054878048781</v>
      </c>
    </row>
    <row r="567" spans="1:22">
      <c r="A567" s="58">
        <v>567</v>
      </c>
      <c r="B567" s="58">
        <v>567</v>
      </c>
      <c r="C567" s="58" t="s">
        <v>1056</v>
      </c>
      <c r="D567" s="58" t="s">
        <v>187</v>
      </c>
      <c r="E567" s="58" t="s">
        <v>187</v>
      </c>
      <c r="F567" s="58" t="s">
        <v>188</v>
      </c>
      <c r="G567" s="58" t="s">
        <v>189</v>
      </c>
      <c r="H567" s="58" t="s">
        <v>179</v>
      </c>
      <c r="I567">
        <v>38000</v>
      </c>
      <c r="J567">
        <v>38000</v>
      </c>
      <c r="K567">
        <v>10000</v>
      </c>
      <c r="L567" s="74">
        <v>5.5330000000000004</v>
      </c>
      <c r="M567" s="85">
        <v>6</v>
      </c>
      <c r="N567" s="74">
        <v>0.33200000000000002</v>
      </c>
      <c r="O567">
        <v>2</v>
      </c>
      <c r="P567" s="84">
        <v>0.33200000000000002</v>
      </c>
      <c r="Q567" s="86">
        <v>4.2</v>
      </c>
      <c r="R567" s="85">
        <v>4.2</v>
      </c>
      <c r="S567" s="87">
        <v>769410</v>
      </c>
      <c r="T567" s="1">
        <v>4</v>
      </c>
      <c r="U567" s="88">
        <v>183192.85714285713</v>
      </c>
      <c r="V567" s="59">
        <v>5.4587281163488903</v>
      </c>
    </row>
    <row r="568" spans="1:22">
      <c r="A568" s="58">
        <v>568</v>
      </c>
      <c r="B568" s="58">
        <v>568</v>
      </c>
      <c r="C568" s="58" t="s">
        <v>1057</v>
      </c>
      <c r="D568" s="58" t="s">
        <v>187</v>
      </c>
      <c r="E568" s="58" t="s">
        <v>187</v>
      </c>
      <c r="F568" s="58" t="s">
        <v>188</v>
      </c>
      <c r="G568" s="58" t="s">
        <v>189</v>
      </c>
      <c r="H568" s="58" t="s">
        <v>179</v>
      </c>
      <c r="I568">
        <v>38000</v>
      </c>
      <c r="J568">
        <v>38000</v>
      </c>
      <c r="K568">
        <v>10000</v>
      </c>
      <c r="L568" s="74">
        <v>5.79</v>
      </c>
      <c r="M568" s="85">
        <v>6</v>
      </c>
      <c r="N568" s="74">
        <v>0.621</v>
      </c>
      <c r="O568">
        <v>2</v>
      </c>
      <c r="P568" s="84">
        <v>0.46575</v>
      </c>
      <c r="Q568" s="86">
        <v>4.2</v>
      </c>
      <c r="R568" s="85">
        <v>4.2</v>
      </c>
      <c r="S568" s="87">
        <v>769410</v>
      </c>
      <c r="T568" s="1">
        <v>4</v>
      </c>
      <c r="U568" s="88">
        <v>183192.85714285713</v>
      </c>
      <c r="V568" s="59">
        <v>5.4587281163488903</v>
      </c>
    </row>
    <row r="569" spans="1:22">
      <c r="A569" s="58">
        <v>569</v>
      </c>
      <c r="B569" s="58">
        <v>569</v>
      </c>
      <c r="C569" s="58" t="s">
        <v>1058</v>
      </c>
      <c r="D569" s="58" t="s">
        <v>187</v>
      </c>
      <c r="E569" s="58" t="s">
        <v>187</v>
      </c>
      <c r="F569" s="58" t="s">
        <v>188</v>
      </c>
      <c r="G569" s="58" t="s">
        <v>189</v>
      </c>
      <c r="H569" s="58" t="s">
        <v>179</v>
      </c>
      <c r="I569">
        <v>38000</v>
      </c>
      <c r="J569">
        <v>38000</v>
      </c>
      <c r="K569">
        <v>10000</v>
      </c>
      <c r="L569" s="74">
        <v>12.903</v>
      </c>
      <c r="M569" s="85">
        <v>13</v>
      </c>
      <c r="N569" s="74">
        <v>0.63800000000000001</v>
      </c>
      <c r="O569">
        <v>2</v>
      </c>
      <c r="P569" s="84">
        <v>0.47850000000000004</v>
      </c>
      <c r="Q569" s="86">
        <v>4.2</v>
      </c>
      <c r="R569" s="85">
        <v>4.2</v>
      </c>
      <c r="S569" s="87">
        <v>1545240</v>
      </c>
      <c r="T569" s="1">
        <v>1</v>
      </c>
      <c r="U569" s="88">
        <v>367914.28571428568</v>
      </c>
      <c r="V569" s="59">
        <v>2.7180243845616214</v>
      </c>
    </row>
    <row r="570" spans="1:22">
      <c r="A570" s="58">
        <v>570</v>
      </c>
      <c r="B570" s="58">
        <v>570</v>
      </c>
      <c r="C570" s="58" t="s">
        <v>1059</v>
      </c>
      <c r="D570" s="58" t="s">
        <v>187</v>
      </c>
      <c r="E570" s="58" t="s">
        <v>187</v>
      </c>
      <c r="F570" s="58" t="s">
        <v>188</v>
      </c>
      <c r="G570" s="58" t="s">
        <v>189</v>
      </c>
      <c r="H570" s="58" t="s">
        <v>179</v>
      </c>
      <c r="I570">
        <v>38000</v>
      </c>
      <c r="J570">
        <v>38000</v>
      </c>
      <c r="K570">
        <v>10000</v>
      </c>
      <c r="L570" s="74">
        <v>8.5890000000000004</v>
      </c>
      <c r="M570" s="85">
        <v>9</v>
      </c>
      <c r="N570" s="74">
        <v>0.30099999999999999</v>
      </c>
      <c r="O570">
        <v>2</v>
      </c>
      <c r="P570" s="84">
        <v>0.30099999999999999</v>
      </c>
      <c r="Q570" s="86">
        <v>4.2</v>
      </c>
      <c r="R570" s="85">
        <v>4.2</v>
      </c>
      <c r="S570" s="87">
        <v>1334440</v>
      </c>
      <c r="T570" s="1">
        <v>1</v>
      </c>
      <c r="U570" s="88">
        <v>317723.80952380953</v>
      </c>
      <c r="V570" s="59">
        <v>3.1473876682353645</v>
      </c>
    </row>
    <row r="571" spans="1:22">
      <c r="A571" s="58">
        <v>571</v>
      </c>
      <c r="B571" s="58">
        <v>571</v>
      </c>
      <c r="C571" s="58" t="s">
        <v>1060</v>
      </c>
      <c r="D571" s="58" t="s">
        <v>187</v>
      </c>
      <c r="E571" s="58" t="s">
        <v>187</v>
      </c>
      <c r="F571" s="58" t="s">
        <v>365</v>
      </c>
      <c r="G571" s="58" t="s">
        <v>366</v>
      </c>
      <c r="H571" s="58" t="s">
        <v>179</v>
      </c>
      <c r="I571">
        <v>38000</v>
      </c>
      <c r="J571">
        <v>38000</v>
      </c>
      <c r="K571">
        <v>10000</v>
      </c>
      <c r="L571" s="74">
        <v>8.0540000000000003</v>
      </c>
      <c r="M571" s="85">
        <v>9</v>
      </c>
      <c r="N571" s="74">
        <v>0.20399999999999999</v>
      </c>
      <c r="O571">
        <v>2</v>
      </c>
      <c r="P571" s="84">
        <v>0.20399999999999999</v>
      </c>
      <c r="Q571" s="86">
        <v>4.2</v>
      </c>
      <c r="R571" s="85">
        <v>4.2</v>
      </c>
      <c r="S571" s="87">
        <v>1334440</v>
      </c>
      <c r="T571" s="1">
        <v>1</v>
      </c>
      <c r="U571" s="88">
        <v>317723.80952380953</v>
      </c>
      <c r="V571" s="59">
        <v>3.1473876682353645</v>
      </c>
    </row>
    <row r="572" spans="1:22">
      <c r="A572" s="58">
        <v>572</v>
      </c>
      <c r="B572" s="58">
        <v>572</v>
      </c>
      <c r="C572" s="58" t="s">
        <v>1061</v>
      </c>
      <c r="D572" s="58" t="s">
        <v>187</v>
      </c>
      <c r="E572" s="58" t="s">
        <v>187</v>
      </c>
      <c r="F572" s="58" t="s">
        <v>365</v>
      </c>
      <c r="G572" s="58" t="s">
        <v>366</v>
      </c>
      <c r="H572" s="58" t="s">
        <v>179</v>
      </c>
      <c r="I572">
        <v>38000</v>
      </c>
      <c r="J572">
        <v>38000</v>
      </c>
      <c r="K572">
        <v>10000</v>
      </c>
      <c r="L572" s="74">
        <v>5.2560000000000002</v>
      </c>
      <c r="M572" s="85">
        <v>6</v>
      </c>
      <c r="N572" s="74">
        <v>0.121</v>
      </c>
      <c r="O572">
        <v>2</v>
      </c>
      <c r="P572" s="84">
        <v>0.121</v>
      </c>
      <c r="Q572" s="86">
        <v>4.2</v>
      </c>
      <c r="R572" s="85">
        <v>4.2</v>
      </c>
      <c r="S572" s="87">
        <v>769410</v>
      </c>
      <c r="T572" s="1">
        <v>4</v>
      </c>
      <c r="U572" s="88">
        <v>183192.85714285713</v>
      </c>
      <c r="V572" s="59">
        <v>5.4587281163488903</v>
      </c>
    </row>
    <row r="573" spans="1:22">
      <c r="A573" s="58">
        <v>573</v>
      </c>
      <c r="B573" s="58">
        <v>573</v>
      </c>
      <c r="C573" s="58" t="s">
        <v>1062</v>
      </c>
      <c r="D573" s="58" t="s">
        <v>187</v>
      </c>
      <c r="E573" s="58" t="s">
        <v>187</v>
      </c>
      <c r="F573" s="58" t="s">
        <v>368</v>
      </c>
      <c r="G573" s="58" t="s">
        <v>369</v>
      </c>
      <c r="H573" s="58" t="s">
        <v>199</v>
      </c>
      <c r="I573">
        <v>110000</v>
      </c>
      <c r="J573">
        <v>110000</v>
      </c>
      <c r="K573">
        <v>38000</v>
      </c>
      <c r="L573" s="74">
        <v>10.587</v>
      </c>
      <c r="M573" s="85">
        <v>11</v>
      </c>
      <c r="N573" s="74">
        <v>0.182</v>
      </c>
      <c r="O573">
        <v>2</v>
      </c>
      <c r="P573" s="84">
        <v>0.182</v>
      </c>
      <c r="Q573" s="86">
        <v>4.2</v>
      </c>
      <c r="R573" s="85">
        <v>4.2</v>
      </c>
      <c r="S573" s="87">
        <v>1996170</v>
      </c>
      <c r="T573" s="1">
        <v>7</v>
      </c>
      <c r="U573" s="88">
        <v>475278.57142857142</v>
      </c>
      <c r="V573" s="59">
        <v>2.1040292159485414</v>
      </c>
    </row>
    <row r="574" spans="1:22">
      <c r="A574" s="58">
        <v>574</v>
      </c>
      <c r="B574" s="58">
        <v>574</v>
      </c>
      <c r="C574" s="58" t="s">
        <v>1063</v>
      </c>
      <c r="D574" s="58" t="s">
        <v>187</v>
      </c>
      <c r="E574" s="58" t="s">
        <v>187</v>
      </c>
      <c r="F574" s="58" t="s">
        <v>415</v>
      </c>
      <c r="G574" s="58" t="s">
        <v>416</v>
      </c>
      <c r="H574" s="58" t="s">
        <v>179</v>
      </c>
      <c r="I574">
        <v>38000</v>
      </c>
      <c r="J574">
        <v>38000</v>
      </c>
      <c r="K574" s="58" t="s">
        <v>185</v>
      </c>
      <c r="L574" s="74">
        <v>7.1159999999999997</v>
      </c>
      <c r="M574" s="85">
        <v>8</v>
      </c>
      <c r="N574" s="74">
        <v>9.8000000000000004E-2</v>
      </c>
      <c r="O574">
        <v>2</v>
      </c>
      <c r="P574" s="84">
        <v>9.8000000000000004E-2</v>
      </c>
      <c r="Q574" s="86">
        <v>4.2</v>
      </c>
      <c r="R574" s="85">
        <v>4.2</v>
      </c>
      <c r="S574" s="87">
        <v>909950</v>
      </c>
      <c r="T574" s="1">
        <v>4</v>
      </c>
      <c r="U574" s="88">
        <v>216654.76190476189</v>
      </c>
      <c r="V574" s="59">
        <v>4.6156382218803227</v>
      </c>
    </row>
    <row r="575" spans="1:22">
      <c r="A575" s="58">
        <v>575</v>
      </c>
      <c r="B575" s="58">
        <v>575</v>
      </c>
      <c r="C575" s="58" t="s">
        <v>1064</v>
      </c>
      <c r="D575" s="58" t="s">
        <v>187</v>
      </c>
      <c r="E575" s="58" t="s">
        <v>187</v>
      </c>
      <c r="F575" s="58" t="s">
        <v>683</v>
      </c>
      <c r="G575" s="58" t="s">
        <v>684</v>
      </c>
      <c r="H575" s="58" t="s">
        <v>179</v>
      </c>
      <c r="I575">
        <v>38000</v>
      </c>
      <c r="J575" s="58" t="s">
        <v>185</v>
      </c>
      <c r="K575">
        <v>38000</v>
      </c>
      <c r="L575" s="74">
        <v>10.865</v>
      </c>
      <c r="M575" s="85">
        <v>11</v>
      </c>
      <c r="N575" s="74">
        <v>0.26100000000000001</v>
      </c>
      <c r="O575">
        <v>2</v>
      </c>
      <c r="P575" s="84">
        <v>0.26100000000000001</v>
      </c>
      <c r="Q575" s="86">
        <v>4.2</v>
      </c>
      <c r="R575" s="85">
        <v>4.2</v>
      </c>
      <c r="S575" s="87">
        <v>1439840</v>
      </c>
      <c r="T575" s="1">
        <v>1</v>
      </c>
      <c r="U575" s="88">
        <v>342819.04761904763</v>
      </c>
      <c r="V575" s="59">
        <v>2.9169907767529724</v>
      </c>
    </row>
    <row r="576" spans="1:22">
      <c r="A576" s="58">
        <v>576</v>
      </c>
      <c r="B576" s="58">
        <v>576</v>
      </c>
      <c r="C576" s="58" t="s">
        <v>1065</v>
      </c>
      <c r="D576" s="58" t="s">
        <v>187</v>
      </c>
      <c r="E576" s="58" t="s">
        <v>187</v>
      </c>
      <c r="F576" s="58" t="s">
        <v>191</v>
      </c>
      <c r="G576" s="58" t="s">
        <v>192</v>
      </c>
      <c r="H576" s="58" t="s">
        <v>179</v>
      </c>
      <c r="I576">
        <v>38000</v>
      </c>
      <c r="J576">
        <v>38000</v>
      </c>
      <c r="K576" s="58" t="s">
        <v>185</v>
      </c>
      <c r="L576" s="74">
        <v>5.1870000000000003</v>
      </c>
      <c r="M576" s="85">
        <v>6</v>
      </c>
      <c r="N576" s="74">
        <v>0.45100000000000001</v>
      </c>
      <c r="O576">
        <v>2</v>
      </c>
      <c r="P576" s="84">
        <v>0.45100000000000001</v>
      </c>
      <c r="Q576" s="86">
        <v>4.2</v>
      </c>
      <c r="R576" s="85">
        <v>4.2</v>
      </c>
      <c r="S576" s="87">
        <v>769410</v>
      </c>
      <c r="T576" s="1">
        <v>4</v>
      </c>
      <c r="U576" s="88">
        <v>183192.85714285713</v>
      </c>
      <c r="V576" s="59">
        <v>5.4587281163488903</v>
      </c>
    </row>
    <row r="577" spans="1:22">
      <c r="A577" s="58">
        <v>577</v>
      </c>
      <c r="B577" s="58">
        <v>577</v>
      </c>
      <c r="C577" s="58" t="s">
        <v>1066</v>
      </c>
      <c r="D577" s="58" t="s">
        <v>187</v>
      </c>
      <c r="E577" s="58" t="s">
        <v>187</v>
      </c>
      <c r="F577" s="58" t="s">
        <v>194</v>
      </c>
      <c r="G577" s="58" t="s">
        <v>195</v>
      </c>
      <c r="H577" s="58" t="s">
        <v>179</v>
      </c>
      <c r="I577">
        <v>38000</v>
      </c>
      <c r="J577" s="58" t="s">
        <v>185</v>
      </c>
      <c r="K577">
        <v>38000</v>
      </c>
      <c r="L577" s="74">
        <v>6.5</v>
      </c>
      <c r="M577" s="85">
        <v>7</v>
      </c>
      <c r="N577" s="74">
        <v>0.41</v>
      </c>
      <c r="O577">
        <v>2</v>
      </c>
      <c r="P577" s="84">
        <v>0.41</v>
      </c>
      <c r="Q577" s="86">
        <v>4.2</v>
      </c>
      <c r="R577" s="85">
        <v>4.2</v>
      </c>
      <c r="S577" s="87">
        <v>839680</v>
      </c>
      <c r="T577" s="1">
        <v>4</v>
      </c>
      <c r="U577" s="88">
        <v>199923.80952380953</v>
      </c>
      <c r="V577" s="59">
        <v>5.0019054878048781</v>
      </c>
    </row>
    <row r="578" spans="1:22">
      <c r="A578" s="58">
        <v>578</v>
      </c>
      <c r="B578" s="58">
        <v>578</v>
      </c>
      <c r="C578" s="58" t="s">
        <v>1067</v>
      </c>
      <c r="D578" s="58" t="s">
        <v>187</v>
      </c>
      <c r="E578" s="58" t="s">
        <v>187</v>
      </c>
      <c r="F578" s="58" t="s">
        <v>194</v>
      </c>
      <c r="G578" s="58" t="s">
        <v>195</v>
      </c>
      <c r="H578" s="58" t="s">
        <v>179</v>
      </c>
      <c r="I578">
        <v>38000</v>
      </c>
      <c r="J578" s="58" t="s">
        <v>185</v>
      </c>
      <c r="K578">
        <v>38000</v>
      </c>
      <c r="L578" s="74">
        <v>3.3620000000000001</v>
      </c>
      <c r="M578" s="85">
        <v>4</v>
      </c>
      <c r="N578" s="74">
        <v>0.16800000000000001</v>
      </c>
      <c r="O578">
        <v>2</v>
      </c>
      <c r="P578" s="84">
        <v>0.16800000000000001</v>
      </c>
      <c r="Q578" s="86">
        <v>4.2</v>
      </c>
      <c r="R578" s="85">
        <v>4.2</v>
      </c>
      <c r="S578" s="87">
        <v>628870</v>
      </c>
      <c r="T578" s="1">
        <v>4</v>
      </c>
      <c r="U578" s="88">
        <v>149730.95238095237</v>
      </c>
      <c r="V578" s="59">
        <v>6.6786458250512828</v>
      </c>
    </row>
    <row r="579" spans="1:22">
      <c r="A579" s="58">
        <v>579</v>
      </c>
      <c r="B579" s="58">
        <v>579</v>
      </c>
      <c r="C579" s="58" t="s">
        <v>1068</v>
      </c>
      <c r="D579" s="58" t="s">
        <v>187</v>
      </c>
      <c r="E579" s="58" t="s">
        <v>187</v>
      </c>
      <c r="F579" s="58" t="s">
        <v>677</v>
      </c>
      <c r="G579" s="58" t="s">
        <v>678</v>
      </c>
      <c r="H579" s="58" t="s">
        <v>179</v>
      </c>
      <c r="I579">
        <v>38000</v>
      </c>
      <c r="J579" s="58" t="s">
        <v>185</v>
      </c>
      <c r="K579">
        <v>38000</v>
      </c>
      <c r="L579" s="74">
        <v>1.583</v>
      </c>
      <c r="M579" s="85">
        <v>2</v>
      </c>
      <c r="N579" s="74">
        <v>0.16</v>
      </c>
      <c r="O579">
        <v>2</v>
      </c>
      <c r="P579" s="84">
        <v>0.16</v>
      </c>
      <c r="Q579" s="86">
        <v>4.2</v>
      </c>
      <c r="R579" s="85">
        <v>4.2</v>
      </c>
      <c r="S579" s="87">
        <v>488330</v>
      </c>
      <c r="T579" s="1">
        <v>4</v>
      </c>
      <c r="U579" s="88">
        <v>116269.04761904762</v>
      </c>
      <c r="V579" s="59">
        <v>8.6007413019884087</v>
      </c>
    </row>
    <row r="580" spans="1:22">
      <c r="A580" s="58">
        <v>580</v>
      </c>
      <c r="B580" s="58">
        <v>580</v>
      </c>
      <c r="C580" s="58" t="s">
        <v>1069</v>
      </c>
      <c r="D580" s="58" t="s">
        <v>187</v>
      </c>
      <c r="E580" s="58" t="s">
        <v>187</v>
      </c>
      <c r="F580" s="58" t="s">
        <v>374</v>
      </c>
      <c r="G580" s="58" t="s">
        <v>375</v>
      </c>
      <c r="H580" s="58" t="s">
        <v>179</v>
      </c>
      <c r="I580">
        <v>38000</v>
      </c>
      <c r="J580">
        <v>38000</v>
      </c>
      <c r="K580">
        <v>20000</v>
      </c>
      <c r="L580" s="74">
        <v>8.4990000000000006</v>
      </c>
      <c r="M580" s="85">
        <v>9</v>
      </c>
      <c r="N580" s="74">
        <v>0.26900000000000002</v>
      </c>
      <c r="O580">
        <v>2</v>
      </c>
      <c r="P580" s="84">
        <v>0.26900000000000002</v>
      </c>
      <c r="Q580" s="86">
        <v>4.2</v>
      </c>
      <c r="R580" s="85">
        <v>4.2</v>
      </c>
      <c r="S580" s="87">
        <v>1334440</v>
      </c>
      <c r="T580" s="1">
        <v>1</v>
      </c>
      <c r="U580" s="88">
        <v>317723.80952380953</v>
      </c>
      <c r="V580" s="59">
        <v>3.1473876682353645</v>
      </c>
    </row>
    <row r="581" spans="1:22">
      <c r="A581" s="58">
        <v>581</v>
      </c>
      <c r="B581" s="58">
        <v>581</v>
      </c>
      <c r="C581" s="58" t="s">
        <v>1070</v>
      </c>
      <c r="D581" s="58" t="s">
        <v>187</v>
      </c>
      <c r="E581" s="58" t="s">
        <v>187</v>
      </c>
      <c r="F581" s="58" t="s">
        <v>531</v>
      </c>
      <c r="G581" s="58" t="s">
        <v>532</v>
      </c>
      <c r="H581" s="58" t="s">
        <v>179</v>
      </c>
      <c r="I581">
        <v>38000</v>
      </c>
      <c r="J581">
        <v>38000</v>
      </c>
      <c r="K581" s="58" t="s">
        <v>185</v>
      </c>
      <c r="L581" s="74">
        <v>3.4060000000000001</v>
      </c>
      <c r="M581" s="85">
        <v>4</v>
      </c>
      <c r="N581" s="74">
        <v>0.14000000000000001</v>
      </c>
      <c r="O581">
        <v>2</v>
      </c>
      <c r="P581" s="84">
        <v>0.14000000000000001</v>
      </c>
      <c r="Q581" s="86">
        <v>4.2</v>
      </c>
      <c r="R581" s="85">
        <v>4.2</v>
      </c>
      <c r="S581" s="87">
        <v>628870</v>
      </c>
      <c r="T581" s="1">
        <v>4</v>
      </c>
      <c r="U581" s="88">
        <v>149730.95238095237</v>
      </c>
      <c r="V581" s="59">
        <v>6.6786458250512828</v>
      </c>
    </row>
    <row r="582" spans="1:22">
      <c r="A582" s="58">
        <v>582</v>
      </c>
      <c r="B582" s="58">
        <v>582</v>
      </c>
      <c r="C582" s="58" t="s">
        <v>1071</v>
      </c>
      <c r="D582" s="58" t="s">
        <v>187</v>
      </c>
      <c r="E582" s="58" t="s">
        <v>187</v>
      </c>
      <c r="F582" s="58" t="s">
        <v>377</v>
      </c>
      <c r="H582" s="58" t="s">
        <v>179</v>
      </c>
      <c r="I582">
        <v>38000</v>
      </c>
      <c r="L582" s="74">
        <v>2.6779999999999999</v>
      </c>
      <c r="M582" s="85">
        <v>3</v>
      </c>
      <c r="N582" s="74">
        <v>0.18099999999999999</v>
      </c>
      <c r="O582">
        <v>2</v>
      </c>
      <c r="P582" s="84">
        <v>0.18099999999999999</v>
      </c>
      <c r="Q582" s="86">
        <v>4.2</v>
      </c>
      <c r="R582" s="85">
        <v>4.2</v>
      </c>
      <c r="S582" s="87">
        <v>558600</v>
      </c>
      <c r="T582" s="1">
        <v>4</v>
      </c>
      <c r="U582" s="88">
        <v>133000</v>
      </c>
      <c r="V582" s="59">
        <v>7.518796992481203</v>
      </c>
    </row>
    <row r="583" spans="1:22">
      <c r="A583" s="58">
        <v>583</v>
      </c>
      <c r="B583" s="58">
        <v>583</v>
      </c>
      <c r="C583" s="58" t="s">
        <v>1072</v>
      </c>
      <c r="D583" s="58" t="s">
        <v>187</v>
      </c>
      <c r="E583" s="58" t="s">
        <v>187</v>
      </c>
      <c r="F583" s="58" t="s">
        <v>683</v>
      </c>
      <c r="G583" s="58" t="s">
        <v>684</v>
      </c>
      <c r="H583" s="58" t="s">
        <v>179</v>
      </c>
      <c r="I583">
        <v>38000</v>
      </c>
      <c r="J583" s="58" t="s">
        <v>185</v>
      </c>
      <c r="K583">
        <v>38000</v>
      </c>
      <c r="L583" s="74">
        <v>2.0670000000000002</v>
      </c>
      <c r="M583" s="85">
        <v>3</v>
      </c>
      <c r="N583" s="74">
        <v>9.5000000000000001E-2</v>
      </c>
      <c r="O583">
        <v>2</v>
      </c>
      <c r="P583" s="84">
        <v>9.5000000000000001E-2</v>
      </c>
      <c r="Q583" s="86">
        <v>4.2</v>
      </c>
      <c r="R583" s="85">
        <v>4.2</v>
      </c>
      <c r="S583" s="87">
        <v>558600</v>
      </c>
      <c r="T583" s="1">
        <v>4</v>
      </c>
      <c r="U583" s="88">
        <v>133000</v>
      </c>
      <c r="V583" s="59">
        <v>7.518796992481203</v>
      </c>
    </row>
    <row r="584" spans="1:22">
      <c r="A584" s="58">
        <v>584</v>
      </c>
      <c r="B584" s="58">
        <v>584</v>
      </c>
      <c r="C584" s="58" t="s">
        <v>1073</v>
      </c>
      <c r="D584" s="58" t="s">
        <v>234</v>
      </c>
      <c r="E584" s="58" t="s">
        <v>234</v>
      </c>
      <c r="F584" s="58" t="s">
        <v>235</v>
      </c>
      <c r="G584" s="58" t="s">
        <v>236</v>
      </c>
      <c r="H584" s="58" t="s">
        <v>179</v>
      </c>
      <c r="I584">
        <v>38000</v>
      </c>
      <c r="J584">
        <v>38000</v>
      </c>
      <c r="K584">
        <v>20000</v>
      </c>
      <c r="L584" s="74">
        <v>5.3479999999999999</v>
      </c>
      <c r="M584" s="85">
        <v>6</v>
      </c>
      <c r="N584" s="74">
        <v>0.13600000000000001</v>
      </c>
      <c r="O584">
        <v>2</v>
      </c>
      <c r="P584" s="84">
        <v>0.13600000000000001</v>
      </c>
      <c r="Q584" s="86">
        <v>4.2</v>
      </c>
      <c r="R584" s="85">
        <v>4.2</v>
      </c>
      <c r="S584" s="87">
        <v>769410</v>
      </c>
      <c r="T584" s="1">
        <v>4</v>
      </c>
      <c r="U584" s="88">
        <v>183192.85714285713</v>
      </c>
      <c r="V584" s="59">
        <v>5.4587281163488903</v>
      </c>
    </row>
    <row r="585" spans="1:22">
      <c r="A585" s="58">
        <v>585</v>
      </c>
      <c r="B585" s="58">
        <v>585</v>
      </c>
      <c r="C585" s="58" t="s">
        <v>1074</v>
      </c>
      <c r="D585" s="58" t="s">
        <v>234</v>
      </c>
      <c r="E585" s="58" t="s">
        <v>234</v>
      </c>
      <c r="F585" s="58" t="s">
        <v>235</v>
      </c>
      <c r="G585" s="58" t="s">
        <v>236</v>
      </c>
      <c r="H585" s="58" t="s">
        <v>179</v>
      </c>
      <c r="I585">
        <v>38000</v>
      </c>
      <c r="J585">
        <v>38000</v>
      </c>
      <c r="K585">
        <v>20000</v>
      </c>
      <c r="L585" s="74">
        <v>10.028</v>
      </c>
      <c r="M585" s="85">
        <v>11</v>
      </c>
      <c r="N585" s="74">
        <v>0.43</v>
      </c>
      <c r="O585">
        <v>2</v>
      </c>
      <c r="P585" s="84">
        <v>0.43</v>
      </c>
      <c r="Q585" s="86">
        <v>4.2</v>
      </c>
      <c r="R585" s="85">
        <v>4.2</v>
      </c>
      <c r="S585" s="87">
        <v>1439840</v>
      </c>
      <c r="T585" s="1">
        <v>1</v>
      </c>
      <c r="U585" s="88">
        <v>342819.04761904763</v>
      </c>
      <c r="V585" s="59">
        <v>2.9169907767529724</v>
      </c>
    </row>
    <row r="586" spans="1:22">
      <c r="A586" s="58">
        <v>586</v>
      </c>
      <c r="B586" s="58">
        <v>586</v>
      </c>
      <c r="C586" s="58" t="s">
        <v>1075</v>
      </c>
      <c r="D586" s="58" t="s">
        <v>215</v>
      </c>
      <c r="E586" s="58" t="s">
        <v>176</v>
      </c>
      <c r="F586" s="58" t="s">
        <v>235</v>
      </c>
      <c r="G586" s="58" t="s">
        <v>236</v>
      </c>
      <c r="H586" s="58" t="s">
        <v>179</v>
      </c>
      <c r="I586">
        <v>38000</v>
      </c>
      <c r="J586">
        <v>38000</v>
      </c>
      <c r="K586">
        <v>20000</v>
      </c>
      <c r="L586" s="74">
        <v>10.494</v>
      </c>
      <c r="M586" s="85">
        <v>11</v>
      </c>
      <c r="N586" s="74">
        <v>0.13200000000000001</v>
      </c>
      <c r="O586">
        <v>2</v>
      </c>
      <c r="P586" s="84">
        <v>0.13200000000000001</v>
      </c>
      <c r="Q586" s="86">
        <v>4.2</v>
      </c>
      <c r="R586" s="85">
        <v>4.2</v>
      </c>
      <c r="S586" s="87">
        <v>1439840</v>
      </c>
      <c r="T586" s="1">
        <v>1</v>
      </c>
      <c r="U586" s="88">
        <v>342819.04761904763</v>
      </c>
      <c r="V586" s="59">
        <v>2.9169907767529724</v>
      </c>
    </row>
    <row r="587" spans="1:22">
      <c r="A587" s="58">
        <v>587</v>
      </c>
      <c r="B587" s="58">
        <v>587</v>
      </c>
      <c r="C587" s="58" t="s">
        <v>1076</v>
      </c>
      <c r="D587" s="58" t="s">
        <v>234</v>
      </c>
      <c r="E587" s="58" t="s">
        <v>234</v>
      </c>
      <c r="F587" s="58" t="s">
        <v>235</v>
      </c>
      <c r="G587" s="58" t="s">
        <v>236</v>
      </c>
      <c r="H587" s="58" t="s">
        <v>179</v>
      </c>
      <c r="I587">
        <v>38000</v>
      </c>
      <c r="J587">
        <v>38000</v>
      </c>
      <c r="K587">
        <v>20000</v>
      </c>
      <c r="L587" s="74">
        <v>18.922000000000001</v>
      </c>
      <c r="M587" s="85">
        <v>19</v>
      </c>
      <c r="N587" s="74">
        <v>0.36599999999999999</v>
      </c>
      <c r="O587">
        <v>2</v>
      </c>
      <c r="P587" s="84">
        <v>0.36599999999999999</v>
      </c>
      <c r="Q587" s="86">
        <v>4.2</v>
      </c>
      <c r="R587" s="85">
        <v>4.2</v>
      </c>
      <c r="S587" s="87">
        <v>1861440</v>
      </c>
      <c r="T587" s="1">
        <v>1</v>
      </c>
      <c r="U587" s="88">
        <v>443200</v>
      </c>
      <c r="V587" s="59">
        <v>2.256317689530686</v>
      </c>
    </row>
    <row r="588" spans="1:22">
      <c r="A588" s="58">
        <v>588</v>
      </c>
      <c r="B588" s="58">
        <v>588</v>
      </c>
      <c r="C588" s="58" t="s">
        <v>1077</v>
      </c>
      <c r="D588" s="58" t="s">
        <v>351</v>
      </c>
      <c r="E588" s="58" t="s">
        <v>351</v>
      </c>
      <c r="F588" s="58" t="s">
        <v>1078</v>
      </c>
      <c r="G588" s="58" t="s">
        <v>1079</v>
      </c>
      <c r="H588" s="58" t="s">
        <v>199</v>
      </c>
      <c r="I588">
        <v>110000</v>
      </c>
      <c r="J588">
        <v>20000</v>
      </c>
      <c r="K588">
        <v>110000</v>
      </c>
      <c r="L588" s="74">
        <v>2.0739999999999998</v>
      </c>
      <c r="M588" s="85">
        <v>3</v>
      </c>
      <c r="N588" s="74">
        <v>0.23599999999999999</v>
      </c>
      <c r="O588">
        <v>2</v>
      </c>
      <c r="P588" s="84">
        <v>0.23599999999999999</v>
      </c>
      <c r="Q588" s="86">
        <v>4.2</v>
      </c>
      <c r="R588" s="85">
        <v>4.2</v>
      </c>
      <c r="S588" s="87">
        <v>1574570</v>
      </c>
      <c r="T588" s="1">
        <v>7</v>
      </c>
      <c r="U588" s="88">
        <v>374897.61904761905</v>
      </c>
      <c r="V588" s="59">
        <v>2.6673949078161021</v>
      </c>
    </row>
    <row r="589" spans="1:22">
      <c r="A589" s="58">
        <v>589</v>
      </c>
      <c r="B589" s="58">
        <v>589</v>
      </c>
      <c r="C589" s="58" t="s">
        <v>1080</v>
      </c>
      <c r="D589" s="58" t="s">
        <v>207</v>
      </c>
      <c r="E589" s="58" t="s">
        <v>207</v>
      </c>
      <c r="F589" s="58" t="s">
        <v>698</v>
      </c>
      <c r="G589" s="58" t="s">
        <v>699</v>
      </c>
      <c r="H589" s="58" t="s">
        <v>199</v>
      </c>
      <c r="I589">
        <v>110000</v>
      </c>
      <c r="J589" s="58" t="s">
        <v>185</v>
      </c>
      <c r="K589">
        <v>110000</v>
      </c>
      <c r="L589" s="74">
        <v>11.628</v>
      </c>
      <c r="M589" s="85">
        <v>12</v>
      </c>
      <c r="N589" s="74">
        <v>0.41099999999999998</v>
      </c>
      <c r="O589">
        <v>2</v>
      </c>
      <c r="P589" s="84">
        <v>0.41099999999999998</v>
      </c>
      <c r="Q589" s="86">
        <v>4.2</v>
      </c>
      <c r="R589" s="85">
        <v>4.2</v>
      </c>
      <c r="S589" s="87">
        <v>2048870</v>
      </c>
      <c r="T589" s="1">
        <v>7</v>
      </c>
      <c r="U589" s="88">
        <v>487826.19047619047</v>
      </c>
      <c r="V589" s="59">
        <v>2.0499104384367968</v>
      </c>
    </row>
    <row r="590" spans="1:22">
      <c r="A590" s="58">
        <v>590</v>
      </c>
      <c r="B590" s="58">
        <v>590</v>
      </c>
      <c r="C590" s="58" t="s">
        <v>1081</v>
      </c>
      <c r="D590" s="58" t="s">
        <v>207</v>
      </c>
      <c r="E590" s="58" t="s">
        <v>207</v>
      </c>
      <c r="F590" s="58" t="s">
        <v>393</v>
      </c>
      <c r="G590" s="58" t="s">
        <v>394</v>
      </c>
      <c r="H590" s="58" t="s">
        <v>179</v>
      </c>
      <c r="I590">
        <v>38000</v>
      </c>
      <c r="J590">
        <v>38000</v>
      </c>
      <c r="K590" s="58" t="s">
        <v>185</v>
      </c>
      <c r="L590" s="74">
        <v>8.2710000000000008</v>
      </c>
      <c r="M590" s="85">
        <v>9</v>
      </c>
      <c r="N590" s="74">
        <v>0.128</v>
      </c>
      <c r="O590">
        <v>2</v>
      </c>
      <c r="P590" s="84">
        <v>0.128</v>
      </c>
      <c r="Q590" s="86">
        <v>4.2</v>
      </c>
      <c r="R590" s="85">
        <v>4.2</v>
      </c>
      <c r="S590" s="87">
        <v>1334440</v>
      </c>
      <c r="T590" s="1">
        <v>1</v>
      </c>
      <c r="U590" s="88">
        <v>317723.80952380953</v>
      </c>
      <c r="V590" s="59">
        <v>3.1473876682353645</v>
      </c>
    </row>
    <row r="591" spans="1:22">
      <c r="A591" s="58">
        <v>591</v>
      </c>
      <c r="B591" s="58">
        <v>591</v>
      </c>
      <c r="C591" s="58" t="s">
        <v>1082</v>
      </c>
      <c r="D591" s="58" t="s">
        <v>207</v>
      </c>
      <c r="E591" s="58" t="s">
        <v>207</v>
      </c>
      <c r="F591" s="58" t="s">
        <v>393</v>
      </c>
      <c r="G591" s="58" t="s">
        <v>394</v>
      </c>
      <c r="H591" s="58" t="s">
        <v>179</v>
      </c>
      <c r="I591">
        <v>38000</v>
      </c>
      <c r="J591">
        <v>38000</v>
      </c>
      <c r="K591" s="58" t="s">
        <v>185</v>
      </c>
      <c r="L591" s="74">
        <v>10.191000000000001</v>
      </c>
      <c r="M591" s="85">
        <v>11</v>
      </c>
      <c r="N591" s="74">
        <v>0.39500000000000002</v>
      </c>
      <c r="O591">
        <v>2</v>
      </c>
      <c r="P591" s="84">
        <v>0.39500000000000002</v>
      </c>
      <c r="Q591" s="86">
        <v>4.2</v>
      </c>
      <c r="R591" s="85">
        <v>4.2</v>
      </c>
      <c r="S591" s="87">
        <v>1439840</v>
      </c>
      <c r="T591" s="1">
        <v>1</v>
      </c>
      <c r="U591" s="88">
        <v>342819.04761904763</v>
      </c>
      <c r="V591" s="59">
        <v>2.9169907767529724</v>
      </c>
    </row>
    <row r="592" spans="1:22">
      <c r="A592" s="58">
        <v>592</v>
      </c>
      <c r="B592" s="58">
        <v>592</v>
      </c>
      <c r="C592" s="58" t="s">
        <v>1083</v>
      </c>
      <c r="D592" s="58" t="s">
        <v>207</v>
      </c>
      <c r="E592" s="58" t="s">
        <v>207</v>
      </c>
      <c r="F592" s="58" t="s">
        <v>389</v>
      </c>
      <c r="G592" s="58" t="s">
        <v>390</v>
      </c>
      <c r="H592" s="58" t="s">
        <v>199</v>
      </c>
      <c r="I592">
        <v>110000</v>
      </c>
      <c r="J592">
        <v>110000</v>
      </c>
      <c r="K592">
        <v>38000</v>
      </c>
      <c r="L592" s="74">
        <v>7.0289999999999999</v>
      </c>
      <c r="M592" s="85">
        <v>8</v>
      </c>
      <c r="N592" s="74">
        <v>0.315</v>
      </c>
      <c r="O592">
        <v>2</v>
      </c>
      <c r="P592" s="84">
        <v>0.315</v>
      </c>
      <c r="Q592" s="86">
        <v>4.2</v>
      </c>
      <c r="R592" s="85">
        <v>4.2</v>
      </c>
      <c r="S592" s="87">
        <v>1838070</v>
      </c>
      <c r="T592" s="1">
        <v>7</v>
      </c>
      <c r="U592" s="88">
        <v>437635.71428571426</v>
      </c>
      <c r="V592" s="59">
        <v>2.2850054676916547</v>
      </c>
    </row>
    <row r="593" spans="1:22">
      <c r="A593" s="58">
        <v>593</v>
      </c>
      <c r="B593" s="58">
        <v>593</v>
      </c>
      <c r="C593" s="58" t="s">
        <v>1084</v>
      </c>
      <c r="D593" s="58" t="s">
        <v>207</v>
      </c>
      <c r="E593" s="58" t="s">
        <v>207</v>
      </c>
      <c r="F593" s="58" t="s">
        <v>242</v>
      </c>
      <c r="G593" s="58" t="s">
        <v>243</v>
      </c>
      <c r="H593" s="58" t="s">
        <v>179</v>
      </c>
      <c r="I593">
        <v>38000</v>
      </c>
      <c r="J593">
        <v>38000</v>
      </c>
      <c r="K593">
        <v>20000</v>
      </c>
      <c r="L593" s="74">
        <v>6.407</v>
      </c>
      <c r="M593" s="85">
        <v>7</v>
      </c>
      <c r="N593" s="74">
        <v>0.41399999999999998</v>
      </c>
      <c r="O593">
        <v>2</v>
      </c>
      <c r="P593" s="84">
        <v>0.41399999999999998</v>
      </c>
      <c r="Q593" s="86">
        <v>4.2</v>
      </c>
      <c r="R593" s="85">
        <v>4.2</v>
      </c>
      <c r="S593" s="87">
        <v>839680</v>
      </c>
      <c r="T593" s="1">
        <v>4</v>
      </c>
      <c r="U593" s="88">
        <v>199923.80952380953</v>
      </c>
      <c r="V593" s="59">
        <v>5.0019054878048781</v>
      </c>
    </row>
    <row r="594" spans="1:22">
      <c r="A594" s="58">
        <v>594</v>
      </c>
      <c r="B594" s="58">
        <v>594</v>
      </c>
      <c r="C594" s="58" t="s">
        <v>1085</v>
      </c>
      <c r="D594" s="58" t="s">
        <v>207</v>
      </c>
      <c r="E594" s="58" t="s">
        <v>207</v>
      </c>
      <c r="F594" s="58" t="s">
        <v>242</v>
      </c>
      <c r="G594" s="58" t="s">
        <v>243</v>
      </c>
      <c r="H594" s="58" t="s">
        <v>179</v>
      </c>
      <c r="I594">
        <v>38000</v>
      </c>
      <c r="J594">
        <v>38000</v>
      </c>
      <c r="K594">
        <v>20000</v>
      </c>
      <c r="L594" s="74">
        <v>4.9569999999999999</v>
      </c>
      <c r="M594" s="85">
        <v>5</v>
      </c>
      <c r="N594" s="74">
        <v>0.128</v>
      </c>
      <c r="O594">
        <v>2</v>
      </c>
      <c r="P594" s="84">
        <v>0.128</v>
      </c>
      <c r="Q594" s="86">
        <v>4.2</v>
      </c>
      <c r="R594" s="85">
        <v>4.2</v>
      </c>
      <c r="S594" s="87">
        <v>699140</v>
      </c>
      <c r="T594" s="1">
        <v>4</v>
      </c>
      <c r="U594" s="88">
        <v>166461.90476190476</v>
      </c>
      <c r="V594" s="59">
        <v>6.0073804960379897</v>
      </c>
    </row>
    <row r="595" spans="1:22">
      <c r="A595" s="58">
        <v>595</v>
      </c>
      <c r="B595" s="58">
        <v>595</v>
      </c>
      <c r="C595" s="58" t="s">
        <v>1086</v>
      </c>
      <c r="D595" s="58" t="s">
        <v>207</v>
      </c>
      <c r="E595" s="58" t="s">
        <v>207</v>
      </c>
      <c r="F595" s="58" t="s">
        <v>242</v>
      </c>
      <c r="G595" s="58" t="s">
        <v>243</v>
      </c>
      <c r="H595" s="58" t="s">
        <v>179</v>
      </c>
      <c r="I595">
        <v>38000</v>
      </c>
      <c r="J595">
        <v>38000</v>
      </c>
      <c r="K595">
        <v>20000</v>
      </c>
      <c r="L595" s="74">
        <v>11.185</v>
      </c>
      <c r="M595" s="85">
        <v>12</v>
      </c>
      <c r="N595" s="74">
        <v>0.21299999999999999</v>
      </c>
      <c r="O595">
        <v>2</v>
      </c>
      <c r="P595" s="84">
        <v>0.21299999999999999</v>
      </c>
      <c r="Q595" s="86">
        <v>4.2</v>
      </c>
      <c r="R595" s="85">
        <v>4.2</v>
      </c>
      <c r="S595" s="87">
        <v>1492540</v>
      </c>
      <c r="T595" s="1">
        <v>1</v>
      </c>
      <c r="U595" s="88">
        <v>355366.66666666663</v>
      </c>
      <c r="V595" s="59">
        <v>2.8139949348091173</v>
      </c>
    </row>
    <row r="596" spans="1:22">
      <c r="A596" s="58">
        <v>596</v>
      </c>
      <c r="B596" s="58">
        <v>596</v>
      </c>
      <c r="C596" s="58" t="s">
        <v>1087</v>
      </c>
      <c r="D596" s="58" t="s">
        <v>207</v>
      </c>
      <c r="E596" s="58" t="s">
        <v>207</v>
      </c>
      <c r="F596" s="58" t="s">
        <v>502</v>
      </c>
      <c r="G596" s="58" t="s">
        <v>503</v>
      </c>
      <c r="H596" s="58" t="s">
        <v>179</v>
      </c>
      <c r="I596">
        <v>38000</v>
      </c>
      <c r="J596">
        <v>38000</v>
      </c>
      <c r="K596" s="58" t="s">
        <v>185</v>
      </c>
      <c r="L596" s="74">
        <v>11.539</v>
      </c>
      <c r="M596" s="85">
        <v>12</v>
      </c>
      <c r="N596" s="74">
        <v>9.4E-2</v>
      </c>
      <c r="O596">
        <v>2</v>
      </c>
      <c r="P596" s="84">
        <v>9.4E-2</v>
      </c>
      <c r="Q596" s="86">
        <v>4.2</v>
      </c>
      <c r="R596" s="85">
        <v>4.2</v>
      </c>
      <c r="S596" s="87">
        <v>1492540</v>
      </c>
      <c r="T596" s="1">
        <v>1</v>
      </c>
      <c r="U596" s="88">
        <v>355366.66666666663</v>
      </c>
      <c r="V596" s="59">
        <v>2.8139949348091173</v>
      </c>
    </row>
    <row r="597" spans="1:22">
      <c r="A597" s="58">
        <v>597</v>
      </c>
      <c r="B597" s="58">
        <v>597</v>
      </c>
      <c r="C597" s="58" t="s">
        <v>1088</v>
      </c>
      <c r="D597" s="58" t="s">
        <v>202</v>
      </c>
      <c r="E597" s="58" t="s">
        <v>202</v>
      </c>
      <c r="F597" s="58" t="s">
        <v>1089</v>
      </c>
      <c r="G597" s="58" t="s">
        <v>1090</v>
      </c>
      <c r="H597" s="58" t="s">
        <v>179</v>
      </c>
      <c r="I597">
        <v>38000</v>
      </c>
      <c r="J597">
        <v>38000</v>
      </c>
      <c r="K597" s="58" t="s">
        <v>185</v>
      </c>
      <c r="L597" s="74">
        <v>6.173</v>
      </c>
      <c r="M597" s="85">
        <v>7</v>
      </c>
      <c r="N597" s="74">
        <v>0.10100000000000001</v>
      </c>
      <c r="O597">
        <v>2</v>
      </c>
      <c r="P597" s="84">
        <v>0.10100000000000001</v>
      </c>
      <c r="Q597" s="86">
        <v>4.2</v>
      </c>
      <c r="R597" s="85">
        <v>4.2</v>
      </c>
      <c r="S597" s="87">
        <v>839680</v>
      </c>
      <c r="T597" s="1">
        <v>4</v>
      </c>
      <c r="U597" s="88">
        <v>199923.80952380953</v>
      </c>
      <c r="V597" s="59">
        <v>5.0019054878048781</v>
      </c>
    </row>
    <row r="598" spans="1:22">
      <c r="A598" s="58">
        <v>598</v>
      </c>
      <c r="B598" s="58">
        <v>598</v>
      </c>
      <c r="C598" s="58" t="s">
        <v>1091</v>
      </c>
      <c r="D598" s="58" t="s">
        <v>207</v>
      </c>
      <c r="E598" s="58" t="s">
        <v>207</v>
      </c>
      <c r="F598" s="58" t="s">
        <v>705</v>
      </c>
      <c r="G598" s="58" t="s">
        <v>706</v>
      </c>
      <c r="H598" s="58" t="s">
        <v>179</v>
      </c>
      <c r="I598">
        <v>38000</v>
      </c>
      <c r="J598" s="58" t="s">
        <v>185</v>
      </c>
      <c r="K598">
        <v>38000</v>
      </c>
      <c r="L598" s="74">
        <v>1.3129999999999999</v>
      </c>
      <c r="M598" s="85">
        <v>2</v>
      </c>
      <c r="N598" s="74">
        <v>0.40699999999999997</v>
      </c>
      <c r="O598">
        <v>2</v>
      </c>
      <c r="P598" s="84">
        <v>0.40699999999999997</v>
      </c>
      <c r="Q598" s="86">
        <v>4.2</v>
      </c>
      <c r="R598" s="85">
        <v>4.2</v>
      </c>
      <c r="S598" s="87">
        <v>488330</v>
      </c>
      <c r="T598" s="1">
        <v>4</v>
      </c>
      <c r="U598" s="88">
        <v>116269.04761904762</v>
      </c>
      <c r="V598" s="59">
        <v>8.6007413019884087</v>
      </c>
    </row>
    <row r="599" spans="1:22">
      <c r="A599" s="58">
        <v>599</v>
      </c>
      <c r="B599" s="58">
        <v>599</v>
      </c>
      <c r="C599" s="58" t="s">
        <v>1092</v>
      </c>
      <c r="D599" s="58" t="s">
        <v>207</v>
      </c>
      <c r="E599" s="58" t="s">
        <v>207</v>
      </c>
      <c r="F599" s="58" t="s">
        <v>705</v>
      </c>
      <c r="G599" s="58" t="s">
        <v>706</v>
      </c>
      <c r="H599" s="58" t="s">
        <v>179</v>
      </c>
      <c r="I599">
        <v>38000</v>
      </c>
      <c r="J599" s="58" t="s">
        <v>185</v>
      </c>
      <c r="K599">
        <v>38000</v>
      </c>
      <c r="L599" s="74">
        <v>2.3919999999999999</v>
      </c>
      <c r="M599" s="85">
        <v>3</v>
      </c>
      <c r="N599" s="74">
        <v>0.14299999999999999</v>
      </c>
      <c r="O599">
        <v>2</v>
      </c>
      <c r="P599" s="84">
        <v>0.14299999999999999</v>
      </c>
      <c r="Q599" s="86">
        <v>4.2</v>
      </c>
      <c r="R599" s="85">
        <v>4.2</v>
      </c>
      <c r="S599" s="87">
        <v>558600</v>
      </c>
      <c r="T599" s="1">
        <v>4</v>
      </c>
      <c r="U599" s="88">
        <v>133000</v>
      </c>
      <c r="V599" s="59">
        <v>7.518796992481203</v>
      </c>
    </row>
    <row r="600" spans="1:22">
      <c r="A600" s="58">
        <v>600</v>
      </c>
      <c r="B600" s="58">
        <v>600</v>
      </c>
      <c r="C600" s="58" t="s">
        <v>1093</v>
      </c>
      <c r="D600" s="58" t="s">
        <v>176</v>
      </c>
      <c r="E600" s="58" t="s">
        <v>176</v>
      </c>
      <c r="F600" s="58" t="s">
        <v>285</v>
      </c>
      <c r="G600" s="58" t="s">
        <v>286</v>
      </c>
      <c r="H600" s="58" t="s">
        <v>179</v>
      </c>
      <c r="I600">
        <v>38000</v>
      </c>
      <c r="J600">
        <v>38000</v>
      </c>
      <c r="K600">
        <v>20000</v>
      </c>
      <c r="L600" s="74">
        <v>4.2809999999999997</v>
      </c>
      <c r="M600" s="85">
        <v>5</v>
      </c>
      <c r="N600" s="74">
        <v>0.26500000000000001</v>
      </c>
      <c r="O600">
        <v>2</v>
      </c>
      <c r="P600" s="84">
        <v>0.26500000000000001</v>
      </c>
      <c r="Q600" s="86">
        <v>4.2</v>
      </c>
      <c r="R600" s="85">
        <v>4.2</v>
      </c>
      <c r="S600" s="87">
        <v>699140</v>
      </c>
      <c r="T600" s="1">
        <v>4</v>
      </c>
      <c r="U600" s="88">
        <v>166461.90476190476</v>
      </c>
      <c r="V600" s="59">
        <v>6.0073804960379897</v>
      </c>
    </row>
    <row r="601" spans="1:22">
      <c r="A601" s="58">
        <v>601</v>
      </c>
      <c r="B601" s="58">
        <v>601</v>
      </c>
      <c r="C601" s="58" t="s">
        <v>1094</v>
      </c>
      <c r="D601" s="58" t="s">
        <v>215</v>
      </c>
      <c r="E601" s="58" t="s">
        <v>215</v>
      </c>
      <c r="F601" s="58" t="s">
        <v>713</v>
      </c>
      <c r="G601" s="58" t="s">
        <v>714</v>
      </c>
      <c r="H601" s="58" t="s">
        <v>199</v>
      </c>
      <c r="I601">
        <v>110000</v>
      </c>
      <c r="J601" s="58" t="s">
        <v>185</v>
      </c>
      <c r="K601">
        <v>110000</v>
      </c>
      <c r="L601" s="74">
        <v>1.6</v>
      </c>
      <c r="M601" s="85">
        <v>2</v>
      </c>
      <c r="N601" s="74">
        <v>0.187</v>
      </c>
      <c r="O601">
        <v>2</v>
      </c>
      <c r="P601" s="84">
        <v>0.187</v>
      </c>
      <c r="Q601" s="86">
        <v>4.2</v>
      </c>
      <c r="R601" s="85">
        <v>4.2</v>
      </c>
      <c r="S601" s="87">
        <v>1340080</v>
      </c>
      <c r="T601" s="1">
        <v>11</v>
      </c>
      <c r="U601" s="88">
        <v>319066.66666666663</v>
      </c>
      <c r="V601" s="59">
        <v>3.134141245298788</v>
      </c>
    </row>
    <row r="602" spans="1:22">
      <c r="A602" s="58">
        <v>602</v>
      </c>
      <c r="B602" s="58">
        <v>602</v>
      </c>
      <c r="C602" s="58" t="s">
        <v>1095</v>
      </c>
      <c r="D602" s="58" t="s">
        <v>215</v>
      </c>
      <c r="E602" s="58" t="s">
        <v>215</v>
      </c>
      <c r="F602" s="58" t="s">
        <v>406</v>
      </c>
      <c r="G602" s="58" t="s">
        <v>407</v>
      </c>
      <c r="H602" s="58" t="s">
        <v>179</v>
      </c>
      <c r="I602">
        <v>38000</v>
      </c>
      <c r="J602" s="58" t="s">
        <v>185</v>
      </c>
      <c r="K602">
        <v>38000</v>
      </c>
      <c r="L602" s="74">
        <v>7.8789999999999996</v>
      </c>
      <c r="M602" s="85">
        <v>8</v>
      </c>
      <c r="N602" s="74">
        <v>9.0999999999999998E-2</v>
      </c>
      <c r="O602">
        <v>2</v>
      </c>
      <c r="P602" s="84">
        <v>9.0999999999999998E-2</v>
      </c>
      <c r="Q602" s="86">
        <v>4.2</v>
      </c>
      <c r="R602" s="85">
        <v>4.2</v>
      </c>
      <c r="S602" s="87">
        <v>909950</v>
      </c>
      <c r="T602" s="1">
        <v>4</v>
      </c>
      <c r="U602" s="88">
        <v>216654.76190476189</v>
      </c>
      <c r="V602" s="59">
        <v>4.6156382218803227</v>
      </c>
    </row>
    <row r="603" spans="1:22">
      <c r="A603" s="58">
        <v>603</v>
      </c>
      <c r="B603" s="58">
        <v>603</v>
      </c>
      <c r="C603" s="58" t="s">
        <v>1096</v>
      </c>
      <c r="D603" s="58" t="s">
        <v>215</v>
      </c>
      <c r="E603" s="58" t="s">
        <v>215</v>
      </c>
      <c r="F603" s="58" t="s">
        <v>406</v>
      </c>
      <c r="G603" s="58" t="s">
        <v>407</v>
      </c>
      <c r="H603" s="58" t="s">
        <v>179</v>
      </c>
      <c r="I603">
        <v>38000</v>
      </c>
      <c r="J603" s="58" t="s">
        <v>185</v>
      </c>
      <c r="K603">
        <v>38000</v>
      </c>
      <c r="L603" s="74">
        <v>7.0090000000000003</v>
      </c>
      <c r="M603" s="85">
        <v>8</v>
      </c>
      <c r="N603" s="74">
        <v>0.105</v>
      </c>
      <c r="O603">
        <v>2</v>
      </c>
      <c r="P603" s="84">
        <v>0.105</v>
      </c>
      <c r="Q603" s="86">
        <v>4.2</v>
      </c>
      <c r="R603" s="85">
        <v>4.2</v>
      </c>
      <c r="S603" s="87">
        <v>909950</v>
      </c>
      <c r="T603" s="1">
        <v>4</v>
      </c>
      <c r="U603" s="88">
        <v>216654.76190476189</v>
      </c>
      <c r="V603" s="59">
        <v>4.6156382218803227</v>
      </c>
    </row>
    <row r="604" spans="1:22">
      <c r="A604" s="58">
        <v>604</v>
      </c>
      <c r="B604" s="58">
        <v>604</v>
      </c>
      <c r="C604" s="58" t="s">
        <v>1097</v>
      </c>
      <c r="D604" s="58" t="s">
        <v>215</v>
      </c>
      <c r="E604" s="58" t="s">
        <v>215</v>
      </c>
      <c r="F604" s="58" t="s">
        <v>724</v>
      </c>
      <c r="G604" s="58" t="s">
        <v>725</v>
      </c>
      <c r="H604" s="58" t="s">
        <v>179</v>
      </c>
      <c r="I604">
        <v>38000</v>
      </c>
      <c r="J604" s="58" t="s">
        <v>185</v>
      </c>
      <c r="K604">
        <v>38000</v>
      </c>
      <c r="L604" s="74">
        <v>4.8730000000000002</v>
      </c>
      <c r="M604" s="85">
        <v>5</v>
      </c>
      <c r="N604" s="74">
        <v>0.35</v>
      </c>
      <c r="O604">
        <v>2</v>
      </c>
      <c r="P604" s="84">
        <v>0.35</v>
      </c>
      <c r="Q604" s="86">
        <v>4.2</v>
      </c>
      <c r="R604" s="85">
        <v>4.2</v>
      </c>
      <c r="S604" s="87">
        <v>699140</v>
      </c>
      <c r="T604" s="1">
        <v>4</v>
      </c>
      <c r="U604" s="88">
        <v>166461.90476190476</v>
      </c>
      <c r="V604" s="59">
        <v>6.0073804960379897</v>
      </c>
    </row>
    <row r="605" spans="1:22">
      <c r="A605" s="58">
        <v>605</v>
      </c>
      <c r="B605" s="58">
        <v>605</v>
      </c>
      <c r="C605" s="58" t="s">
        <v>1098</v>
      </c>
      <c r="D605" s="58" t="s">
        <v>215</v>
      </c>
      <c r="E605" s="58" t="s">
        <v>215</v>
      </c>
      <c r="F605" s="58" t="s">
        <v>724</v>
      </c>
      <c r="G605" s="58" t="s">
        <v>725</v>
      </c>
      <c r="H605" s="58" t="s">
        <v>179</v>
      </c>
      <c r="I605">
        <v>38000</v>
      </c>
      <c r="J605" s="58" t="s">
        <v>185</v>
      </c>
      <c r="K605">
        <v>38000</v>
      </c>
      <c r="L605" s="74">
        <v>2.2629999999999999</v>
      </c>
      <c r="M605" s="85">
        <v>3</v>
      </c>
      <c r="N605" s="74">
        <v>0.247</v>
      </c>
      <c r="O605">
        <v>2</v>
      </c>
      <c r="P605" s="84">
        <v>0.247</v>
      </c>
      <c r="Q605" s="86">
        <v>4.2</v>
      </c>
      <c r="R605" s="85">
        <v>4.2</v>
      </c>
      <c r="S605" s="87">
        <v>558600</v>
      </c>
      <c r="T605" s="1">
        <v>4</v>
      </c>
      <c r="U605" s="88">
        <v>133000</v>
      </c>
      <c r="V605" s="59">
        <v>7.518796992481203</v>
      </c>
    </row>
    <row r="606" spans="1:22">
      <c r="A606" s="58">
        <v>606</v>
      </c>
      <c r="B606" s="58">
        <v>606</v>
      </c>
      <c r="C606" s="58" t="s">
        <v>1099</v>
      </c>
      <c r="D606" s="58" t="s">
        <v>215</v>
      </c>
      <c r="E606" s="58" t="s">
        <v>215</v>
      </c>
      <c r="F606" s="58" t="s">
        <v>724</v>
      </c>
      <c r="G606" s="58" t="s">
        <v>725</v>
      </c>
      <c r="H606" s="58" t="s">
        <v>179</v>
      </c>
      <c r="I606">
        <v>38000</v>
      </c>
      <c r="J606" s="58" t="s">
        <v>185</v>
      </c>
      <c r="K606">
        <v>38000</v>
      </c>
      <c r="L606" s="74">
        <v>3.5720000000000001</v>
      </c>
      <c r="M606" s="85">
        <v>4</v>
      </c>
      <c r="N606" s="74">
        <v>0.13600000000000001</v>
      </c>
      <c r="O606">
        <v>2</v>
      </c>
      <c r="P606" s="84">
        <v>0.13600000000000001</v>
      </c>
      <c r="Q606" s="86">
        <v>4.2</v>
      </c>
      <c r="R606" s="85">
        <v>4.2</v>
      </c>
      <c r="S606" s="87">
        <v>628870</v>
      </c>
      <c r="T606" s="1">
        <v>4</v>
      </c>
      <c r="U606" s="88">
        <v>149730.95238095237</v>
      </c>
      <c r="V606" s="59">
        <v>6.6786458250512828</v>
      </c>
    </row>
    <row r="607" spans="1:22">
      <c r="A607" s="58">
        <v>607</v>
      </c>
      <c r="B607" s="58">
        <v>607</v>
      </c>
      <c r="C607" s="58" t="s">
        <v>1100</v>
      </c>
      <c r="D607" s="58" t="s">
        <v>215</v>
      </c>
      <c r="E607" s="58" t="s">
        <v>215</v>
      </c>
      <c r="F607" s="58" t="s">
        <v>724</v>
      </c>
      <c r="G607" s="58" t="s">
        <v>725</v>
      </c>
      <c r="H607" s="58" t="s">
        <v>179</v>
      </c>
      <c r="I607">
        <v>38000</v>
      </c>
      <c r="J607" s="58" t="s">
        <v>185</v>
      </c>
      <c r="K607">
        <v>38000</v>
      </c>
      <c r="L607" s="74">
        <v>6.4960000000000004</v>
      </c>
      <c r="M607" s="85">
        <v>7</v>
      </c>
      <c r="N607" s="74">
        <v>0.311</v>
      </c>
      <c r="O607">
        <v>2</v>
      </c>
      <c r="P607" s="84">
        <v>0.311</v>
      </c>
      <c r="Q607" s="86">
        <v>4.2</v>
      </c>
      <c r="R607" s="85">
        <v>4.2</v>
      </c>
      <c r="S607" s="87">
        <v>839680</v>
      </c>
      <c r="T607" s="1">
        <v>4</v>
      </c>
      <c r="U607" s="88">
        <v>199923.80952380953</v>
      </c>
      <c r="V607" s="59">
        <v>5.0019054878048781</v>
      </c>
    </row>
    <row r="608" spans="1:22">
      <c r="A608" s="58">
        <v>608</v>
      </c>
      <c r="B608" s="58">
        <v>608</v>
      </c>
      <c r="C608" s="58" t="s">
        <v>1101</v>
      </c>
      <c r="D608" s="58" t="s">
        <v>215</v>
      </c>
      <c r="E608" s="58" t="s">
        <v>215</v>
      </c>
      <c r="F608" s="58" t="s">
        <v>845</v>
      </c>
      <c r="G608" s="58" t="s">
        <v>846</v>
      </c>
      <c r="H608" s="58" t="s">
        <v>199</v>
      </c>
      <c r="I608">
        <v>110000</v>
      </c>
      <c r="L608" s="74">
        <v>1.7410000000000001</v>
      </c>
      <c r="M608" s="85">
        <v>2</v>
      </c>
      <c r="N608" s="74">
        <v>0.60099999999999998</v>
      </c>
      <c r="O608">
        <v>2</v>
      </c>
      <c r="P608" s="84">
        <v>0.60099999999999998</v>
      </c>
      <c r="Q608" s="86">
        <v>4.2</v>
      </c>
      <c r="R608" s="85">
        <v>4.2</v>
      </c>
      <c r="S608" s="87">
        <v>1340080</v>
      </c>
      <c r="T608" s="1">
        <v>11</v>
      </c>
      <c r="U608" s="88">
        <v>319066.66666666663</v>
      </c>
      <c r="V608" s="59">
        <v>3.134141245298788</v>
      </c>
    </row>
    <row r="609" spans="1:22">
      <c r="A609" s="58">
        <v>609</v>
      </c>
      <c r="B609" s="58">
        <v>609</v>
      </c>
      <c r="C609" s="58" t="s">
        <v>1102</v>
      </c>
      <c r="D609" s="58" t="s">
        <v>450</v>
      </c>
      <c r="E609" s="58" t="s">
        <v>450</v>
      </c>
      <c r="F609" s="58" t="s">
        <v>931</v>
      </c>
      <c r="G609" s="58" t="s">
        <v>932</v>
      </c>
      <c r="H609" s="58" t="s">
        <v>199</v>
      </c>
      <c r="I609">
        <v>110000</v>
      </c>
      <c r="J609">
        <v>20000</v>
      </c>
      <c r="K609">
        <v>110000</v>
      </c>
      <c r="L609" s="74">
        <v>1.4910000000000001</v>
      </c>
      <c r="M609" s="85">
        <v>2</v>
      </c>
      <c r="N609" s="74">
        <v>0.58599999999999997</v>
      </c>
      <c r="O609">
        <v>2</v>
      </c>
      <c r="P609" s="84">
        <v>0.58599999999999997</v>
      </c>
      <c r="Q609" s="86">
        <v>4.2</v>
      </c>
      <c r="R609" s="85">
        <v>4.2</v>
      </c>
      <c r="S609" s="87">
        <v>1340080</v>
      </c>
      <c r="T609" s="1">
        <v>11</v>
      </c>
      <c r="U609" s="88">
        <v>319066.66666666663</v>
      </c>
      <c r="V609" s="59">
        <v>3.134141245298788</v>
      </c>
    </row>
    <row r="610" spans="1:22">
      <c r="A610" s="58">
        <v>610</v>
      </c>
      <c r="B610" s="58">
        <v>610</v>
      </c>
      <c r="C610" s="58" t="s">
        <v>1103</v>
      </c>
      <c r="D610" s="58" t="s">
        <v>489</v>
      </c>
      <c r="E610" s="58" t="s">
        <v>489</v>
      </c>
      <c r="F610" s="58" t="s">
        <v>1104</v>
      </c>
      <c r="G610" s="58" t="s">
        <v>1105</v>
      </c>
      <c r="H610" s="58" t="s">
        <v>179</v>
      </c>
      <c r="I610">
        <v>38000</v>
      </c>
      <c r="J610">
        <v>38000</v>
      </c>
      <c r="K610" s="58" t="s">
        <v>185</v>
      </c>
      <c r="L610" s="74">
        <v>9.8940000000000001</v>
      </c>
      <c r="M610" s="85">
        <v>10</v>
      </c>
      <c r="N610" s="74">
        <v>0.121</v>
      </c>
      <c r="O610">
        <v>2</v>
      </c>
      <c r="P610" s="84">
        <v>0.121</v>
      </c>
      <c r="Q610" s="86">
        <v>4.2</v>
      </c>
      <c r="R610" s="85">
        <v>4.2</v>
      </c>
      <c r="S610" s="87">
        <v>1387140</v>
      </c>
      <c r="T610" s="1">
        <v>1</v>
      </c>
      <c r="U610" s="88">
        <v>330271.42857142858</v>
      </c>
      <c r="V610" s="59">
        <v>3.0278126216531858</v>
      </c>
    </row>
    <row r="611" spans="1:22">
      <c r="A611" s="58">
        <v>611</v>
      </c>
      <c r="B611" s="58">
        <v>611</v>
      </c>
      <c r="C611" s="58" t="s">
        <v>1106</v>
      </c>
      <c r="D611" s="58" t="s">
        <v>775</v>
      </c>
      <c r="E611" s="58" t="s">
        <v>775</v>
      </c>
      <c r="F611" s="58" t="s">
        <v>1107</v>
      </c>
      <c r="G611" s="58" t="s">
        <v>1108</v>
      </c>
      <c r="H611" s="58" t="s">
        <v>179</v>
      </c>
      <c r="I611">
        <v>38000</v>
      </c>
      <c r="J611">
        <v>38000</v>
      </c>
      <c r="K611" s="58" t="s">
        <v>185</v>
      </c>
      <c r="L611" s="74">
        <v>4.4139999999999997</v>
      </c>
      <c r="M611" s="85">
        <v>5</v>
      </c>
      <c r="N611" s="74">
        <v>0.32400000000000001</v>
      </c>
      <c r="O611">
        <v>2</v>
      </c>
      <c r="P611" s="84">
        <v>0.32400000000000001</v>
      </c>
      <c r="Q611" s="86">
        <v>4.2</v>
      </c>
      <c r="R611" s="85">
        <v>4.2</v>
      </c>
      <c r="S611" s="87">
        <v>699140</v>
      </c>
      <c r="T611" s="1">
        <v>4</v>
      </c>
      <c r="U611" s="88">
        <v>166461.90476190476</v>
      </c>
      <c r="V611" s="59">
        <v>6.0073804960379897</v>
      </c>
    </row>
    <row r="612" spans="1:22">
      <c r="A612" s="58">
        <v>612</v>
      </c>
      <c r="B612" s="58">
        <v>612</v>
      </c>
      <c r="C612" s="58" t="s">
        <v>1109</v>
      </c>
      <c r="D612" s="58" t="s">
        <v>775</v>
      </c>
      <c r="E612" s="58" t="s">
        <v>775</v>
      </c>
      <c r="F612" s="58" t="s">
        <v>1107</v>
      </c>
      <c r="G612" s="58" t="s">
        <v>1108</v>
      </c>
      <c r="H612" s="58" t="s">
        <v>179</v>
      </c>
      <c r="I612">
        <v>38000</v>
      </c>
      <c r="J612">
        <v>38000</v>
      </c>
      <c r="K612" s="58" t="s">
        <v>185</v>
      </c>
      <c r="L612" s="74">
        <v>3.875</v>
      </c>
      <c r="M612" s="85">
        <v>4</v>
      </c>
      <c r="N612" s="74">
        <v>0.38200000000000001</v>
      </c>
      <c r="O612">
        <v>2</v>
      </c>
      <c r="P612" s="84">
        <v>0.38200000000000001</v>
      </c>
      <c r="Q612" s="86">
        <v>4.2</v>
      </c>
      <c r="R612" s="85">
        <v>4.2</v>
      </c>
      <c r="S612" s="87">
        <v>628870</v>
      </c>
      <c r="T612" s="1">
        <v>4</v>
      </c>
      <c r="U612" s="88">
        <v>149730.95238095237</v>
      </c>
      <c r="V612" s="59">
        <v>6.6786458250512828</v>
      </c>
    </row>
    <row r="613" spans="1:22">
      <c r="A613" s="58">
        <v>613</v>
      </c>
      <c r="B613" s="58">
        <v>613</v>
      </c>
      <c r="C613" s="58" t="s">
        <v>1110</v>
      </c>
      <c r="D613" s="58" t="s">
        <v>410</v>
      </c>
      <c r="E613" s="58" t="s">
        <v>410</v>
      </c>
      <c r="F613" s="58" t="s">
        <v>411</v>
      </c>
      <c r="G613" s="58" t="s">
        <v>412</v>
      </c>
      <c r="H613" s="58" t="s">
        <v>179</v>
      </c>
      <c r="I613">
        <v>38000</v>
      </c>
      <c r="J613">
        <v>38000</v>
      </c>
      <c r="K613" s="58" t="s">
        <v>185</v>
      </c>
      <c r="L613" s="74">
        <v>7.6829999999999998</v>
      </c>
      <c r="M613" s="85">
        <v>8</v>
      </c>
      <c r="N613" s="74">
        <v>0.128</v>
      </c>
      <c r="O613">
        <v>2</v>
      </c>
      <c r="P613" s="84">
        <v>0.128</v>
      </c>
      <c r="Q613" s="86">
        <v>4.2</v>
      </c>
      <c r="R613" s="85">
        <v>4.2</v>
      </c>
      <c r="S613" s="87">
        <v>909950</v>
      </c>
      <c r="T613" s="1">
        <v>4</v>
      </c>
      <c r="U613" s="88">
        <v>216654.76190476189</v>
      </c>
      <c r="V613" s="59">
        <v>4.6156382218803227</v>
      </c>
    </row>
    <row r="614" spans="1:22">
      <c r="A614" s="58">
        <v>614</v>
      </c>
      <c r="B614" s="58">
        <v>614</v>
      </c>
      <c r="C614" s="58" t="s">
        <v>1111</v>
      </c>
      <c r="D614" s="58" t="s">
        <v>410</v>
      </c>
      <c r="E614" s="58" t="s">
        <v>410</v>
      </c>
      <c r="F614" s="58" t="s">
        <v>411</v>
      </c>
      <c r="G614" s="58" t="s">
        <v>412</v>
      </c>
      <c r="H614" s="58" t="s">
        <v>179</v>
      </c>
      <c r="I614">
        <v>38000</v>
      </c>
      <c r="J614">
        <v>38000</v>
      </c>
      <c r="K614" s="58" t="s">
        <v>185</v>
      </c>
      <c r="L614" s="74">
        <v>6.306</v>
      </c>
      <c r="M614" s="85">
        <v>7</v>
      </c>
      <c r="N614" s="74">
        <v>0.43099999999999999</v>
      </c>
      <c r="O614">
        <v>2</v>
      </c>
      <c r="P614" s="84">
        <v>0.43099999999999999</v>
      </c>
      <c r="Q614" s="86">
        <v>4.2</v>
      </c>
      <c r="R614" s="85">
        <v>4.2</v>
      </c>
      <c r="S614" s="87">
        <v>839680</v>
      </c>
      <c r="T614" s="1">
        <v>4</v>
      </c>
      <c r="U614" s="88">
        <v>199923.80952380953</v>
      </c>
      <c r="V614" s="59">
        <v>5.0019054878048781</v>
      </c>
    </row>
    <row r="615" spans="1:22">
      <c r="A615" s="58">
        <v>615</v>
      </c>
      <c r="B615" s="58">
        <v>615</v>
      </c>
      <c r="C615" s="58" t="s">
        <v>1112</v>
      </c>
      <c r="D615" s="58" t="s">
        <v>410</v>
      </c>
      <c r="E615" s="58" t="s">
        <v>410</v>
      </c>
      <c r="F615" s="58" t="s">
        <v>1113</v>
      </c>
      <c r="G615" s="58" t="s">
        <v>1114</v>
      </c>
      <c r="H615" s="58" t="s">
        <v>179</v>
      </c>
      <c r="I615">
        <v>38000</v>
      </c>
      <c r="J615">
        <v>38000</v>
      </c>
      <c r="K615">
        <v>10000</v>
      </c>
      <c r="L615" s="74">
        <v>8.2710000000000008</v>
      </c>
      <c r="M615" s="85">
        <v>9</v>
      </c>
      <c r="N615" s="74">
        <v>0.23599999999999999</v>
      </c>
      <c r="O615">
        <v>2</v>
      </c>
      <c r="P615" s="84">
        <v>0.23599999999999999</v>
      </c>
      <c r="Q615" s="86">
        <v>4.2</v>
      </c>
      <c r="R615" s="85">
        <v>4.2</v>
      </c>
      <c r="S615" s="87">
        <v>1334440</v>
      </c>
      <c r="T615" s="1">
        <v>1</v>
      </c>
      <c r="U615" s="88">
        <v>317723.80952380953</v>
      </c>
      <c r="V615" s="59">
        <v>3.1473876682353645</v>
      </c>
    </row>
    <row r="616" spans="1:22">
      <c r="A616" s="58">
        <v>616</v>
      </c>
      <c r="B616" s="58">
        <v>616</v>
      </c>
      <c r="C616" s="58" t="s">
        <v>1115</v>
      </c>
      <c r="D616" s="58" t="s">
        <v>187</v>
      </c>
      <c r="E616" s="58" t="s">
        <v>187</v>
      </c>
      <c r="F616" s="58" t="s">
        <v>415</v>
      </c>
      <c r="G616" s="58" t="s">
        <v>416</v>
      </c>
      <c r="H616" s="58" t="s">
        <v>179</v>
      </c>
      <c r="I616">
        <v>38000</v>
      </c>
      <c r="J616">
        <v>38000</v>
      </c>
      <c r="K616" s="58" t="s">
        <v>185</v>
      </c>
      <c r="L616" s="74">
        <v>5.5549999999999997</v>
      </c>
      <c r="M616" s="85">
        <v>6</v>
      </c>
      <c r="N616" s="74">
        <v>0.40300000000000002</v>
      </c>
      <c r="O616">
        <v>2</v>
      </c>
      <c r="P616" s="84">
        <v>0.40300000000000002</v>
      </c>
      <c r="Q616" s="86">
        <v>4.2</v>
      </c>
      <c r="R616" s="85">
        <v>4.2</v>
      </c>
      <c r="S616" s="87">
        <v>769410</v>
      </c>
      <c r="T616" s="1">
        <v>4</v>
      </c>
      <c r="U616" s="88">
        <v>183192.85714285713</v>
      </c>
      <c r="V616" s="59">
        <v>5.4587281163488903</v>
      </c>
    </row>
    <row r="617" spans="1:22">
      <c r="A617" s="58">
        <v>617</v>
      </c>
      <c r="B617" s="58">
        <v>617</v>
      </c>
      <c r="C617" s="58" t="s">
        <v>1116</v>
      </c>
      <c r="D617" s="58" t="s">
        <v>187</v>
      </c>
      <c r="E617" s="58" t="s">
        <v>187</v>
      </c>
      <c r="F617" s="58" t="s">
        <v>415</v>
      </c>
      <c r="G617" s="58" t="s">
        <v>416</v>
      </c>
      <c r="H617" s="58" t="s">
        <v>179</v>
      </c>
      <c r="I617">
        <v>38000</v>
      </c>
      <c r="J617">
        <v>38000</v>
      </c>
      <c r="K617" s="58" t="s">
        <v>185</v>
      </c>
      <c r="L617" s="74">
        <v>12.384</v>
      </c>
      <c r="M617" s="85">
        <v>13</v>
      </c>
      <c r="N617" s="74">
        <v>0.193</v>
      </c>
      <c r="O617">
        <v>2</v>
      </c>
      <c r="P617" s="84">
        <v>0.193</v>
      </c>
      <c r="Q617" s="86">
        <v>4.2</v>
      </c>
      <c r="R617" s="85">
        <v>4.2</v>
      </c>
      <c r="S617" s="87">
        <v>1545240</v>
      </c>
      <c r="T617" s="1">
        <v>1</v>
      </c>
      <c r="U617" s="88">
        <v>367914.28571428568</v>
      </c>
      <c r="V617" s="59">
        <v>2.7180243845616214</v>
      </c>
    </row>
    <row r="618" spans="1:22">
      <c r="A618" s="58">
        <v>618</v>
      </c>
      <c r="B618" s="58">
        <v>618</v>
      </c>
      <c r="C618" s="58" t="s">
        <v>1117</v>
      </c>
      <c r="D618" s="58" t="s">
        <v>187</v>
      </c>
      <c r="E618" s="58" t="s">
        <v>187</v>
      </c>
      <c r="F618" s="58" t="s">
        <v>368</v>
      </c>
      <c r="G618" s="58" t="s">
        <v>369</v>
      </c>
      <c r="H618" s="58" t="s">
        <v>199</v>
      </c>
      <c r="I618">
        <v>110000</v>
      </c>
      <c r="J618">
        <v>110000</v>
      </c>
      <c r="K618">
        <v>38000</v>
      </c>
      <c r="L618" s="74">
        <v>11.409000000000001</v>
      </c>
      <c r="M618" s="85">
        <v>12</v>
      </c>
      <c r="N618" s="74">
        <v>0.51300000000000001</v>
      </c>
      <c r="O618">
        <v>2</v>
      </c>
      <c r="P618" s="84">
        <v>0.51300000000000001</v>
      </c>
      <c r="Q618" s="86">
        <v>4.2</v>
      </c>
      <c r="R618" s="85">
        <v>4.2</v>
      </c>
      <c r="S618" s="87">
        <v>2048870</v>
      </c>
      <c r="T618" s="1">
        <v>7</v>
      </c>
      <c r="U618" s="88">
        <v>487826.19047619047</v>
      </c>
      <c r="V618" s="59">
        <v>2.0499104384367968</v>
      </c>
    </row>
    <row r="619" spans="1:22">
      <c r="A619" s="58">
        <v>619</v>
      </c>
      <c r="B619" s="58">
        <v>619</v>
      </c>
      <c r="C619" s="58" t="s">
        <v>1118</v>
      </c>
      <c r="D619" s="58" t="s">
        <v>351</v>
      </c>
      <c r="E619" s="58" t="s">
        <v>351</v>
      </c>
      <c r="F619" s="58" t="s">
        <v>1119</v>
      </c>
      <c r="G619" s="58" t="s">
        <v>1120</v>
      </c>
      <c r="H619" s="58" t="s">
        <v>199</v>
      </c>
      <c r="I619">
        <v>110000</v>
      </c>
      <c r="L619" s="74">
        <v>8.3689999999999998</v>
      </c>
      <c r="M619" s="85">
        <v>9</v>
      </c>
      <c r="N619" s="74">
        <v>0.104</v>
      </c>
      <c r="O619">
        <v>2</v>
      </c>
      <c r="P619" s="84">
        <v>0.104</v>
      </c>
      <c r="Q619" s="86">
        <v>4.2</v>
      </c>
      <c r="R619" s="85">
        <v>4.2</v>
      </c>
      <c r="S619" s="87">
        <v>1890770</v>
      </c>
      <c r="T619" s="1">
        <v>7</v>
      </c>
      <c r="U619" s="88">
        <v>450183.33333333331</v>
      </c>
      <c r="V619" s="59">
        <v>2.2213172411239865</v>
      </c>
    </row>
    <row r="620" spans="1:22">
      <c r="A620" s="58">
        <v>620</v>
      </c>
      <c r="B620" s="58">
        <v>620</v>
      </c>
      <c r="C620" s="58" t="s">
        <v>1121</v>
      </c>
      <c r="D620" s="58" t="s">
        <v>234</v>
      </c>
      <c r="E620" s="58" t="s">
        <v>234</v>
      </c>
      <c r="F620" s="58" t="s">
        <v>337</v>
      </c>
      <c r="G620" s="58" t="s">
        <v>338</v>
      </c>
      <c r="H620" s="58" t="s">
        <v>179</v>
      </c>
      <c r="I620">
        <v>38000</v>
      </c>
      <c r="J620">
        <v>38000</v>
      </c>
      <c r="K620" s="58" t="s">
        <v>185</v>
      </c>
      <c r="L620" s="74">
        <v>9.452</v>
      </c>
      <c r="M620" s="85">
        <v>10</v>
      </c>
      <c r="N620" s="74">
        <v>0.14899999999999999</v>
      </c>
      <c r="O620">
        <v>2</v>
      </c>
      <c r="P620" s="84">
        <v>0.14899999999999999</v>
      </c>
      <c r="Q620" s="86">
        <v>4.2</v>
      </c>
      <c r="R620" s="85">
        <v>4.2</v>
      </c>
      <c r="S620" s="87">
        <v>1387140</v>
      </c>
      <c r="T620" s="1">
        <v>1</v>
      </c>
      <c r="U620" s="88">
        <v>330271.42857142858</v>
      </c>
      <c r="V620" s="59">
        <v>3.0278126216531858</v>
      </c>
    </row>
    <row r="621" spans="1:22">
      <c r="A621" s="58">
        <v>621</v>
      </c>
      <c r="B621" s="58">
        <v>621</v>
      </c>
      <c r="C621" s="58" t="s">
        <v>1122</v>
      </c>
      <c r="D621" s="58" t="s">
        <v>234</v>
      </c>
      <c r="E621" s="58" t="s">
        <v>234</v>
      </c>
      <c r="F621" s="58" t="s">
        <v>337</v>
      </c>
      <c r="G621" s="58" t="s">
        <v>338</v>
      </c>
      <c r="H621" s="58" t="s">
        <v>179</v>
      </c>
      <c r="I621">
        <v>38000</v>
      </c>
      <c r="J621">
        <v>38000</v>
      </c>
      <c r="K621" s="58" t="s">
        <v>185</v>
      </c>
      <c r="L621" s="74">
        <v>8.266</v>
      </c>
      <c r="M621" s="85">
        <v>9</v>
      </c>
      <c r="N621" s="74">
        <v>0.16700000000000001</v>
      </c>
      <c r="O621">
        <v>2</v>
      </c>
      <c r="P621" s="84">
        <v>0.16700000000000001</v>
      </c>
      <c r="Q621" s="86">
        <v>4.2</v>
      </c>
      <c r="R621" s="85">
        <v>4.2</v>
      </c>
      <c r="S621" s="87">
        <v>1334440</v>
      </c>
      <c r="T621" s="1">
        <v>1</v>
      </c>
      <c r="U621" s="88">
        <v>317723.80952380953</v>
      </c>
      <c r="V621" s="59">
        <v>3.1473876682353645</v>
      </c>
    </row>
    <row r="622" spans="1:22">
      <c r="A622" s="58">
        <v>622</v>
      </c>
      <c r="B622" s="58">
        <v>622</v>
      </c>
      <c r="C622" s="58" t="s">
        <v>1123</v>
      </c>
      <c r="D622" s="58" t="s">
        <v>187</v>
      </c>
      <c r="E622" s="58" t="s">
        <v>187</v>
      </c>
      <c r="F622" s="58" t="s">
        <v>1124</v>
      </c>
      <c r="G622" s="58" t="s">
        <v>1125</v>
      </c>
      <c r="H622" s="58" t="s">
        <v>179</v>
      </c>
      <c r="I622">
        <v>38000</v>
      </c>
      <c r="J622" s="58" t="s">
        <v>185</v>
      </c>
      <c r="K622">
        <v>38000</v>
      </c>
      <c r="L622" s="74">
        <v>1.4330000000000001</v>
      </c>
      <c r="M622" s="85">
        <v>2</v>
      </c>
      <c r="N622" s="74">
        <v>0.28799999999999998</v>
      </c>
      <c r="O622">
        <v>2</v>
      </c>
      <c r="P622" s="84">
        <v>0.28799999999999998</v>
      </c>
      <c r="Q622" s="86">
        <v>4.2</v>
      </c>
      <c r="R622" s="85">
        <v>4.2</v>
      </c>
      <c r="S622" s="87">
        <v>488330</v>
      </c>
      <c r="T622" s="1">
        <v>4</v>
      </c>
      <c r="U622" s="88">
        <v>116269.04761904762</v>
      </c>
      <c r="V622" s="59">
        <v>8.6007413019884087</v>
      </c>
    </row>
    <row r="623" spans="1:22">
      <c r="A623" s="58">
        <v>623</v>
      </c>
      <c r="B623" s="58">
        <v>623</v>
      </c>
      <c r="C623" s="58" t="s">
        <v>1126</v>
      </c>
      <c r="D623" s="58" t="s">
        <v>187</v>
      </c>
      <c r="E623" s="58" t="s">
        <v>187</v>
      </c>
      <c r="F623" s="58" t="s">
        <v>746</v>
      </c>
      <c r="G623" s="58" t="s">
        <v>747</v>
      </c>
      <c r="H623" s="58" t="s">
        <v>199</v>
      </c>
      <c r="I623">
        <v>110000</v>
      </c>
      <c r="J623">
        <v>110000</v>
      </c>
      <c r="K623">
        <v>38000</v>
      </c>
      <c r="L623" s="74">
        <v>4.3170000000000002</v>
      </c>
      <c r="M623" s="85">
        <v>5</v>
      </c>
      <c r="N623" s="74">
        <v>9.0999999999999998E-2</v>
      </c>
      <c r="O623">
        <v>2</v>
      </c>
      <c r="P623" s="84">
        <v>9.0999999999999998E-2</v>
      </c>
      <c r="Q623" s="86">
        <v>4.2</v>
      </c>
      <c r="R623" s="85">
        <v>4.2</v>
      </c>
      <c r="S623" s="87">
        <v>1679970</v>
      </c>
      <c r="T623" s="1">
        <v>7</v>
      </c>
      <c r="U623" s="88">
        <v>399992.8571428571</v>
      </c>
      <c r="V623" s="59">
        <v>2.5000446436543511</v>
      </c>
    </row>
    <row r="624" spans="1:22">
      <c r="A624" s="58">
        <v>624</v>
      </c>
      <c r="B624" s="58">
        <v>624</v>
      </c>
      <c r="C624" s="58" t="s">
        <v>1127</v>
      </c>
      <c r="D624" s="58" t="s">
        <v>182</v>
      </c>
      <c r="E624" s="58" t="s">
        <v>182</v>
      </c>
      <c r="F624" s="58" t="s">
        <v>440</v>
      </c>
      <c r="G624" s="58" t="s">
        <v>441</v>
      </c>
      <c r="H624" s="58" t="s">
        <v>199</v>
      </c>
      <c r="I624">
        <v>110000</v>
      </c>
      <c r="L624" s="74">
        <v>2.4580000000000002</v>
      </c>
      <c r="M624" s="85">
        <v>3</v>
      </c>
      <c r="N624" s="74">
        <v>0.1</v>
      </c>
      <c r="O624">
        <v>2</v>
      </c>
      <c r="P624" s="84">
        <v>0.1</v>
      </c>
      <c r="Q624" s="86">
        <v>4.2</v>
      </c>
      <c r="R624" s="85">
        <v>4.2</v>
      </c>
      <c r="S624" s="87">
        <v>1574570</v>
      </c>
      <c r="T624" s="1">
        <v>7</v>
      </c>
      <c r="U624" s="88">
        <v>374897.61904761905</v>
      </c>
      <c r="V624" s="59">
        <v>2.6673949078161021</v>
      </c>
    </row>
    <row r="625" spans="1:22">
      <c r="A625" s="58">
        <v>625</v>
      </c>
      <c r="B625" s="58">
        <v>625</v>
      </c>
      <c r="C625" s="58" t="s">
        <v>1128</v>
      </c>
      <c r="D625" s="58" t="s">
        <v>182</v>
      </c>
      <c r="E625" s="58" t="s">
        <v>182</v>
      </c>
      <c r="F625" s="58" t="s">
        <v>440</v>
      </c>
      <c r="G625" s="58" t="s">
        <v>441</v>
      </c>
      <c r="H625" s="58" t="s">
        <v>199</v>
      </c>
      <c r="I625">
        <v>110000</v>
      </c>
      <c r="L625" s="74">
        <v>1.6060000000000001</v>
      </c>
      <c r="M625" s="85">
        <v>2</v>
      </c>
      <c r="N625" s="74">
        <v>0.188</v>
      </c>
      <c r="O625">
        <v>2</v>
      </c>
      <c r="P625" s="84">
        <v>0.188</v>
      </c>
      <c r="Q625" s="86">
        <v>4.2</v>
      </c>
      <c r="R625" s="85">
        <v>4.2</v>
      </c>
      <c r="S625" s="87">
        <v>1340080</v>
      </c>
      <c r="T625" s="1">
        <v>11</v>
      </c>
      <c r="U625" s="88">
        <v>319066.66666666663</v>
      </c>
      <c r="V625" s="59">
        <v>3.134141245298788</v>
      </c>
    </row>
    <row r="626" spans="1:22">
      <c r="A626" s="58">
        <v>626</v>
      </c>
      <c r="B626" s="58">
        <v>626</v>
      </c>
      <c r="C626" s="58" t="s">
        <v>1129</v>
      </c>
      <c r="D626" s="58" t="s">
        <v>450</v>
      </c>
      <c r="E626" s="58" t="s">
        <v>450</v>
      </c>
      <c r="F626" s="58" t="s">
        <v>1130</v>
      </c>
      <c r="G626" s="58" t="s">
        <v>1131</v>
      </c>
      <c r="H626" s="58" t="s">
        <v>179</v>
      </c>
      <c r="I626">
        <v>38000</v>
      </c>
      <c r="J626">
        <v>38000</v>
      </c>
      <c r="K626" s="58" t="s">
        <v>185</v>
      </c>
      <c r="L626" s="74">
        <v>5.1660000000000004</v>
      </c>
      <c r="M626" s="85">
        <v>6</v>
      </c>
      <c r="N626" s="74">
        <v>0.155</v>
      </c>
      <c r="O626">
        <v>2</v>
      </c>
      <c r="P626" s="84">
        <v>0.155</v>
      </c>
      <c r="Q626" s="86">
        <v>4.2</v>
      </c>
      <c r="R626" s="85">
        <v>4.2</v>
      </c>
      <c r="S626" s="87">
        <v>769410</v>
      </c>
      <c r="T626" s="1">
        <v>4</v>
      </c>
      <c r="U626" s="88">
        <v>183192.85714285713</v>
      </c>
      <c r="V626" s="59">
        <v>5.4587281163488903</v>
      </c>
    </row>
    <row r="627" spans="1:22">
      <c r="A627" s="58">
        <v>627</v>
      </c>
      <c r="B627" s="58">
        <v>627</v>
      </c>
      <c r="C627" s="58" t="s">
        <v>1132</v>
      </c>
      <c r="D627" s="58" t="s">
        <v>450</v>
      </c>
      <c r="E627" s="58" t="s">
        <v>450</v>
      </c>
      <c r="F627" s="58" t="s">
        <v>457</v>
      </c>
      <c r="G627" s="58" t="s">
        <v>458</v>
      </c>
      <c r="H627" s="58" t="s">
        <v>199</v>
      </c>
      <c r="I627">
        <v>110000</v>
      </c>
      <c r="J627">
        <v>110000</v>
      </c>
      <c r="K627">
        <v>38000</v>
      </c>
      <c r="L627" s="74">
        <v>10.170999999999999</v>
      </c>
      <c r="M627" s="85">
        <v>11</v>
      </c>
      <c r="N627" s="74">
        <v>0.32900000000000001</v>
      </c>
      <c r="O627">
        <v>2</v>
      </c>
      <c r="P627" s="84">
        <v>0.32900000000000001</v>
      </c>
      <c r="Q627" s="86">
        <v>4.2</v>
      </c>
      <c r="R627" s="85">
        <v>4.2</v>
      </c>
      <c r="S627" s="87">
        <v>1996170</v>
      </c>
      <c r="T627" s="1">
        <v>7</v>
      </c>
      <c r="U627" s="88">
        <v>475278.57142857142</v>
      </c>
      <c r="V627" s="59">
        <v>2.1040292159485414</v>
      </c>
    </row>
    <row r="628" spans="1:22">
      <c r="A628" s="58">
        <v>628</v>
      </c>
      <c r="B628" s="58">
        <v>628</v>
      </c>
      <c r="C628" s="58" t="s">
        <v>1133</v>
      </c>
      <c r="D628" s="58" t="s">
        <v>215</v>
      </c>
      <c r="E628" s="58" t="s">
        <v>215</v>
      </c>
      <c r="F628" s="58" t="s">
        <v>776</v>
      </c>
      <c r="G628" s="58" t="s">
        <v>777</v>
      </c>
      <c r="H628" s="58" t="s">
        <v>179</v>
      </c>
      <c r="I628">
        <v>38000</v>
      </c>
      <c r="J628">
        <v>20000</v>
      </c>
      <c r="K628">
        <v>38000</v>
      </c>
      <c r="L628" s="74">
        <v>4.5940000000000003</v>
      </c>
      <c r="M628" s="85">
        <v>5</v>
      </c>
      <c r="N628" s="74">
        <v>0.316</v>
      </c>
      <c r="O628">
        <v>2</v>
      </c>
      <c r="P628" s="84">
        <v>0.316</v>
      </c>
      <c r="Q628" s="86">
        <v>4.2</v>
      </c>
      <c r="R628" s="85">
        <v>4.2</v>
      </c>
      <c r="S628" s="87">
        <v>699140</v>
      </c>
      <c r="T628" s="1">
        <v>4</v>
      </c>
      <c r="U628" s="88">
        <v>166461.90476190476</v>
      </c>
      <c r="V628" s="59">
        <v>6.0073804960379897</v>
      </c>
    </row>
    <row r="629" spans="1:22">
      <c r="A629" s="58">
        <v>629</v>
      </c>
      <c r="B629" s="58">
        <v>629</v>
      </c>
      <c r="C629" s="58" t="s">
        <v>1134</v>
      </c>
      <c r="D629" s="58" t="s">
        <v>215</v>
      </c>
      <c r="E629" s="58" t="s">
        <v>215</v>
      </c>
      <c r="F629" s="58" t="s">
        <v>776</v>
      </c>
      <c r="G629" s="58" t="s">
        <v>777</v>
      </c>
      <c r="H629" s="58" t="s">
        <v>179</v>
      </c>
      <c r="I629">
        <v>38000</v>
      </c>
      <c r="J629">
        <v>20000</v>
      </c>
      <c r="K629">
        <v>38000</v>
      </c>
      <c r="L629" s="74">
        <v>5.101</v>
      </c>
      <c r="M629" s="85">
        <v>6</v>
      </c>
      <c r="N629" s="74">
        <v>0.189</v>
      </c>
      <c r="O629">
        <v>2</v>
      </c>
      <c r="P629" s="84">
        <v>0.189</v>
      </c>
      <c r="Q629" s="86">
        <v>4.2</v>
      </c>
      <c r="R629" s="85">
        <v>4.2</v>
      </c>
      <c r="S629" s="87">
        <v>769410</v>
      </c>
      <c r="T629" s="1">
        <v>4</v>
      </c>
      <c r="U629" s="88">
        <v>183192.85714285713</v>
      </c>
      <c r="V629" s="59">
        <v>5.4587281163488903</v>
      </c>
    </row>
    <row r="630" spans="1:22">
      <c r="A630" s="58">
        <v>630</v>
      </c>
      <c r="B630" s="58">
        <v>630</v>
      </c>
      <c r="C630" s="58" t="s">
        <v>1135</v>
      </c>
      <c r="D630" s="58" t="s">
        <v>775</v>
      </c>
      <c r="E630" s="58" t="s">
        <v>775</v>
      </c>
      <c r="F630" s="58" t="s">
        <v>1136</v>
      </c>
      <c r="G630" s="58" t="s">
        <v>1137</v>
      </c>
      <c r="H630" s="58" t="s">
        <v>179</v>
      </c>
      <c r="I630">
        <v>38000</v>
      </c>
      <c r="J630">
        <v>38000</v>
      </c>
      <c r="K630" s="58" t="s">
        <v>185</v>
      </c>
      <c r="L630" s="74">
        <v>7.4740000000000002</v>
      </c>
      <c r="M630" s="85">
        <v>8</v>
      </c>
      <c r="N630" s="74">
        <v>0.21299999999999999</v>
      </c>
      <c r="O630">
        <v>2</v>
      </c>
      <c r="P630" s="84">
        <v>0.21299999999999999</v>
      </c>
      <c r="Q630" s="86">
        <v>4.2</v>
      </c>
      <c r="R630" s="85">
        <v>4.2</v>
      </c>
      <c r="S630" s="87">
        <v>909950</v>
      </c>
      <c r="T630" s="1">
        <v>4</v>
      </c>
      <c r="U630" s="88">
        <v>216654.76190476189</v>
      </c>
      <c r="V630" s="59">
        <v>4.6156382218803227</v>
      </c>
    </row>
    <row r="631" spans="1:22">
      <c r="A631" s="58">
        <v>631</v>
      </c>
      <c r="B631" s="58">
        <v>631</v>
      </c>
      <c r="C631" s="58" t="s">
        <v>1138</v>
      </c>
      <c r="D631" s="58" t="s">
        <v>197</v>
      </c>
      <c r="E631" s="58" t="s">
        <v>197</v>
      </c>
      <c r="F631" s="58" t="s">
        <v>299</v>
      </c>
      <c r="G631" s="58" t="s">
        <v>300</v>
      </c>
      <c r="H631" s="58" t="s">
        <v>179</v>
      </c>
      <c r="I631">
        <v>38000</v>
      </c>
      <c r="J631">
        <v>38000</v>
      </c>
      <c r="K631" s="58" t="s">
        <v>185</v>
      </c>
      <c r="L631" s="74">
        <v>13.582000000000001</v>
      </c>
      <c r="M631" s="85">
        <v>14</v>
      </c>
      <c r="N631" s="74">
        <v>0.11</v>
      </c>
      <c r="O631">
        <v>2</v>
      </c>
      <c r="P631" s="84">
        <v>0.11</v>
      </c>
      <c r="Q631" s="86">
        <v>4.2</v>
      </c>
      <c r="R631" s="85">
        <v>4.2</v>
      </c>
      <c r="S631" s="87">
        <v>1597940</v>
      </c>
      <c r="T631" s="1">
        <v>1</v>
      </c>
      <c r="U631" s="88">
        <v>380461.90476190473</v>
      </c>
      <c r="V631" s="59">
        <v>2.6283840444572388</v>
      </c>
    </row>
    <row r="632" spans="1:22">
      <c r="A632" s="58">
        <v>632</v>
      </c>
      <c r="B632" s="58">
        <v>632</v>
      </c>
      <c r="C632" s="58" t="s">
        <v>1139</v>
      </c>
      <c r="D632" s="58" t="s">
        <v>450</v>
      </c>
      <c r="E632" s="58" t="s">
        <v>450</v>
      </c>
      <c r="F632" s="58" t="s">
        <v>1140</v>
      </c>
      <c r="G632" s="58" t="s">
        <v>1141</v>
      </c>
      <c r="H632" s="58" t="s">
        <v>179</v>
      </c>
      <c r="I632">
        <v>38000</v>
      </c>
      <c r="J632">
        <v>38000</v>
      </c>
      <c r="K632" s="58" t="s">
        <v>185</v>
      </c>
      <c r="L632" s="74">
        <v>2.653</v>
      </c>
      <c r="M632" s="85">
        <v>3</v>
      </c>
      <c r="N632" s="74">
        <v>0.46400000000000002</v>
      </c>
      <c r="O632">
        <v>2</v>
      </c>
      <c r="P632" s="84">
        <v>0.46400000000000002</v>
      </c>
      <c r="Q632" s="86">
        <v>4.2</v>
      </c>
      <c r="R632" s="85">
        <v>4.2</v>
      </c>
      <c r="S632" s="87">
        <v>558600</v>
      </c>
      <c r="T632" s="1">
        <v>4</v>
      </c>
      <c r="U632" s="88">
        <v>133000</v>
      </c>
      <c r="V632" s="59">
        <v>7.518796992481203</v>
      </c>
    </row>
    <row r="633" spans="1:22">
      <c r="A633" s="58">
        <v>633</v>
      </c>
      <c r="B633" s="58">
        <v>633</v>
      </c>
      <c r="C633" s="58" t="s">
        <v>1142</v>
      </c>
      <c r="D633" s="58" t="s">
        <v>410</v>
      </c>
      <c r="E633" s="58" t="s">
        <v>410</v>
      </c>
      <c r="F633" s="58" t="s">
        <v>1143</v>
      </c>
      <c r="G633" s="58" t="s">
        <v>1144</v>
      </c>
      <c r="H633" s="58" t="s">
        <v>179</v>
      </c>
      <c r="I633">
        <v>38000</v>
      </c>
      <c r="J633" s="58" t="s">
        <v>185</v>
      </c>
      <c r="K633">
        <v>38000</v>
      </c>
      <c r="L633" s="74">
        <v>2.1989999999999998</v>
      </c>
      <c r="M633" s="85">
        <v>3</v>
      </c>
      <c r="N633" s="74">
        <v>0.47599999999999998</v>
      </c>
      <c r="O633">
        <v>2</v>
      </c>
      <c r="P633" s="84">
        <v>0.47599999999999998</v>
      </c>
      <c r="Q633" s="86">
        <v>4.2</v>
      </c>
      <c r="R633" s="85">
        <v>4.2</v>
      </c>
      <c r="S633" s="87">
        <v>558600</v>
      </c>
      <c r="T633" s="1">
        <v>4</v>
      </c>
      <c r="U633" s="88">
        <v>133000</v>
      </c>
      <c r="V633" s="59">
        <v>7.518796992481203</v>
      </c>
    </row>
    <row r="634" spans="1:22">
      <c r="A634" s="58">
        <v>634</v>
      </c>
      <c r="B634" s="58">
        <v>634</v>
      </c>
      <c r="C634" s="58" t="s">
        <v>1145</v>
      </c>
      <c r="D634" s="58" t="s">
        <v>380</v>
      </c>
      <c r="E634" s="58" t="s">
        <v>380</v>
      </c>
      <c r="F634" s="58" t="s">
        <v>1146</v>
      </c>
      <c r="G634" s="58" t="s">
        <v>1147</v>
      </c>
      <c r="H634" s="58" t="s">
        <v>179</v>
      </c>
      <c r="I634">
        <v>38000</v>
      </c>
      <c r="J634" s="58" t="s">
        <v>185</v>
      </c>
      <c r="K634">
        <v>38000</v>
      </c>
      <c r="L634" s="74">
        <v>9.0169999999999995</v>
      </c>
      <c r="M634" s="85">
        <v>10</v>
      </c>
      <c r="N634" s="74">
        <v>0.378</v>
      </c>
      <c r="O634">
        <v>2</v>
      </c>
      <c r="P634" s="84">
        <v>0.378</v>
      </c>
      <c r="Q634" s="86">
        <v>4.2</v>
      </c>
      <c r="R634" s="85">
        <v>4.2</v>
      </c>
      <c r="S634" s="87">
        <v>1387140</v>
      </c>
      <c r="T634" s="1">
        <v>1</v>
      </c>
      <c r="U634" s="88">
        <v>330271.42857142858</v>
      </c>
      <c r="V634" s="59">
        <v>3.0278126216531858</v>
      </c>
    </row>
    <row r="635" spans="1:22">
      <c r="A635" s="58">
        <v>635</v>
      </c>
      <c r="B635" s="58">
        <v>635</v>
      </c>
      <c r="C635" s="58" t="s">
        <v>1148</v>
      </c>
      <c r="D635" s="58" t="s">
        <v>882</v>
      </c>
      <c r="E635" s="58" t="s">
        <v>882</v>
      </c>
      <c r="F635" s="58" t="s">
        <v>1149</v>
      </c>
      <c r="G635" s="58" t="s">
        <v>1150</v>
      </c>
      <c r="H635" s="58" t="s">
        <v>179</v>
      </c>
      <c r="I635">
        <v>38000</v>
      </c>
      <c r="J635">
        <v>38000</v>
      </c>
      <c r="K635" s="58" t="s">
        <v>185</v>
      </c>
      <c r="L635" s="74">
        <v>11.638999999999999</v>
      </c>
      <c r="M635" s="85">
        <v>12</v>
      </c>
      <c r="N635" s="74">
        <v>0.154</v>
      </c>
      <c r="O635">
        <v>2</v>
      </c>
      <c r="P635" s="84">
        <v>0.154</v>
      </c>
      <c r="Q635" s="86">
        <v>4.2</v>
      </c>
      <c r="R635" s="85">
        <v>4.2</v>
      </c>
      <c r="S635" s="87">
        <v>1492540</v>
      </c>
      <c r="T635" s="1">
        <v>1</v>
      </c>
      <c r="U635" s="88">
        <v>355366.66666666663</v>
      </c>
      <c r="V635" s="59">
        <v>2.8139949348091173</v>
      </c>
    </row>
    <row r="636" spans="1:22">
      <c r="A636" s="58">
        <v>636</v>
      </c>
      <c r="B636" s="58">
        <v>636</v>
      </c>
      <c r="C636" s="58" t="s">
        <v>1151</v>
      </c>
      <c r="D636" s="58" t="s">
        <v>215</v>
      </c>
      <c r="E636" s="58" t="s">
        <v>215</v>
      </c>
      <c r="F636" s="58" t="s">
        <v>713</v>
      </c>
      <c r="G636" s="58" t="s">
        <v>714</v>
      </c>
      <c r="H636" s="58" t="s">
        <v>199</v>
      </c>
      <c r="I636">
        <v>110000</v>
      </c>
      <c r="J636" s="58" t="s">
        <v>185</v>
      </c>
      <c r="K636">
        <v>110000</v>
      </c>
      <c r="L636" s="74">
        <v>8.5090000000000003</v>
      </c>
      <c r="M636" s="85">
        <v>9</v>
      </c>
      <c r="N636" s="74">
        <v>0.22500000000000001</v>
      </c>
      <c r="O636">
        <v>2</v>
      </c>
      <c r="P636" s="84">
        <v>0.22500000000000001</v>
      </c>
      <c r="Q636" s="86">
        <v>4.2</v>
      </c>
      <c r="R636" s="85">
        <v>4.2</v>
      </c>
      <c r="S636" s="87">
        <v>1890770</v>
      </c>
      <c r="T636" s="1">
        <v>7</v>
      </c>
      <c r="U636" s="88">
        <v>450183.33333333331</v>
      </c>
      <c r="V636" s="59">
        <v>2.2213172411239865</v>
      </c>
    </row>
    <row r="637" spans="1:22">
      <c r="A637" s="58">
        <v>637</v>
      </c>
      <c r="B637" s="58">
        <v>637</v>
      </c>
      <c r="C637" s="58" t="s">
        <v>1152</v>
      </c>
      <c r="D637" s="58" t="s">
        <v>775</v>
      </c>
      <c r="E637" s="58" t="s">
        <v>775</v>
      </c>
      <c r="F637" s="58" t="s">
        <v>1107</v>
      </c>
      <c r="G637" s="58" t="s">
        <v>1108</v>
      </c>
      <c r="H637" s="58" t="s">
        <v>179</v>
      </c>
      <c r="I637">
        <v>38000</v>
      </c>
      <c r="J637">
        <v>38000</v>
      </c>
      <c r="K637" s="58" t="s">
        <v>185</v>
      </c>
      <c r="L637" s="74">
        <v>8.3480000000000008</v>
      </c>
      <c r="M637" s="85">
        <v>9</v>
      </c>
      <c r="N637" s="74">
        <v>0.21099999999999999</v>
      </c>
      <c r="O637">
        <v>2</v>
      </c>
      <c r="P637" s="84">
        <v>0.21099999999999999</v>
      </c>
      <c r="Q637" s="86">
        <v>4.2</v>
      </c>
      <c r="R637" s="85">
        <v>4.2</v>
      </c>
      <c r="S637" s="87">
        <v>1334440</v>
      </c>
      <c r="T637" s="1">
        <v>1</v>
      </c>
      <c r="U637" s="88">
        <v>317723.80952380953</v>
      </c>
      <c r="V637" s="59">
        <v>3.1473876682353645</v>
      </c>
    </row>
    <row r="638" spans="1:22">
      <c r="A638" s="58">
        <v>638</v>
      </c>
      <c r="B638" s="58">
        <v>638</v>
      </c>
      <c r="C638" s="58" t="s">
        <v>1153</v>
      </c>
      <c r="D638" s="58" t="s">
        <v>775</v>
      </c>
      <c r="E638" s="58" t="s">
        <v>775</v>
      </c>
      <c r="F638" s="58" t="s">
        <v>776</v>
      </c>
      <c r="G638" s="58" t="s">
        <v>777</v>
      </c>
      <c r="H638" s="58" t="s">
        <v>179</v>
      </c>
      <c r="I638">
        <v>38000</v>
      </c>
      <c r="J638">
        <v>20000</v>
      </c>
      <c r="K638">
        <v>38000</v>
      </c>
      <c r="L638" s="74">
        <v>8.8840000000000003</v>
      </c>
      <c r="M638" s="85">
        <v>9</v>
      </c>
      <c r="N638" s="74">
        <v>0.34699999999999998</v>
      </c>
      <c r="O638">
        <v>2</v>
      </c>
      <c r="P638" s="84">
        <v>0.34699999999999998</v>
      </c>
      <c r="Q638" s="86">
        <v>4.2</v>
      </c>
      <c r="R638" s="85">
        <v>4.2</v>
      </c>
      <c r="S638" s="87">
        <v>1334440</v>
      </c>
      <c r="T638" s="1">
        <v>1</v>
      </c>
      <c r="U638" s="88">
        <v>317723.80952380953</v>
      </c>
      <c r="V638" s="59">
        <v>3.1473876682353645</v>
      </c>
    </row>
    <row r="639" spans="1:22">
      <c r="A639" s="58">
        <v>639</v>
      </c>
      <c r="B639" s="58">
        <v>639</v>
      </c>
      <c r="C639" s="58" t="s">
        <v>1154</v>
      </c>
      <c r="D639" s="58" t="s">
        <v>215</v>
      </c>
      <c r="E639" s="58" t="s">
        <v>215</v>
      </c>
      <c r="F639" s="58" t="s">
        <v>225</v>
      </c>
      <c r="G639" s="58" t="s">
        <v>226</v>
      </c>
      <c r="H639" s="58" t="s">
        <v>179</v>
      </c>
      <c r="I639">
        <v>38000</v>
      </c>
      <c r="J639">
        <v>38000</v>
      </c>
      <c r="K639">
        <v>20000</v>
      </c>
      <c r="L639" s="74">
        <v>8.5649999999999995</v>
      </c>
      <c r="M639" s="85">
        <v>9</v>
      </c>
      <c r="N639" s="74">
        <v>0.20100000000000001</v>
      </c>
      <c r="O639">
        <v>2</v>
      </c>
      <c r="P639" s="84">
        <v>0.20100000000000001</v>
      </c>
      <c r="Q639" s="86">
        <v>4.2</v>
      </c>
      <c r="R639" s="85">
        <v>4.2</v>
      </c>
      <c r="S639" s="87">
        <v>1334440</v>
      </c>
      <c r="T639" s="1">
        <v>1</v>
      </c>
      <c r="U639" s="88">
        <v>317723.80952380953</v>
      </c>
      <c r="V639" s="59">
        <v>3.1473876682353645</v>
      </c>
    </row>
    <row r="640" spans="1:22">
      <c r="A640" s="58">
        <v>640</v>
      </c>
      <c r="B640" s="58">
        <v>640</v>
      </c>
      <c r="C640" s="58" t="s">
        <v>1155</v>
      </c>
      <c r="D640" s="58" t="s">
        <v>215</v>
      </c>
      <c r="E640" s="58" t="s">
        <v>215</v>
      </c>
      <c r="F640" s="58" t="s">
        <v>225</v>
      </c>
      <c r="G640" s="58" t="s">
        <v>226</v>
      </c>
      <c r="H640" s="58" t="s">
        <v>179</v>
      </c>
      <c r="I640">
        <v>38000</v>
      </c>
      <c r="J640">
        <v>38000</v>
      </c>
      <c r="K640">
        <v>20000</v>
      </c>
      <c r="L640" s="74">
        <v>8.5399999999999991</v>
      </c>
      <c r="M640" s="85">
        <v>9</v>
      </c>
      <c r="N640" s="74">
        <v>9.9000000000000005E-2</v>
      </c>
      <c r="O640">
        <v>2</v>
      </c>
      <c r="P640" s="84">
        <v>9.9000000000000005E-2</v>
      </c>
      <c r="Q640" s="86">
        <v>4.2</v>
      </c>
      <c r="R640" s="85">
        <v>4.2</v>
      </c>
      <c r="S640" s="87">
        <v>1334440</v>
      </c>
      <c r="T640" s="1">
        <v>1</v>
      </c>
      <c r="U640" s="88">
        <v>317723.80952380953</v>
      </c>
      <c r="V640" s="59">
        <v>3.1473876682353645</v>
      </c>
    </row>
    <row r="641" spans="1:22">
      <c r="A641" s="58">
        <v>641</v>
      </c>
      <c r="B641" s="58">
        <v>641</v>
      </c>
      <c r="C641" s="58" t="s">
        <v>1156</v>
      </c>
      <c r="D641" s="58" t="s">
        <v>215</v>
      </c>
      <c r="E641" s="58" t="s">
        <v>215</v>
      </c>
      <c r="F641" s="58" t="s">
        <v>1157</v>
      </c>
      <c r="G641" s="58" t="s">
        <v>1158</v>
      </c>
      <c r="H641" s="58" t="s">
        <v>199</v>
      </c>
      <c r="I641">
        <v>110000</v>
      </c>
      <c r="J641">
        <v>110000</v>
      </c>
      <c r="K641">
        <v>38000</v>
      </c>
      <c r="L641" s="74">
        <v>7.1870000000000003</v>
      </c>
      <c r="M641" s="85">
        <v>8</v>
      </c>
      <c r="N641" s="74">
        <v>0.104</v>
      </c>
      <c r="O641">
        <v>2</v>
      </c>
      <c r="P641" s="84">
        <v>0.104</v>
      </c>
      <c r="Q641" s="86">
        <v>4.2</v>
      </c>
      <c r="R641" s="85">
        <v>4.2</v>
      </c>
      <c r="S641" s="87">
        <v>1838070</v>
      </c>
      <c r="T641" s="1">
        <v>7</v>
      </c>
      <c r="U641" s="88">
        <v>437635.71428571426</v>
      </c>
      <c r="V641" s="59">
        <v>2.2850054676916547</v>
      </c>
    </row>
    <row r="642" spans="1:22">
      <c r="A642" s="58">
        <v>642</v>
      </c>
      <c r="B642" s="58">
        <v>642</v>
      </c>
      <c r="C642" s="58" t="s">
        <v>1159</v>
      </c>
      <c r="D642" s="58" t="s">
        <v>450</v>
      </c>
      <c r="E642" s="58" t="s">
        <v>450</v>
      </c>
      <c r="F642" s="58" t="s">
        <v>769</v>
      </c>
      <c r="G642" s="58" t="s">
        <v>770</v>
      </c>
      <c r="H642" s="58" t="s">
        <v>179</v>
      </c>
      <c r="I642">
        <v>38000</v>
      </c>
      <c r="J642" s="58" t="s">
        <v>185</v>
      </c>
      <c r="K642">
        <v>38000</v>
      </c>
      <c r="L642" s="74">
        <v>4.0039999999999996</v>
      </c>
      <c r="M642" s="85">
        <v>5</v>
      </c>
      <c r="N642" s="74">
        <v>0.105</v>
      </c>
      <c r="O642">
        <v>2</v>
      </c>
      <c r="P642" s="84">
        <v>0.105</v>
      </c>
      <c r="Q642" s="86">
        <v>4.2</v>
      </c>
      <c r="R642" s="85">
        <v>4.2</v>
      </c>
      <c r="S642" s="87">
        <v>699140</v>
      </c>
      <c r="T642" s="1">
        <v>4</v>
      </c>
      <c r="U642" s="88">
        <v>166461.90476190476</v>
      </c>
      <c r="V642" s="59">
        <v>6.0073804960379897</v>
      </c>
    </row>
    <row r="643" spans="1:22">
      <c r="A643" s="58">
        <v>643</v>
      </c>
      <c r="B643" s="58">
        <v>643</v>
      </c>
      <c r="C643" s="58" t="s">
        <v>1160</v>
      </c>
      <c r="D643" s="58" t="s">
        <v>489</v>
      </c>
      <c r="E643" s="58" t="s">
        <v>489</v>
      </c>
      <c r="F643" s="58" t="s">
        <v>1161</v>
      </c>
      <c r="G643" s="58" t="s">
        <v>1162</v>
      </c>
      <c r="H643" s="58" t="s">
        <v>179</v>
      </c>
      <c r="I643">
        <v>38000</v>
      </c>
      <c r="J643">
        <v>38000</v>
      </c>
      <c r="K643" s="58" t="s">
        <v>185</v>
      </c>
      <c r="L643" s="74">
        <v>2.903</v>
      </c>
      <c r="M643" s="85">
        <v>3</v>
      </c>
      <c r="N643" s="74">
        <v>0.09</v>
      </c>
      <c r="O643">
        <v>2</v>
      </c>
      <c r="P643" s="84">
        <v>0.09</v>
      </c>
      <c r="Q643" s="86">
        <v>4.2</v>
      </c>
      <c r="R643" s="85">
        <v>4.2</v>
      </c>
      <c r="S643" s="87">
        <v>558600</v>
      </c>
      <c r="T643" s="1">
        <v>4</v>
      </c>
      <c r="U643" s="88">
        <v>133000</v>
      </c>
      <c r="V643" s="59">
        <v>7.518796992481203</v>
      </c>
    </row>
    <row r="644" spans="1:22">
      <c r="A644" s="58">
        <v>644</v>
      </c>
      <c r="B644" s="58">
        <v>644</v>
      </c>
      <c r="C644" s="58" t="s">
        <v>1163</v>
      </c>
      <c r="D644" s="58" t="s">
        <v>207</v>
      </c>
      <c r="E644" s="58" t="s">
        <v>207</v>
      </c>
      <c r="F644" s="58" t="s">
        <v>491</v>
      </c>
      <c r="G644" s="58" t="s">
        <v>492</v>
      </c>
      <c r="H644" s="58" t="s">
        <v>179</v>
      </c>
      <c r="I644">
        <v>38000</v>
      </c>
      <c r="J644">
        <v>38000</v>
      </c>
      <c r="K644" s="58" t="s">
        <v>185</v>
      </c>
      <c r="L644" s="74">
        <v>6.0380000000000003</v>
      </c>
      <c r="M644" s="85">
        <v>7</v>
      </c>
      <c r="N644" s="74">
        <v>0.22700000000000001</v>
      </c>
      <c r="O644">
        <v>2</v>
      </c>
      <c r="P644" s="84">
        <v>0.22700000000000001</v>
      </c>
      <c r="Q644" s="86">
        <v>4.2</v>
      </c>
      <c r="R644" s="85">
        <v>4.2</v>
      </c>
      <c r="S644" s="87">
        <v>839680</v>
      </c>
      <c r="T644" s="1">
        <v>4</v>
      </c>
      <c r="U644" s="88">
        <v>199923.80952380953</v>
      </c>
      <c r="V644" s="59">
        <v>5.0019054878048781</v>
      </c>
    </row>
    <row r="645" spans="1:22">
      <c r="A645" s="58">
        <v>645</v>
      </c>
      <c r="B645" s="58">
        <v>645</v>
      </c>
      <c r="C645" s="58" t="s">
        <v>1164</v>
      </c>
      <c r="D645" s="58" t="s">
        <v>207</v>
      </c>
      <c r="E645" s="58" t="s">
        <v>207</v>
      </c>
      <c r="F645" s="58" t="s">
        <v>393</v>
      </c>
      <c r="G645" s="58" t="s">
        <v>394</v>
      </c>
      <c r="H645" s="58" t="s">
        <v>179</v>
      </c>
      <c r="I645">
        <v>38000</v>
      </c>
      <c r="J645">
        <v>38000</v>
      </c>
      <c r="K645" s="58" t="s">
        <v>185</v>
      </c>
      <c r="L645" s="74">
        <v>4.431</v>
      </c>
      <c r="M645" s="85">
        <v>5</v>
      </c>
      <c r="N645" s="74">
        <v>0.123</v>
      </c>
      <c r="O645">
        <v>2</v>
      </c>
      <c r="P645" s="84">
        <v>0.123</v>
      </c>
      <c r="Q645" s="86">
        <v>4.2</v>
      </c>
      <c r="R645" s="85">
        <v>4.2</v>
      </c>
      <c r="S645" s="87">
        <v>699140</v>
      </c>
      <c r="T645" s="1">
        <v>4</v>
      </c>
      <c r="U645" s="88">
        <v>166461.90476190476</v>
      </c>
      <c r="V645" s="59">
        <v>6.0073804960379897</v>
      </c>
    </row>
    <row r="646" spans="1:22">
      <c r="A646" s="58">
        <v>646</v>
      </c>
      <c r="B646" s="58">
        <v>646</v>
      </c>
      <c r="C646" s="58" t="s">
        <v>1165</v>
      </c>
      <c r="D646" s="58" t="s">
        <v>215</v>
      </c>
      <c r="E646" s="58" t="s">
        <v>215</v>
      </c>
      <c r="F646" s="58" t="s">
        <v>1166</v>
      </c>
      <c r="G646" s="58" t="s">
        <v>1167</v>
      </c>
      <c r="H646" s="58" t="s">
        <v>179</v>
      </c>
      <c r="I646">
        <v>38000</v>
      </c>
      <c r="J646">
        <v>38000</v>
      </c>
      <c r="K646" s="58" t="s">
        <v>185</v>
      </c>
      <c r="L646" s="74">
        <v>6.1630000000000003</v>
      </c>
      <c r="M646" s="85">
        <v>7</v>
      </c>
      <c r="N646" s="74">
        <v>0.14599999999999999</v>
      </c>
      <c r="O646">
        <v>2</v>
      </c>
      <c r="P646" s="84">
        <v>0.14599999999999999</v>
      </c>
      <c r="Q646" s="86">
        <v>4.2</v>
      </c>
      <c r="R646" s="85">
        <v>4.2</v>
      </c>
      <c r="S646" s="87">
        <v>839680</v>
      </c>
      <c r="T646" s="1">
        <v>4</v>
      </c>
      <c r="U646" s="88">
        <v>199923.80952380953</v>
      </c>
      <c r="V646" s="59">
        <v>5.0019054878048781</v>
      </c>
    </row>
    <row r="647" spans="1:22">
      <c r="A647" s="58">
        <v>647</v>
      </c>
      <c r="B647" s="58">
        <v>647</v>
      </c>
      <c r="C647" s="58" t="s">
        <v>1168</v>
      </c>
      <c r="D647" s="58" t="s">
        <v>1169</v>
      </c>
      <c r="E647" s="58" t="s">
        <v>1169</v>
      </c>
      <c r="F647" s="58" t="s">
        <v>1170</v>
      </c>
      <c r="G647" s="58" t="s">
        <v>1171</v>
      </c>
      <c r="H647" s="58" t="s">
        <v>179</v>
      </c>
      <c r="I647">
        <v>38000</v>
      </c>
      <c r="J647">
        <v>38000</v>
      </c>
      <c r="K647" s="58" t="s">
        <v>185</v>
      </c>
      <c r="L647" s="74">
        <v>12.156000000000001</v>
      </c>
      <c r="M647" s="85">
        <v>13</v>
      </c>
      <c r="N647" s="74">
        <v>0.32600000000000001</v>
      </c>
      <c r="O647">
        <v>2</v>
      </c>
      <c r="P647" s="84">
        <v>0.32600000000000001</v>
      </c>
      <c r="Q647" s="86">
        <v>4.2</v>
      </c>
      <c r="R647" s="85">
        <v>4.2</v>
      </c>
      <c r="S647" s="87">
        <v>1545240</v>
      </c>
      <c r="T647" s="1">
        <v>1</v>
      </c>
      <c r="U647" s="88">
        <v>367914.28571428568</v>
      </c>
      <c r="V647" s="59">
        <v>2.7180243845616214</v>
      </c>
    </row>
    <row r="648" spans="1:22">
      <c r="A648" s="58">
        <v>648</v>
      </c>
      <c r="B648" s="58">
        <v>648</v>
      </c>
      <c r="C648" s="58" t="s">
        <v>1172</v>
      </c>
      <c r="D648" s="58" t="s">
        <v>176</v>
      </c>
      <c r="E648" s="58" t="s">
        <v>176</v>
      </c>
      <c r="F648" s="58" t="s">
        <v>257</v>
      </c>
      <c r="G648" s="58" t="s">
        <v>258</v>
      </c>
      <c r="H648" s="58" t="s">
        <v>179</v>
      </c>
      <c r="I648">
        <v>38000</v>
      </c>
      <c r="J648">
        <v>38000</v>
      </c>
      <c r="K648">
        <v>20000</v>
      </c>
      <c r="L648" s="74">
        <v>13.313000000000001</v>
      </c>
      <c r="M648" s="85">
        <v>14</v>
      </c>
      <c r="N648" s="74">
        <v>9.4E-2</v>
      </c>
      <c r="O648">
        <v>2</v>
      </c>
      <c r="P648" s="84">
        <v>9.4E-2</v>
      </c>
      <c r="Q648" s="86">
        <v>4.2</v>
      </c>
      <c r="R648" s="85">
        <v>4.2</v>
      </c>
      <c r="S648" s="87">
        <v>1597940</v>
      </c>
      <c r="T648" s="1">
        <v>1</v>
      </c>
      <c r="U648" s="88">
        <v>380461.90476190473</v>
      </c>
      <c r="V648" s="59">
        <v>2.6283840444572388</v>
      </c>
    </row>
    <row r="649" spans="1:22">
      <c r="A649" s="58">
        <v>649</v>
      </c>
      <c r="B649" s="58">
        <v>649</v>
      </c>
      <c r="C649" s="58" t="s">
        <v>1173</v>
      </c>
      <c r="D649" s="58" t="s">
        <v>176</v>
      </c>
      <c r="E649" s="58" t="s">
        <v>176</v>
      </c>
      <c r="F649" s="58" t="s">
        <v>257</v>
      </c>
      <c r="G649" s="58" t="s">
        <v>258</v>
      </c>
      <c r="H649" s="58" t="s">
        <v>179</v>
      </c>
      <c r="I649">
        <v>38000</v>
      </c>
      <c r="J649">
        <v>38000</v>
      </c>
      <c r="K649">
        <v>20000</v>
      </c>
      <c r="L649" s="74">
        <v>14.175000000000001</v>
      </c>
      <c r="M649" s="85">
        <v>15</v>
      </c>
      <c r="N649" s="74">
        <v>0.22700000000000001</v>
      </c>
      <c r="O649">
        <v>2</v>
      </c>
      <c r="P649" s="84">
        <v>0.22700000000000001</v>
      </c>
      <c r="Q649" s="86">
        <v>4.2</v>
      </c>
      <c r="R649" s="85">
        <v>4.2</v>
      </c>
      <c r="S649" s="87">
        <v>1650640</v>
      </c>
      <c r="T649" s="1">
        <v>1</v>
      </c>
      <c r="U649" s="88">
        <v>393009.52380952379</v>
      </c>
      <c r="V649" s="59">
        <v>2.5444676004458877</v>
      </c>
    </row>
    <row r="650" spans="1:22">
      <c r="A650" s="58">
        <v>650</v>
      </c>
      <c r="B650" s="58">
        <v>650</v>
      </c>
      <c r="C650" s="58" t="s">
        <v>1174</v>
      </c>
      <c r="D650" s="58" t="s">
        <v>410</v>
      </c>
      <c r="E650" s="58" t="s">
        <v>410</v>
      </c>
      <c r="F650" s="58" t="s">
        <v>863</v>
      </c>
      <c r="G650" s="58" t="s">
        <v>864</v>
      </c>
      <c r="H650" s="58" t="s">
        <v>179</v>
      </c>
      <c r="I650">
        <v>38000</v>
      </c>
      <c r="J650">
        <v>38000</v>
      </c>
      <c r="K650" s="58" t="s">
        <v>185</v>
      </c>
      <c r="L650" s="74">
        <v>5.3879999999999999</v>
      </c>
      <c r="M650" s="85">
        <v>6</v>
      </c>
      <c r="N650" s="74">
        <v>0.124</v>
      </c>
      <c r="O650">
        <v>2</v>
      </c>
      <c r="P650" s="84">
        <v>0.124</v>
      </c>
      <c r="Q650" s="86">
        <v>4.2</v>
      </c>
      <c r="R650" s="85">
        <v>4.2</v>
      </c>
      <c r="S650" s="87">
        <v>769410</v>
      </c>
      <c r="T650" s="1">
        <v>4</v>
      </c>
      <c r="U650" s="88">
        <v>183192.85714285713</v>
      </c>
      <c r="V650" s="59">
        <v>5.4587281163488903</v>
      </c>
    </row>
    <row r="651" spans="1:22">
      <c r="A651" s="58">
        <v>651</v>
      </c>
      <c r="B651" s="58">
        <v>651</v>
      </c>
      <c r="C651" s="58" t="s">
        <v>1175</v>
      </c>
      <c r="D651" s="58" t="s">
        <v>207</v>
      </c>
      <c r="E651" s="58" t="s">
        <v>207</v>
      </c>
      <c r="F651" s="58" t="s">
        <v>393</v>
      </c>
      <c r="G651" s="58" t="s">
        <v>394</v>
      </c>
      <c r="H651" s="58" t="s">
        <v>179</v>
      </c>
      <c r="I651">
        <v>38000</v>
      </c>
      <c r="J651">
        <v>38000</v>
      </c>
      <c r="K651" s="58" t="s">
        <v>185</v>
      </c>
      <c r="L651" s="74">
        <v>7.1660000000000004</v>
      </c>
      <c r="M651" s="85">
        <v>8</v>
      </c>
      <c r="N651" s="74">
        <v>0.38700000000000001</v>
      </c>
      <c r="O651">
        <v>2</v>
      </c>
      <c r="P651" s="84">
        <v>0.38700000000000001</v>
      </c>
      <c r="Q651" s="86">
        <v>4.2</v>
      </c>
      <c r="R651" s="85">
        <v>4.2</v>
      </c>
      <c r="S651" s="87">
        <v>909950</v>
      </c>
      <c r="T651" s="1">
        <v>4</v>
      </c>
      <c r="U651" s="88">
        <v>216654.76190476189</v>
      </c>
      <c r="V651" s="59">
        <v>4.6156382218803227</v>
      </c>
    </row>
    <row r="652" spans="1:22">
      <c r="A652" s="58">
        <v>652</v>
      </c>
      <c r="B652" s="58">
        <v>652</v>
      </c>
      <c r="C652" s="58" t="s">
        <v>1176</v>
      </c>
      <c r="D652" s="58" t="s">
        <v>410</v>
      </c>
      <c r="E652" s="58" t="s">
        <v>410</v>
      </c>
      <c r="F652" s="58" t="s">
        <v>466</v>
      </c>
      <c r="G652" s="58" t="s">
        <v>467</v>
      </c>
      <c r="H652" s="58" t="s">
        <v>179</v>
      </c>
      <c r="I652">
        <v>38000</v>
      </c>
      <c r="J652">
        <v>38000</v>
      </c>
      <c r="K652" s="58" t="s">
        <v>185</v>
      </c>
      <c r="L652" s="74">
        <v>5.3440000000000003</v>
      </c>
      <c r="M652" s="85">
        <v>6</v>
      </c>
      <c r="N652" s="74">
        <v>0.28699999999999998</v>
      </c>
      <c r="O652">
        <v>2</v>
      </c>
      <c r="P652" s="84">
        <v>0.28699999999999998</v>
      </c>
      <c r="Q652" s="86">
        <v>4.2</v>
      </c>
      <c r="R652" s="85">
        <v>4.2</v>
      </c>
      <c r="S652" s="87">
        <v>769410</v>
      </c>
      <c r="T652" s="1">
        <v>4</v>
      </c>
      <c r="U652" s="88">
        <v>183192.85714285713</v>
      </c>
      <c r="V652" s="59">
        <v>5.4587281163488903</v>
      </c>
    </row>
    <row r="653" spans="1:22">
      <c r="A653" s="58">
        <v>653</v>
      </c>
      <c r="B653" s="58">
        <v>653</v>
      </c>
      <c r="C653" s="58" t="s">
        <v>1177</v>
      </c>
      <c r="D653" s="58" t="s">
        <v>384</v>
      </c>
      <c r="E653" s="58" t="s">
        <v>384</v>
      </c>
      <c r="F653" s="58" t="s">
        <v>915</v>
      </c>
      <c r="G653" s="58" t="s">
        <v>916</v>
      </c>
      <c r="H653" s="58" t="s">
        <v>199</v>
      </c>
      <c r="I653">
        <v>110000</v>
      </c>
      <c r="J653" s="58" t="s">
        <v>185</v>
      </c>
      <c r="K653">
        <v>110000</v>
      </c>
      <c r="L653" s="74">
        <v>3.45</v>
      </c>
      <c r="M653" s="85">
        <v>4</v>
      </c>
      <c r="N653" s="74">
        <v>0.42099999999999999</v>
      </c>
      <c r="O653">
        <v>2</v>
      </c>
      <c r="P653" s="84">
        <v>0.42099999999999999</v>
      </c>
      <c r="Q653" s="86">
        <v>4.2</v>
      </c>
      <c r="R653" s="85">
        <v>4.2</v>
      </c>
      <c r="S653" s="87">
        <v>1627270</v>
      </c>
      <c r="T653" s="1">
        <v>7</v>
      </c>
      <c r="U653" s="88">
        <v>387445.23809523811</v>
      </c>
      <c r="V653" s="59">
        <v>2.5810099123071155</v>
      </c>
    </row>
    <row r="654" spans="1:22">
      <c r="A654" s="58">
        <v>654</v>
      </c>
      <c r="B654" s="58">
        <v>654</v>
      </c>
      <c r="C654" s="58" t="s">
        <v>1178</v>
      </c>
      <c r="D654" s="58" t="s">
        <v>187</v>
      </c>
      <c r="E654" s="58" t="s">
        <v>187</v>
      </c>
      <c r="F654" s="58" t="s">
        <v>228</v>
      </c>
      <c r="G654" s="58" t="s">
        <v>229</v>
      </c>
      <c r="H654" s="58" t="s">
        <v>179</v>
      </c>
      <c r="I654">
        <v>38000</v>
      </c>
      <c r="J654">
        <v>38000</v>
      </c>
      <c r="K654" s="58" t="s">
        <v>185</v>
      </c>
      <c r="L654" s="74">
        <v>7.5110000000000001</v>
      </c>
      <c r="M654" s="85">
        <v>8</v>
      </c>
      <c r="N654" s="74">
        <v>0.20300000000000001</v>
      </c>
      <c r="O654">
        <v>2</v>
      </c>
      <c r="P654" s="84">
        <v>0.20300000000000001</v>
      </c>
      <c r="Q654" s="86">
        <v>4.2</v>
      </c>
      <c r="R654" s="85">
        <v>4.2</v>
      </c>
      <c r="S654" s="87">
        <v>909950</v>
      </c>
      <c r="T654" s="1">
        <v>4</v>
      </c>
      <c r="U654" s="88">
        <v>216654.76190476189</v>
      </c>
      <c r="V654" s="59">
        <v>4.6156382218803227</v>
      </c>
    </row>
    <row r="655" spans="1:22">
      <c r="A655" s="58">
        <v>655</v>
      </c>
      <c r="B655" s="58">
        <v>655</v>
      </c>
      <c r="C655" s="58" t="s">
        <v>1179</v>
      </c>
      <c r="D655" s="58" t="s">
        <v>187</v>
      </c>
      <c r="E655" s="58" t="s">
        <v>187</v>
      </c>
      <c r="F655" s="58" t="s">
        <v>228</v>
      </c>
      <c r="G655" s="58" t="s">
        <v>229</v>
      </c>
      <c r="H655" s="58" t="s">
        <v>179</v>
      </c>
      <c r="I655">
        <v>38000</v>
      </c>
      <c r="J655">
        <v>38000</v>
      </c>
      <c r="K655" s="58" t="s">
        <v>185</v>
      </c>
      <c r="L655" s="74">
        <v>6.3449999999999998</v>
      </c>
      <c r="M655" s="85">
        <v>7</v>
      </c>
      <c r="N655" s="74">
        <v>0.19800000000000001</v>
      </c>
      <c r="O655">
        <v>2</v>
      </c>
      <c r="P655" s="84">
        <v>0.19800000000000001</v>
      </c>
      <c r="Q655" s="86">
        <v>4.2</v>
      </c>
      <c r="R655" s="85">
        <v>4.2</v>
      </c>
      <c r="S655" s="87">
        <v>839680</v>
      </c>
      <c r="T655" s="1">
        <v>4</v>
      </c>
      <c r="U655" s="88">
        <v>199923.80952380953</v>
      </c>
      <c r="V655" s="59">
        <v>5.0019054878048781</v>
      </c>
    </row>
    <row r="656" spans="1:22">
      <c r="A656" s="58">
        <v>656</v>
      </c>
      <c r="B656" s="58">
        <v>656</v>
      </c>
      <c r="C656" s="58" t="s">
        <v>1180</v>
      </c>
      <c r="D656" s="58" t="s">
        <v>187</v>
      </c>
      <c r="E656" s="58" t="s">
        <v>187</v>
      </c>
      <c r="F656" s="58" t="s">
        <v>228</v>
      </c>
      <c r="G656" s="58" t="s">
        <v>229</v>
      </c>
      <c r="H656" s="58" t="s">
        <v>179</v>
      </c>
      <c r="I656">
        <v>38000</v>
      </c>
      <c r="J656">
        <v>38000</v>
      </c>
      <c r="K656" s="58" t="s">
        <v>185</v>
      </c>
      <c r="L656" s="74">
        <v>7.5620000000000003</v>
      </c>
      <c r="M656" s="85">
        <v>8</v>
      </c>
      <c r="N656" s="74">
        <v>0.49399999999999999</v>
      </c>
      <c r="O656">
        <v>2</v>
      </c>
      <c r="P656" s="84">
        <v>0.49399999999999999</v>
      </c>
      <c r="Q656" s="86">
        <v>4.2</v>
      </c>
      <c r="R656" s="85">
        <v>4.2</v>
      </c>
      <c r="S656" s="87">
        <v>909950</v>
      </c>
      <c r="T656" s="1">
        <v>4</v>
      </c>
      <c r="U656" s="88">
        <v>216654.76190476189</v>
      </c>
      <c r="V656" s="59">
        <v>4.6156382218803227</v>
      </c>
    </row>
    <row r="657" spans="1:22">
      <c r="A657" s="58">
        <v>657</v>
      </c>
      <c r="B657" s="58">
        <v>657</v>
      </c>
      <c r="C657" s="58" t="s">
        <v>1181</v>
      </c>
      <c r="D657" s="58" t="s">
        <v>187</v>
      </c>
      <c r="E657" s="58" t="s">
        <v>187</v>
      </c>
      <c r="F657" s="58" t="s">
        <v>191</v>
      </c>
      <c r="G657" s="58" t="s">
        <v>192</v>
      </c>
      <c r="H657" s="58" t="s">
        <v>179</v>
      </c>
      <c r="I657">
        <v>38000</v>
      </c>
      <c r="J657">
        <v>38000</v>
      </c>
      <c r="K657" s="58" t="s">
        <v>185</v>
      </c>
      <c r="L657" s="74">
        <v>6.9539999999999997</v>
      </c>
      <c r="M657" s="85">
        <v>7</v>
      </c>
      <c r="N657" s="74">
        <v>0.17599999999999999</v>
      </c>
      <c r="O657">
        <v>2</v>
      </c>
      <c r="P657" s="84">
        <v>0.17599999999999999</v>
      </c>
      <c r="Q657" s="86">
        <v>4.2</v>
      </c>
      <c r="R657" s="85">
        <v>4.2</v>
      </c>
      <c r="S657" s="87">
        <v>839680</v>
      </c>
      <c r="T657" s="1">
        <v>4</v>
      </c>
      <c r="U657" s="88">
        <v>199923.80952380953</v>
      </c>
      <c r="V657" s="59">
        <v>5.0019054878048781</v>
      </c>
    </row>
    <row r="658" spans="1:22">
      <c r="A658" s="58">
        <v>658</v>
      </c>
      <c r="B658" s="58">
        <v>658</v>
      </c>
      <c r="C658" s="58" t="s">
        <v>1182</v>
      </c>
      <c r="D658" s="58" t="s">
        <v>182</v>
      </c>
      <c r="E658" s="58" t="s">
        <v>182</v>
      </c>
      <c r="F658" s="58" t="s">
        <v>595</v>
      </c>
      <c r="G658" s="58" t="s">
        <v>596</v>
      </c>
      <c r="H658" s="58" t="s">
        <v>179</v>
      </c>
      <c r="I658">
        <v>38000</v>
      </c>
      <c r="J658">
        <v>38000</v>
      </c>
      <c r="K658" s="58" t="s">
        <v>185</v>
      </c>
      <c r="L658" s="74">
        <v>10.861000000000001</v>
      </c>
      <c r="M658" s="85">
        <v>11</v>
      </c>
      <c r="N658" s="74">
        <v>0.26500000000000001</v>
      </c>
      <c r="O658">
        <v>2</v>
      </c>
      <c r="P658" s="84">
        <v>0.26500000000000001</v>
      </c>
      <c r="Q658" s="86">
        <v>4.2</v>
      </c>
      <c r="R658" s="85">
        <v>4.2</v>
      </c>
      <c r="S658" s="87">
        <v>1439840</v>
      </c>
      <c r="T658" s="1">
        <v>1</v>
      </c>
      <c r="U658" s="88">
        <v>342819.04761904763</v>
      </c>
      <c r="V658" s="59">
        <v>2.9169907767529724</v>
      </c>
    </row>
    <row r="659" spans="1:22">
      <c r="A659" s="58">
        <v>659</v>
      </c>
      <c r="B659" s="58">
        <v>659</v>
      </c>
      <c r="C659" s="58" t="s">
        <v>1183</v>
      </c>
      <c r="D659" s="58" t="s">
        <v>234</v>
      </c>
      <c r="E659" s="58" t="s">
        <v>234</v>
      </c>
      <c r="F659" s="58" t="s">
        <v>316</v>
      </c>
      <c r="G659" s="58" t="s">
        <v>317</v>
      </c>
      <c r="H659" s="58" t="s">
        <v>199</v>
      </c>
      <c r="I659">
        <v>110000</v>
      </c>
      <c r="J659">
        <v>110000</v>
      </c>
      <c r="K659">
        <v>38000</v>
      </c>
      <c r="L659" s="74">
        <v>24.442</v>
      </c>
      <c r="M659" s="85">
        <v>25</v>
      </c>
      <c r="N659" s="74">
        <v>0.246</v>
      </c>
      <c r="O659">
        <v>2</v>
      </c>
      <c r="P659" s="84">
        <v>0.246</v>
      </c>
      <c r="Q659" s="86">
        <v>4.2</v>
      </c>
      <c r="R659" s="85">
        <v>4.2</v>
      </c>
      <c r="S659" s="87">
        <v>2733970</v>
      </c>
      <c r="T659" s="1">
        <v>7</v>
      </c>
      <c r="U659" s="88">
        <v>650945.23809523811</v>
      </c>
      <c r="V659" s="59">
        <v>1.5362275372443737</v>
      </c>
    </row>
    <row r="660" spans="1:22">
      <c r="A660" s="58">
        <v>660</v>
      </c>
      <c r="B660" s="58">
        <v>660</v>
      </c>
      <c r="C660" s="58" t="s">
        <v>1184</v>
      </c>
      <c r="D660" s="58" t="s">
        <v>346</v>
      </c>
      <c r="E660" s="58" t="s">
        <v>346</v>
      </c>
      <c r="F660" s="58" t="s">
        <v>517</v>
      </c>
      <c r="G660" s="58" t="s">
        <v>518</v>
      </c>
      <c r="H660" s="58" t="s">
        <v>179</v>
      </c>
      <c r="I660">
        <v>38000</v>
      </c>
      <c r="J660">
        <v>38000</v>
      </c>
      <c r="K660">
        <v>10000</v>
      </c>
      <c r="L660" s="74">
        <v>10.978</v>
      </c>
      <c r="M660" s="85">
        <v>11</v>
      </c>
      <c r="N660" s="74">
        <v>0.17499999999999999</v>
      </c>
      <c r="O660">
        <v>2</v>
      </c>
      <c r="P660" s="84">
        <v>0.17499999999999999</v>
      </c>
      <c r="Q660" s="86">
        <v>4.2</v>
      </c>
      <c r="R660" s="85">
        <v>4.2</v>
      </c>
      <c r="S660" s="87">
        <v>1439840</v>
      </c>
      <c r="T660" s="1">
        <v>1</v>
      </c>
      <c r="U660" s="88">
        <v>342819.04761904763</v>
      </c>
      <c r="V660" s="59">
        <v>2.9169907767529724</v>
      </c>
    </row>
    <row r="661" spans="1:22">
      <c r="A661" s="58">
        <v>661</v>
      </c>
      <c r="B661" s="58">
        <v>661</v>
      </c>
      <c r="C661" s="58" t="s">
        <v>1185</v>
      </c>
      <c r="D661" s="58" t="s">
        <v>234</v>
      </c>
      <c r="E661" s="58" t="s">
        <v>234</v>
      </c>
      <c r="F661" s="58" t="s">
        <v>524</v>
      </c>
      <c r="G661" s="58" t="s">
        <v>525</v>
      </c>
      <c r="H661" s="58" t="s">
        <v>179</v>
      </c>
      <c r="I661">
        <v>38000</v>
      </c>
      <c r="L661" s="74">
        <v>7.2329999999999997</v>
      </c>
      <c r="M661" s="85">
        <v>8</v>
      </c>
      <c r="N661" s="74">
        <v>0.185</v>
      </c>
      <c r="O661">
        <v>2</v>
      </c>
      <c r="P661" s="84">
        <v>0.185</v>
      </c>
      <c r="Q661" s="86">
        <v>4.2</v>
      </c>
      <c r="R661" s="85">
        <v>4.2</v>
      </c>
      <c r="S661" s="87">
        <v>909950</v>
      </c>
      <c r="T661" s="1">
        <v>4</v>
      </c>
      <c r="U661" s="88">
        <v>216654.76190476189</v>
      </c>
      <c r="V661" s="59">
        <v>4.6156382218803227</v>
      </c>
    </row>
    <row r="662" spans="1:22">
      <c r="A662" s="58">
        <v>662</v>
      </c>
      <c r="B662" s="58">
        <v>662</v>
      </c>
      <c r="C662" s="58" t="s">
        <v>1186</v>
      </c>
      <c r="D662" s="58" t="s">
        <v>852</v>
      </c>
      <c r="E662" s="58" t="s">
        <v>346</v>
      </c>
      <c r="F662" s="58" t="s">
        <v>517</v>
      </c>
      <c r="G662" s="58" t="s">
        <v>518</v>
      </c>
      <c r="H662" s="58" t="s">
        <v>179</v>
      </c>
      <c r="I662">
        <v>38000</v>
      </c>
      <c r="J662">
        <v>38000</v>
      </c>
      <c r="K662">
        <v>10000</v>
      </c>
      <c r="L662" s="74">
        <v>5.5490000000000004</v>
      </c>
      <c r="M662" s="85">
        <v>6</v>
      </c>
      <c r="N662" s="74">
        <v>0.16700000000000001</v>
      </c>
      <c r="O662">
        <v>2</v>
      </c>
      <c r="P662" s="84">
        <v>0.16700000000000001</v>
      </c>
      <c r="Q662" s="86">
        <v>4.2</v>
      </c>
      <c r="R662" s="85">
        <v>4.2</v>
      </c>
      <c r="S662" s="87">
        <v>769410</v>
      </c>
      <c r="T662" s="1">
        <v>4</v>
      </c>
      <c r="U662" s="88">
        <v>183192.85714285713</v>
      </c>
      <c r="V662" s="59">
        <v>5.4587281163488903</v>
      </c>
    </row>
    <row r="663" spans="1:22">
      <c r="A663" s="58">
        <v>663</v>
      </c>
      <c r="B663" s="58">
        <v>663</v>
      </c>
      <c r="C663" s="58" t="s">
        <v>1187</v>
      </c>
      <c r="D663" s="58" t="s">
        <v>182</v>
      </c>
      <c r="E663" s="58" t="s">
        <v>182</v>
      </c>
      <c r="F663" s="58" t="s">
        <v>949</v>
      </c>
      <c r="G663" s="58" t="s">
        <v>950</v>
      </c>
      <c r="H663" s="58" t="s">
        <v>179</v>
      </c>
      <c r="I663">
        <v>38000</v>
      </c>
      <c r="J663">
        <v>38000</v>
      </c>
      <c r="K663">
        <v>20000</v>
      </c>
      <c r="L663" s="74">
        <v>4.923</v>
      </c>
      <c r="M663" s="85">
        <v>5</v>
      </c>
      <c r="N663" s="74">
        <v>0.54500000000000004</v>
      </c>
      <c r="O663">
        <v>2</v>
      </c>
      <c r="P663" s="84">
        <v>0.54500000000000004</v>
      </c>
      <c r="Q663" s="86">
        <v>4.2</v>
      </c>
      <c r="R663" s="85">
        <v>4.2</v>
      </c>
      <c r="S663" s="87">
        <v>699140</v>
      </c>
      <c r="T663" s="1">
        <v>4</v>
      </c>
      <c r="U663" s="88">
        <v>166461.90476190476</v>
      </c>
      <c r="V663" s="59">
        <v>6.0073804960379897</v>
      </c>
    </row>
    <row r="664" spans="1:22">
      <c r="A664" s="58">
        <v>664</v>
      </c>
      <c r="B664" s="58">
        <v>664</v>
      </c>
      <c r="C664" s="58" t="s">
        <v>1188</v>
      </c>
      <c r="D664" s="58" t="s">
        <v>234</v>
      </c>
      <c r="E664" s="58" t="s">
        <v>234</v>
      </c>
      <c r="F664" s="58" t="s">
        <v>524</v>
      </c>
      <c r="G664" s="58" t="s">
        <v>525</v>
      </c>
      <c r="H664" s="58" t="s">
        <v>179</v>
      </c>
      <c r="I664">
        <v>38000</v>
      </c>
      <c r="L664" s="74">
        <v>4.7309999999999999</v>
      </c>
      <c r="M664" s="85">
        <v>5</v>
      </c>
      <c r="N664" s="74">
        <v>0.215</v>
      </c>
      <c r="O664">
        <v>2</v>
      </c>
      <c r="P664" s="84">
        <v>0.215</v>
      </c>
      <c r="Q664" s="86">
        <v>4.2</v>
      </c>
      <c r="R664" s="85">
        <v>4.2</v>
      </c>
      <c r="S664" s="87">
        <v>699140</v>
      </c>
      <c r="T664" s="1">
        <v>4</v>
      </c>
      <c r="U664" s="88">
        <v>166461.90476190476</v>
      </c>
      <c r="V664" s="59">
        <v>6.0073804960379897</v>
      </c>
    </row>
    <row r="665" spans="1:22">
      <c r="A665" s="58">
        <v>665</v>
      </c>
      <c r="B665" s="58">
        <v>665</v>
      </c>
      <c r="C665" s="58" t="s">
        <v>1189</v>
      </c>
      <c r="D665" s="58" t="s">
        <v>1190</v>
      </c>
      <c r="E665" s="58" t="s">
        <v>1190</v>
      </c>
      <c r="F665" s="58" t="s">
        <v>1191</v>
      </c>
      <c r="G665" s="58" t="s">
        <v>1192</v>
      </c>
      <c r="H665" s="58" t="s">
        <v>179</v>
      </c>
      <c r="I665">
        <v>38000</v>
      </c>
      <c r="J665">
        <v>38000</v>
      </c>
      <c r="K665">
        <v>10000</v>
      </c>
      <c r="L665" s="74">
        <v>5.8239999999999998</v>
      </c>
      <c r="M665" s="85">
        <v>6</v>
      </c>
      <c r="N665" s="74">
        <v>0.20200000000000001</v>
      </c>
      <c r="O665">
        <v>2</v>
      </c>
      <c r="P665" s="84">
        <v>0.20200000000000001</v>
      </c>
      <c r="Q665" s="86">
        <v>4.2</v>
      </c>
      <c r="R665" s="85">
        <v>4.2</v>
      </c>
      <c r="S665" s="87">
        <v>769410</v>
      </c>
      <c r="T665" s="1">
        <v>4</v>
      </c>
      <c r="U665" s="88">
        <v>183192.85714285713</v>
      </c>
      <c r="V665" s="59">
        <v>5.4587281163488903</v>
      </c>
    </row>
    <row r="666" spans="1:22">
      <c r="A666" s="58">
        <v>666</v>
      </c>
      <c r="B666" s="58">
        <v>666</v>
      </c>
      <c r="C666" s="58" t="s">
        <v>1193</v>
      </c>
      <c r="D666" s="58" t="s">
        <v>1190</v>
      </c>
      <c r="E666" s="58" t="s">
        <v>1190</v>
      </c>
      <c r="F666" s="58" t="s">
        <v>1194</v>
      </c>
      <c r="G666" s="58" t="s">
        <v>1195</v>
      </c>
      <c r="H666" s="58" t="s">
        <v>179</v>
      </c>
      <c r="I666">
        <v>38000</v>
      </c>
      <c r="J666">
        <v>38000</v>
      </c>
      <c r="K666" s="58" t="s">
        <v>185</v>
      </c>
      <c r="L666" s="74">
        <v>3.0910000000000002</v>
      </c>
      <c r="M666" s="85">
        <v>4</v>
      </c>
      <c r="N666" s="74">
        <v>0.61199999999999999</v>
      </c>
      <c r="O666">
        <v>2</v>
      </c>
      <c r="P666" s="84">
        <v>0.45899999999999996</v>
      </c>
      <c r="Q666" s="86">
        <v>4.2</v>
      </c>
      <c r="R666" s="85">
        <v>4.2</v>
      </c>
      <c r="S666" s="87">
        <v>628870</v>
      </c>
      <c r="T666" s="1">
        <v>4</v>
      </c>
      <c r="U666" s="88">
        <v>149730.95238095237</v>
      </c>
      <c r="V666" s="59">
        <v>6.6786458250512828</v>
      </c>
    </row>
    <row r="667" spans="1:22">
      <c r="A667" s="58">
        <v>667</v>
      </c>
      <c r="B667" s="58">
        <v>667</v>
      </c>
      <c r="C667" s="58" t="s">
        <v>1196</v>
      </c>
      <c r="D667" s="58" t="s">
        <v>536</v>
      </c>
      <c r="E667" s="58" t="s">
        <v>536</v>
      </c>
      <c r="F667" s="58" t="s">
        <v>1197</v>
      </c>
      <c r="G667" s="58" t="s">
        <v>1198</v>
      </c>
      <c r="H667" s="58" t="s">
        <v>179</v>
      </c>
      <c r="I667">
        <v>38000</v>
      </c>
      <c r="J667">
        <v>38000</v>
      </c>
      <c r="K667">
        <v>20000</v>
      </c>
      <c r="L667" s="74">
        <v>4.07</v>
      </c>
      <c r="M667" s="85">
        <v>5</v>
      </c>
      <c r="N667" s="74">
        <v>0.28399999999999997</v>
      </c>
      <c r="O667">
        <v>2</v>
      </c>
      <c r="P667" s="84">
        <v>0.28399999999999997</v>
      </c>
      <c r="Q667" s="86">
        <v>4.2</v>
      </c>
      <c r="R667" s="85">
        <v>4.2</v>
      </c>
      <c r="S667" s="87">
        <v>699140</v>
      </c>
      <c r="T667" s="1">
        <v>4</v>
      </c>
      <c r="U667" s="88">
        <v>166461.90476190476</v>
      </c>
      <c r="V667" s="59">
        <v>6.0073804960379897</v>
      </c>
    </row>
    <row r="668" spans="1:22">
      <c r="A668" s="58">
        <v>668</v>
      </c>
      <c r="B668" s="58">
        <v>668</v>
      </c>
      <c r="C668" s="58" t="s">
        <v>1199</v>
      </c>
      <c r="D668" s="58" t="s">
        <v>182</v>
      </c>
      <c r="E668" s="58" t="s">
        <v>182</v>
      </c>
      <c r="F668" s="58" t="s">
        <v>971</v>
      </c>
      <c r="G668" s="58" t="s">
        <v>972</v>
      </c>
      <c r="H668" s="58" t="s">
        <v>199</v>
      </c>
      <c r="I668">
        <v>110000</v>
      </c>
      <c r="J668">
        <v>110000</v>
      </c>
      <c r="K668">
        <v>38000</v>
      </c>
      <c r="L668" s="74">
        <v>8.6259999999999994</v>
      </c>
      <c r="M668" s="85">
        <v>9</v>
      </c>
      <c r="N668" s="74">
        <v>0.45700000000000002</v>
      </c>
      <c r="O668">
        <v>2</v>
      </c>
      <c r="P668" s="84">
        <v>0.45700000000000002</v>
      </c>
      <c r="Q668" s="86">
        <v>4.2</v>
      </c>
      <c r="R668" s="85">
        <v>4.2</v>
      </c>
      <c r="S668" s="87">
        <v>1890770</v>
      </c>
      <c r="T668" s="1">
        <v>7</v>
      </c>
      <c r="U668" s="88">
        <v>450183.33333333331</v>
      </c>
      <c r="V668" s="59">
        <v>2.2213172411239865</v>
      </c>
    </row>
    <row r="669" spans="1:22">
      <c r="A669" s="58">
        <v>669</v>
      </c>
      <c r="B669" s="58">
        <v>669</v>
      </c>
      <c r="C669" s="58" t="s">
        <v>1200</v>
      </c>
      <c r="D669" s="58" t="s">
        <v>234</v>
      </c>
      <c r="E669" s="58" t="s">
        <v>234</v>
      </c>
      <c r="F669" s="58" t="s">
        <v>935</v>
      </c>
      <c r="G669" s="58" t="s">
        <v>936</v>
      </c>
      <c r="H669" s="58" t="s">
        <v>179</v>
      </c>
      <c r="I669">
        <v>38000</v>
      </c>
      <c r="J669">
        <v>38000</v>
      </c>
      <c r="K669" s="58" t="s">
        <v>185</v>
      </c>
      <c r="L669" s="74">
        <v>4.0529999999999999</v>
      </c>
      <c r="M669" s="85">
        <v>5</v>
      </c>
      <c r="N669" s="74">
        <v>0.11899999999999999</v>
      </c>
      <c r="O669">
        <v>2</v>
      </c>
      <c r="P669" s="84">
        <v>0.11899999999999999</v>
      </c>
      <c r="Q669" s="86">
        <v>4.2</v>
      </c>
      <c r="R669" s="85">
        <v>4.2</v>
      </c>
      <c r="S669" s="87">
        <v>699140</v>
      </c>
      <c r="T669" s="1">
        <v>4</v>
      </c>
      <c r="U669" s="88">
        <v>166461.90476190476</v>
      </c>
      <c r="V669" s="59">
        <v>6.0073804960379897</v>
      </c>
    </row>
    <row r="670" spans="1:22">
      <c r="A670" s="58">
        <v>670</v>
      </c>
      <c r="B670" s="58">
        <v>670</v>
      </c>
      <c r="C670" s="58" t="s">
        <v>1201</v>
      </c>
      <c r="D670" s="58" t="s">
        <v>187</v>
      </c>
      <c r="E670" s="58" t="s">
        <v>187</v>
      </c>
      <c r="F670" s="58" t="s">
        <v>231</v>
      </c>
      <c r="G670" s="58" t="s">
        <v>232</v>
      </c>
      <c r="H670" s="58" t="s">
        <v>179</v>
      </c>
      <c r="I670">
        <v>38000</v>
      </c>
      <c r="J670" s="58" t="s">
        <v>185</v>
      </c>
      <c r="K670">
        <v>38000</v>
      </c>
      <c r="L670" s="74">
        <v>5.6139999999999999</v>
      </c>
      <c r="M670" s="85">
        <v>6</v>
      </c>
      <c r="N670" s="74">
        <v>0.14000000000000001</v>
      </c>
      <c r="O670">
        <v>2</v>
      </c>
      <c r="P670" s="84">
        <v>0.14000000000000001</v>
      </c>
      <c r="Q670" s="86">
        <v>4.2</v>
      </c>
      <c r="R670" s="85">
        <v>4.2</v>
      </c>
      <c r="S670" s="87">
        <v>769410</v>
      </c>
      <c r="T670" s="1">
        <v>4</v>
      </c>
      <c r="U670" s="88">
        <v>183192.85714285713</v>
      </c>
      <c r="V670" s="59">
        <v>5.4587281163488903</v>
      </c>
    </row>
    <row r="671" spans="1:22">
      <c r="A671" s="58">
        <v>671</v>
      </c>
      <c r="B671" s="58">
        <v>671</v>
      </c>
      <c r="C671" s="58" t="s">
        <v>1202</v>
      </c>
      <c r="D671" s="58" t="s">
        <v>187</v>
      </c>
      <c r="E671" s="58" t="s">
        <v>187</v>
      </c>
      <c r="F671" s="58" t="s">
        <v>374</v>
      </c>
      <c r="G671" s="58" t="s">
        <v>375</v>
      </c>
      <c r="H671" s="58" t="s">
        <v>179</v>
      </c>
      <c r="I671">
        <v>38000</v>
      </c>
      <c r="J671">
        <v>38000</v>
      </c>
      <c r="K671">
        <v>20000</v>
      </c>
      <c r="L671" s="74">
        <v>4.258</v>
      </c>
      <c r="M671" s="85">
        <v>5</v>
      </c>
      <c r="N671" s="74">
        <v>0.315</v>
      </c>
      <c r="O671">
        <v>2</v>
      </c>
      <c r="P671" s="84">
        <v>0.315</v>
      </c>
      <c r="Q671" s="86">
        <v>4.2</v>
      </c>
      <c r="R671" s="85">
        <v>4.2</v>
      </c>
      <c r="S671" s="87">
        <v>699140</v>
      </c>
      <c r="T671" s="1">
        <v>4</v>
      </c>
      <c r="U671" s="88">
        <v>166461.90476190476</v>
      </c>
      <c r="V671" s="59">
        <v>6.0073804960379897</v>
      </c>
    </row>
    <row r="672" spans="1:22">
      <c r="A672" s="89">
        <v>672</v>
      </c>
      <c r="B672" s="89">
        <v>672</v>
      </c>
      <c r="C672" s="89" t="s">
        <v>1203</v>
      </c>
      <c r="D672" s="58" t="s">
        <v>187</v>
      </c>
      <c r="E672" s="58" t="s">
        <v>187</v>
      </c>
      <c r="F672" s="89" t="s">
        <v>231</v>
      </c>
      <c r="G672" s="89" t="s">
        <v>232</v>
      </c>
      <c r="H672" s="89" t="s">
        <v>179</v>
      </c>
      <c r="I672" s="90">
        <v>38000</v>
      </c>
      <c r="J672" s="89" t="s">
        <v>185</v>
      </c>
      <c r="K672" s="90">
        <v>38000</v>
      </c>
      <c r="L672" s="91">
        <v>3.2149999999999999</v>
      </c>
      <c r="M672" s="92">
        <v>4</v>
      </c>
      <c r="N672" s="91">
        <v>7.2489999999999997</v>
      </c>
      <c r="O672" s="90">
        <v>2</v>
      </c>
      <c r="P672" s="92">
        <v>5.43675</v>
      </c>
      <c r="Q672" s="93">
        <v>67.2</v>
      </c>
      <c r="R672" s="92">
        <v>67.2</v>
      </c>
      <c r="S672" s="87">
        <v>1761700</v>
      </c>
      <c r="T672" s="94">
        <v>11</v>
      </c>
      <c r="U672" s="95">
        <v>26215.773809523809</v>
      </c>
      <c r="V672" s="96">
        <v>38.144973605040583</v>
      </c>
    </row>
    <row r="673" spans="1:22">
      <c r="A673" s="58">
        <v>673</v>
      </c>
      <c r="B673" s="58">
        <v>673</v>
      </c>
      <c r="C673" s="58" t="s">
        <v>1204</v>
      </c>
      <c r="D673" s="58" t="s">
        <v>187</v>
      </c>
      <c r="E673" s="58" t="s">
        <v>187</v>
      </c>
      <c r="F673" s="58" t="s">
        <v>859</v>
      </c>
      <c r="G673" s="58" t="s">
        <v>860</v>
      </c>
      <c r="H673" s="58" t="s">
        <v>179</v>
      </c>
      <c r="I673">
        <v>38000</v>
      </c>
      <c r="J673">
        <v>38000</v>
      </c>
      <c r="K673" s="58" t="s">
        <v>185</v>
      </c>
      <c r="L673" s="74">
        <v>7.4329999999999998</v>
      </c>
      <c r="M673" s="85">
        <v>8</v>
      </c>
      <c r="N673" s="74">
        <v>1.6779999999999999</v>
      </c>
      <c r="O673">
        <v>2</v>
      </c>
      <c r="P673" s="84">
        <v>1.2585</v>
      </c>
      <c r="Q673" s="86">
        <v>12.600000000000001</v>
      </c>
      <c r="R673" s="85">
        <v>12.600000000000001</v>
      </c>
      <c r="S673" s="87">
        <v>909950</v>
      </c>
      <c r="T673" s="1">
        <v>4</v>
      </c>
      <c r="U673" s="88">
        <v>72218.253968253965</v>
      </c>
      <c r="V673" s="59">
        <v>13.846914665640972</v>
      </c>
    </row>
    <row r="674" spans="1:22">
      <c r="A674" s="58">
        <v>674</v>
      </c>
      <c r="B674" s="58">
        <v>674</v>
      </c>
      <c r="C674" s="58" t="s">
        <v>1205</v>
      </c>
      <c r="D674" s="58" t="s">
        <v>187</v>
      </c>
      <c r="E674" s="58" t="s">
        <v>187</v>
      </c>
      <c r="F674" s="58" t="s">
        <v>435</v>
      </c>
      <c r="G674" s="58" t="s">
        <v>436</v>
      </c>
      <c r="H674" s="58" t="s">
        <v>199</v>
      </c>
      <c r="I674">
        <v>110000</v>
      </c>
      <c r="J674">
        <v>38000</v>
      </c>
      <c r="K674">
        <v>110000</v>
      </c>
      <c r="L674" s="74">
        <v>4.2389999999999999</v>
      </c>
      <c r="M674" s="85">
        <v>5</v>
      </c>
      <c r="N674" s="74">
        <v>8.5950000000000006</v>
      </c>
      <c r="O674">
        <v>2</v>
      </c>
      <c r="P674" s="84">
        <v>6.4462500000000009</v>
      </c>
      <c r="Q674" s="86">
        <v>79.8</v>
      </c>
      <c r="R674" s="85">
        <v>79.8</v>
      </c>
      <c r="S674" s="87">
        <v>1972510</v>
      </c>
      <c r="T674" s="1">
        <v>11</v>
      </c>
      <c r="U674" s="88">
        <v>24718.170426065164</v>
      </c>
      <c r="V674" s="59">
        <v>40.456068663783704</v>
      </c>
    </row>
    <row r="675" spans="1:22">
      <c r="A675" s="58">
        <v>675</v>
      </c>
      <c r="B675" s="58">
        <v>675</v>
      </c>
      <c r="C675" s="58" t="s">
        <v>1206</v>
      </c>
      <c r="D675" s="58" t="s">
        <v>187</v>
      </c>
      <c r="E675" s="58" t="s">
        <v>187</v>
      </c>
      <c r="F675" s="58" t="s">
        <v>859</v>
      </c>
      <c r="G675" s="58" t="s">
        <v>860</v>
      </c>
      <c r="H675" s="58" t="s">
        <v>179</v>
      </c>
      <c r="I675">
        <v>38000</v>
      </c>
      <c r="J675">
        <v>38000</v>
      </c>
      <c r="K675" s="58" t="s">
        <v>185</v>
      </c>
      <c r="L675" s="74">
        <v>7.1109999999999998</v>
      </c>
      <c r="M675" s="85">
        <v>8</v>
      </c>
      <c r="N675" s="74">
        <v>0.83199999999999996</v>
      </c>
      <c r="O675">
        <v>2</v>
      </c>
      <c r="P675" s="84">
        <v>0.624</v>
      </c>
      <c r="Q675" s="86">
        <v>8.4</v>
      </c>
      <c r="R675" s="85">
        <v>8.4</v>
      </c>
      <c r="S675" s="87">
        <v>909950</v>
      </c>
      <c r="T675" s="1">
        <v>4</v>
      </c>
      <c r="U675" s="88">
        <v>108327.38095238095</v>
      </c>
      <c r="V675" s="59">
        <v>9.2312764437606454</v>
      </c>
    </row>
    <row r="676" spans="1:22">
      <c r="A676" s="58">
        <v>676</v>
      </c>
      <c r="B676" s="58">
        <v>676</v>
      </c>
      <c r="C676" s="58" t="s">
        <v>1207</v>
      </c>
      <c r="D676" s="58" t="s">
        <v>187</v>
      </c>
      <c r="E676" s="58" t="s">
        <v>187</v>
      </c>
      <c r="F676" s="58" t="s">
        <v>246</v>
      </c>
      <c r="G676" s="58" t="s">
        <v>247</v>
      </c>
      <c r="H676" s="58" t="s">
        <v>199</v>
      </c>
      <c r="I676">
        <v>110000</v>
      </c>
      <c r="J676">
        <v>33000</v>
      </c>
      <c r="K676">
        <v>110000</v>
      </c>
      <c r="L676" s="74">
        <v>6.22</v>
      </c>
      <c r="M676" s="85">
        <v>7</v>
      </c>
      <c r="N676" s="74">
        <v>3.117</v>
      </c>
      <c r="O676">
        <v>2</v>
      </c>
      <c r="P676" s="84">
        <v>2.3377499999999998</v>
      </c>
      <c r="Q676" s="86">
        <v>25.200000000000003</v>
      </c>
      <c r="R676" s="85">
        <v>25.200000000000003</v>
      </c>
      <c r="S676" s="87">
        <v>2575660</v>
      </c>
      <c r="T676" s="1">
        <v>9</v>
      </c>
      <c r="U676" s="88">
        <v>102208.73015873015</v>
      </c>
      <c r="V676" s="59">
        <v>9.7839000489195023</v>
      </c>
    </row>
    <row r="677" spans="1:22">
      <c r="A677" s="58">
        <v>677</v>
      </c>
      <c r="B677" s="58">
        <v>677</v>
      </c>
      <c r="C677" s="58" t="s">
        <v>1208</v>
      </c>
      <c r="D677" s="58" t="s">
        <v>187</v>
      </c>
      <c r="E677" s="58" t="s">
        <v>187</v>
      </c>
      <c r="F677" s="58" t="s">
        <v>246</v>
      </c>
      <c r="G677" s="58" t="s">
        <v>247</v>
      </c>
      <c r="H677" s="58" t="s">
        <v>199</v>
      </c>
      <c r="I677">
        <v>110000</v>
      </c>
      <c r="J677">
        <v>33000</v>
      </c>
      <c r="K677">
        <v>110000</v>
      </c>
      <c r="L677" s="74">
        <v>11.976000000000001</v>
      </c>
      <c r="M677" s="85">
        <v>12</v>
      </c>
      <c r="N677" s="74">
        <v>2.83</v>
      </c>
      <c r="O677">
        <v>2</v>
      </c>
      <c r="P677" s="84">
        <v>2.1225000000000001</v>
      </c>
      <c r="Q677" s="86">
        <v>25.200000000000003</v>
      </c>
      <c r="R677" s="85">
        <v>25.200000000000003</v>
      </c>
      <c r="S677" s="87">
        <v>3019810</v>
      </c>
      <c r="T677" s="1">
        <v>9</v>
      </c>
      <c r="U677" s="88">
        <v>119833.73015873015</v>
      </c>
      <c r="V677" s="59">
        <v>8.3448958709322785</v>
      </c>
    </row>
    <row r="678" spans="1:22">
      <c r="A678" s="58">
        <v>678</v>
      </c>
      <c r="B678" s="58">
        <v>678</v>
      </c>
      <c r="C678" s="58" t="s">
        <v>1209</v>
      </c>
      <c r="D678" s="58" t="s">
        <v>187</v>
      </c>
      <c r="E678" s="58" t="s">
        <v>187</v>
      </c>
      <c r="F678" s="58" t="s">
        <v>246</v>
      </c>
      <c r="G678" s="58" t="s">
        <v>247</v>
      </c>
      <c r="H678" s="58" t="s">
        <v>199</v>
      </c>
      <c r="I678">
        <v>110000</v>
      </c>
      <c r="J678">
        <v>33000</v>
      </c>
      <c r="K678">
        <v>110000</v>
      </c>
      <c r="L678" s="74">
        <v>8.8879999999999999</v>
      </c>
      <c r="M678" s="85">
        <v>9</v>
      </c>
      <c r="N678" s="74">
        <v>12.212</v>
      </c>
      <c r="O678">
        <v>2</v>
      </c>
      <c r="P678" s="84">
        <v>9.1589999999999989</v>
      </c>
      <c r="Q678" s="86">
        <v>113.4</v>
      </c>
      <c r="R678" s="85">
        <v>113.4</v>
      </c>
      <c r="S678" s="87">
        <v>2815750</v>
      </c>
      <c r="T678" s="1">
        <v>11</v>
      </c>
      <c r="U678" s="88">
        <v>24830.246913580246</v>
      </c>
      <c r="V678" s="59">
        <v>40.273461777501552</v>
      </c>
    </row>
    <row r="679" spans="1:22">
      <c r="A679" s="58">
        <v>679</v>
      </c>
      <c r="B679" s="58">
        <v>679</v>
      </c>
      <c r="C679" s="58" t="s">
        <v>1210</v>
      </c>
      <c r="D679" s="58" t="s">
        <v>187</v>
      </c>
      <c r="E679" s="58" t="s">
        <v>187</v>
      </c>
      <c r="F679" s="58" t="s">
        <v>246</v>
      </c>
      <c r="G679" s="58" t="s">
        <v>247</v>
      </c>
      <c r="H679" s="58" t="s">
        <v>199</v>
      </c>
      <c r="I679">
        <v>110000</v>
      </c>
      <c r="J679">
        <v>33000</v>
      </c>
      <c r="K679">
        <v>110000</v>
      </c>
      <c r="L679" s="74">
        <v>3.8340000000000001</v>
      </c>
      <c r="M679" s="85">
        <v>4</v>
      </c>
      <c r="N679" s="74">
        <v>12.925000000000001</v>
      </c>
      <c r="O679">
        <v>2</v>
      </c>
      <c r="P679" s="84">
        <v>9.6937500000000014</v>
      </c>
      <c r="Q679" s="86">
        <v>117.60000000000002</v>
      </c>
      <c r="R679" s="85">
        <v>117.60000000000002</v>
      </c>
      <c r="S679" s="87">
        <v>1761700</v>
      </c>
      <c r="T679" s="1">
        <v>11</v>
      </c>
      <c r="U679" s="88">
        <v>14980.442176870745</v>
      </c>
      <c r="V679" s="59">
        <v>66.753703808821044</v>
      </c>
    </row>
    <row r="680" spans="1:22">
      <c r="A680" s="58">
        <v>680</v>
      </c>
      <c r="B680" s="58">
        <v>680</v>
      </c>
      <c r="C680" s="58" t="s">
        <v>1211</v>
      </c>
      <c r="D680" s="58" t="s">
        <v>187</v>
      </c>
      <c r="E680" s="58" t="s">
        <v>187</v>
      </c>
      <c r="F680" s="58" t="s">
        <v>435</v>
      </c>
      <c r="G680" s="58" t="s">
        <v>436</v>
      </c>
      <c r="H680" s="58" t="s">
        <v>199</v>
      </c>
      <c r="I680">
        <v>110000</v>
      </c>
      <c r="J680">
        <v>38000</v>
      </c>
      <c r="K680">
        <v>110000</v>
      </c>
      <c r="L680" s="74">
        <v>11.56</v>
      </c>
      <c r="M680" s="85">
        <v>12</v>
      </c>
      <c r="N680" s="74">
        <v>9.0090000000000003</v>
      </c>
      <c r="O680">
        <v>2</v>
      </c>
      <c r="P680" s="84">
        <v>6.7567500000000003</v>
      </c>
      <c r="Q680" s="86">
        <v>84</v>
      </c>
      <c r="R680" s="85">
        <v>84</v>
      </c>
      <c r="S680" s="87">
        <v>3448180</v>
      </c>
      <c r="T680" s="1">
        <v>11</v>
      </c>
      <c r="U680" s="88">
        <v>41049.761904761908</v>
      </c>
      <c r="V680" s="59">
        <v>24.360677226826905</v>
      </c>
    </row>
    <row r="681" spans="1:22">
      <c r="A681" s="58">
        <v>681</v>
      </c>
      <c r="B681" s="58">
        <v>681</v>
      </c>
      <c r="C681" s="58" t="s">
        <v>1212</v>
      </c>
      <c r="D681" s="58" t="s">
        <v>187</v>
      </c>
      <c r="E681" s="58" t="s">
        <v>187</v>
      </c>
      <c r="F681" s="58" t="s">
        <v>1213</v>
      </c>
      <c r="G681" s="58" t="s">
        <v>1214</v>
      </c>
      <c r="H681" s="58" t="s">
        <v>199</v>
      </c>
      <c r="I681">
        <v>110000</v>
      </c>
      <c r="J681" s="58" t="s">
        <v>185</v>
      </c>
      <c r="K681">
        <v>110000</v>
      </c>
      <c r="L681" s="74">
        <v>10.692</v>
      </c>
      <c r="M681" s="85">
        <v>11</v>
      </c>
      <c r="N681" s="74">
        <v>3.2</v>
      </c>
      <c r="O681">
        <v>2</v>
      </c>
      <c r="P681" s="84">
        <v>2.4000000000000004</v>
      </c>
      <c r="Q681" s="86">
        <v>29.400000000000006</v>
      </c>
      <c r="R681" s="85">
        <v>29.400000000000006</v>
      </c>
      <c r="S681" s="87">
        <v>2930980</v>
      </c>
      <c r="T681" s="1">
        <v>9</v>
      </c>
      <c r="U681" s="88">
        <v>99693.197278911539</v>
      </c>
      <c r="V681" s="59">
        <v>10.030774689694235</v>
      </c>
    </row>
    <row r="682" spans="1:22">
      <c r="A682" s="58">
        <v>682</v>
      </c>
      <c r="B682" s="58">
        <v>682</v>
      </c>
      <c r="C682" s="58" t="s">
        <v>1215</v>
      </c>
      <c r="D682" s="58" t="s">
        <v>187</v>
      </c>
      <c r="E682" s="58" t="s">
        <v>187</v>
      </c>
      <c r="F682" s="58" t="s">
        <v>435</v>
      </c>
      <c r="G682" s="58" t="s">
        <v>436</v>
      </c>
      <c r="H682" s="58" t="s">
        <v>199</v>
      </c>
      <c r="I682">
        <v>110000</v>
      </c>
      <c r="J682">
        <v>38000</v>
      </c>
      <c r="K682">
        <v>110000</v>
      </c>
      <c r="L682" s="74">
        <v>15.523</v>
      </c>
      <c r="M682" s="85">
        <v>16</v>
      </c>
      <c r="N682" s="74">
        <v>0.84899999999999998</v>
      </c>
      <c r="O682">
        <v>2</v>
      </c>
      <c r="P682" s="84">
        <v>0.63674999999999993</v>
      </c>
      <c r="Q682" s="86">
        <v>8.4</v>
      </c>
      <c r="R682" s="85">
        <v>8.4</v>
      </c>
      <c r="S682" s="87">
        <v>2259670</v>
      </c>
      <c r="T682" s="1">
        <v>7</v>
      </c>
      <c r="U682" s="88">
        <v>269008.33333333331</v>
      </c>
      <c r="V682" s="59">
        <v>3.7173569592020073</v>
      </c>
    </row>
    <row r="683" spans="1:22">
      <c r="A683" s="58">
        <v>683</v>
      </c>
      <c r="B683" s="58">
        <v>683</v>
      </c>
      <c r="C683" s="58" t="s">
        <v>1216</v>
      </c>
      <c r="D683" s="58" t="s">
        <v>187</v>
      </c>
      <c r="E683" s="58" t="s">
        <v>187</v>
      </c>
      <c r="F683" s="58" t="s">
        <v>1213</v>
      </c>
      <c r="G683" s="58" t="s">
        <v>1214</v>
      </c>
      <c r="H683" s="58" t="s">
        <v>199</v>
      </c>
      <c r="I683">
        <v>110000</v>
      </c>
      <c r="J683" s="58" t="s">
        <v>185</v>
      </c>
      <c r="K683">
        <v>110000</v>
      </c>
      <c r="L683" s="74">
        <v>4.5149999999999997</v>
      </c>
      <c r="M683" s="85">
        <v>5</v>
      </c>
      <c r="N683" s="74">
        <v>1.4990000000000001</v>
      </c>
      <c r="O683">
        <v>2</v>
      </c>
      <c r="P683" s="84">
        <v>1.12425</v>
      </c>
      <c r="Q683" s="86">
        <v>12.600000000000001</v>
      </c>
      <c r="R683" s="85">
        <v>12.600000000000001</v>
      </c>
      <c r="S683" s="87">
        <v>1679970</v>
      </c>
      <c r="T683" s="1">
        <v>7</v>
      </c>
      <c r="U683" s="88">
        <v>133330.95238095237</v>
      </c>
      <c r="V683" s="59">
        <v>7.5001339309630541</v>
      </c>
    </row>
    <row r="684" spans="1:22">
      <c r="A684" s="58">
        <v>684</v>
      </c>
      <c r="B684" s="58">
        <v>684</v>
      </c>
      <c r="C684" s="58" t="s">
        <v>1217</v>
      </c>
      <c r="D684" s="58" t="s">
        <v>187</v>
      </c>
      <c r="E684" s="58" t="s">
        <v>187</v>
      </c>
      <c r="F684" s="58" t="s">
        <v>1213</v>
      </c>
      <c r="G684" s="58" t="s">
        <v>1214</v>
      </c>
      <c r="H684" s="58" t="s">
        <v>199</v>
      </c>
      <c r="I684">
        <v>110000</v>
      </c>
      <c r="J684" s="58" t="s">
        <v>185</v>
      </c>
      <c r="K684">
        <v>110000</v>
      </c>
      <c r="L684" s="74">
        <v>5.3780000000000001</v>
      </c>
      <c r="M684" s="85">
        <v>6</v>
      </c>
      <c r="N684" s="74">
        <v>1.796</v>
      </c>
      <c r="O684">
        <v>2</v>
      </c>
      <c r="P684" s="84">
        <v>1.347</v>
      </c>
      <c r="Q684" s="86">
        <v>12.600000000000001</v>
      </c>
      <c r="R684" s="85">
        <v>12.600000000000001</v>
      </c>
      <c r="S684" s="87">
        <v>1732670</v>
      </c>
      <c r="T684" s="1">
        <v>7</v>
      </c>
      <c r="U684" s="88">
        <v>137513.49206349204</v>
      </c>
      <c r="V684" s="59">
        <v>7.2720137129401454</v>
      </c>
    </row>
    <row r="685" spans="1:22">
      <c r="A685" s="58">
        <v>685</v>
      </c>
      <c r="B685" s="58">
        <v>685</v>
      </c>
      <c r="C685" s="58" t="s">
        <v>1218</v>
      </c>
      <c r="D685" s="58" t="s">
        <v>187</v>
      </c>
      <c r="E685" s="58" t="s">
        <v>187</v>
      </c>
      <c r="F685" s="58" t="s">
        <v>246</v>
      </c>
      <c r="G685" s="58" t="s">
        <v>247</v>
      </c>
      <c r="H685" s="58" t="s">
        <v>199</v>
      </c>
      <c r="I685">
        <v>110000</v>
      </c>
      <c r="J685">
        <v>33000</v>
      </c>
      <c r="K685">
        <v>110000</v>
      </c>
      <c r="L685" s="74">
        <v>1.486</v>
      </c>
      <c r="M685" s="85">
        <v>2</v>
      </c>
      <c r="N685" s="74">
        <v>1.8129999999999999</v>
      </c>
      <c r="O685">
        <v>2</v>
      </c>
      <c r="P685" s="84">
        <v>1.35975</v>
      </c>
      <c r="Q685" s="86">
        <v>16.8</v>
      </c>
      <c r="R685" s="85">
        <v>16.8</v>
      </c>
      <c r="S685" s="87">
        <v>1340080</v>
      </c>
      <c r="T685" s="1">
        <v>11</v>
      </c>
      <c r="U685" s="88">
        <v>79766.666666666657</v>
      </c>
      <c r="V685" s="59">
        <v>12.536564981195152</v>
      </c>
    </row>
    <row r="686" spans="1:22">
      <c r="A686" s="58">
        <v>686</v>
      </c>
      <c r="B686" s="58">
        <v>686</v>
      </c>
      <c r="C686" s="58" t="s">
        <v>1219</v>
      </c>
      <c r="D686" s="58" t="s">
        <v>249</v>
      </c>
      <c r="E686" s="58" t="s">
        <v>249</v>
      </c>
      <c r="F686" s="58" t="s">
        <v>250</v>
      </c>
      <c r="G686" s="58" t="s">
        <v>251</v>
      </c>
      <c r="H686" s="58" t="s">
        <v>199</v>
      </c>
      <c r="I686">
        <v>110000</v>
      </c>
      <c r="L686" s="74">
        <v>15.500999999999999</v>
      </c>
      <c r="M686" s="85">
        <v>16</v>
      </c>
      <c r="N686" s="74">
        <v>0.97799999999999998</v>
      </c>
      <c r="O686">
        <v>2</v>
      </c>
      <c r="P686" s="84">
        <v>0.73350000000000004</v>
      </c>
      <c r="Q686" s="86">
        <v>8.4</v>
      </c>
      <c r="R686" s="85">
        <v>8.4</v>
      </c>
      <c r="S686" s="87">
        <v>2259670</v>
      </c>
      <c r="T686" s="1">
        <v>7</v>
      </c>
      <c r="U686" s="88">
        <v>269008.33333333331</v>
      </c>
      <c r="V686" s="59">
        <v>3.7173569592020073</v>
      </c>
    </row>
    <row r="687" spans="1:22">
      <c r="A687" s="58">
        <v>687</v>
      </c>
      <c r="B687" s="58">
        <v>687</v>
      </c>
      <c r="C687" s="58" t="s">
        <v>1220</v>
      </c>
      <c r="D687" s="58" t="s">
        <v>249</v>
      </c>
      <c r="E687" s="58" t="s">
        <v>249</v>
      </c>
      <c r="F687" s="58" t="s">
        <v>250</v>
      </c>
      <c r="G687" s="58" t="s">
        <v>251</v>
      </c>
      <c r="H687" s="58" t="s">
        <v>199</v>
      </c>
      <c r="I687">
        <v>110000</v>
      </c>
      <c r="L687" s="74">
        <v>9.9160000000000004</v>
      </c>
      <c r="M687" s="85">
        <v>10</v>
      </c>
      <c r="N687" s="74">
        <v>4.8550000000000004</v>
      </c>
      <c r="O687">
        <v>2</v>
      </c>
      <c r="P687" s="84">
        <v>3.6412500000000003</v>
      </c>
      <c r="Q687" s="86">
        <v>42</v>
      </c>
      <c r="R687" s="85">
        <v>42</v>
      </c>
      <c r="S687" s="87">
        <v>3066450</v>
      </c>
      <c r="T687" s="1">
        <v>10</v>
      </c>
      <c r="U687" s="88">
        <v>73010.71428571429</v>
      </c>
      <c r="V687" s="59">
        <v>13.696619869882111</v>
      </c>
    </row>
    <row r="688" spans="1:22">
      <c r="A688" s="58">
        <v>688</v>
      </c>
      <c r="B688" s="58">
        <v>688</v>
      </c>
      <c r="C688" s="58" t="s">
        <v>1221</v>
      </c>
      <c r="D688" s="58" t="s">
        <v>249</v>
      </c>
      <c r="E688" s="58" t="s">
        <v>249</v>
      </c>
      <c r="F688" s="58" t="s">
        <v>250</v>
      </c>
      <c r="G688" s="58" t="s">
        <v>251</v>
      </c>
      <c r="H688" s="58" t="s">
        <v>199</v>
      </c>
      <c r="I688">
        <v>110000</v>
      </c>
      <c r="L688" s="74">
        <v>5.0030000000000001</v>
      </c>
      <c r="M688" s="85">
        <v>6</v>
      </c>
      <c r="N688" s="74">
        <v>6.1429999999999998</v>
      </c>
      <c r="O688">
        <v>2</v>
      </c>
      <c r="P688" s="84">
        <v>4.6072499999999996</v>
      </c>
      <c r="Q688" s="86">
        <v>54.599999999999994</v>
      </c>
      <c r="R688" s="85">
        <v>54.599999999999994</v>
      </c>
      <c r="S688" s="87">
        <v>2183320</v>
      </c>
      <c r="T688" s="1">
        <v>11</v>
      </c>
      <c r="U688" s="88">
        <v>39987.545787545794</v>
      </c>
      <c r="V688" s="59">
        <v>25.007786307091948</v>
      </c>
    </row>
    <row r="689" spans="1:22">
      <c r="A689" s="58">
        <v>689</v>
      </c>
      <c r="B689" s="58">
        <v>689</v>
      </c>
      <c r="C689" s="58" t="s">
        <v>1222</v>
      </c>
      <c r="D689" s="58" t="s">
        <v>249</v>
      </c>
      <c r="E689" s="58" t="s">
        <v>536</v>
      </c>
      <c r="F689" s="58" t="s">
        <v>1223</v>
      </c>
      <c r="G689" s="58" t="s">
        <v>1224</v>
      </c>
      <c r="H689" s="58" t="s">
        <v>199</v>
      </c>
      <c r="I689">
        <v>110000</v>
      </c>
      <c r="J689">
        <v>110000</v>
      </c>
      <c r="K689" s="58" t="s">
        <v>185</v>
      </c>
      <c r="L689" s="74">
        <v>4.9660000000000002</v>
      </c>
      <c r="M689" s="85">
        <v>5</v>
      </c>
      <c r="N689" s="74">
        <v>5.016</v>
      </c>
      <c r="O689">
        <v>2</v>
      </c>
      <c r="P689" s="84">
        <v>3.762</v>
      </c>
      <c r="Q689" s="86">
        <v>46.2</v>
      </c>
      <c r="R689" s="85">
        <v>46.2</v>
      </c>
      <c r="S689" s="87">
        <v>1972510</v>
      </c>
      <c r="T689" s="1">
        <v>11</v>
      </c>
      <c r="U689" s="88">
        <v>42695.021645021639</v>
      </c>
      <c r="V689" s="59">
        <v>23.421934489558989</v>
      </c>
    </row>
    <row r="690" spans="1:22">
      <c r="A690" s="58">
        <v>690</v>
      </c>
      <c r="B690" s="58">
        <v>690</v>
      </c>
      <c r="C690" s="58" t="s">
        <v>1225</v>
      </c>
      <c r="D690" s="58" t="s">
        <v>253</v>
      </c>
      <c r="E690" s="58" t="s">
        <v>253</v>
      </c>
      <c r="F690" s="58" t="s">
        <v>254</v>
      </c>
      <c r="G690" s="58" t="s">
        <v>255</v>
      </c>
      <c r="H690" s="58" t="s">
        <v>179</v>
      </c>
      <c r="I690">
        <v>38000</v>
      </c>
      <c r="J690">
        <v>38000</v>
      </c>
      <c r="K690" s="58" t="s">
        <v>185</v>
      </c>
      <c r="L690" s="74">
        <v>5.2</v>
      </c>
      <c r="M690" s="85">
        <v>6</v>
      </c>
      <c r="N690" s="74">
        <v>0.96</v>
      </c>
      <c r="O690">
        <v>2</v>
      </c>
      <c r="P690" s="84">
        <v>0.72</v>
      </c>
      <c r="Q690" s="86">
        <v>8.4</v>
      </c>
      <c r="R690" s="85">
        <v>8.4</v>
      </c>
      <c r="S690" s="87">
        <v>769410</v>
      </c>
      <c r="T690" s="1">
        <v>4</v>
      </c>
      <c r="U690" s="88">
        <v>91596.428571428565</v>
      </c>
      <c r="V690" s="59">
        <v>10.917456232697781</v>
      </c>
    </row>
    <row r="691" spans="1:22">
      <c r="A691" s="58">
        <v>691</v>
      </c>
      <c r="B691" s="58">
        <v>691</v>
      </c>
      <c r="C691" s="58" t="s">
        <v>1226</v>
      </c>
      <c r="D691" s="58" t="s">
        <v>253</v>
      </c>
      <c r="E691" s="58" t="s">
        <v>253</v>
      </c>
      <c r="F691" s="58" t="s">
        <v>254</v>
      </c>
      <c r="G691" s="58" t="s">
        <v>255</v>
      </c>
      <c r="H691" s="58" t="s">
        <v>179</v>
      </c>
      <c r="I691">
        <v>38000</v>
      </c>
      <c r="J691">
        <v>38000</v>
      </c>
      <c r="K691" s="58" t="s">
        <v>185</v>
      </c>
      <c r="L691" s="74">
        <v>5.84</v>
      </c>
      <c r="M691" s="85">
        <v>6</v>
      </c>
      <c r="N691" s="74">
        <v>0.53400000000000003</v>
      </c>
      <c r="O691">
        <v>2</v>
      </c>
      <c r="P691" s="84">
        <v>0.53400000000000003</v>
      </c>
      <c r="Q691" s="86">
        <v>4.2</v>
      </c>
      <c r="R691" s="85">
        <v>4.2</v>
      </c>
      <c r="S691" s="87">
        <v>769410</v>
      </c>
      <c r="T691" s="1">
        <v>4</v>
      </c>
      <c r="U691" s="88">
        <v>183192.85714285713</v>
      </c>
      <c r="V691" s="59">
        <v>5.4587281163488903</v>
      </c>
    </row>
    <row r="692" spans="1:22">
      <c r="A692" s="58">
        <v>692</v>
      </c>
      <c r="B692" s="58">
        <v>692</v>
      </c>
      <c r="C692" s="58" t="s">
        <v>1227</v>
      </c>
      <c r="D692" s="58" t="s">
        <v>253</v>
      </c>
      <c r="E692" s="58" t="s">
        <v>253</v>
      </c>
      <c r="F692" s="58" t="s">
        <v>254</v>
      </c>
      <c r="G692" s="58" t="s">
        <v>255</v>
      </c>
      <c r="H692" s="58" t="s">
        <v>179</v>
      </c>
      <c r="I692">
        <v>38000</v>
      </c>
      <c r="J692">
        <v>38000</v>
      </c>
      <c r="K692" s="58" t="s">
        <v>185</v>
      </c>
      <c r="L692" s="74">
        <v>4.4690000000000003</v>
      </c>
      <c r="M692" s="85">
        <v>5</v>
      </c>
      <c r="N692" s="74">
        <v>4.0209999999999999</v>
      </c>
      <c r="O692">
        <v>2</v>
      </c>
      <c r="P692" s="84">
        <v>3.0157499999999997</v>
      </c>
      <c r="Q692" s="86">
        <v>33.6</v>
      </c>
      <c r="R692" s="85">
        <v>33.6</v>
      </c>
      <c r="S692" s="87">
        <v>904090</v>
      </c>
      <c r="T692" s="1">
        <v>6</v>
      </c>
      <c r="U692" s="88">
        <v>26907.440476190473</v>
      </c>
      <c r="V692" s="59">
        <v>37.164441593204216</v>
      </c>
    </row>
    <row r="693" spans="1:22">
      <c r="A693" s="58">
        <v>693</v>
      </c>
      <c r="B693" s="58">
        <v>693</v>
      </c>
      <c r="C693" s="58" t="s">
        <v>1228</v>
      </c>
      <c r="D693" s="58" t="s">
        <v>253</v>
      </c>
      <c r="E693" s="58" t="s">
        <v>253</v>
      </c>
      <c r="F693" s="58" t="s">
        <v>254</v>
      </c>
      <c r="G693" s="58" t="s">
        <v>255</v>
      </c>
      <c r="H693" s="58" t="s">
        <v>179</v>
      </c>
      <c r="I693">
        <v>38000</v>
      </c>
      <c r="J693">
        <v>38000</v>
      </c>
      <c r="K693" s="58" t="s">
        <v>185</v>
      </c>
      <c r="L693" s="74">
        <v>8.4429999999999996</v>
      </c>
      <c r="M693" s="85">
        <v>9</v>
      </c>
      <c r="N693" s="74">
        <v>0.96299999999999997</v>
      </c>
      <c r="O693">
        <v>2</v>
      </c>
      <c r="P693" s="84">
        <v>0.72224999999999995</v>
      </c>
      <c r="Q693" s="86">
        <v>8.4</v>
      </c>
      <c r="R693" s="85">
        <v>8.4</v>
      </c>
      <c r="S693" s="87">
        <v>1379800</v>
      </c>
      <c r="T693" s="1">
        <v>2</v>
      </c>
      <c r="U693" s="88">
        <v>164261.90476190476</v>
      </c>
      <c r="V693" s="59">
        <v>6.087838817219887</v>
      </c>
    </row>
    <row r="694" spans="1:22">
      <c r="A694" s="58">
        <v>694</v>
      </c>
      <c r="B694" s="58">
        <v>694</v>
      </c>
      <c r="C694" s="58" t="s">
        <v>1229</v>
      </c>
      <c r="D694" s="58" t="s">
        <v>384</v>
      </c>
      <c r="E694" s="58" t="s">
        <v>384</v>
      </c>
      <c r="F694" s="58" t="s">
        <v>1230</v>
      </c>
      <c r="G694" s="58" t="s">
        <v>1231</v>
      </c>
      <c r="H694" s="58" t="s">
        <v>179</v>
      </c>
      <c r="I694">
        <v>38000</v>
      </c>
      <c r="J694">
        <v>38000</v>
      </c>
      <c r="K694" s="58" t="s">
        <v>185</v>
      </c>
      <c r="L694" s="74">
        <v>3.1739999999999999</v>
      </c>
      <c r="M694" s="85">
        <v>4</v>
      </c>
      <c r="N694" s="74">
        <v>0.84399999999999997</v>
      </c>
      <c r="O694">
        <v>2</v>
      </c>
      <c r="P694" s="84">
        <v>0.63300000000000001</v>
      </c>
      <c r="Q694" s="86">
        <v>8.4</v>
      </c>
      <c r="R694" s="85">
        <v>8.4</v>
      </c>
      <c r="S694" s="87">
        <v>628870</v>
      </c>
      <c r="T694" s="1">
        <v>4</v>
      </c>
      <c r="U694" s="88">
        <v>74865.476190476184</v>
      </c>
      <c r="V694" s="59">
        <v>13.357291650102566</v>
      </c>
    </row>
    <row r="695" spans="1:22">
      <c r="A695" s="58">
        <v>695</v>
      </c>
      <c r="B695" s="58">
        <v>695</v>
      </c>
      <c r="C695" s="58" t="s">
        <v>1232</v>
      </c>
      <c r="D695" s="58" t="s">
        <v>215</v>
      </c>
      <c r="E695" s="58" t="s">
        <v>215</v>
      </c>
      <c r="F695" s="58" t="s">
        <v>216</v>
      </c>
      <c r="G695" s="58" t="s">
        <v>217</v>
      </c>
      <c r="H695" s="58" t="s">
        <v>179</v>
      </c>
      <c r="I695">
        <v>38000</v>
      </c>
      <c r="J695">
        <v>38000</v>
      </c>
      <c r="K695" s="58" t="s">
        <v>185</v>
      </c>
      <c r="L695" s="74">
        <v>11.484999999999999</v>
      </c>
      <c r="M695" s="85">
        <v>12</v>
      </c>
      <c r="N695" s="74">
        <v>0.60499999999999998</v>
      </c>
      <c r="O695">
        <v>2</v>
      </c>
      <c r="P695" s="84">
        <v>0.60499999999999998</v>
      </c>
      <c r="Q695" s="86">
        <v>4.2</v>
      </c>
      <c r="R695" s="85">
        <v>4.2</v>
      </c>
      <c r="S695" s="87">
        <v>1492540</v>
      </c>
      <c r="T695" s="1">
        <v>1</v>
      </c>
      <c r="U695" s="88">
        <v>355366.66666666663</v>
      </c>
      <c r="V695" s="59">
        <v>2.8139949348091173</v>
      </c>
    </row>
    <row r="696" spans="1:22">
      <c r="A696" s="58">
        <v>696</v>
      </c>
      <c r="B696" s="58">
        <v>696</v>
      </c>
      <c r="C696" s="58" t="s">
        <v>1233</v>
      </c>
      <c r="D696" s="58" t="s">
        <v>215</v>
      </c>
      <c r="E696" s="58" t="s">
        <v>215</v>
      </c>
      <c r="F696" s="58" t="s">
        <v>1234</v>
      </c>
      <c r="G696" s="58" t="s">
        <v>1235</v>
      </c>
      <c r="H696" s="58" t="s">
        <v>179</v>
      </c>
      <c r="I696">
        <v>38000</v>
      </c>
      <c r="L696" s="74">
        <v>5.5510000000000002</v>
      </c>
      <c r="M696" s="85">
        <v>6</v>
      </c>
      <c r="N696" s="74">
        <v>0.625</v>
      </c>
      <c r="O696">
        <v>2</v>
      </c>
      <c r="P696" s="84">
        <v>0.46875</v>
      </c>
      <c r="Q696" s="86">
        <v>4.2</v>
      </c>
      <c r="R696" s="85">
        <v>4.2</v>
      </c>
      <c r="S696" s="87">
        <v>769410</v>
      </c>
      <c r="T696" s="1">
        <v>4</v>
      </c>
      <c r="U696" s="88">
        <v>183192.85714285713</v>
      </c>
      <c r="V696" s="59">
        <v>5.4587281163488903</v>
      </c>
    </row>
    <row r="697" spans="1:22">
      <c r="A697" s="58">
        <v>697</v>
      </c>
      <c r="B697" s="58">
        <v>697</v>
      </c>
      <c r="C697" s="58" t="s">
        <v>1236</v>
      </c>
      <c r="D697" s="58" t="s">
        <v>215</v>
      </c>
      <c r="E697" s="58" t="s">
        <v>215</v>
      </c>
      <c r="F697" s="58" t="s">
        <v>1234</v>
      </c>
      <c r="G697" s="58" t="s">
        <v>1235</v>
      </c>
      <c r="H697" s="58" t="s">
        <v>179</v>
      </c>
      <c r="I697">
        <v>38000</v>
      </c>
      <c r="L697" s="74">
        <v>2.8820000000000001</v>
      </c>
      <c r="M697" s="85">
        <v>3</v>
      </c>
      <c r="N697" s="74">
        <v>0.69</v>
      </c>
      <c r="O697">
        <v>2</v>
      </c>
      <c r="P697" s="84">
        <v>0.51749999999999996</v>
      </c>
      <c r="Q697" s="86">
        <v>4.2</v>
      </c>
      <c r="R697" s="85">
        <v>4.2</v>
      </c>
      <c r="S697" s="87">
        <v>558600</v>
      </c>
      <c r="T697" s="1">
        <v>4</v>
      </c>
      <c r="U697" s="88">
        <v>133000</v>
      </c>
      <c r="V697" s="59">
        <v>7.518796992481203</v>
      </c>
    </row>
    <row r="698" spans="1:22">
      <c r="A698" s="58">
        <v>698</v>
      </c>
      <c r="B698" s="58">
        <v>698</v>
      </c>
      <c r="C698" s="58" t="s">
        <v>1237</v>
      </c>
      <c r="D698" s="58" t="s">
        <v>215</v>
      </c>
      <c r="E698" s="58" t="s">
        <v>215</v>
      </c>
      <c r="F698" s="58" t="s">
        <v>257</v>
      </c>
      <c r="G698" s="58" t="s">
        <v>258</v>
      </c>
      <c r="H698" s="58" t="s">
        <v>179</v>
      </c>
      <c r="I698">
        <v>38000</v>
      </c>
      <c r="J698">
        <v>38000</v>
      </c>
      <c r="K698">
        <v>20000</v>
      </c>
      <c r="L698" s="74">
        <v>5.8330000000000002</v>
      </c>
      <c r="M698" s="85">
        <v>6</v>
      </c>
      <c r="N698" s="74">
        <v>1.042</v>
      </c>
      <c r="O698">
        <v>2</v>
      </c>
      <c r="P698" s="84">
        <v>0.78150000000000008</v>
      </c>
      <c r="Q698" s="86">
        <v>8.4</v>
      </c>
      <c r="R698" s="85">
        <v>8.4</v>
      </c>
      <c r="S698" s="87">
        <v>769410</v>
      </c>
      <c r="T698" s="1">
        <v>4</v>
      </c>
      <c r="U698" s="88">
        <v>91596.428571428565</v>
      </c>
      <c r="V698" s="59">
        <v>10.917456232697781</v>
      </c>
    </row>
    <row r="699" spans="1:22">
      <c r="A699" s="89">
        <v>699</v>
      </c>
      <c r="B699" s="89">
        <v>699</v>
      </c>
      <c r="C699" s="89" t="s">
        <v>1238</v>
      </c>
      <c r="D699" s="58" t="s">
        <v>215</v>
      </c>
      <c r="E699" s="58" t="s">
        <v>176</v>
      </c>
      <c r="F699" s="89" t="s">
        <v>257</v>
      </c>
      <c r="G699" s="89" t="s">
        <v>258</v>
      </c>
      <c r="H699" s="89" t="s">
        <v>179</v>
      </c>
      <c r="I699" s="90">
        <v>38000</v>
      </c>
      <c r="J699" s="90">
        <v>38000</v>
      </c>
      <c r="K699" s="90">
        <v>20000</v>
      </c>
      <c r="L699" s="91">
        <v>11.385</v>
      </c>
      <c r="M699" s="92">
        <v>12</v>
      </c>
      <c r="N699" s="91">
        <v>9.0180000000000007</v>
      </c>
      <c r="O699" s="90">
        <v>2</v>
      </c>
      <c r="P699" s="92">
        <v>6.7635000000000005</v>
      </c>
      <c r="Q699" s="93">
        <v>84</v>
      </c>
      <c r="R699" s="92">
        <v>84</v>
      </c>
      <c r="S699" s="87">
        <v>3448180</v>
      </c>
      <c r="T699" s="94">
        <v>11</v>
      </c>
      <c r="U699" s="95">
        <v>41049.761904761908</v>
      </c>
      <c r="V699" s="96">
        <v>24.360677226826905</v>
      </c>
    </row>
    <row r="700" spans="1:22">
      <c r="A700" s="58">
        <v>700</v>
      </c>
      <c r="B700" s="58">
        <v>700</v>
      </c>
      <c r="C700" s="58" t="s">
        <v>1239</v>
      </c>
      <c r="D700" s="58" t="s">
        <v>215</v>
      </c>
      <c r="E700" s="58" t="s">
        <v>215</v>
      </c>
      <c r="F700" s="58" t="s">
        <v>257</v>
      </c>
      <c r="G700" s="58" t="s">
        <v>258</v>
      </c>
      <c r="H700" s="58" t="s">
        <v>179</v>
      </c>
      <c r="I700">
        <v>38000</v>
      </c>
      <c r="J700">
        <v>38000</v>
      </c>
      <c r="K700">
        <v>20000</v>
      </c>
      <c r="L700" s="74">
        <v>13.904</v>
      </c>
      <c r="M700" s="85">
        <v>14</v>
      </c>
      <c r="N700" s="74">
        <v>2.2589999999999999</v>
      </c>
      <c r="O700">
        <v>2</v>
      </c>
      <c r="P700" s="84">
        <v>1.6942499999999998</v>
      </c>
      <c r="Q700" s="86">
        <v>21</v>
      </c>
      <c r="R700" s="85">
        <v>21</v>
      </c>
      <c r="S700" s="87">
        <v>1331570</v>
      </c>
      <c r="T700" s="1">
        <v>4</v>
      </c>
      <c r="U700" s="88">
        <v>63408.095238095237</v>
      </c>
      <c r="V700" s="59">
        <v>15.770856958327387</v>
      </c>
    </row>
    <row r="701" spans="1:22">
      <c r="A701" s="58">
        <v>701</v>
      </c>
      <c r="B701" s="58">
        <v>701</v>
      </c>
      <c r="C701" s="58" t="s">
        <v>1240</v>
      </c>
      <c r="D701" s="58" t="s">
        <v>176</v>
      </c>
      <c r="E701" s="58" t="s">
        <v>176</v>
      </c>
      <c r="F701" s="58" t="s">
        <v>225</v>
      </c>
      <c r="G701" s="58" t="s">
        <v>226</v>
      </c>
      <c r="H701" s="58" t="s">
        <v>179</v>
      </c>
      <c r="I701">
        <v>38000</v>
      </c>
      <c r="J701">
        <v>38000</v>
      </c>
      <c r="K701">
        <v>20000</v>
      </c>
      <c r="L701" s="74">
        <v>14.198</v>
      </c>
      <c r="M701" s="85">
        <v>15</v>
      </c>
      <c r="N701" s="74">
        <v>1.1399999999999999</v>
      </c>
      <c r="O701">
        <v>2</v>
      </c>
      <c r="P701" s="84">
        <v>0.85499999999999998</v>
      </c>
      <c r="Q701" s="86">
        <v>8.4</v>
      </c>
      <c r="R701" s="85">
        <v>8.4</v>
      </c>
      <c r="S701" s="87">
        <v>1696000</v>
      </c>
      <c r="T701" s="1">
        <v>2</v>
      </c>
      <c r="U701" s="88">
        <v>201904.76190476189</v>
      </c>
      <c r="V701" s="59">
        <v>4.9528301886792452</v>
      </c>
    </row>
    <row r="702" spans="1:22">
      <c r="A702" s="58">
        <v>702</v>
      </c>
      <c r="B702" s="58">
        <v>702</v>
      </c>
      <c r="C702" s="58" t="s">
        <v>1241</v>
      </c>
      <c r="D702" s="58" t="s">
        <v>176</v>
      </c>
      <c r="E702" s="58" t="s">
        <v>176</v>
      </c>
      <c r="F702" s="58" t="s">
        <v>257</v>
      </c>
      <c r="G702" s="58" t="s">
        <v>258</v>
      </c>
      <c r="H702" s="58" t="s">
        <v>179</v>
      </c>
      <c r="I702">
        <v>38000</v>
      </c>
      <c r="J702">
        <v>38000</v>
      </c>
      <c r="K702">
        <v>20000</v>
      </c>
      <c r="L702" s="74">
        <v>13.903</v>
      </c>
      <c r="M702" s="85">
        <v>14</v>
      </c>
      <c r="N702" s="74">
        <v>1.794</v>
      </c>
      <c r="O702">
        <v>2</v>
      </c>
      <c r="P702" s="84">
        <v>1.3454999999999999</v>
      </c>
      <c r="Q702" s="86">
        <v>12.600000000000001</v>
      </c>
      <c r="R702" s="85">
        <v>12.600000000000001</v>
      </c>
      <c r="S702" s="87">
        <v>1680350</v>
      </c>
      <c r="T702" s="1">
        <v>3</v>
      </c>
      <c r="U702" s="88">
        <v>133361.11111111109</v>
      </c>
      <c r="V702" s="59">
        <v>7.4984378254530322</v>
      </c>
    </row>
    <row r="703" spans="1:22">
      <c r="A703" s="89">
        <v>703</v>
      </c>
      <c r="B703" s="89">
        <v>703</v>
      </c>
      <c r="C703" s="89" t="s">
        <v>1242</v>
      </c>
      <c r="D703" s="58" t="s">
        <v>215</v>
      </c>
      <c r="E703" s="58" t="s">
        <v>176</v>
      </c>
      <c r="F703" s="89" t="s">
        <v>257</v>
      </c>
      <c r="G703" s="89" t="s">
        <v>258</v>
      </c>
      <c r="H703" s="89" t="s">
        <v>179</v>
      </c>
      <c r="I703" s="90">
        <v>38000</v>
      </c>
      <c r="J703" s="90">
        <v>38000</v>
      </c>
      <c r="K703" s="90">
        <v>20000</v>
      </c>
      <c r="L703" s="91">
        <v>8.1259999999999994</v>
      </c>
      <c r="M703" s="92">
        <v>9</v>
      </c>
      <c r="N703" s="91">
        <v>7.7789999999999999</v>
      </c>
      <c r="O703" s="90">
        <v>2</v>
      </c>
      <c r="P703" s="92">
        <v>5.8342499999999999</v>
      </c>
      <c r="Q703" s="93">
        <v>71.400000000000006</v>
      </c>
      <c r="R703" s="92">
        <v>71.400000000000006</v>
      </c>
      <c r="S703" s="87">
        <v>2815750</v>
      </c>
      <c r="T703" s="94">
        <v>11</v>
      </c>
      <c r="U703" s="95">
        <v>39436.274509803916</v>
      </c>
      <c r="V703" s="96">
        <v>25.35736482287135</v>
      </c>
    </row>
    <row r="704" spans="1:22">
      <c r="A704" s="58">
        <v>704</v>
      </c>
      <c r="B704" s="58">
        <v>704</v>
      </c>
      <c r="C704" s="58" t="s">
        <v>1243</v>
      </c>
      <c r="D704" s="58" t="s">
        <v>176</v>
      </c>
      <c r="E704" s="58" t="s">
        <v>176</v>
      </c>
      <c r="F704" s="58" t="s">
        <v>257</v>
      </c>
      <c r="G704" s="58" t="s">
        <v>258</v>
      </c>
      <c r="H704" s="58" t="s">
        <v>179</v>
      </c>
      <c r="I704">
        <v>38000</v>
      </c>
      <c r="J704">
        <v>38000</v>
      </c>
      <c r="K704">
        <v>20000</v>
      </c>
      <c r="L704" s="74">
        <v>10.670999999999999</v>
      </c>
      <c r="M704" s="85">
        <v>11</v>
      </c>
      <c r="N704" s="74">
        <v>0.83099999999999996</v>
      </c>
      <c r="O704">
        <v>2</v>
      </c>
      <c r="P704" s="84">
        <v>0.62324999999999997</v>
      </c>
      <c r="Q704" s="86">
        <v>8.4</v>
      </c>
      <c r="R704" s="85">
        <v>8.4</v>
      </c>
      <c r="S704" s="87">
        <v>1485200</v>
      </c>
      <c r="T704" s="1">
        <v>2</v>
      </c>
      <c r="U704" s="88">
        <v>176809.52380952382</v>
      </c>
      <c r="V704" s="59">
        <v>5.655803932130353</v>
      </c>
    </row>
    <row r="705" spans="1:22">
      <c r="A705" s="58">
        <v>705</v>
      </c>
      <c r="B705" s="58">
        <v>705</v>
      </c>
      <c r="C705" s="58" t="s">
        <v>1244</v>
      </c>
      <c r="D705" s="58" t="s">
        <v>176</v>
      </c>
      <c r="E705" s="58" t="s">
        <v>176</v>
      </c>
      <c r="F705" s="58" t="s">
        <v>257</v>
      </c>
      <c r="G705" s="58" t="s">
        <v>258</v>
      </c>
      <c r="H705" s="58" t="s">
        <v>179</v>
      </c>
      <c r="I705">
        <v>38000</v>
      </c>
      <c r="J705">
        <v>38000</v>
      </c>
      <c r="K705">
        <v>20000</v>
      </c>
      <c r="L705" s="74">
        <v>10.388</v>
      </c>
      <c r="M705" s="85">
        <v>11</v>
      </c>
      <c r="N705" s="74">
        <v>0.74299999999999999</v>
      </c>
      <c r="O705">
        <v>2</v>
      </c>
      <c r="P705" s="84">
        <v>0.55725000000000002</v>
      </c>
      <c r="Q705" s="86">
        <v>4.2</v>
      </c>
      <c r="R705" s="85">
        <v>4.2</v>
      </c>
      <c r="S705" s="87">
        <v>1439840</v>
      </c>
      <c r="T705" s="1">
        <v>1</v>
      </c>
      <c r="U705" s="88">
        <v>342819.04761904763</v>
      </c>
      <c r="V705" s="59">
        <v>2.9169907767529724</v>
      </c>
    </row>
    <row r="706" spans="1:22">
      <c r="A706" s="58">
        <v>706</v>
      </c>
      <c r="B706" s="58">
        <v>706</v>
      </c>
      <c r="C706" s="58" t="s">
        <v>1245</v>
      </c>
      <c r="D706" s="58" t="s">
        <v>176</v>
      </c>
      <c r="E706" s="58" t="s">
        <v>176</v>
      </c>
      <c r="F706" s="58" t="s">
        <v>257</v>
      </c>
      <c r="G706" s="58" t="s">
        <v>258</v>
      </c>
      <c r="H706" s="58" t="s">
        <v>179</v>
      </c>
      <c r="I706">
        <v>38000</v>
      </c>
      <c r="J706">
        <v>38000</v>
      </c>
      <c r="K706">
        <v>20000</v>
      </c>
      <c r="L706" s="74">
        <v>8.4700000000000006</v>
      </c>
      <c r="M706" s="85">
        <v>9</v>
      </c>
      <c r="N706" s="74">
        <v>0.88100000000000001</v>
      </c>
      <c r="O706">
        <v>2</v>
      </c>
      <c r="P706" s="84">
        <v>0.66074999999999995</v>
      </c>
      <c r="Q706" s="86">
        <v>8.4</v>
      </c>
      <c r="R706" s="85">
        <v>8.4</v>
      </c>
      <c r="S706" s="87">
        <v>1379800</v>
      </c>
      <c r="T706" s="1">
        <v>2</v>
      </c>
      <c r="U706" s="88">
        <v>164261.90476190476</v>
      </c>
      <c r="V706" s="59">
        <v>6.087838817219887</v>
      </c>
    </row>
    <row r="707" spans="1:22">
      <c r="A707" s="58">
        <v>707</v>
      </c>
      <c r="B707" s="58">
        <v>707</v>
      </c>
      <c r="C707" s="58" t="s">
        <v>1246</v>
      </c>
      <c r="D707" s="58" t="s">
        <v>176</v>
      </c>
      <c r="E707" s="58" t="s">
        <v>176</v>
      </c>
      <c r="F707" s="58" t="s">
        <v>257</v>
      </c>
      <c r="G707" s="58" t="s">
        <v>258</v>
      </c>
      <c r="H707" s="58" t="s">
        <v>179</v>
      </c>
      <c r="I707">
        <v>38000</v>
      </c>
      <c r="J707">
        <v>38000</v>
      </c>
      <c r="K707">
        <v>20000</v>
      </c>
      <c r="L707" s="74">
        <v>10.847</v>
      </c>
      <c r="M707" s="85">
        <v>11</v>
      </c>
      <c r="N707" s="74">
        <v>0.65300000000000002</v>
      </c>
      <c r="O707">
        <v>2</v>
      </c>
      <c r="P707" s="84">
        <v>0.48975000000000002</v>
      </c>
      <c r="Q707" s="86">
        <v>4.2</v>
      </c>
      <c r="R707" s="85">
        <v>4.2</v>
      </c>
      <c r="S707" s="87">
        <v>1439840</v>
      </c>
      <c r="T707" s="1">
        <v>1</v>
      </c>
      <c r="U707" s="88">
        <v>342819.04761904763</v>
      </c>
      <c r="V707" s="59">
        <v>2.9169907767529724</v>
      </c>
    </row>
    <row r="708" spans="1:22">
      <c r="A708" s="58">
        <v>708</v>
      </c>
      <c r="B708" s="58">
        <v>708</v>
      </c>
      <c r="C708" s="58" t="s">
        <v>1247</v>
      </c>
      <c r="D708" s="58" t="s">
        <v>215</v>
      </c>
      <c r="E708" s="58" t="s">
        <v>215</v>
      </c>
      <c r="F708" s="58" t="s">
        <v>225</v>
      </c>
      <c r="G708" s="58" t="s">
        <v>226</v>
      </c>
      <c r="H708" s="58" t="s">
        <v>179</v>
      </c>
      <c r="I708">
        <v>38000</v>
      </c>
      <c r="J708">
        <v>38000</v>
      </c>
      <c r="K708">
        <v>20000</v>
      </c>
      <c r="L708" s="74">
        <v>10.551</v>
      </c>
      <c r="M708" s="85">
        <v>11</v>
      </c>
      <c r="N708" s="74">
        <v>3.3380000000000001</v>
      </c>
      <c r="O708">
        <v>2</v>
      </c>
      <c r="P708" s="84">
        <v>2.5034999999999998</v>
      </c>
      <c r="Q708" s="86">
        <v>29.400000000000006</v>
      </c>
      <c r="R708" s="85">
        <v>29.400000000000006</v>
      </c>
      <c r="S708" s="87">
        <v>1324920</v>
      </c>
      <c r="T708" s="1">
        <v>5</v>
      </c>
      <c r="U708" s="88">
        <v>45065.306122448972</v>
      </c>
      <c r="V708" s="59">
        <v>22.190019020016308</v>
      </c>
    </row>
    <row r="709" spans="1:22">
      <c r="A709" s="89">
        <v>709</v>
      </c>
      <c r="B709" s="89">
        <v>709</v>
      </c>
      <c r="C709" s="89" t="s">
        <v>1248</v>
      </c>
      <c r="D709" s="58" t="s">
        <v>215</v>
      </c>
      <c r="E709" s="58" t="s">
        <v>176</v>
      </c>
      <c r="F709" s="89" t="s">
        <v>225</v>
      </c>
      <c r="G709" s="89" t="s">
        <v>226</v>
      </c>
      <c r="H709" s="89" t="s">
        <v>179</v>
      </c>
      <c r="I709" s="90">
        <v>38000</v>
      </c>
      <c r="J709" s="90">
        <v>38000</v>
      </c>
      <c r="K709" s="90">
        <v>20000</v>
      </c>
      <c r="L709" s="91">
        <v>3.988</v>
      </c>
      <c r="M709" s="92">
        <v>4</v>
      </c>
      <c r="N709" s="91">
        <v>5.6449999999999996</v>
      </c>
      <c r="O709" s="90">
        <v>2</v>
      </c>
      <c r="P709" s="92">
        <v>4.2337499999999997</v>
      </c>
      <c r="Q709" s="93">
        <v>50.400000000000006</v>
      </c>
      <c r="R709" s="92">
        <v>50.400000000000006</v>
      </c>
      <c r="S709" s="87">
        <v>1761700</v>
      </c>
      <c r="T709" s="94">
        <v>11</v>
      </c>
      <c r="U709" s="95">
        <v>34954.365079365074</v>
      </c>
      <c r="V709" s="96">
        <v>28.608730203780443</v>
      </c>
    </row>
    <row r="710" spans="1:22">
      <c r="A710" s="58">
        <v>710</v>
      </c>
      <c r="B710" s="58">
        <v>710</v>
      </c>
      <c r="C710" s="58" t="s">
        <v>1249</v>
      </c>
      <c r="D710" s="58" t="s">
        <v>215</v>
      </c>
      <c r="E710" s="58" t="s">
        <v>176</v>
      </c>
      <c r="F710" s="58" t="s">
        <v>225</v>
      </c>
      <c r="G710" s="58" t="s">
        <v>226</v>
      </c>
      <c r="H710" s="58" t="s">
        <v>179</v>
      </c>
      <c r="I710">
        <v>38000</v>
      </c>
      <c r="J710">
        <v>38000</v>
      </c>
      <c r="K710">
        <v>20000</v>
      </c>
      <c r="L710" s="74">
        <v>6.1509999999999998</v>
      </c>
      <c r="M710" s="85">
        <v>7</v>
      </c>
      <c r="N710" s="74">
        <v>4.2069999999999999</v>
      </c>
      <c r="O710">
        <v>2</v>
      </c>
      <c r="P710" s="84">
        <v>3.1552499999999997</v>
      </c>
      <c r="Q710" s="86">
        <v>37.800000000000004</v>
      </c>
      <c r="R710" s="85">
        <v>37.800000000000004</v>
      </c>
      <c r="S710" s="87">
        <v>1126610</v>
      </c>
      <c r="T710" s="1">
        <v>6</v>
      </c>
      <c r="U710" s="88">
        <v>29804.497354497351</v>
      </c>
      <c r="V710" s="59">
        <v>33.551983383779664</v>
      </c>
    </row>
    <row r="711" spans="1:22">
      <c r="A711" s="58">
        <v>711</v>
      </c>
      <c r="B711" s="58">
        <v>711</v>
      </c>
      <c r="C711" s="58" t="s">
        <v>1250</v>
      </c>
      <c r="D711" s="58" t="s">
        <v>215</v>
      </c>
      <c r="E711" s="58" t="s">
        <v>176</v>
      </c>
      <c r="F711" s="58" t="s">
        <v>225</v>
      </c>
      <c r="G711" s="58" t="s">
        <v>226</v>
      </c>
      <c r="H711" s="58" t="s">
        <v>179</v>
      </c>
      <c r="I711">
        <v>38000</v>
      </c>
      <c r="J711">
        <v>38000</v>
      </c>
      <c r="K711">
        <v>20000</v>
      </c>
      <c r="L711" s="74">
        <v>9.7889999999999997</v>
      </c>
      <c r="M711" s="85">
        <v>10</v>
      </c>
      <c r="N711" s="74">
        <v>2.4489999999999998</v>
      </c>
      <c r="O711">
        <v>2</v>
      </c>
      <c r="P711" s="84">
        <v>1.8367499999999999</v>
      </c>
      <c r="Q711" s="86">
        <v>21</v>
      </c>
      <c r="R711" s="85">
        <v>21</v>
      </c>
      <c r="S711" s="87">
        <v>1050490</v>
      </c>
      <c r="T711" s="1">
        <v>4</v>
      </c>
      <c r="U711" s="88">
        <v>50023.333333333336</v>
      </c>
      <c r="V711" s="59">
        <v>19.990671020190579</v>
      </c>
    </row>
    <row r="712" spans="1:22">
      <c r="A712" s="58">
        <v>712</v>
      </c>
      <c r="B712" s="58">
        <v>712</v>
      </c>
      <c r="C712" s="58" t="s">
        <v>1251</v>
      </c>
      <c r="D712" s="58" t="s">
        <v>176</v>
      </c>
      <c r="E712" s="58" t="s">
        <v>176</v>
      </c>
      <c r="F712" s="58" t="s">
        <v>225</v>
      </c>
      <c r="G712" s="58" t="s">
        <v>226</v>
      </c>
      <c r="H712" s="58" t="s">
        <v>179</v>
      </c>
      <c r="I712">
        <v>38000</v>
      </c>
      <c r="J712">
        <v>38000</v>
      </c>
      <c r="K712">
        <v>20000</v>
      </c>
      <c r="L712" s="74">
        <v>9.7159999999999993</v>
      </c>
      <c r="M712" s="85">
        <v>10</v>
      </c>
      <c r="N712" s="74">
        <v>1.335</v>
      </c>
      <c r="O712">
        <v>2</v>
      </c>
      <c r="P712" s="84">
        <v>1.00125</v>
      </c>
      <c r="Q712" s="86">
        <v>8.4</v>
      </c>
      <c r="R712" s="85">
        <v>8.4</v>
      </c>
      <c r="S712" s="87">
        <v>1432500</v>
      </c>
      <c r="T712" s="1">
        <v>2</v>
      </c>
      <c r="U712" s="88">
        <v>170535.71428571429</v>
      </c>
      <c r="V712" s="59">
        <v>5.8638743455497382</v>
      </c>
    </row>
    <row r="713" spans="1:22">
      <c r="A713" s="58">
        <v>713</v>
      </c>
      <c r="B713" s="58">
        <v>713</v>
      </c>
      <c r="C713" s="58" t="s">
        <v>1252</v>
      </c>
      <c r="D713" s="58" t="s">
        <v>176</v>
      </c>
      <c r="E713" s="58" t="s">
        <v>176</v>
      </c>
      <c r="F713" s="58" t="s">
        <v>225</v>
      </c>
      <c r="G713" s="58" t="s">
        <v>226</v>
      </c>
      <c r="H713" s="58" t="s">
        <v>179</v>
      </c>
      <c r="I713">
        <v>38000</v>
      </c>
      <c r="J713">
        <v>38000</v>
      </c>
      <c r="K713">
        <v>20000</v>
      </c>
      <c r="L713" s="74">
        <v>9.6829999999999998</v>
      </c>
      <c r="M713" s="85">
        <v>10</v>
      </c>
      <c r="N713" s="74">
        <v>0.46</v>
      </c>
      <c r="O713">
        <v>2</v>
      </c>
      <c r="P713" s="84">
        <v>0.46</v>
      </c>
      <c r="Q713" s="86">
        <v>4.2</v>
      </c>
      <c r="R713" s="85">
        <v>4.2</v>
      </c>
      <c r="S713" s="87">
        <v>1387140</v>
      </c>
      <c r="T713" s="1">
        <v>1</v>
      </c>
      <c r="U713" s="88">
        <v>330271.42857142858</v>
      </c>
      <c r="V713" s="59">
        <v>3.0278126216531858</v>
      </c>
    </row>
    <row r="714" spans="1:22">
      <c r="A714" s="58">
        <v>714</v>
      </c>
      <c r="B714" s="58">
        <v>714</v>
      </c>
      <c r="C714" s="58" t="s">
        <v>1253</v>
      </c>
      <c r="D714" s="58" t="s">
        <v>176</v>
      </c>
      <c r="E714" s="58" t="s">
        <v>176</v>
      </c>
      <c r="F714" s="58" t="s">
        <v>262</v>
      </c>
      <c r="G714" s="58" t="s">
        <v>263</v>
      </c>
      <c r="H714" s="58" t="s">
        <v>179</v>
      </c>
      <c r="I714">
        <v>38000</v>
      </c>
      <c r="J714" s="58" t="s">
        <v>185</v>
      </c>
      <c r="K714">
        <v>38000</v>
      </c>
      <c r="L714" s="74">
        <v>17.138000000000002</v>
      </c>
      <c r="M714" s="85">
        <v>18</v>
      </c>
      <c r="N714" s="74">
        <v>2.3119999999999998</v>
      </c>
      <c r="O714">
        <v>2</v>
      </c>
      <c r="P714" s="84">
        <v>1.734</v>
      </c>
      <c r="Q714" s="86">
        <v>21</v>
      </c>
      <c r="R714" s="85">
        <v>21</v>
      </c>
      <c r="S714" s="87">
        <v>1612650</v>
      </c>
      <c r="T714" s="1">
        <v>4</v>
      </c>
      <c r="U714" s="88">
        <v>76792.857142857145</v>
      </c>
      <c r="V714" s="59">
        <v>13.022044460980373</v>
      </c>
    </row>
    <row r="715" spans="1:22">
      <c r="A715" s="58">
        <v>715</v>
      </c>
      <c r="B715" s="58">
        <v>715</v>
      </c>
      <c r="C715" s="58" t="s">
        <v>1254</v>
      </c>
      <c r="D715" s="58" t="s">
        <v>176</v>
      </c>
      <c r="E715" s="58" t="s">
        <v>176</v>
      </c>
      <c r="F715" s="58" t="s">
        <v>262</v>
      </c>
      <c r="G715" s="58" t="s">
        <v>263</v>
      </c>
      <c r="H715" s="58" t="s">
        <v>179</v>
      </c>
      <c r="I715">
        <v>38000</v>
      </c>
      <c r="J715" s="58" t="s">
        <v>185</v>
      </c>
      <c r="K715">
        <v>38000</v>
      </c>
      <c r="L715" s="74">
        <v>15.664999999999999</v>
      </c>
      <c r="M715" s="85">
        <v>16</v>
      </c>
      <c r="N715" s="74">
        <v>0.252</v>
      </c>
      <c r="O715">
        <v>2</v>
      </c>
      <c r="P715" s="84">
        <v>0.252</v>
      </c>
      <c r="Q715" s="86">
        <v>4.2</v>
      </c>
      <c r="R715" s="85">
        <v>4.2</v>
      </c>
      <c r="S715" s="87">
        <v>1703340</v>
      </c>
      <c r="T715" s="1">
        <v>1</v>
      </c>
      <c r="U715" s="88">
        <v>405557.14285714284</v>
      </c>
      <c r="V715" s="59">
        <v>2.4657437739969708</v>
      </c>
    </row>
    <row r="716" spans="1:22">
      <c r="A716" s="58">
        <v>716</v>
      </c>
      <c r="B716" s="58">
        <v>716</v>
      </c>
      <c r="C716" s="58" t="s">
        <v>1255</v>
      </c>
      <c r="D716" s="58" t="s">
        <v>176</v>
      </c>
      <c r="E716" s="58" t="s">
        <v>176</v>
      </c>
      <c r="F716" s="58" t="s">
        <v>262</v>
      </c>
      <c r="G716" s="58" t="s">
        <v>263</v>
      </c>
      <c r="H716" s="58" t="s">
        <v>179</v>
      </c>
      <c r="I716">
        <v>38000</v>
      </c>
      <c r="J716" s="58" t="s">
        <v>185</v>
      </c>
      <c r="K716">
        <v>38000</v>
      </c>
      <c r="L716" s="74">
        <v>15.771000000000001</v>
      </c>
      <c r="M716" s="85">
        <v>16</v>
      </c>
      <c r="N716" s="74">
        <v>0.45100000000000001</v>
      </c>
      <c r="O716">
        <v>2</v>
      </c>
      <c r="P716" s="84">
        <v>0.45100000000000001</v>
      </c>
      <c r="Q716" s="86">
        <v>4.2</v>
      </c>
      <c r="R716" s="85">
        <v>4.2</v>
      </c>
      <c r="S716" s="87">
        <v>1703340</v>
      </c>
      <c r="T716" s="1">
        <v>1</v>
      </c>
      <c r="U716" s="88">
        <v>405557.14285714284</v>
      </c>
      <c r="V716" s="59">
        <v>2.4657437739969708</v>
      </c>
    </row>
    <row r="717" spans="1:22">
      <c r="A717" s="58">
        <v>717</v>
      </c>
      <c r="B717" s="58">
        <v>717</v>
      </c>
      <c r="C717" s="58" t="s">
        <v>1256</v>
      </c>
      <c r="D717" s="58" t="s">
        <v>176</v>
      </c>
      <c r="E717" s="58" t="s">
        <v>176</v>
      </c>
      <c r="F717" s="58" t="s">
        <v>262</v>
      </c>
      <c r="G717" s="58" t="s">
        <v>263</v>
      </c>
      <c r="H717" s="58" t="s">
        <v>179</v>
      </c>
      <c r="I717">
        <v>38000</v>
      </c>
      <c r="J717" s="58" t="s">
        <v>185</v>
      </c>
      <c r="K717">
        <v>38000</v>
      </c>
      <c r="L717" s="74">
        <v>15.333</v>
      </c>
      <c r="M717" s="85">
        <v>16</v>
      </c>
      <c r="N717" s="74">
        <v>1.488</v>
      </c>
      <c r="O717">
        <v>2</v>
      </c>
      <c r="P717" s="84">
        <v>1.1160000000000001</v>
      </c>
      <c r="Q717" s="86">
        <v>12.600000000000001</v>
      </c>
      <c r="R717" s="85">
        <v>12.600000000000001</v>
      </c>
      <c r="S717" s="87">
        <v>1785750</v>
      </c>
      <c r="T717" s="1">
        <v>3</v>
      </c>
      <c r="U717" s="88">
        <v>141726.19047619047</v>
      </c>
      <c r="V717" s="59">
        <v>7.0558588828223447</v>
      </c>
    </row>
    <row r="718" spans="1:22">
      <c r="A718" s="58">
        <v>718</v>
      </c>
      <c r="B718" s="58">
        <v>718</v>
      </c>
      <c r="C718" s="58" t="s">
        <v>1257</v>
      </c>
      <c r="D718" s="58" t="s">
        <v>176</v>
      </c>
      <c r="E718" s="58" t="s">
        <v>176</v>
      </c>
      <c r="F718" s="58" t="s">
        <v>262</v>
      </c>
      <c r="G718" s="58" t="s">
        <v>263</v>
      </c>
      <c r="H718" s="58" t="s">
        <v>179</v>
      </c>
      <c r="I718">
        <v>38000</v>
      </c>
      <c r="J718" s="58" t="s">
        <v>185</v>
      </c>
      <c r="K718">
        <v>38000</v>
      </c>
      <c r="L718" s="74">
        <v>14.295</v>
      </c>
      <c r="M718" s="85">
        <v>15</v>
      </c>
      <c r="N718" s="74">
        <v>2.2879999999999998</v>
      </c>
      <c r="O718">
        <v>2</v>
      </c>
      <c r="P718" s="84">
        <v>1.7159999999999997</v>
      </c>
      <c r="Q718" s="86">
        <v>21</v>
      </c>
      <c r="R718" s="85">
        <v>21</v>
      </c>
      <c r="S718" s="87">
        <v>1401840</v>
      </c>
      <c r="T718" s="1">
        <v>4</v>
      </c>
      <c r="U718" s="88">
        <v>66754.28571428571</v>
      </c>
      <c r="V718" s="59">
        <v>14.980311590481081</v>
      </c>
    </row>
    <row r="719" spans="1:22">
      <c r="A719" s="58">
        <v>719</v>
      </c>
      <c r="B719" s="58">
        <v>719</v>
      </c>
      <c r="C719" s="58" t="s">
        <v>1258</v>
      </c>
      <c r="D719" s="58" t="s">
        <v>176</v>
      </c>
      <c r="E719" s="58" t="s">
        <v>176</v>
      </c>
      <c r="F719" s="58" t="s">
        <v>262</v>
      </c>
      <c r="G719" s="58" t="s">
        <v>263</v>
      </c>
      <c r="H719" s="58" t="s">
        <v>179</v>
      </c>
      <c r="I719">
        <v>38000</v>
      </c>
      <c r="J719" s="58" t="s">
        <v>185</v>
      </c>
      <c r="K719">
        <v>38000</v>
      </c>
      <c r="L719" s="74">
        <v>12.313000000000001</v>
      </c>
      <c r="M719" s="85">
        <v>13</v>
      </c>
      <c r="N719" s="74">
        <v>3.1280000000000001</v>
      </c>
      <c r="O719">
        <v>2</v>
      </c>
      <c r="P719" s="84">
        <v>2.3460000000000001</v>
      </c>
      <c r="Q719" s="86">
        <v>25.200000000000003</v>
      </c>
      <c r="R719" s="85">
        <v>25.200000000000003</v>
      </c>
      <c r="S719" s="87">
        <v>1502580</v>
      </c>
      <c r="T719" s="1">
        <v>5</v>
      </c>
      <c r="U719" s="88">
        <v>59626.190476190466</v>
      </c>
      <c r="V719" s="59">
        <v>16.771153615780861</v>
      </c>
    </row>
    <row r="720" spans="1:22">
      <c r="A720" s="89">
        <v>720</v>
      </c>
      <c r="B720" s="89">
        <v>720</v>
      </c>
      <c r="C720" s="89" t="s">
        <v>1259</v>
      </c>
      <c r="D720" s="58" t="s">
        <v>176</v>
      </c>
      <c r="E720" s="58" t="s">
        <v>176</v>
      </c>
      <c r="F720" s="89" t="s">
        <v>262</v>
      </c>
      <c r="G720" s="89" t="s">
        <v>263</v>
      </c>
      <c r="H720" s="89" t="s">
        <v>179</v>
      </c>
      <c r="I720" s="90">
        <v>38000</v>
      </c>
      <c r="J720" s="89" t="s">
        <v>185</v>
      </c>
      <c r="K720" s="90">
        <v>38000</v>
      </c>
      <c r="L720" s="91">
        <v>11.695</v>
      </c>
      <c r="M720" s="92">
        <v>12</v>
      </c>
      <c r="N720" s="91">
        <v>12.491</v>
      </c>
      <c r="O720" s="90">
        <v>2</v>
      </c>
      <c r="P720" s="92">
        <v>9.3682499999999997</v>
      </c>
      <c r="Q720" s="93">
        <v>113.4</v>
      </c>
      <c r="R720" s="92">
        <v>113.4</v>
      </c>
      <c r="S720" s="87">
        <v>3448180</v>
      </c>
      <c r="T720" s="94">
        <v>11</v>
      </c>
      <c r="U720" s="95">
        <v>30407.231040564373</v>
      </c>
      <c r="V720" s="96">
        <v>32.886914256216322</v>
      </c>
    </row>
    <row r="721" spans="1:22">
      <c r="A721" s="89">
        <v>721</v>
      </c>
      <c r="B721" s="89">
        <v>721</v>
      </c>
      <c r="C721" s="89" t="s">
        <v>1260</v>
      </c>
      <c r="D721" s="58" t="s">
        <v>176</v>
      </c>
      <c r="E721" s="58" t="s">
        <v>176</v>
      </c>
      <c r="F721" s="89" t="s">
        <v>262</v>
      </c>
      <c r="G721" s="89" t="s">
        <v>263</v>
      </c>
      <c r="H721" s="89" t="s">
        <v>179</v>
      </c>
      <c r="I721" s="90">
        <v>38000</v>
      </c>
      <c r="J721" s="89" t="s">
        <v>185</v>
      </c>
      <c r="K721" s="90">
        <v>38000</v>
      </c>
      <c r="L721" s="91">
        <v>15.603</v>
      </c>
      <c r="M721" s="92">
        <v>16</v>
      </c>
      <c r="N721" s="91">
        <v>12.868</v>
      </c>
      <c r="O721" s="90">
        <v>2</v>
      </c>
      <c r="P721" s="92">
        <v>9.6509999999999998</v>
      </c>
      <c r="Q721" s="93">
        <v>117.60000000000002</v>
      </c>
      <c r="R721" s="92">
        <v>117.60000000000002</v>
      </c>
      <c r="S721" s="87">
        <v>4291420</v>
      </c>
      <c r="T721" s="94">
        <v>11</v>
      </c>
      <c r="U721" s="95">
        <v>36491.666666666657</v>
      </c>
      <c r="V721" s="96">
        <v>27.403516784654038</v>
      </c>
    </row>
    <row r="722" spans="1:22">
      <c r="A722" s="58">
        <v>722</v>
      </c>
      <c r="B722" s="58">
        <v>722</v>
      </c>
      <c r="C722" s="58" t="s">
        <v>1261</v>
      </c>
      <c r="D722" s="58" t="s">
        <v>176</v>
      </c>
      <c r="E722" s="58" t="s">
        <v>176</v>
      </c>
      <c r="F722" s="58" t="s">
        <v>262</v>
      </c>
      <c r="G722" s="58" t="s">
        <v>263</v>
      </c>
      <c r="H722" s="58" t="s">
        <v>179</v>
      </c>
      <c r="I722">
        <v>38000</v>
      </c>
      <c r="J722" s="58" t="s">
        <v>185</v>
      </c>
      <c r="K722">
        <v>38000</v>
      </c>
      <c r="L722" s="74">
        <v>12.315</v>
      </c>
      <c r="M722" s="85">
        <v>13</v>
      </c>
      <c r="N722" s="74">
        <v>0.40500000000000003</v>
      </c>
      <c r="O722">
        <v>2</v>
      </c>
      <c r="P722" s="84">
        <v>0.40500000000000003</v>
      </c>
      <c r="Q722" s="86">
        <v>4.2</v>
      </c>
      <c r="R722" s="85">
        <v>4.2</v>
      </c>
      <c r="S722" s="87">
        <v>1545240</v>
      </c>
      <c r="T722" s="1">
        <v>1</v>
      </c>
      <c r="U722" s="88">
        <v>367914.28571428568</v>
      </c>
      <c r="V722" s="59">
        <v>2.7180243845616214</v>
      </c>
    </row>
    <row r="723" spans="1:22">
      <c r="A723" s="58">
        <v>723</v>
      </c>
      <c r="B723" s="58">
        <v>723</v>
      </c>
      <c r="C723" s="58" t="s">
        <v>1262</v>
      </c>
      <c r="D723" s="58" t="s">
        <v>176</v>
      </c>
      <c r="E723" s="58" t="s">
        <v>176</v>
      </c>
      <c r="F723" s="58" t="s">
        <v>265</v>
      </c>
      <c r="G723" s="58" t="s">
        <v>266</v>
      </c>
      <c r="H723" s="58" t="s">
        <v>179</v>
      </c>
      <c r="I723">
        <v>38000</v>
      </c>
      <c r="J723">
        <v>38000</v>
      </c>
      <c r="K723" s="58" t="s">
        <v>185</v>
      </c>
      <c r="L723" s="74">
        <v>10.756</v>
      </c>
      <c r="M723" s="85">
        <v>11</v>
      </c>
      <c r="N723" s="74">
        <v>2.8490000000000002</v>
      </c>
      <c r="O723">
        <v>2</v>
      </c>
      <c r="P723" s="84">
        <v>2.1367500000000001</v>
      </c>
      <c r="Q723" s="86">
        <v>25.200000000000003</v>
      </c>
      <c r="R723" s="85">
        <v>25.200000000000003</v>
      </c>
      <c r="S723" s="87">
        <v>1324920</v>
      </c>
      <c r="T723" s="1">
        <v>5</v>
      </c>
      <c r="U723" s="88">
        <v>52576.190476190473</v>
      </c>
      <c r="V723" s="59">
        <v>19.02001630287112</v>
      </c>
    </row>
    <row r="724" spans="1:22">
      <c r="A724" s="58">
        <v>724</v>
      </c>
      <c r="B724" s="58">
        <v>724</v>
      </c>
      <c r="C724" s="58" t="s">
        <v>1263</v>
      </c>
      <c r="D724" s="58" t="s">
        <v>176</v>
      </c>
      <c r="E724" s="58" t="s">
        <v>176</v>
      </c>
      <c r="F724" s="58" t="s">
        <v>265</v>
      </c>
      <c r="G724" s="58" t="s">
        <v>266</v>
      </c>
      <c r="H724" s="58" t="s">
        <v>179</v>
      </c>
      <c r="I724">
        <v>38000</v>
      </c>
      <c r="J724">
        <v>38000</v>
      </c>
      <c r="K724" s="58" t="s">
        <v>185</v>
      </c>
      <c r="L724" s="74">
        <v>17.132999999999999</v>
      </c>
      <c r="M724" s="85">
        <v>18</v>
      </c>
      <c r="N724" s="74">
        <v>1.444</v>
      </c>
      <c r="O724">
        <v>2</v>
      </c>
      <c r="P724" s="84">
        <v>1.083</v>
      </c>
      <c r="Q724" s="86">
        <v>12.600000000000001</v>
      </c>
      <c r="R724" s="85">
        <v>12.600000000000001</v>
      </c>
      <c r="S724" s="87">
        <v>1891150</v>
      </c>
      <c r="T724" s="1">
        <v>3</v>
      </c>
      <c r="U724" s="88">
        <v>150091.26984126982</v>
      </c>
      <c r="V724" s="59">
        <v>6.6626126959786385</v>
      </c>
    </row>
    <row r="725" spans="1:22">
      <c r="A725" s="58">
        <v>725</v>
      </c>
      <c r="B725" s="58">
        <v>725</v>
      </c>
      <c r="C725" s="58" t="s">
        <v>1264</v>
      </c>
      <c r="D725" s="58" t="s">
        <v>176</v>
      </c>
      <c r="E725" s="58" t="s">
        <v>176</v>
      </c>
      <c r="F725" s="58" t="s">
        <v>265</v>
      </c>
      <c r="G725" s="58" t="s">
        <v>266</v>
      </c>
      <c r="H725" s="58" t="s">
        <v>179</v>
      </c>
      <c r="I725">
        <v>38000</v>
      </c>
      <c r="J725">
        <v>38000</v>
      </c>
      <c r="K725" s="58" t="s">
        <v>185</v>
      </c>
      <c r="L725" s="74">
        <v>11.416</v>
      </c>
      <c r="M725" s="85">
        <v>12</v>
      </c>
      <c r="N725" s="74">
        <v>3.1779999999999999</v>
      </c>
      <c r="O725">
        <v>2</v>
      </c>
      <c r="P725" s="84">
        <v>2.3834999999999997</v>
      </c>
      <c r="Q725" s="86">
        <v>29.400000000000006</v>
      </c>
      <c r="R725" s="85">
        <v>29.400000000000006</v>
      </c>
      <c r="S725" s="87">
        <v>1413750</v>
      </c>
      <c r="T725" s="1">
        <v>5</v>
      </c>
      <c r="U725" s="88">
        <v>48086.734693877544</v>
      </c>
      <c r="V725" s="59">
        <v>20.795755968169768</v>
      </c>
    </row>
    <row r="726" spans="1:22">
      <c r="A726" s="58">
        <v>726</v>
      </c>
      <c r="B726" s="58">
        <v>726</v>
      </c>
      <c r="C726" s="58" t="s">
        <v>1265</v>
      </c>
      <c r="D726" s="58" t="s">
        <v>176</v>
      </c>
      <c r="E726" s="58" t="s">
        <v>176</v>
      </c>
      <c r="F726" s="58" t="s">
        <v>265</v>
      </c>
      <c r="G726" s="58" t="s">
        <v>266</v>
      </c>
      <c r="H726" s="58" t="s">
        <v>179</v>
      </c>
      <c r="I726">
        <v>38000</v>
      </c>
      <c r="J726">
        <v>38000</v>
      </c>
      <c r="K726" s="58" t="s">
        <v>185</v>
      </c>
      <c r="L726" s="74">
        <v>16.462</v>
      </c>
      <c r="M726" s="85">
        <v>17</v>
      </c>
      <c r="N726" s="74">
        <v>0.49299999999999999</v>
      </c>
      <c r="O726">
        <v>2</v>
      </c>
      <c r="P726" s="84">
        <v>0.49299999999999999</v>
      </c>
      <c r="Q726" s="86">
        <v>4.2</v>
      </c>
      <c r="R726" s="85">
        <v>4.2</v>
      </c>
      <c r="S726" s="87">
        <v>1756040</v>
      </c>
      <c r="T726" s="1">
        <v>1</v>
      </c>
      <c r="U726" s="88">
        <v>418104.76190476189</v>
      </c>
      <c r="V726" s="59">
        <v>2.3917450627548349</v>
      </c>
    </row>
    <row r="727" spans="1:22">
      <c r="A727" s="58">
        <v>727</v>
      </c>
      <c r="B727" s="58">
        <v>727</v>
      </c>
      <c r="C727" s="58" t="s">
        <v>1266</v>
      </c>
      <c r="D727" s="58" t="s">
        <v>176</v>
      </c>
      <c r="E727" s="58" t="s">
        <v>176</v>
      </c>
      <c r="F727" s="58" t="s">
        <v>269</v>
      </c>
      <c r="G727" s="58" t="s">
        <v>270</v>
      </c>
      <c r="H727" s="58" t="s">
        <v>179</v>
      </c>
      <c r="I727">
        <v>38000</v>
      </c>
      <c r="J727">
        <v>38000</v>
      </c>
      <c r="K727">
        <v>20000</v>
      </c>
      <c r="L727" s="74">
        <v>15.486000000000001</v>
      </c>
      <c r="M727" s="85">
        <v>16</v>
      </c>
      <c r="N727" s="74">
        <v>3.4940000000000002</v>
      </c>
      <c r="O727">
        <v>2</v>
      </c>
      <c r="P727" s="84">
        <v>2.6205000000000003</v>
      </c>
      <c r="Q727" s="86">
        <v>29.400000000000006</v>
      </c>
      <c r="R727" s="85">
        <v>29.400000000000006</v>
      </c>
      <c r="S727" s="87">
        <v>1769070</v>
      </c>
      <c r="T727" s="1">
        <v>5</v>
      </c>
      <c r="U727" s="88">
        <v>60172.448979591827</v>
      </c>
      <c r="V727" s="59">
        <v>16.618901456697593</v>
      </c>
    </row>
    <row r="728" spans="1:22">
      <c r="A728" s="58">
        <v>728</v>
      </c>
      <c r="B728" s="58">
        <v>728</v>
      </c>
      <c r="C728" s="58" t="s">
        <v>1267</v>
      </c>
      <c r="D728" s="58" t="s">
        <v>176</v>
      </c>
      <c r="E728" s="58" t="s">
        <v>176</v>
      </c>
      <c r="F728" s="58" t="s">
        <v>262</v>
      </c>
      <c r="G728" s="58" t="s">
        <v>263</v>
      </c>
      <c r="H728" s="58" t="s">
        <v>179</v>
      </c>
      <c r="I728">
        <v>38000</v>
      </c>
      <c r="J728" s="58" t="s">
        <v>185</v>
      </c>
      <c r="K728">
        <v>38000</v>
      </c>
      <c r="L728" s="74">
        <v>18.593</v>
      </c>
      <c r="M728" s="85">
        <v>19</v>
      </c>
      <c r="N728" s="74">
        <v>1</v>
      </c>
      <c r="O728">
        <v>2</v>
      </c>
      <c r="P728" s="84">
        <v>0.75</v>
      </c>
      <c r="Q728" s="86">
        <v>8.4</v>
      </c>
      <c r="R728" s="85">
        <v>8.4</v>
      </c>
      <c r="S728" s="87">
        <v>1906800</v>
      </c>
      <c r="T728" s="1">
        <v>2</v>
      </c>
      <c r="U728" s="88">
        <v>227000</v>
      </c>
      <c r="V728" s="59">
        <v>4.4052863436123344</v>
      </c>
    </row>
    <row r="729" spans="1:22">
      <c r="A729" s="58">
        <v>729</v>
      </c>
      <c r="B729" s="58">
        <v>729</v>
      </c>
      <c r="C729" s="58" t="s">
        <v>1268</v>
      </c>
      <c r="D729" s="58" t="s">
        <v>176</v>
      </c>
      <c r="E729" s="58" t="s">
        <v>176</v>
      </c>
      <c r="F729" s="58" t="s">
        <v>1269</v>
      </c>
      <c r="G729" s="58" t="s">
        <v>1270</v>
      </c>
      <c r="H729" s="58" t="s">
        <v>199</v>
      </c>
      <c r="I729">
        <v>110000</v>
      </c>
      <c r="J729">
        <v>110000</v>
      </c>
      <c r="K729">
        <v>38000</v>
      </c>
      <c r="L729" s="74">
        <v>13.653</v>
      </c>
      <c r="M729" s="85">
        <v>14</v>
      </c>
      <c r="N729" s="74">
        <v>5.2519999999999998</v>
      </c>
      <c r="O729">
        <v>2</v>
      </c>
      <c r="P729" s="84">
        <v>3.9390000000000001</v>
      </c>
      <c r="Q729" s="86">
        <v>46.2</v>
      </c>
      <c r="R729" s="85">
        <v>46.2</v>
      </c>
      <c r="S729" s="87">
        <v>3869800</v>
      </c>
      <c r="T729" s="1">
        <v>11</v>
      </c>
      <c r="U729" s="88">
        <v>83761.904761904763</v>
      </c>
      <c r="V729" s="59">
        <v>11.938601478112563</v>
      </c>
    </row>
    <row r="730" spans="1:22">
      <c r="A730" s="89">
        <v>730</v>
      </c>
      <c r="B730" s="89">
        <v>730</v>
      </c>
      <c r="C730" s="89" t="s">
        <v>1271</v>
      </c>
      <c r="D730" s="58" t="s">
        <v>176</v>
      </c>
      <c r="E730" s="58" t="s">
        <v>176</v>
      </c>
      <c r="F730" s="89" t="s">
        <v>265</v>
      </c>
      <c r="G730" s="89" t="s">
        <v>266</v>
      </c>
      <c r="H730" s="89" t="s">
        <v>179</v>
      </c>
      <c r="I730" s="90">
        <v>38000</v>
      </c>
      <c r="J730" s="90">
        <v>38000</v>
      </c>
      <c r="K730" s="89" t="s">
        <v>185</v>
      </c>
      <c r="L730" s="91">
        <v>13.314</v>
      </c>
      <c r="M730" s="92">
        <v>14</v>
      </c>
      <c r="N730" s="91">
        <v>5.0419999999999998</v>
      </c>
      <c r="O730" s="90">
        <v>2</v>
      </c>
      <c r="P730" s="92">
        <v>3.7814999999999999</v>
      </c>
      <c r="Q730" s="93">
        <v>46.2</v>
      </c>
      <c r="R730" s="92">
        <v>46.2</v>
      </c>
      <c r="S730" s="87">
        <v>3869800</v>
      </c>
      <c r="T730" s="94">
        <v>11</v>
      </c>
      <c r="U730" s="95">
        <v>83761.904761904763</v>
      </c>
      <c r="V730" s="96">
        <v>11.938601478112563</v>
      </c>
    </row>
    <row r="731" spans="1:22">
      <c r="A731" s="58">
        <v>731</v>
      </c>
      <c r="B731" s="58">
        <v>731</v>
      </c>
      <c r="C731" s="58" t="s">
        <v>1272</v>
      </c>
      <c r="D731" s="58" t="s">
        <v>176</v>
      </c>
      <c r="E731" s="58" t="s">
        <v>176</v>
      </c>
      <c r="F731" s="58" t="s">
        <v>285</v>
      </c>
      <c r="G731" s="58" t="s">
        <v>286</v>
      </c>
      <c r="H731" s="58" t="s">
        <v>179</v>
      </c>
      <c r="I731">
        <v>38000</v>
      </c>
      <c r="J731">
        <v>38000</v>
      </c>
      <c r="K731">
        <v>20000</v>
      </c>
      <c r="L731" s="74">
        <v>4.3529999999999998</v>
      </c>
      <c r="M731" s="85">
        <v>5</v>
      </c>
      <c r="N731" s="74">
        <v>1.31</v>
      </c>
      <c r="O731">
        <v>2</v>
      </c>
      <c r="P731" s="84">
        <v>0.98250000000000004</v>
      </c>
      <c r="Q731" s="86">
        <v>8.4</v>
      </c>
      <c r="R731" s="85">
        <v>8.4</v>
      </c>
      <c r="S731" s="87">
        <v>699140</v>
      </c>
      <c r="T731" s="1">
        <v>4</v>
      </c>
      <c r="U731" s="88">
        <v>83230.952380952382</v>
      </c>
      <c r="V731" s="59">
        <v>12.014760992075979</v>
      </c>
    </row>
    <row r="732" spans="1:22">
      <c r="A732" s="58">
        <v>732</v>
      </c>
      <c r="B732" s="58">
        <v>732</v>
      </c>
      <c r="C732" s="58" t="s">
        <v>1273</v>
      </c>
      <c r="D732" s="58" t="s">
        <v>176</v>
      </c>
      <c r="E732" s="58" t="s">
        <v>176</v>
      </c>
      <c r="F732" s="58" t="s">
        <v>265</v>
      </c>
      <c r="G732" s="58" t="s">
        <v>266</v>
      </c>
      <c r="H732" s="58" t="s">
        <v>179</v>
      </c>
      <c r="I732">
        <v>38000</v>
      </c>
      <c r="J732">
        <v>38000</v>
      </c>
      <c r="K732" s="58" t="s">
        <v>185</v>
      </c>
      <c r="L732" s="74">
        <v>5.7990000000000004</v>
      </c>
      <c r="M732" s="85">
        <v>6</v>
      </c>
      <c r="N732" s="74">
        <v>4.9050000000000002</v>
      </c>
      <c r="O732">
        <v>2</v>
      </c>
      <c r="P732" s="84">
        <v>3.67875</v>
      </c>
      <c r="Q732" s="86">
        <v>42</v>
      </c>
      <c r="R732" s="85">
        <v>42</v>
      </c>
      <c r="S732" s="87">
        <v>1015350</v>
      </c>
      <c r="T732" s="1">
        <v>6</v>
      </c>
      <c r="U732" s="88">
        <v>24175</v>
      </c>
      <c r="V732" s="59">
        <v>41.365046535677351</v>
      </c>
    </row>
    <row r="733" spans="1:22">
      <c r="A733" s="58">
        <v>733</v>
      </c>
      <c r="B733" s="58">
        <v>733</v>
      </c>
      <c r="C733" s="58" t="s">
        <v>1274</v>
      </c>
      <c r="D733" s="58" t="s">
        <v>176</v>
      </c>
      <c r="E733" s="58" t="s">
        <v>176</v>
      </c>
      <c r="F733" s="58" t="s">
        <v>265</v>
      </c>
      <c r="G733" s="58" t="s">
        <v>266</v>
      </c>
      <c r="H733" s="58" t="s">
        <v>179</v>
      </c>
      <c r="I733">
        <v>38000</v>
      </c>
      <c r="J733">
        <v>38000</v>
      </c>
      <c r="K733" s="58" t="s">
        <v>185</v>
      </c>
      <c r="L733" s="74">
        <v>6.1369999999999996</v>
      </c>
      <c r="M733" s="85">
        <v>7</v>
      </c>
      <c r="N733" s="74">
        <v>0.44500000000000001</v>
      </c>
      <c r="O733">
        <v>2</v>
      </c>
      <c r="P733" s="84">
        <v>0.44500000000000001</v>
      </c>
      <c r="Q733" s="86">
        <v>4.2</v>
      </c>
      <c r="R733" s="85">
        <v>4.2</v>
      </c>
      <c r="S733" s="87">
        <v>839680</v>
      </c>
      <c r="T733" s="1">
        <v>4</v>
      </c>
      <c r="U733" s="88">
        <v>199923.80952380953</v>
      </c>
      <c r="V733" s="59">
        <v>5.0019054878048781</v>
      </c>
    </row>
    <row r="734" spans="1:22">
      <c r="A734" s="89">
        <v>734</v>
      </c>
      <c r="B734" s="89">
        <v>734</v>
      </c>
      <c r="C734" s="89" t="s">
        <v>1275</v>
      </c>
      <c r="D734" s="58" t="s">
        <v>176</v>
      </c>
      <c r="E734" s="58" t="s">
        <v>176</v>
      </c>
      <c r="F734" s="89" t="s">
        <v>285</v>
      </c>
      <c r="G734" s="89" t="s">
        <v>286</v>
      </c>
      <c r="H734" s="89" t="s">
        <v>179</v>
      </c>
      <c r="I734" s="90">
        <v>38000</v>
      </c>
      <c r="J734" s="90">
        <v>38000</v>
      </c>
      <c r="K734" s="90">
        <v>20000</v>
      </c>
      <c r="L734" s="91">
        <v>6.6109999999999998</v>
      </c>
      <c r="M734" s="92">
        <v>7</v>
      </c>
      <c r="N734" s="91">
        <v>22.834</v>
      </c>
      <c r="O734" s="90">
        <v>2</v>
      </c>
      <c r="P734" s="92">
        <v>17.125499999999999</v>
      </c>
      <c r="Q734" s="93">
        <v>210</v>
      </c>
      <c r="R734" s="92">
        <v>210</v>
      </c>
      <c r="S734" s="87">
        <v>7158040</v>
      </c>
      <c r="T734" s="94">
        <v>12</v>
      </c>
      <c r="U734" s="95">
        <v>34085.904761904763</v>
      </c>
      <c r="V734" s="96">
        <v>29.337639912601773</v>
      </c>
    </row>
    <row r="735" spans="1:22">
      <c r="A735" s="58">
        <v>735</v>
      </c>
      <c r="B735" s="58">
        <v>735</v>
      </c>
      <c r="C735" s="58" t="s">
        <v>1276</v>
      </c>
      <c r="D735" s="58" t="s">
        <v>176</v>
      </c>
      <c r="E735" s="58" t="s">
        <v>176</v>
      </c>
      <c r="F735" s="58" t="s">
        <v>265</v>
      </c>
      <c r="G735" s="58" t="s">
        <v>266</v>
      </c>
      <c r="H735" s="58" t="s">
        <v>179</v>
      </c>
      <c r="I735">
        <v>38000</v>
      </c>
      <c r="J735">
        <v>38000</v>
      </c>
      <c r="K735" s="58" t="s">
        <v>185</v>
      </c>
      <c r="L735" s="74">
        <v>5.4219999999999997</v>
      </c>
      <c r="M735" s="85">
        <v>6</v>
      </c>
      <c r="N735" s="74">
        <v>1.1759999999999999</v>
      </c>
      <c r="O735">
        <v>2</v>
      </c>
      <c r="P735" s="84">
        <v>0.8819999999999999</v>
      </c>
      <c r="Q735" s="86">
        <v>8.4</v>
      </c>
      <c r="R735" s="85">
        <v>8.4</v>
      </c>
      <c r="S735" s="87">
        <v>769410</v>
      </c>
      <c r="T735" s="1">
        <v>4</v>
      </c>
      <c r="U735" s="88">
        <v>91596.428571428565</v>
      </c>
      <c r="V735" s="59">
        <v>10.917456232697781</v>
      </c>
    </row>
    <row r="736" spans="1:22">
      <c r="A736" s="58">
        <v>736</v>
      </c>
      <c r="B736" s="58">
        <v>736</v>
      </c>
      <c r="C736" s="58" t="s">
        <v>1277</v>
      </c>
      <c r="D736" s="58" t="s">
        <v>176</v>
      </c>
      <c r="E736" s="58" t="s">
        <v>176</v>
      </c>
      <c r="F736" s="58" t="s">
        <v>265</v>
      </c>
      <c r="G736" s="58" t="s">
        <v>266</v>
      </c>
      <c r="H736" s="58" t="s">
        <v>179</v>
      </c>
      <c r="I736">
        <v>38000</v>
      </c>
      <c r="J736">
        <v>38000</v>
      </c>
      <c r="K736" s="58" t="s">
        <v>185</v>
      </c>
      <c r="L736" s="74">
        <v>15.583</v>
      </c>
      <c r="M736" s="85">
        <v>16</v>
      </c>
      <c r="N736" s="74">
        <v>2.7269999999999999</v>
      </c>
      <c r="O736">
        <v>2</v>
      </c>
      <c r="P736" s="84">
        <v>2.0452499999999998</v>
      </c>
      <c r="Q736" s="86">
        <v>25.200000000000003</v>
      </c>
      <c r="R736" s="85">
        <v>25.200000000000003</v>
      </c>
      <c r="S736" s="87">
        <v>1769070</v>
      </c>
      <c r="T736" s="1">
        <v>5</v>
      </c>
      <c r="U736" s="88">
        <v>70201.190476190473</v>
      </c>
      <c r="V736" s="59">
        <v>14.244772677169362</v>
      </c>
    </row>
    <row r="737" spans="1:22">
      <c r="A737" s="58">
        <v>737</v>
      </c>
      <c r="B737" s="58">
        <v>737</v>
      </c>
      <c r="C737" s="58" t="s">
        <v>1278</v>
      </c>
      <c r="D737" s="58" t="s">
        <v>176</v>
      </c>
      <c r="E737" s="58" t="s">
        <v>176</v>
      </c>
      <c r="F737" s="58" t="s">
        <v>262</v>
      </c>
      <c r="G737" s="58" t="s">
        <v>263</v>
      </c>
      <c r="H737" s="58" t="s">
        <v>179</v>
      </c>
      <c r="I737">
        <v>38000</v>
      </c>
      <c r="J737" s="58" t="s">
        <v>185</v>
      </c>
      <c r="K737">
        <v>38000</v>
      </c>
      <c r="L737" s="74">
        <v>7.63</v>
      </c>
      <c r="M737" s="85">
        <v>8</v>
      </c>
      <c r="N737" s="74">
        <v>0.52700000000000002</v>
      </c>
      <c r="O737">
        <v>2</v>
      </c>
      <c r="P737" s="84">
        <v>0.52700000000000002</v>
      </c>
      <c r="Q737" s="86">
        <v>4.2</v>
      </c>
      <c r="R737" s="85">
        <v>4.2</v>
      </c>
      <c r="S737" s="87">
        <v>909950</v>
      </c>
      <c r="T737" s="1">
        <v>4</v>
      </c>
      <c r="U737" s="88">
        <v>216654.76190476189</v>
      </c>
      <c r="V737" s="59">
        <v>4.6156382218803227</v>
      </c>
    </row>
    <row r="738" spans="1:22">
      <c r="A738" s="58">
        <v>738</v>
      </c>
      <c r="B738" s="58">
        <v>738</v>
      </c>
      <c r="C738" s="58" t="s">
        <v>1279</v>
      </c>
      <c r="D738" s="58" t="s">
        <v>176</v>
      </c>
      <c r="E738" s="58" t="s">
        <v>176</v>
      </c>
      <c r="F738" s="58" t="s">
        <v>177</v>
      </c>
      <c r="G738" s="58" t="s">
        <v>178</v>
      </c>
      <c r="H738" s="58" t="s">
        <v>179</v>
      </c>
      <c r="I738">
        <v>38000</v>
      </c>
      <c r="J738">
        <v>38000</v>
      </c>
      <c r="K738">
        <v>20000</v>
      </c>
      <c r="L738" s="74">
        <v>6.9850000000000003</v>
      </c>
      <c r="M738" s="85">
        <v>7</v>
      </c>
      <c r="N738" s="74">
        <v>0.45</v>
      </c>
      <c r="O738">
        <v>2</v>
      </c>
      <c r="P738" s="84">
        <v>0.45</v>
      </c>
      <c r="Q738" s="86">
        <v>4.2</v>
      </c>
      <c r="R738" s="85">
        <v>4.2</v>
      </c>
      <c r="S738" s="87">
        <v>839680</v>
      </c>
      <c r="T738" s="1">
        <v>4</v>
      </c>
      <c r="U738" s="88">
        <v>199923.80952380953</v>
      </c>
      <c r="V738" s="59">
        <v>5.0019054878048781</v>
      </c>
    </row>
    <row r="739" spans="1:22">
      <c r="A739" s="58">
        <v>739</v>
      </c>
      <c r="B739" s="58">
        <v>739</v>
      </c>
      <c r="C739" s="58" t="s">
        <v>1280</v>
      </c>
      <c r="D739" s="58" t="s">
        <v>176</v>
      </c>
      <c r="E739" s="58" t="s">
        <v>176</v>
      </c>
      <c r="F739" s="58" t="s">
        <v>262</v>
      </c>
      <c r="G739" s="58" t="s">
        <v>263</v>
      </c>
      <c r="H739" s="58" t="s">
        <v>179</v>
      </c>
      <c r="I739">
        <v>38000</v>
      </c>
      <c r="J739" s="58" t="s">
        <v>185</v>
      </c>
      <c r="K739">
        <v>38000</v>
      </c>
      <c r="L739" s="74">
        <v>9.0920000000000005</v>
      </c>
      <c r="M739" s="85">
        <v>10</v>
      </c>
      <c r="N739" s="74">
        <v>1.2969999999999999</v>
      </c>
      <c r="O739">
        <v>2</v>
      </c>
      <c r="P739" s="84">
        <v>0.97275</v>
      </c>
      <c r="Q739" s="86">
        <v>8.4</v>
      </c>
      <c r="R739" s="85">
        <v>8.4</v>
      </c>
      <c r="S739" s="87">
        <v>1432500</v>
      </c>
      <c r="T739" s="1">
        <v>2</v>
      </c>
      <c r="U739" s="88">
        <v>170535.71428571429</v>
      </c>
      <c r="V739" s="59">
        <v>5.8638743455497382</v>
      </c>
    </row>
    <row r="740" spans="1:22">
      <c r="A740" s="58">
        <v>740</v>
      </c>
      <c r="B740" s="58">
        <v>740</v>
      </c>
      <c r="C740" s="58" t="s">
        <v>1281</v>
      </c>
      <c r="D740" s="58" t="s">
        <v>176</v>
      </c>
      <c r="E740" s="58" t="s">
        <v>176</v>
      </c>
      <c r="F740" s="58" t="s">
        <v>177</v>
      </c>
      <c r="G740" s="58" t="s">
        <v>178</v>
      </c>
      <c r="H740" s="58" t="s">
        <v>179</v>
      </c>
      <c r="I740">
        <v>38000</v>
      </c>
      <c r="J740">
        <v>38000</v>
      </c>
      <c r="K740">
        <v>20000</v>
      </c>
      <c r="L740" s="74">
        <v>5.516</v>
      </c>
      <c r="M740" s="85">
        <v>6</v>
      </c>
      <c r="N740" s="74">
        <v>0.97699999999999998</v>
      </c>
      <c r="O740">
        <v>2</v>
      </c>
      <c r="P740" s="84">
        <v>0.73275000000000001</v>
      </c>
      <c r="Q740" s="86">
        <v>8.4</v>
      </c>
      <c r="R740" s="85">
        <v>8.4</v>
      </c>
      <c r="S740" s="87">
        <v>769410</v>
      </c>
      <c r="T740" s="1">
        <v>4</v>
      </c>
      <c r="U740" s="88">
        <v>91596.428571428565</v>
      </c>
      <c r="V740" s="59">
        <v>10.917456232697781</v>
      </c>
    </row>
    <row r="741" spans="1:22">
      <c r="A741" s="58">
        <v>741</v>
      </c>
      <c r="B741" s="58">
        <v>741</v>
      </c>
      <c r="C741" s="58" t="s">
        <v>1282</v>
      </c>
      <c r="D741" s="58" t="s">
        <v>176</v>
      </c>
      <c r="E741" s="58" t="s">
        <v>176</v>
      </c>
      <c r="F741" s="58" t="s">
        <v>262</v>
      </c>
      <c r="G741" s="58" t="s">
        <v>263</v>
      </c>
      <c r="H741" s="58" t="s">
        <v>179</v>
      </c>
      <c r="I741">
        <v>38000</v>
      </c>
      <c r="J741" s="58" t="s">
        <v>185</v>
      </c>
      <c r="K741">
        <v>38000</v>
      </c>
      <c r="L741" s="74">
        <v>9.2040000000000006</v>
      </c>
      <c r="M741" s="85">
        <v>10</v>
      </c>
      <c r="N741" s="74">
        <v>4.0289999999999999</v>
      </c>
      <c r="O741">
        <v>2</v>
      </c>
      <c r="P741" s="84">
        <v>3.0217499999999999</v>
      </c>
      <c r="Q741" s="86">
        <v>33.6</v>
      </c>
      <c r="R741" s="85">
        <v>33.6</v>
      </c>
      <c r="S741" s="87">
        <v>1460390</v>
      </c>
      <c r="T741" s="1">
        <v>6</v>
      </c>
      <c r="U741" s="88">
        <v>43463.988095238092</v>
      </c>
      <c r="V741" s="59">
        <v>23.007552776997926</v>
      </c>
    </row>
    <row r="742" spans="1:22">
      <c r="A742" s="58">
        <v>742</v>
      </c>
      <c r="B742" s="58">
        <v>742</v>
      </c>
      <c r="C742" s="58" t="s">
        <v>1283</v>
      </c>
      <c r="D742" s="58" t="s">
        <v>176</v>
      </c>
      <c r="E742" s="58" t="s">
        <v>176</v>
      </c>
      <c r="F742" s="58" t="s">
        <v>262</v>
      </c>
      <c r="G742" s="58" t="s">
        <v>263</v>
      </c>
      <c r="H742" s="58" t="s">
        <v>179</v>
      </c>
      <c r="I742">
        <v>38000</v>
      </c>
      <c r="J742" s="58" t="s">
        <v>185</v>
      </c>
      <c r="K742">
        <v>38000</v>
      </c>
      <c r="L742" s="74">
        <v>15.202</v>
      </c>
      <c r="M742" s="85">
        <v>16</v>
      </c>
      <c r="N742" s="74">
        <v>2.145</v>
      </c>
      <c r="O742">
        <v>2</v>
      </c>
      <c r="P742" s="84">
        <v>1.6087500000000001</v>
      </c>
      <c r="Q742" s="86">
        <v>16.8</v>
      </c>
      <c r="R742" s="85">
        <v>16.8</v>
      </c>
      <c r="S742" s="87">
        <v>1472110</v>
      </c>
      <c r="T742" s="1">
        <v>4</v>
      </c>
      <c r="U742" s="88">
        <v>87625.595238095237</v>
      </c>
      <c r="V742" s="59">
        <v>11.412190665099756</v>
      </c>
    </row>
    <row r="743" spans="1:22">
      <c r="A743" s="89">
        <v>743</v>
      </c>
      <c r="B743" s="89">
        <v>743</v>
      </c>
      <c r="C743" s="89" t="s">
        <v>1284</v>
      </c>
      <c r="D743" s="58" t="s">
        <v>176</v>
      </c>
      <c r="E743" s="58" t="s">
        <v>176</v>
      </c>
      <c r="F743" s="89" t="s">
        <v>262</v>
      </c>
      <c r="G743" s="89" t="s">
        <v>263</v>
      </c>
      <c r="H743" s="89" t="s">
        <v>179</v>
      </c>
      <c r="I743" s="90">
        <v>38000</v>
      </c>
      <c r="J743" s="89" t="s">
        <v>185</v>
      </c>
      <c r="K743" s="90">
        <v>38000</v>
      </c>
      <c r="L743" s="91">
        <v>12.385999999999999</v>
      </c>
      <c r="M743" s="92">
        <v>13</v>
      </c>
      <c r="N743" s="91">
        <v>5.7539999999999996</v>
      </c>
      <c r="O743" s="90">
        <v>2</v>
      </c>
      <c r="P743" s="92">
        <v>4.3155000000000001</v>
      </c>
      <c r="Q743" s="93">
        <v>50.400000000000006</v>
      </c>
      <c r="R743" s="92">
        <v>50.400000000000006</v>
      </c>
      <c r="S743" s="87">
        <v>3658990</v>
      </c>
      <c r="T743" s="94">
        <v>11</v>
      </c>
      <c r="U743" s="95">
        <v>72599.007936507929</v>
      </c>
      <c r="V743" s="96">
        <v>13.774292905965856</v>
      </c>
    </row>
    <row r="744" spans="1:22">
      <c r="A744" s="58">
        <v>744</v>
      </c>
      <c r="B744" s="58">
        <v>744</v>
      </c>
      <c r="C744" s="58" t="s">
        <v>1285</v>
      </c>
      <c r="D744" s="58" t="s">
        <v>176</v>
      </c>
      <c r="E744" s="58" t="s">
        <v>176</v>
      </c>
      <c r="F744" s="58" t="s">
        <v>262</v>
      </c>
      <c r="G744" s="58" t="s">
        <v>263</v>
      </c>
      <c r="H744" s="58" t="s">
        <v>179</v>
      </c>
      <c r="I744">
        <v>38000</v>
      </c>
      <c r="J744" s="58" t="s">
        <v>185</v>
      </c>
      <c r="K744">
        <v>38000</v>
      </c>
      <c r="L744" s="74">
        <v>8.7720000000000002</v>
      </c>
      <c r="M744" s="85">
        <v>9</v>
      </c>
      <c r="N744" s="74">
        <v>1.86</v>
      </c>
      <c r="O744">
        <v>2</v>
      </c>
      <c r="P744" s="84">
        <v>1.395</v>
      </c>
      <c r="Q744" s="86">
        <v>16.8</v>
      </c>
      <c r="R744" s="85">
        <v>16.8</v>
      </c>
      <c r="S744" s="87">
        <v>980220</v>
      </c>
      <c r="T744" s="1">
        <v>4</v>
      </c>
      <c r="U744" s="88">
        <v>58346.428571428572</v>
      </c>
      <c r="V744" s="59">
        <v>17.13900961008753</v>
      </c>
    </row>
    <row r="745" spans="1:22">
      <c r="A745" s="58">
        <v>745</v>
      </c>
      <c r="B745" s="58">
        <v>745</v>
      </c>
      <c r="C745" s="58" t="s">
        <v>1286</v>
      </c>
      <c r="D745" s="58" t="s">
        <v>176</v>
      </c>
      <c r="E745" s="58" t="s">
        <v>176</v>
      </c>
      <c r="F745" s="58" t="s">
        <v>262</v>
      </c>
      <c r="G745" s="58" t="s">
        <v>263</v>
      </c>
      <c r="H745" s="58" t="s">
        <v>179</v>
      </c>
      <c r="I745">
        <v>38000</v>
      </c>
      <c r="J745" s="58" t="s">
        <v>185</v>
      </c>
      <c r="K745">
        <v>38000</v>
      </c>
      <c r="L745" s="74">
        <v>4.2</v>
      </c>
      <c r="M745" s="85">
        <v>5</v>
      </c>
      <c r="N745" s="74">
        <v>4.7809999999999997</v>
      </c>
      <c r="O745">
        <v>2</v>
      </c>
      <c r="P745" s="84">
        <v>3.58575</v>
      </c>
      <c r="Q745" s="86">
        <v>42</v>
      </c>
      <c r="R745" s="85">
        <v>42</v>
      </c>
      <c r="S745" s="87">
        <v>904090</v>
      </c>
      <c r="T745" s="1">
        <v>6</v>
      </c>
      <c r="U745" s="88">
        <v>21525.952380952382</v>
      </c>
      <c r="V745" s="59">
        <v>46.455551991505267</v>
      </c>
    </row>
    <row r="746" spans="1:22">
      <c r="A746" s="58">
        <v>746</v>
      </c>
      <c r="B746" s="58">
        <v>746</v>
      </c>
      <c r="C746" s="58" t="s">
        <v>1287</v>
      </c>
      <c r="D746" s="58" t="s">
        <v>176</v>
      </c>
      <c r="E746" s="58" t="s">
        <v>176</v>
      </c>
      <c r="F746" s="58" t="s">
        <v>262</v>
      </c>
      <c r="G746" s="58" t="s">
        <v>263</v>
      </c>
      <c r="H746" s="58" t="s">
        <v>179</v>
      </c>
      <c r="I746">
        <v>38000</v>
      </c>
      <c r="J746" s="58" t="s">
        <v>185</v>
      </c>
      <c r="K746">
        <v>38000</v>
      </c>
      <c r="L746" s="74">
        <v>6.55</v>
      </c>
      <c r="M746" s="85">
        <v>7</v>
      </c>
      <c r="N746" s="74">
        <v>1.419</v>
      </c>
      <c r="O746">
        <v>2</v>
      </c>
      <c r="P746" s="84">
        <v>1.0642499999999999</v>
      </c>
      <c r="Q746" s="86">
        <v>12.600000000000001</v>
      </c>
      <c r="R746" s="85">
        <v>12.600000000000001</v>
      </c>
      <c r="S746" s="87">
        <v>839680</v>
      </c>
      <c r="T746" s="1">
        <v>4</v>
      </c>
      <c r="U746" s="88">
        <v>66641.269841269837</v>
      </c>
      <c r="V746" s="59">
        <v>15.005716463414636</v>
      </c>
    </row>
    <row r="747" spans="1:22">
      <c r="A747" s="58">
        <v>747</v>
      </c>
      <c r="B747" s="58">
        <v>747</v>
      </c>
      <c r="C747" s="58" t="s">
        <v>1288</v>
      </c>
      <c r="D747" s="58" t="s">
        <v>176</v>
      </c>
      <c r="E747" s="58" t="s">
        <v>176</v>
      </c>
      <c r="F747" s="58" t="s">
        <v>262</v>
      </c>
      <c r="G747" s="58" t="s">
        <v>263</v>
      </c>
      <c r="H747" s="58" t="s">
        <v>179</v>
      </c>
      <c r="I747">
        <v>38000</v>
      </c>
      <c r="J747" s="58" t="s">
        <v>185</v>
      </c>
      <c r="K747">
        <v>38000</v>
      </c>
      <c r="L747" s="74">
        <v>9.0459999999999994</v>
      </c>
      <c r="M747" s="85">
        <v>10</v>
      </c>
      <c r="N747" s="74">
        <v>2.3879999999999999</v>
      </c>
      <c r="O747">
        <v>2</v>
      </c>
      <c r="P747" s="84">
        <v>1.7909999999999999</v>
      </c>
      <c r="Q747" s="86">
        <v>21</v>
      </c>
      <c r="R747" s="85">
        <v>21</v>
      </c>
      <c r="S747" s="87">
        <v>1050490</v>
      </c>
      <c r="T747" s="1">
        <v>4</v>
      </c>
      <c r="U747" s="88">
        <v>50023.333333333336</v>
      </c>
      <c r="V747" s="59">
        <v>19.990671020190579</v>
      </c>
    </row>
    <row r="748" spans="1:22">
      <c r="A748" s="58">
        <v>748</v>
      </c>
      <c r="B748" s="58">
        <v>748</v>
      </c>
      <c r="C748" s="58" t="s">
        <v>1289</v>
      </c>
      <c r="D748" s="58" t="s">
        <v>176</v>
      </c>
      <c r="E748" s="58" t="s">
        <v>176</v>
      </c>
      <c r="F748" s="58" t="s">
        <v>269</v>
      </c>
      <c r="G748" s="58" t="s">
        <v>270</v>
      </c>
      <c r="H748" s="58" t="s">
        <v>179</v>
      </c>
      <c r="I748">
        <v>38000</v>
      </c>
      <c r="J748">
        <v>38000</v>
      </c>
      <c r="K748">
        <v>20000</v>
      </c>
      <c r="L748" s="74">
        <v>14.441000000000001</v>
      </c>
      <c r="M748" s="85">
        <v>15</v>
      </c>
      <c r="N748" s="74">
        <v>3.9540000000000002</v>
      </c>
      <c r="O748">
        <v>2</v>
      </c>
      <c r="P748" s="84">
        <v>2.9655</v>
      </c>
      <c r="Q748" s="86">
        <v>33.6</v>
      </c>
      <c r="R748" s="85">
        <v>33.6</v>
      </c>
      <c r="S748" s="87">
        <v>2016690</v>
      </c>
      <c r="T748" s="1">
        <v>6</v>
      </c>
      <c r="U748" s="88">
        <v>60020.53571428571</v>
      </c>
      <c r="V748" s="59">
        <v>16.660964253306162</v>
      </c>
    </row>
    <row r="749" spans="1:22">
      <c r="A749" s="89">
        <v>749</v>
      </c>
      <c r="B749" s="89">
        <v>749</v>
      </c>
      <c r="C749" s="89" t="s">
        <v>1290</v>
      </c>
      <c r="D749" s="58" t="s">
        <v>215</v>
      </c>
      <c r="E749" s="58" t="s">
        <v>176</v>
      </c>
      <c r="F749" s="89" t="s">
        <v>257</v>
      </c>
      <c r="G749" s="89" t="s">
        <v>258</v>
      </c>
      <c r="H749" s="89" t="s">
        <v>179</v>
      </c>
      <c r="I749" s="90">
        <v>38000</v>
      </c>
      <c r="J749" s="90">
        <v>38000</v>
      </c>
      <c r="K749" s="90">
        <v>20000</v>
      </c>
      <c r="L749" s="91">
        <v>6.8929999999999998</v>
      </c>
      <c r="M749" s="92">
        <v>7</v>
      </c>
      <c r="N749" s="91">
        <v>26.94</v>
      </c>
      <c r="O749" s="90">
        <v>2</v>
      </c>
      <c r="P749" s="92">
        <v>20.205000000000002</v>
      </c>
      <c r="Q749" s="93">
        <v>247.8</v>
      </c>
      <c r="R749" s="92">
        <v>247.8</v>
      </c>
      <c r="S749" s="87">
        <v>7158040</v>
      </c>
      <c r="T749" s="94">
        <v>12</v>
      </c>
      <c r="U749" s="95">
        <v>28886.3599677159</v>
      </c>
      <c r="V749" s="96">
        <v>34.618415096870095</v>
      </c>
    </row>
    <row r="750" spans="1:22">
      <c r="A750" s="58">
        <v>750</v>
      </c>
      <c r="B750" s="58">
        <v>750</v>
      </c>
      <c r="C750" s="58" t="s">
        <v>1291</v>
      </c>
      <c r="D750" s="58" t="s">
        <v>176</v>
      </c>
      <c r="E750" s="58" t="s">
        <v>176</v>
      </c>
      <c r="F750" s="58" t="s">
        <v>222</v>
      </c>
      <c r="G750" s="58" t="s">
        <v>223</v>
      </c>
      <c r="H750" s="58" t="s">
        <v>179</v>
      </c>
      <c r="I750">
        <v>38000</v>
      </c>
      <c r="J750">
        <v>38000</v>
      </c>
      <c r="K750">
        <v>20000</v>
      </c>
      <c r="L750" s="74">
        <v>11.683999999999999</v>
      </c>
      <c r="M750" s="85">
        <v>12</v>
      </c>
      <c r="N750" s="74">
        <v>3.6949999999999998</v>
      </c>
      <c r="O750">
        <v>2</v>
      </c>
      <c r="P750" s="84">
        <v>2.7712499999999998</v>
      </c>
      <c r="Q750" s="86">
        <v>33.6</v>
      </c>
      <c r="R750" s="85">
        <v>33.6</v>
      </c>
      <c r="S750" s="87">
        <v>1682910</v>
      </c>
      <c r="T750" s="1">
        <v>6</v>
      </c>
      <c r="U750" s="88">
        <v>50086.607142857138</v>
      </c>
      <c r="V750" s="59">
        <v>19.965417045474801</v>
      </c>
    </row>
    <row r="751" spans="1:22">
      <c r="A751" s="58">
        <v>751</v>
      </c>
      <c r="B751" s="58">
        <v>751</v>
      </c>
      <c r="C751" s="58" t="s">
        <v>1292</v>
      </c>
      <c r="D751" s="58" t="s">
        <v>176</v>
      </c>
      <c r="E751" s="58" t="s">
        <v>176</v>
      </c>
      <c r="F751" s="58" t="s">
        <v>222</v>
      </c>
      <c r="G751" s="58" t="s">
        <v>223</v>
      </c>
      <c r="H751" s="58" t="s">
        <v>179</v>
      </c>
      <c r="I751">
        <v>38000</v>
      </c>
      <c r="J751">
        <v>38000</v>
      </c>
      <c r="K751">
        <v>20000</v>
      </c>
      <c r="L751" s="74">
        <v>9.048</v>
      </c>
      <c r="M751" s="85">
        <v>10</v>
      </c>
      <c r="N751" s="74">
        <v>3.714</v>
      </c>
      <c r="O751">
        <v>2</v>
      </c>
      <c r="P751" s="84">
        <v>2.7854999999999999</v>
      </c>
      <c r="Q751" s="86">
        <v>33.6</v>
      </c>
      <c r="R751" s="85">
        <v>33.6</v>
      </c>
      <c r="S751" s="87">
        <v>1460390</v>
      </c>
      <c r="T751" s="1">
        <v>6</v>
      </c>
      <c r="U751" s="88">
        <v>43463.988095238092</v>
      </c>
      <c r="V751" s="59">
        <v>23.007552776997926</v>
      </c>
    </row>
    <row r="752" spans="1:22">
      <c r="A752" s="58">
        <v>752</v>
      </c>
      <c r="B752" s="58">
        <v>752</v>
      </c>
      <c r="C752" s="58" t="s">
        <v>1293</v>
      </c>
      <c r="D752" s="58" t="s">
        <v>176</v>
      </c>
      <c r="E752" s="58" t="s">
        <v>176</v>
      </c>
      <c r="F752" s="58" t="s">
        <v>222</v>
      </c>
      <c r="G752" s="58" t="s">
        <v>223</v>
      </c>
      <c r="H752" s="58" t="s">
        <v>179</v>
      </c>
      <c r="I752">
        <v>38000</v>
      </c>
      <c r="J752">
        <v>38000</v>
      </c>
      <c r="K752">
        <v>20000</v>
      </c>
      <c r="L752" s="74">
        <v>5.1150000000000002</v>
      </c>
      <c r="M752" s="85">
        <v>6</v>
      </c>
      <c r="N752" s="74">
        <v>1.496</v>
      </c>
      <c r="O752">
        <v>2</v>
      </c>
      <c r="P752" s="84">
        <v>1.1219999999999999</v>
      </c>
      <c r="Q752" s="86">
        <v>12.600000000000001</v>
      </c>
      <c r="R752" s="85">
        <v>12.600000000000001</v>
      </c>
      <c r="S752" s="87">
        <v>769410</v>
      </c>
      <c r="T752" s="1">
        <v>4</v>
      </c>
      <c r="U752" s="88">
        <v>61064.28571428571</v>
      </c>
      <c r="V752" s="59">
        <v>16.376184349046675</v>
      </c>
    </row>
    <row r="753" spans="1:22">
      <c r="A753" s="58">
        <v>753</v>
      </c>
      <c r="B753" s="58">
        <v>753</v>
      </c>
      <c r="C753" s="58" t="s">
        <v>1294</v>
      </c>
      <c r="D753" s="58" t="s">
        <v>176</v>
      </c>
      <c r="E753" s="58" t="s">
        <v>176</v>
      </c>
      <c r="F753" s="58" t="s">
        <v>222</v>
      </c>
      <c r="G753" s="58" t="s">
        <v>223</v>
      </c>
      <c r="H753" s="58" t="s">
        <v>179</v>
      </c>
      <c r="I753">
        <v>38000</v>
      </c>
      <c r="J753">
        <v>38000</v>
      </c>
      <c r="K753">
        <v>20000</v>
      </c>
      <c r="L753" s="74">
        <v>2.6389999999999998</v>
      </c>
      <c r="M753" s="85">
        <v>3</v>
      </c>
      <c r="N753" s="74">
        <v>1.1519999999999999</v>
      </c>
      <c r="O753">
        <v>2</v>
      </c>
      <c r="P753" s="84">
        <v>0.86399999999999988</v>
      </c>
      <c r="Q753" s="86">
        <v>8.4</v>
      </c>
      <c r="R753" s="85">
        <v>8.4</v>
      </c>
      <c r="S753" s="87">
        <v>558600</v>
      </c>
      <c r="T753" s="1">
        <v>4</v>
      </c>
      <c r="U753" s="88">
        <v>66500</v>
      </c>
      <c r="V753" s="59">
        <v>15.037593984962406</v>
      </c>
    </row>
    <row r="754" spans="1:22">
      <c r="A754" s="58">
        <v>754</v>
      </c>
      <c r="B754" s="58">
        <v>754</v>
      </c>
      <c r="C754" s="58" t="s">
        <v>1295</v>
      </c>
      <c r="D754" s="58" t="s">
        <v>176</v>
      </c>
      <c r="E754" s="58" t="s">
        <v>176</v>
      </c>
      <c r="F754" s="58" t="s">
        <v>222</v>
      </c>
      <c r="G754" s="58" t="s">
        <v>223</v>
      </c>
      <c r="H754" s="58" t="s">
        <v>179</v>
      </c>
      <c r="I754">
        <v>38000</v>
      </c>
      <c r="J754">
        <v>38000</v>
      </c>
      <c r="K754">
        <v>20000</v>
      </c>
      <c r="L754" s="74">
        <v>4.9329999999999998</v>
      </c>
      <c r="M754" s="85">
        <v>5</v>
      </c>
      <c r="N754" s="74">
        <v>0.755</v>
      </c>
      <c r="O754">
        <v>2</v>
      </c>
      <c r="P754" s="84">
        <v>0.56625000000000003</v>
      </c>
      <c r="Q754" s="86">
        <v>4.2</v>
      </c>
      <c r="R754" s="85">
        <v>4.2</v>
      </c>
      <c r="S754" s="87">
        <v>699140</v>
      </c>
      <c r="T754" s="1">
        <v>4</v>
      </c>
      <c r="U754" s="88">
        <v>166461.90476190476</v>
      </c>
      <c r="V754" s="59">
        <v>6.0073804960379897</v>
      </c>
    </row>
    <row r="755" spans="1:22">
      <c r="A755" s="58">
        <v>755</v>
      </c>
      <c r="B755" s="58">
        <v>755</v>
      </c>
      <c r="C755" s="58" t="s">
        <v>1296</v>
      </c>
      <c r="D755" s="58" t="s">
        <v>176</v>
      </c>
      <c r="E755" s="58" t="s">
        <v>176</v>
      </c>
      <c r="F755" s="58" t="s">
        <v>222</v>
      </c>
      <c r="G755" s="58" t="s">
        <v>223</v>
      </c>
      <c r="H755" s="58" t="s">
        <v>179</v>
      </c>
      <c r="I755">
        <v>38000</v>
      </c>
      <c r="J755">
        <v>38000</v>
      </c>
      <c r="K755">
        <v>20000</v>
      </c>
      <c r="L755" s="74">
        <v>7.2960000000000003</v>
      </c>
      <c r="M755" s="85">
        <v>8</v>
      </c>
      <c r="N755" s="74">
        <v>1.256</v>
      </c>
      <c r="O755">
        <v>2</v>
      </c>
      <c r="P755" s="84">
        <v>0.94199999999999995</v>
      </c>
      <c r="Q755" s="86">
        <v>8.4</v>
      </c>
      <c r="R755" s="85">
        <v>8.4</v>
      </c>
      <c r="S755" s="87">
        <v>909950</v>
      </c>
      <c r="T755" s="1">
        <v>4</v>
      </c>
      <c r="U755" s="88">
        <v>108327.38095238095</v>
      </c>
      <c r="V755" s="59">
        <v>9.2312764437606454</v>
      </c>
    </row>
    <row r="756" spans="1:22">
      <c r="A756" s="58">
        <v>756</v>
      </c>
      <c r="B756" s="58">
        <v>756</v>
      </c>
      <c r="C756" s="58" t="s">
        <v>1297</v>
      </c>
      <c r="D756" s="58" t="s">
        <v>176</v>
      </c>
      <c r="E756" s="58" t="s">
        <v>176</v>
      </c>
      <c r="F756" s="58" t="s">
        <v>222</v>
      </c>
      <c r="G756" s="58" t="s">
        <v>223</v>
      </c>
      <c r="H756" s="58" t="s">
        <v>179</v>
      </c>
      <c r="I756">
        <v>38000</v>
      </c>
      <c r="J756">
        <v>38000</v>
      </c>
      <c r="K756">
        <v>20000</v>
      </c>
      <c r="L756" s="74">
        <v>9.9879999999999995</v>
      </c>
      <c r="M756" s="85">
        <v>10</v>
      </c>
      <c r="N756" s="74">
        <v>1.839</v>
      </c>
      <c r="O756">
        <v>2</v>
      </c>
      <c r="P756" s="84">
        <v>1.3792499999999999</v>
      </c>
      <c r="Q756" s="86">
        <v>16.8</v>
      </c>
      <c r="R756" s="85">
        <v>16.8</v>
      </c>
      <c r="S756" s="87">
        <v>1050490</v>
      </c>
      <c r="T756" s="1">
        <v>4</v>
      </c>
      <c r="U756" s="88">
        <v>62529.166666666664</v>
      </c>
      <c r="V756" s="59">
        <v>15.992536816152462</v>
      </c>
    </row>
    <row r="757" spans="1:22">
      <c r="A757" s="58">
        <v>757</v>
      </c>
      <c r="B757" s="58">
        <v>757</v>
      </c>
      <c r="C757" s="58" t="s">
        <v>1298</v>
      </c>
      <c r="D757" s="58" t="s">
        <v>176</v>
      </c>
      <c r="E757" s="58" t="s">
        <v>176</v>
      </c>
      <c r="F757" s="58" t="s">
        <v>290</v>
      </c>
      <c r="G757" s="58" t="s">
        <v>291</v>
      </c>
      <c r="H757" s="58" t="s">
        <v>179</v>
      </c>
      <c r="I757">
        <v>38000</v>
      </c>
      <c r="J757">
        <v>38000</v>
      </c>
      <c r="K757">
        <v>20000</v>
      </c>
      <c r="L757" s="74">
        <v>9.2200000000000006</v>
      </c>
      <c r="M757" s="85">
        <v>10</v>
      </c>
      <c r="N757" s="74">
        <v>0.98099999999999998</v>
      </c>
      <c r="O757">
        <v>2</v>
      </c>
      <c r="P757" s="84">
        <v>0.73575000000000002</v>
      </c>
      <c r="Q757" s="86">
        <v>8.4</v>
      </c>
      <c r="R757" s="85">
        <v>8.4</v>
      </c>
      <c r="S757" s="87">
        <v>1432500</v>
      </c>
      <c r="T757" s="1">
        <v>2</v>
      </c>
      <c r="U757" s="88">
        <v>170535.71428571429</v>
      </c>
      <c r="V757" s="59">
        <v>5.8638743455497382</v>
      </c>
    </row>
    <row r="758" spans="1:22">
      <c r="A758" s="89">
        <v>758</v>
      </c>
      <c r="B758" s="89">
        <v>758</v>
      </c>
      <c r="C758" s="89" t="s">
        <v>1299</v>
      </c>
      <c r="D758" s="58" t="s">
        <v>176</v>
      </c>
      <c r="E758" s="58" t="s">
        <v>176</v>
      </c>
      <c r="F758" s="89" t="s">
        <v>290</v>
      </c>
      <c r="G758" s="89" t="s">
        <v>291</v>
      </c>
      <c r="H758" s="89" t="s">
        <v>179</v>
      </c>
      <c r="I758" s="90">
        <v>38000</v>
      </c>
      <c r="J758" s="90">
        <v>38000</v>
      </c>
      <c r="K758" s="90">
        <v>20000</v>
      </c>
      <c r="L758" s="91">
        <v>4.9119999999999999</v>
      </c>
      <c r="M758" s="92">
        <v>5</v>
      </c>
      <c r="N758" s="91">
        <v>5.1589999999999998</v>
      </c>
      <c r="O758" s="90">
        <v>2</v>
      </c>
      <c r="P758" s="92">
        <v>3.8692500000000001</v>
      </c>
      <c r="Q758" s="93">
        <v>46.2</v>
      </c>
      <c r="R758" s="92">
        <v>46.2</v>
      </c>
      <c r="S758" s="87">
        <v>1972510</v>
      </c>
      <c r="T758" s="94">
        <v>11</v>
      </c>
      <c r="U758" s="95">
        <v>42695.021645021639</v>
      </c>
      <c r="V758" s="96">
        <v>23.421934489558989</v>
      </c>
    </row>
    <row r="759" spans="1:22">
      <c r="A759" s="58">
        <v>759</v>
      </c>
      <c r="B759" s="58">
        <v>759</v>
      </c>
      <c r="C759" s="58" t="s">
        <v>1300</v>
      </c>
      <c r="D759" s="58" t="s">
        <v>176</v>
      </c>
      <c r="E759" s="58" t="s">
        <v>176</v>
      </c>
      <c r="F759" s="58" t="s">
        <v>290</v>
      </c>
      <c r="G759" s="58" t="s">
        <v>291</v>
      </c>
      <c r="H759" s="58" t="s">
        <v>179</v>
      </c>
      <c r="I759">
        <v>38000</v>
      </c>
      <c r="J759">
        <v>38000</v>
      </c>
      <c r="K759">
        <v>20000</v>
      </c>
      <c r="L759" s="74">
        <v>2.3849999999999998</v>
      </c>
      <c r="M759" s="85">
        <v>3</v>
      </c>
      <c r="N759" s="74">
        <v>0.67200000000000004</v>
      </c>
      <c r="O759">
        <v>2</v>
      </c>
      <c r="P759" s="84">
        <v>0.504</v>
      </c>
      <c r="Q759" s="86">
        <v>4.2</v>
      </c>
      <c r="R759" s="85">
        <v>4.2</v>
      </c>
      <c r="S759" s="87">
        <v>558600</v>
      </c>
      <c r="T759" s="1">
        <v>4</v>
      </c>
      <c r="U759" s="88">
        <v>133000</v>
      </c>
      <c r="V759" s="59">
        <v>7.518796992481203</v>
      </c>
    </row>
    <row r="760" spans="1:22">
      <c r="A760" s="89">
        <v>760</v>
      </c>
      <c r="B760" s="89">
        <v>760</v>
      </c>
      <c r="C760" s="89" t="s">
        <v>1301</v>
      </c>
      <c r="D760" s="58" t="s">
        <v>176</v>
      </c>
      <c r="E760" s="58" t="s">
        <v>176</v>
      </c>
      <c r="F760" s="89" t="s">
        <v>290</v>
      </c>
      <c r="G760" s="89" t="s">
        <v>291</v>
      </c>
      <c r="H760" s="89" t="s">
        <v>179</v>
      </c>
      <c r="I760" s="90">
        <v>38000</v>
      </c>
      <c r="J760" s="90">
        <v>38000</v>
      </c>
      <c r="K760" s="90">
        <v>20000</v>
      </c>
      <c r="L760" s="91">
        <v>9.86</v>
      </c>
      <c r="M760" s="92">
        <v>10</v>
      </c>
      <c r="N760" s="91">
        <v>12.005000000000001</v>
      </c>
      <c r="O760" s="90">
        <v>2</v>
      </c>
      <c r="P760" s="92">
        <v>9.0037500000000001</v>
      </c>
      <c r="Q760" s="93">
        <v>109.19999999999999</v>
      </c>
      <c r="R760" s="92">
        <v>109.19999999999999</v>
      </c>
      <c r="S760" s="87">
        <v>3026560</v>
      </c>
      <c r="T760" s="94">
        <v>11</v>
      </c>
      <c r="U760" s="95">
        <v>27715.750915750919</v>
      </c>
      <c r="V760" s="96">
        <v>36.08056671600761</v>
      </c>
    </row>
    <row r="761" spans="1:22">
      <c r="A761" s="58">
        <v>761</v>
      </c>
      <c r="B761" s="58">
        <v>761</v>
      </c>
      <c r="C761" s="58" t="s">
        <v>1302</v>
      </c>
      <c r="D761" s="58" t="s">
        <v>176</v>
      </c>
      <c r="E761" s="58" t="s">
        <v>176</v>
      </c>
      <c r="F761" s="58" t="s">
        <v>222</v>
      </c>
      <c r="G761" s="58" t="s">
        <v>223</v>
      </c>
      <c r="H761" s="58" t="s">
        <v>179</v>
      </c>
      <c r="I761">
        <v>38000</v>
      </c>
      <c r="J761">
        <v>38000</v>
      </c>
      <c r="K761">
        <v>20000</v>
      </c>
      <c r="L761" s="74">
        <v>9.1039999999999992</v>
      </c>
      <c r="M761" s="85">
        <v>10</v>
      </c>
      <c r="N761" s="74">
        <v>2.2730000000000001</v>
      </c>
      <c r="O761">
        <v>2</v>
      </c>
      <c r="P761" s="84">
        <v>1.7047500000000002</v>
      </c>
      <c r="Q761" s="86">
        <v>21</v>
      </c>
      <c r="R761" s="85">
        <v>21</v>
      </c>
      <c r="S761" s="87">
        <v>1050490</v>
      </c>
      <c r="T761" s="1">
        <v>4</v>
      </c>
      <c r="U761" s="88">
        <v>50023.333333333336</v>
      </c>
      <c r="V761" s="59">
        <v>19.990671020190579</v>
      </c>
    </row>
    <row r="762" spans="1:22">
      <c r="A762" s="58">
        <v>762</v>
      </c>
      <c r="B762" s="58">
        <v>762</v>
      </c>
      <c r="C762" s="58" t="s">
        <v>1303</v>
      </c>
      <c r="D762" s="58" t="s">
        <v>176</v>
      </c>
      <c r="E762" s="58" t="s">
        <v>176</v>
      </c>
      <c r="F762" s="58" t="s">
        <v>222</v>
      </c>
      <c r="G762" s="58" t="s">
        <v>223</v>
      </c>
      <c r="H762" s="58" t="s">
        <v>179</v>
      </c>
      <c r="I762">
        <v>38000</v>
      </c>
      <c r="J762">
        <v>38000</v>
      </c>
      <c r="K762">
        <v>20000</v>
      </c>
      <c r="L762" s="74">
        <v>5.1680000000000001</v>
      </c>
      <c r="M762" s="85">
        <v>6</v>
      </c>
      <c r="N762" s="74">
        <v>0.34799999999999998</v>
      </c>
      <c r="O762">
        <v>2</v>
      </c>
      <c r="P762" s="84">
        <v>0.34799999999999998</v>
      </c>
      <c r="Q762" s="86">
        <v>4.2</v>
      </c>
      <c r="R762" s="85">
        <v>4.2</v>
      </c>
      <c r="S762" s="87">
        <v>769410</v>
      </c>
      <c r="T762" s="1">
        <v>4</v>
      </c>
      <c r="U762" s="88">
        <v>183192.85714285713</v>
      </c>
      <c r="V762" s="59">
        <v>5.4587281163488903</v>
      </c>
    </row>
    <row r="763" spans="1:22">
      <c r="A763" s="58">
        <v>763</v>
      </c>
      <c r="B763" s="58">
        <v>763</v>
      </c>
      <c r="C763" s="58" t="s">
        <v>1304</v>
      </c>
      <c r="D763" s="58" t="s">
        <v>176</v>
      </c>
      <c r="E763" s="58" t="s">
        <v>176</v>
      </c>
      <c r="F763" s="58" t="s">
        <v>290</v>
      </c>
      <c r="G763" s="58" t="s">
        <v>291</v>
      </c>
      <c r="H763" s="58" t="s">
        <v>179</v>
      </c>
      <c r="I763">
        <v>38000</v>
      </c>
      <c r="J763">
        <v>38000</v>
      </c>
      <c r="K763">
        <v>20000</v>
      </c>
      <c r="L763" s="74">
        <v>10.606</v>
      </c>
      <c r="M763" s="85">
        <v>11</v>
      </c>
      <c r="N763" s="74">
        <v>0.39</v>
      </c>
      <c r="O763">
        <v>2</v>
      </c>
      <c r="P763" s="84">
        <v>0.39</v>
      </c>
      <c r="Q763" s="86">
        <v>4.2</v>
      </c>
      <c r="R763" s="85">
        <v>4.2</v>
      </c>
      <c r="S763" s="87">
        <v>1439840</v>
      </c>
      <c r="T763" s="1">
        <v>1</v>
      </c>
      <c r="U763" s="88">
        <v>342819.04761904763</v>
      </c>
      <c r="V763" s="59">
        <v>2.9169907767529724</v>
      </c>
    </row>
    <row r="764" spans="1:22">
      <c r="A764" s="89">
        <v>764</v>
      </c>
      <c r="B764" s="89">
        <v>764</v>
      </c>
      <c r="C764" s="89" t="s">
        <v>1305</v>
      </c>
      <c r="D764" s="58" t="s">
        <v>176</v>
      </c>
      <c r="E764" s="58" t="s">
        <v>176</v>
      </c>
      <c r="F764" s="89" t="s">
        <v>290</v>
      </c>
      <c r="G764" s="89" t="s">
        <v>291</v>
      </c>
      <c r="H764" s="89" t="s">
        <v>179</v>
      </c>
      <c r="I764" s="90">
        <v>38000</v>
      </c>
      <c r="J764" s="90">
        <v>38000</v>
      </c>
      <c r="K764" s="90">
        <v>20000</v>
      </c>
      <c r="L764" s="91">
        <v>8.3849999999999998</v>
      </c>
      <c r="M764" s="92">
        <v>9</v>
      </c>
      <c r="N764" s="91">
        <v>16.042000000000002</v>
      </c>
      <c r="O764" s="90">
        <v>2</v>
      </c>
      <c r="P764" s="92">
        <v>12.031500000000001</v>
      </c>
      <c r="Q764" s="93">
        <v>147</v>
      </c>
      <c r="R764" s="92">
        <v>147</v>
      </c>
      <c r="S764" s="87">
        <v>4339180</v>
      </c>
      <c r="T764" s="94">
        <v>12</v>
      </c>
      <c r="U764" s="95">
        <v>29518.231292517008</v>
      </c>
      <c r="V764" s="96">
        <v>33.87736853506884</v>
      </c>
    </row>
    <row r="765" spans="1:22">
      <c r="A765" s="58">
        <v>765</v>
      </c>
      <c r="B765" s="58">
        <v>765</v>
      </c>
      <c r="C765" s="58" t="s">
        <v>1306</v>
      </c>
      <c r="D765" s="58" t="s">
        <v>176</v>
      </c>
      <c r="E765" s="58" t="s">
        <v>176</v>
      </c>
      <c r="F765" s="58" t="s">
        <v>580</v>
      </c>
      <c r="G765" s="58" t="s">
        <v>581</v>
      </c>
      <c r="H765" s="58" t="s">
        <v>179</v>
      </c>
      <c r="I765">
        <v>38000</v>
      </c>
      <c r="J765">
        <v>38000</v>
      </c>
      <c r="K765">
        <v>10000</v>
      </c>
      <c r="L765" s="74">
        <v>9.5730000000000004</v>
      </c>
      <c r="M765" s="85">
        <v>10</v>
      </c>
      <c r="N765" s="74">
        <v>0.93700000000000006</v>
      </c>
      <c r="O765">
        <v>2</v>
      </c>
      <c r="P765" s="84">
        <v>0.70274999999999999</v>
      </c>
      <c r="Q765" s="86">
        <v>8.4</v>
      </c>
      <c r="R765" s="85">
        <v>8.4</v>
      </c>
      <c r="S765" s="87">
        <v>1432500</v>
      </c>
      <c r="T765" s="1">
        <v>2</v>
      </c>
      <c r="U765" s="88">
        <v>170535.71428571429</v>
      </c>
      <c r="V765" s="59">
        <v>5.8638743455497382</v>
      </c>
    </row>
    <row r="766" spans="1:22">
      <c r="A766" s="58">
        <v>766</v>
      </c>
      <c r="B766" s="58">
        <v>766</v>
      </c>
      <c r="C766" s="58" t="s">
        <v>1307</v>
      </c>
      <c r="D766" s="58" t="s">
        <v>176</v>
      </c>
      <c r="E766" s="58" t="s">
        <v>176</v>
      </c>
      <c r="F766" s="58" t="s">
        <v>580</v>
      </c>
      <c r="G766" s="58" t="s">
        <v>581</v>
      </c>
      <c r="H766" s="58" t="s">
        <v>179</v>
      </c>
      <c r="I766">
        <v>38000</v>
      </c>
      <c r="J766">
        <v>38000</v>
      </c>
      <c r="K766">
        <v>10000</v>
      </c>
      <c r="L766" s="74">
        <v>7.9249999999999998</v>
      </c>
      <c r="M766" s="85">
        <v>8</v>
      </c>
      <c r="N766" s="74">
        <v>0.76900000000000002</v>
      </c>
      <c r="O766">
        <v>2</v>
      </c>
      <c r="P766" s="84">
        <v>0.57674999999999998</v>
      </c>
      <c r="Q766" s="86">
        <v>4.2</v>
      </c>
      <c r="R766" s="85">
        <v>4.2</v>
      </c>
      <c r="S766" s="87">
        <v>909950</v>
      </c>
      <c r="T766" s="1">
        <v>4</v>
      </c>
      <c r="U766" s="88">
        <v>216654.76190476189</v>
      </c>
      <c r="V766" s="59">
        <v>4.6156382218803227</v>
      </c>
    </row>
    <row r="767" spans="1:22">
      <c r="A767" s="58">
        <v>767</v>
      </c>
      <c r="B767" s="58">
        <v>767</v>
      </c>
      <c r="C767" s="58" t="s">
        <v>1308</v>
      </c>
      <c r="D767" s="58" t="s">
        <v>176</v>
      </c>
      <c r="E767" s="58" t="s">
        <v>176</v>
      </c>
      <c r="F767" s="58" t="s">
        <v>293</v>
      </c>
      <c r="G767" s="58" t="s">
        <v>294</v>
      </c>
      <c r="H767" s="58" t="s">
        <v>179</v>
      </c>
      <c r="I767">
        <v>38000</v>
      </c>
      <c r="J767">
        <v>38000</v>
      </c>
      <c r="K767">
        <v>10000</v>
      </c>
      <c r="L767" s="74">
        <v>6.4630000000000001</v>
      </c>
      <c r="M767" s="85">
        <v>7</v>
      </c>
      <c r="N767" s="74">
        <v>2.4279999999999999</v>
      </c>
      <c r="O767">
        <v>2</v>
      </c>
      <c r="P767" s="84">
        <v>1.821</v>
      </c>
      <c r="Q767" s="86">
        <v>21</v>
      </c>
      <c r="R767" s="85">
        <v>21</v>
      </c>
      <c r="S767" s="87">
        <v>839680</v>
      </c>
      <c r="T767" s="1">
        <v>4</v>
      </c>
      <c r="U767" s="88">
        <v>39984.761904761908</v>
      </c>
      <c r="V767" s="59">
        <v>25.009527439024389</v>
      </c>
    </row>
    <row r="768" spans="1:22">
      <c r="A768" s="58">
        <v>768</v>
      </c>
      <c r="B768" s="58">
        <v>768</v>
      </c>
      <c r="C768" s="58" t="s">
        <v>1309</v>
      </c>
      <c r="D768" s="58" t="s">
        <v>176</v>
      </c>
      <c r="E768" s="58" t="s">
        <v>176</v>
      </c>
      <c r="F768" s="58" t="s">
        <v>293</v>
      </c>
      <c r="G768" s="58" t="s">
        <v>294</v>
      </c>
      <c r="H768" s="58" t="s">
        <v>179</v>
      </c>
      <c r="I768">
        <v>38000</v>
      </c>
      <c r="J768">
        <v>38000</v>
      </c>
      <c r="K768">
        <v>10000</v>
      </c>
      <c r="L768" s="74">
        <v>4.5350000000000001</v>
      </c>
      <c r="M768" s="85">
        <v>5</v>
      </c>
      <c r="N768" s="74">
        <v>2.4510000000000001</v>
      </c>
      <c r="O768">
        <v>2</v>
      </c>
      <c r="P768" s="84">
        <v>1.8382499999999999</v>
      </c>
      <c r="Q768" s="86">
        <v>21</v>
      </c>
      <c r="R768" s="85">
        <v>21</v>
      </c>
      <c r="S768" s="87">
        <v>699140</v>
      </c>
      <c r="T768" s="1">
        <v>4</v>
      </c>
      <c r="U768" s="88">
        <v>33292.380952380954</v>
      </c>
      <c r="V768" s="59">
        <v>30.036902480189948</v>
      </c>
    </row>
    <row r="769" spans="1:22">
      <c r="A769" s="58">
        <v>769</v>
      </c>
      <c r="B769" s="58">
        <v>769</v>
      </c>
      <c r="C769" s="58" t="s">
        <v>1310</v>
      </c>
      <c r="D769" s="58" t="s">
        <v>176</v>
      </c>
      <c r="E769" s="58" t="s">
        <v>176</v>
      </c>
      <c r="F769" s="58" t="s">
        <v>1311</v>
      </c>
      <c r="G769" s="58" t="s">
        <v>1312</v>
      </c>
      <c r="H769" s="58" t="s">
        <v>179</v>
      </c>
      <c r="I769">
        <v>38000</v>
      </c>
      <c r="J769">
        <v>38000</v>
      </c>
      <c r="K769">
        <v>10000</v>
      </c>
      <c r="L769" s="74">
        <v>8.0519999999999996</v>
      </c>
      <c r="M769" s="85">
        <v>9</v>
      </c>
      <c r="N769" s="74">
        <v>0.70799999999999996</v>
      </c>
      <c r="O769">
        <v>2</v>
      </c>
      <c r="P769" s="84">
        <v>0.53099999999999992</v>
      </c>
      <c r="Q769" s="86">
        <v>4.2</v>
      </c>
      <c r="R769" s="85">
        <v>4.2</v>
      </c>
      <c r="S769" s="87">
        <v>1334440</v>
      </c>
      <c r="T769" s="1">
        <v>1</v>
      </c>
      <c r="U769" s="88">
        <v>317723.80952380953</v>
      </c>
      <c r="V769" s="59">
        <v>3.1473876682353645</v>
      </c>
    </row>
    <row r="770" spans="1:22">
      <c r="A770" s="58">
        <v>770</v>
      </c>
      <c r="B770" s="58">
        <v>770</v>
      </c>
      <c r="C770" s="58" t="s">
        <v>1313</v>
      </c>
      <c r="D770" s="58" t="s">
        <v>197</v>
      </c>
      <c r="E770" s="58" t="s">
        <v>197</v>
      </c>
      <c r="F770" s="58" t="s">
        <v>299</v>
      </c>
      <c r="G770" s="58" t="s">
        <v>300</v>
      </c>
      <c r="H770" s="58" t="s">
        <v>179</v>
      </c>
      <c r="I770">
        <v>38000</v>
      </c>
      <c r="J770">
        <v>38000</v>
      </c>
      <c r="K770" s="58" t="s">
        <v>185</v>
      </c>
      <c r="L770" s="74">
        <v>14.054</v>
      </c>
      <c r="M770" s="85">
        <v>15</v>
      </c>
      <c r="N770" s="74">
        <v>0.71599999999999997</v>
      </c>
      <c r="O770">
        <v>2</v>
      </c>
      <c r="P770" s="84">
        <v>0.53699999999999992</v>
      </c>
      <c r="Q770" s="86">
        <v>4.2</v>
      </c>
      <c r="R770" s="85">
        <v>4.2</v>
      </c>
      <c r="S770" s="87">
        <v>1650640</v>
      </c>
      <c r="T770" s="1">
        <v>1</v>
      </c>
      <c r="U770" s="88">
        <v>393009.52380952379</v>
      </c>
      <c r="V770" s="59">
        <v>2.5444676004458877</v>
      </c>
    </row>
    <row r="771" spans="1:22">
      <c r="A771" s="58">
        <v>771</v>
      </c>
      <c r="B771" s="58">
        <v>771</v>
      </c>
      <c r="C771" s="58" t="s">
        <v>1314</v>
      </c>
      <c r="D771" s="58" t="s">
        <v>197</v>
      </c>
      <c r="E771" s="58" t="s">
        <v>197</v>
      </c>
      <c r="F771" s="58" t="s">
        <v>299</v>
      </c>
      <c r="G771" s="58" t="s">
        <v>300</v>
      </c>
      <c r="H771" s="58" t="s">
        <v>179</v>
      </c>
      <c r="I771">
        <v>38000</v>
      </c>
      <c r="J771">
        <v>38000</v>
      </c>
      <c r="K771" s="58" t="s">
        <v>185</v>
      </c>
      <c r="L771" s="74">
        <v>15.529</v>
      </c>
      <c r="M771" s="85">
        <v>16</v>
      </c>
      <c r="N771" s="74">
        <v>0.48399999999999999</v>
      </c>
      <c r="O771">
        <v>2</v>
      </c>
      <c r="P771" s="84">
        <v>0.48399999999999999</v>
      </c>
      <c r="Q771" s="86">
        <v>4.2</v>
      </c>
      <c r="R771" s="85">
        <v>4.2</v>
      </c>
      <c r="S771" s="87">
        <v>1703340</v>
      </c>
      <c r="T771" s="1">
        <v>1</v>
      </c>
      <c r="U771" s="88">
        <v>405557.14285714284</v>
      </c>
      <c r="V771" s="59">
        <v>2.4657437739969708</v>
      </c>
    </row>
    <row r="772" spans="1:22">
      <c r="A772" s="58">
        <v>772</v>
      </c>
      <c r="B772" s="58">
        <v>772</v>
      </c>
      <c r="C772" s="58" t="s">
        <v>1315</v>
      </c>
      <c r="D772" s="58" t="s">
        <v>197</v>
      </c>
      <c r="E772" s="58" t="s">
        <v>197</v>
      </c>
      <c r="F772" s="58" t="s">
        <v>299</v>
      </c>
      <c r="G772" s="58" t="s">
        <v>300</v>
      </c>
      <c r="H772" s="58" t="s">
        <v>179</v>
      </c>
      <c r="I772">
        <v>38000</v>
      </c>
      <c r="J772">
        <v>38000</v>
      </c>
      <c r="K772" s="58" t="s">
        <v>185</v>
      </c>
      <c r="L772" s="74">
        <v>21.77</v>
      </c>
      <c r="M772" s="85">
        <v>22</v>
      </c>
      <c r="N772" s="74">
        <v>1.206</v>
      </c>
      <c r="O772">
        <v>2</v>
      </c>
      <c r="P772" s="84">
        <v>0.90449999999999997</v>
      </c>
      <c r="Q772" s="86">
        <v>8.4</v>
      </c>
      <c r="R772" s="85">
        <v>8.4</v>
      </c>
      <c r="S772" s="87">
        <v>2064900</v>
      </c>
      <c r="T772" s="1">
        <v>2</v>
      </c>
      <c r="U772" s="88">
        <v>245821.42857142855</v>
      </c>
      <c r="V772" s="59">
        <v>4.0679936074386172</v>
      </c>
    </row>
    <row r="773" spans="1:22">
      <c r="A773" s="89">
        <v>773</v>
      </c>
      <c r="B773" s="89">
        <v>773</v>
      </c>
      <c r="C773" s="89" t="s">
        <v>1316</v>
      </c>
      <c r="D773" s="58" t="s">
        <v>197</v>
      </c>
      <c r="E773" s="58" t="s">
        <v>197</v>
      </c>
      <c r="F773" s="89" t="s">
        <v>299</v>
      </c>
      <c r="G773" s="89" t="s">
        <v>300</v>
      </c>
      <c r="H773" s="89" t="s">
        <v>179</v>
      </c>
      <c r="I773" s="90">
        <v>38000</v>
      </c>
      <c r="J773" s="90">
        <v>38000</v>
      </c>
      <c r="K773" s="89" t="s">
        <v>185</v>
      </c>
      <c r="L773" s="91">
        <v>19.238</v>
      </c>
      <c r="M773" s="92">
        <v>20</v>
      </c>
      <c r="N773" s="91">
        <v>11.965</v>
      </c>
      <c r="O773" s="90">
        <v>2</v>
      </c>
      <c r="P773" s="92">
        <v>8.973749999999999</v>
      </c>
      <c r="Q773" s="93">
        <v>109.19999999999999</v>
      </c>
      <c r="R773" s="92">
        <v>109.19999999999999</v>
      </c>
      <c r="S773" s="87">
        <v>5134660</v>
      </c>
      <c r="T773" s="94">
        <v>11</v>
      </c>
      <c r="U773" s="95">
        <v>47020.695970695975</v>
      </c>
      <c r="V773" s="96">
        <v>21.267230936420326</v>
      </c>
    </row>
    <row r="774" spans="1:22">
      <c r="A774" s="89">
        <v>774</v>
      </c>
      <c r="B774" s="89">
        <v>774</v>
      </c>
      <c r="C774" s="89" t="s">
        <v>1317</v>
      </c>
      <c r="D774" s="58" t="s">
        <v>197</v>
      </c>
      <c r="E774" s="58" t="s">
        <v>197</v>
      </c>
      <c r="F774" s="89" t="s">
        <v>299</v>
      </c>
      <c r="G774" s="89" t="s">
        <v>300</v>
      </c>
      <c r="H774" s="89" t="s">
        <v>179</v>
      </c>
      <c r="I774" s="90">
        <v>38000</v>
      </c>
      <c r="J774" s="90">
        <v>38000</v>
      </c>
      <c r="K774" s="89" t="s">
        <v>185</v>
      </c>
      <c r="L774" s="91">
        <v>13.058999999999999</v>
      </c>
      <c r="M774" s="92">
        <v>14</v>
      </c>
      <c r="N774" s="91">
        <v>5.5110000000000001</v>
      </c>
      <c r="O774" s="90">
        <v>2</v>
      </c>
      <c r="P774" s="92">
        <v>4.1332500000000003</v>
      </c>
      <c r="Q774" s="93">
        <v>50.400000000000006</v>
      </c>
      <c r="R774" s="92">
        <v>50.400000000000006</v>
      </c>
      <c r="S774" s="87">
        <v>3869800</v>
      </c>
      <c r="T774" s="94">
        <v>11</v>
      </c>
      <c r="U774" s="95">
        <v>76781.746031746021</v>
      </c>
      <c r="V774" s="96">
        <v>13.023928885213708</v>
      </c>
    </row>
    <row r="775" spans="1:22">
      <c r="A775" s="58">
        <v>775</v>
      </c>
      <c r="B775" s="58">
        <v>775</v>
      </c>
      <c r="C775" s="58" t="s">
        <v>1318</v>
      </c>
      <c r="D775" s="58" t="s">
        <v>197</v>
      </c>
      <c r="E775" s="58" t="s">
        <v>197</v>
      </c>
      <c r="F775" s="58" t="s">
        <v>299</v>
      </c>
      <c r="G775" s="58" t="s">
        <v>300</v>
      </c>
      <c r="H775" s="58" t="s">
        <v>179</v>
      </c>
      <c r="I775">
        <v>38000</v>
      </c>
      <c r="J775">
        <v>38000</v>
      </c>
      <c r="K775" s="58" t="s">
        <v>185</v>
      </c>
      <c r="L775" s="74">
        <v>16.725999999999999</v>
      </c>
      <c r="M775" s="85">
        <v>17</v>
      </c>
      <c r="N775" s="74">
        <v>2.9860000000000002</v>
      </c>
      <c r="O775">
        <v>2</v>
      </c>
      <c r="P775" s="84">
        <v>2.2395</v>
      </c>
      <c r="Q775" s="86">
        <v>25.200000000000003</v>
      </c>
      <c r="R775" s="85">
        <v>25.200000000000003</v>
      </c>
      <c r="S775" s="87">
        <v>1857900</v>
      </c>
      <c r="T775" s="1">
        <v>5</v>
      </c>
      <c r="U775" s="88">
        <v>73726.190476190473</v>
      </c>
      <c r="V775" s="59">
        <v>13.563700952688521</v>
      </c>
    </row>
    <row r="776" spans="1:22">
      <c r="A776" s="58">
        <v>776</v>
      </c>
      <c r="B776" s="58">
        <v>776</v>
      </c>
      <c r="C776" s="58" t="s">
        <v>1319</v>
      </c>
      <c r="D776" s="58" t="s">
        <v>182</v>
      </c>
      <c r="E776" s="58" t="s">
        <v>182</v>
      </c>
      <c r="F776" s="58" t="s">
        <v>302</v>
      </c>
      <c r="G776" s="58" t="s">
        <v>303</v>
      </c>
      <c r="H776" s="58" t="s">
        <v>179</v>
      </c>
      <c r="I776">
        <v>38000</v>
      </c>
      <c r="J776">
        <v>38000</v>
      </c>
      <c r="K776" s="58" t="s">
        <v>185</v>
      </c>
      <c r="L776" s="74">
        <v>8.4879999999999995</v>
      </c>
      <c r="M776" s="85">
        <v>9</v>
      </c>
      <c r="N776" s="74">
        <v>0.92900000000000005</v>
      </c>
      <c r="O776">
        <v>2</v>
      </c>
      <c r="P776" s="84">
        <v>0.69674999999999998</v>
      </c>
      <c r="Q776" s="86">
        <v>8.4</v>
      </c>
      <c r="R776" s="85">
        <v>8.4</v>
      </c>
      <c r="S776" s="87">
        <v>1379800</v>
      </c>
      <c r="T776" s="1">
        <v>2</v>
      </c>
      <c r="U776" s="88">
        <v>164261.90476190476</v>
      </c>
      <c r="V776" s="59">
        <v>6.087838817219887</v>
      </c>
    </row>
    <row r="777" spans="1:22">
      <c r="A777" s="58">
        <v>777</v>
      </c>
      <c r="B777" s="58">
        <v>777</v>
      </c>
      <c r="C777" s="58" t="s">
        <v>1320</v>
      </c>
      <c r="D777" s="58" t="s">
        <v>182</v>
      </c>
      <c r="E777" s="58" t="s">
        <v>182</v>
      </c>
      <c r="F777" s="58" t="s">
        <v>302</v>
      </c>
      <c r="G777" s="58" t="s">
        <v>303</v>
      </c>
      <c r="H777" s="58" t="s">
        <v>179</v>
      </c>
      <c r="I777">
        <v>38000</v>
      </c>
      <c r="J777">
        <v>38000</v>
      </c>
      <c r="K777" s="58" t="s">
        <v>185</v>
      </c>
      <c r="L777" s="74">
        <v>16.672000000000001</v>
      </c>
      <c r="M777" s="85">
        <v>17</v>
      </c>
      <c r="N777" s="74">
        <v>0.55500000000000005</v>
      </c>
      <c r="O777">
        <v>2</v>
      </c>
      <c r="P777" s="84">
        <v>0.55500000000000005</v>
      </c>
      <c r="Q777" s="86">
        <v>4.2</v>
      </c>
      <c r="R777" s="85">
        <v>4.2</v>
      </c>
      <c r="S777" s="87">
        <v>1756040</v>
      </c>
      <c r="T777" s="1">
        <v>1</v>
      </c>
      <c r="U777" s="88">
        <v>418104.76190476189</v>
      </c>
      <c r="V777" s="59">
        <v>2.3917450627548349</v>
      </c>
    </row>
    <row r="778" spans="1:22">
      <c r="A778" s="58">
        <v>778</v>
      </c>
      <c r="B778" s="58">
        <v>778</v>
      </c>
      <c r="C778" s="58" t="s">
        <v>1321</v>
      </c>
      <c r="D778" s="58" t="s">
        <v>182</v>
      </c>
      <c r="E778" s="58" t="s">
        <v>182</v>
      </c>
      <c r="F778" s="58" t="s">
        <v>183</v>
      </c>
      <c r="G778" s="58" t="s">
        <v>184</v>
      </c>
      <c r="H778" s="58" t="s">
        <v>179</v>
      </c>
      <c r="I778">
        <v>38000</v>
      </c>
      <c r="J778">
        <v>38000</v>
      </c>
      <c r="K778" s="58" t="s">
        <v>185</v>
      </c>
      <c r="L778" s="74">
        <v>11.941000000000001</v>
      </c>
      <c r="M778" s="85">
        <v>12</v>
      </c>
      <c r="N778" s="74">
        <v>3.141</v>
      </c>
      <c r="O778">
        <v>2</v>
      </c>
      <c r="P778" s="84">
        <v>2.35575</v>
      </c>
      <c r="Q778" s="86">
        <v>25.200000000000003</v>
      </c>
      <c r="R778" s="85">
        <v>25.200000000000003</v>
      </c>
      <c r="S778" s="87">
        <v>1413750</v>
      </c>
      <c r="T778" s="1">
        <v>5</v>
      </c>
      <c r="U778" s="88">
        <v>56101.190476190473</v>
      </c>
      <c r="V778" s="59">
        <v>17.824933687002655</v>
      </c>
    </row>
    <row r="779" spans="1:22">
      <c r="A779" s="58">
        <v>779</v>
      </c>
      <c r="B779" s="58">
        <v>779</v>
      </c>
      <c r="C779" s="58" t="s">
        <v>1322</v>
      </c>
      <c r="D779" s="58" t="s">
        <v>182</v>
      </c>
      <c r="E779" s="58" t="s">
        <v>182</v>
      </c>
      <c r="F779" s="58" t="s">
        <v>302</v>
      </c>
      <c r="G779" s="58" t="s">
        <v>303</v>
      </c>
      <c r="H779" s="58" t="s">
        <v>179</v>
      </c>
      <c r="I779">
        <v>38000</v>
      </c>
      <c r="J779">
        <v>38000</v>
      </c>
      <c r="K779" s="58" t="s">
        <v>185</v>
      </c>
      <c r="L779" s="74">
        <v>13.869</v>
      </c>
      <c r="M779" s="85">
        <v>14</v>
      </c>
      <c r="N779" s="74">
        <v>0.88600000000000001</v>
      </c>
      <c r="O779">
        <v>2</v>
      </c>
      <c r="P779" s="84">
        <v>0.66449999999999998</v>
      </c>
      <c r="Q779" s="86">
        <v>8.4</v>
      </c>
      <c r="R779" s="85">
        <v>8.4</v>
      </c>
      <c r="S779" s="87">
        <v>1643300</v>
      </c>
      <c r="T779" s="1">
        <v>2</v>
      </c>
      <c r="U779" s="88">
        <v>195630.95238095237</v>
      </c>
      <c r="V779" s="59">
        <v>5.1116655510253759</v>
      </c>
    </row>
    <row r="780" spans="1:22">
      <c r="A780" s="58">
        <v>780</v>
      </c>
      <c r="B780" s="58">
        <v>780</v>
      </c>
      <c r="C780" s="58" t="s">
        <v>1323</v>
      </c>
      <c r="D780" s="58" t="s">
        <v>182</v>
      </c>
      <c r="E780" s="58" t="s">
        <v>182</v>
      </c>
      <c r="F780" s="58" t="s">
        <v>183</v>
      </c>
      <c r="G780" s="58" t="s">
        <v>184</v>
      </c>
      <c r="H780" s="58" t="s">
        <v>179</v>
      </c>
      <c r="I780">
        <v>38000</v>
      </c>
      <c r="J780">
        <v>38000</v>
      </c>
      <c r="K780" s="58" t="s">
        <v>185</v>
      </c>
      <c r="L780" s="74">
        <v>13.01</v>
      </c>
      <c r="M780" s="85">
        <v>14</v>
      </c>
      <c r="N780" s="74">
        <v>0.314</v>
      </c>
      <c r="O780">
        <v>2</v>
      </c>
      <c r="P780" s="84">
        <v>0.314</v>
      </c>
      <c r="Q780" s="86">
        <v>4.2</v>
      </c>
      <c r="R780" s="85">
        <v>4.2</v>
      </c>
      <c r="S780" s="87">
        <v>1597940</v>
      </c>
      <c r="T780" s="1">
        <v>1</v>
      </c>
      <c r="U780" s="88">
        <v>380461.90476190473</v>
      </c>
      <c r="V780" s="59">
        <v>2.6283840444572388</v>
      </c>
    </row>
    <row r="781" spans="1:22">
      <c r="A781" s="58">
        <v>781</v>
      </c>
      <c r="B781" s="58">
        <v>781</v>
      </c>
      <c r="C781" s="58" t="s">
        <v>1324</v>
      </c>
      <c r="D781" s="58" t="s">
        <v>182</v>
      </c>
      <c r="E781" s="58" t="s">
        <v>182</v>
      </c>
      <c r="F781" s="58" t="s">
        <v>302</v>
      </c>
      <c r="G781" s="58" t="s">
        <v>303</v>
      </c>
      <c r="H781" s="58" t="s">
        <v>179</v>
      </c>
      <c r="I781">
        <v>38000</v>
      </c>
      <c r="J781">
        <v>38000</v>
      </c>
      <c r="K781" s="58" t="s">
        <v>185</v>
      </c>
      <c r="L781" s="74">
        <v>9.6690000000000005</v>
      </c>
      <c r="M781" s="85">
        <v>10</v>
      </c>
      <c r="N781" s="74">
        <v>0.47499999999999998</v>
      </c>
      <c r="O781">
        <v>2</v>
      </c>
      <c r="P781" s="84">
        <v>0.47499999999999998</v>
      </c>
      <c r="Q781" s="86">
        <v>4.2</v>
      </c>
      <c r="R781" s="85">
        <v>4.2</v>
      </c>
      <c r="S781" s="87">
        <v>1387140</v>
      </c>
      <c r="T781" s="1">
        <v>1</v>
      </c>
      <c r="U781" s="88">
        <v>330271.42857142858</v>
      </c>
      <c r="V781" s="59">
        <v>3.0278126216531858</v>
      </c>
    </row>
    <row r="782" spans="1:22">
      <c r="A782" s="58">
        <v>782</v>
      </c>
      <c r="B782" s="58">
        <v>782</v>
      </c>
      <c r="C782" s="58" t="s">
        <v>1325</v>
      </c>
      <c r="D782" s="58" t="s">
        <v>182</v>
      </c>
      <c r="E782" s="58" t="s">
        <v>182</v>
      </c>
      <c r="F782" s="58" t="s">
        <v>302</v>
      </c>
      <c r="G782" s="58" t="s">
        <v>303</v>
      </c>
      <c r="H782" s="58" t="s">
        <v>179</v>
      </c>
      <c r="I782">
        <v>38000</v>
      </c>
      <c r="J782">
        <v>38000</v>
      </c>
      <c r="K782" s="58" t="s">
        <v>185</v>
      </c>
      <c r="L782" s="74">
        <v>5.0019999999999998</v>
      </c>
      <c r="M782" s="85">
        <v>6</v>
      </c>
      <c r="N782" s="74">
        <v>4.3550000000000004</v>
      </c>
      <c r="O782">
        <v>2</v>
      </c>
      <c r="P782" s="84">
        <v>3.2662500000000003</v>
      </c>
      <c r="Q782" s="86">
        <v>37.800000000000004</v>
      </c>
      <c r="R782" s="85">
        <v>37.800000000000004</v>
      </c>
      <c r="S782" s="87">
        <v>1015350</v>
      </c>
      <c r="T782" s="1">
        <v>6</v>
      </c>
      <c r="U782" s="88">
        <v>26861.111111111109</v>
      </c>
      <c r="V782" s="59">
        <v>37.228541882109624</v>
      </c>
    </row>
    <row r="783" spans="1:22">
      <c r="A783" s="58">
        <v>783</v>
      </c>
      <c r="B783" s="58">
        <v>783</v>
      </c>
      <c r="C783" s="58" t="s">
        <v>1326</v>
      </c>
      <c r="D783" s="58" t="s">
        <v>182</v>
      </c>
      <c r="E783" s="58" t="s">
        <v>182</v>
      </c>
      <c r="F783" s="58" t="s">
        <v>302</v>
      </c>
      <c r="G783" s="58" t="s">
        <v>303</v>
      </c>
      <c r="H783" s="58" t="s">
        <v>179</v>
      </c>
      <c r="I783">
        <v>38000</v>
      </c>
      <c r="J783">
        <v>38000</v>
      </c>
      <c r="K783" s="58" t="s">
        <v>185</v>
      </c>
      <c r="L783" s="74">
        <v>5.0670000000000002</v>
      </c>
      <c r="M783" s="85">
        <v>6</v>
      </c>
      <c r="N783" s="74">
        <v>1.8979999999999999</v>
      </c>
      <c r="O783">
        <v>2</v>
      </c>
      <c r="P783" s="84">
        <v>1.4235</v>
      </c>
      <c r="Q783" s="86">
        <v>16.8</v>
      </c>
      <c r="R783" s="85">
        <v>16.8</v>
      </c>
      <c r="S783" s="87">
        <v>769410</v>
      </c>
      <c r="T783" s="1">
        <v>4</v>
      </c>
      <c r="U783" s="88">
        <v>45798.214285714283</v>
      </c>
      <c r="V783" s="59">
        <v>21.834912465395561</v>
      </c>
    </row>
    <row r="784" spans="1:22">
      <c r="A784" s="58">
        <v>784</v>
      </c>
      <c r="B784" s="58">
        <v>784</v>
      </c>
      <c r="C784" s="58" t="s">
        <v>1327</v>
      </c>
      <c r="D784" s="58" t="s">
        <v>182</v>
      </c>
      <c r="E784" s="58" t="s">
        <v>182</v>
      </c>
      <c r="F784" s="58" t="s">
        <v>302</v>
      </c>
      <c r="G784" s="58" t="s">
        <v>303</v>
      </c>
      <c r="H784" s="58" t="s">
        <v>179</v>
      </c>
      <c r="I784">
        <v>38000</v>
      </c>
      <c r="J784">
        <v>38000</v>
      </c>
      <c r="K784" s="58" t="s">
        <v>185</v>
      </c>
      <c r="L784" s="74">
        <v>6.8959999999999999</v>
      </c>
      <c r="M784" s="85">
        <v>7</v>
      </c>
      <c r="N784" s="74">
        <v>2.6869999999999998</v>
      </c>
      <c r="O784">
        <v>2</v>
      </c>
      <c r="P784" s="84">
        <v>2.01525</v>
      </c>
      <c r="Q784" s="86">
        <v>21</v>
      </c>
      <c r="R784" s="85">
        <v>21</v>
      </c>
      <c r="S784" s="87">
        <v>839680</v>
      </c>
      <c r="T784" s="1">
        <v>4</v>
      </c>
      <c r="U784" s="88">
        <v>39984.761904761908</v>
      </c>
      <c r="V784" s="59">
        <v>25.009527439024389</v>
      </c>
    </row>
    <row r="785" spans="1:22">
      <c r="A785" s="89">
        <v>785</v>
      </c>
      <c r="B785" s="89">
        <v>785</v>
      </c>
      <c r="C785" s="89" t="s">
        <v>1328</v>
      </c>
      <c r="D785" s="58" t="s">
        <v>182</v>
      </c>
      <c r="E785" s="58" t="s">
        <v>182</v>
      </c>
      <c r="F785" s="89" t="s">
        <v>183</v>
      </c>
      <c r="G785" s="89" t="s">
        <v>184</v>
      </c>
      <c r="H785" s="89" t="s">
        <v>179</v>
      </c>
      <c r="I785" s="90">
        <v>38000</v>
      </c>
      <c r="J785" s="90">
        <v>38000</v>
      </c>
      <c r="K785" s="89" t="s">
        <v>185</v>
      </c>
      <c r="L785" s="91">
        <v>4.8390000000000004</v>
      </c>
      <c r="M785" s="92">
        <v>5</v>
      </c>
      <c r="N785" s="91">
        <v>14.672000000000001</v>
      </c>
      <c r="O785" s="90">
        <v>2</v>
      </c>
      <c r="P785" s="92">
        <v>11.004000000000001</v>
      </c>
      <c r="Q785" s="93">
        <v>134.4</v>
      </c>
      <c r="R785" s="92">
        <v>134.4</v>
      </c>
      <c r="S785" s="87">
        <v>2818860</v>
      </c>
      <c r="T785" s="94">
        <v>12</v>
      </c>
      <c r="U785" s="95">
        <v>20973.660714285714</v>
      </c>
      <c r="V785" s="96">
        <v>47.678848896362361</v>
      </c>
    </row>
    <row r="786" spans="1:22">
      <c r="A786" s="58">
        <v>786</v>
      </c>
      <c r="B786" s="58">
        <v>786</v>
      </c>
      <c r="C786" s="58" t="s">
        <v>1329</v>
      </c>
      <c r="D786" s="58" t="s">
        <v>182</v>
      </c>
      <c r="E786" s="58" t="s">
        <v>182</v>
      </c>
      <c r="F786" s="58" t="s">
        <v>302</v>
      </c>
      <c r="G786" s="58" t="s">
        <v>303</v>
      </c>
      <c r="H786" s="58" t="s">
        <v>179</v>
      </c>
      <c r="I786">
        <v>38000</v>
      </c>
      <c r="J786">
        <v>38000</v>
      </c>
      <c r="K786" s="58" t="s">
        <v>185</v>
      </c>
      <c r="L786" s="74">
        <v>10.144</v>
      </c>
      <c r="M786" s="85">
        <v>11</v>
      </c>
      <c r="N786" s="74">
        <v>1.0640000000000001</v>
      </c>
      <c r="O786">
        <v>2</v>
      </c>
      <c r="P786" s="84">
        <v>0.79800000000000004</v>
      </c>
      <c r="Q786" s="86">
        <v>8.4</v>
      </c>
      <c r="R786" s="85">
        <v>8.4</v>
      </c>
      <c r="S786" s="87">
        <v>1485200</v>
      </c>
      <c r="T786" s="1">
        <v>2</v>
      </c>
      <c r="U786" s="88">
        <v>176809.52380952382</v>
      </c>
      <c r="V786" s="59">
        <v>5.655803932130353</v>
      </c>
    </row>
    <row r="787" spans="1:22">
      <c r="A787" s="89">
        <v>787</v>
      </c>
      <c r="B787" s="89">
        <v>787</v>
      </c>
      <c r="C787" s="89" t="s">
        <v>1330</v>
      </c>
      <c r="D787" s="58" t="s">
        <v>182</v>
      </c>
      <c r="E787" s="58" t="s">
        <v>182</v>
      </c>
      <c r="F787" s="89" t="s">
        <v>302</v>
      </c>
      <c r="G787" s="89" t="s">
        <v>303</v>
      </c>
      <c r="H787" s="89" t="s">
        <v>179</v>
      </c>
      <c r="I787" s="90">
        <v>38000</v>
      </c>
      <c r="J787" s="90">
        <v>38000</v>
      </c>
      <c r="K787" s="89" t="s">
        <v>185</v>
      </c>
      <c r="L787" s="91">
        <v>10.586</v>
      </c>
      <c r="M787" s="92">
        <v>11</v>
      </c>
      <c r="N787" s="91">
        <v>5.7149999999999999</v>
      </c>
      <c r="O787" s="90">
        <v>2</v>
      </c>
      <c r="P787" s="92">
        <v>4.2862499999999999</v>
      </c>
      <c r="Q787" s="93">
        <v>50.400000000000006</v>
      </c>
      <c r="R787" s="92">
        <v>50.400000000000006</v>
      </c>
      <c r="S787" s="87">
        <v>3237370</v>
      </c>
      <c r="T787" s="94">
        <v>11</v>
      </c>
      <c r="U787" s="95">
        <v>64233.531746031738</v>
      </c>
      <c r="V787" s="96">
        <v>15.568192699629639</v>
      </c>
    </row>
    <row r="788" spans="1:22">
      <c r="A788" s="58">
        <v>788</v>
      </c>
      <c r="B788" s="58">
        <v>788</v>
      </c>
      <c r="C788" s="58" t="s">
        <v>1331</v>
      </c>
      <c r="D788" s="58" t="s">
        <v>182</v>
      </c>
      <c r="E788" s="58" t="s">
        <v>182</v>
      </c>
      <c r="F788" s="58" t="s">
        <v>302</v>
      </c>
      <c r="G788" s="58" t="s">
        <v>303</v>
      </c>
      <c r="H788" s="58" t="s">
        <v>179</v>
      </c>
      <c r="I788">
        <v>38000</v>
      </c>
      <c r="J788">
        <v>38000</v>
      </c>
      <c r="K788" s="58" t="s">
        <v>185</v>
      </c>
      <c r="L788" s="74">
        <v>12.771000000000001</v>
      </c>
      <c r="M788" s="85">
        <v>13</v>
      </c>
      <c r="N788" s="74">
        <v>0.61699999999999999</v>
      </c>
      <c r="O788">
        <v>2</v>
      </c>
      <c r="P788" s="84">
        <v>0.46274999999999999</v>
      </c>
      <c r="Q788" s="86">
        <v>4.2</v>
      </c>
      <c r="R788" s="85">
        <v>4.2</v>
      </c>
      <c r="S788" s="87">
        <v>1545240</v>
      </c>
      <c r="T788" s="1">
        <v>1</v>
      </c>
      <c r="U788" s="88">
        <v>367914.28571428568</v>
      </c>
      <c r="V788" s="59">
        <v>2.7180243845616214</v>
      </c>
    </row>
    <row r="789" spans="1:22">
      <c r="A789" s="58">
        <v>789</v>
      </c>
      <c r="B789" s="58">
        <v>789</v>
      </c>
      <c r="C789" s="58" t="s">
        <v>1332</v>
      </c>
      <c r="D789" s="58" t="s">
        <v>182</v>
      </c>
      <c r="E789" s="58" t="s">
        <v>182</v>
      </c>
      <c r="F789" s="58" t="s">
        <v>302</v>
      </c>
      <c r="G789" s="58" t="s">
        <v>303</v>
      </c>
      <c r="H789" s="58" t="s">
        <v>179</v>
      </c>
      <c r="I789">
        <v>38000</v>
      </c>
      <c r="J789">
        <v>38000</v>
      </c>
      <c r="K789" s="58" t="s">
        <v>185</v>
      </c>
      <c r="L789" s="74">
        <v>14.805999999999999</v>
      </c>
      <c r="M789" s="85">
        <v>15</v>
      </c>
      <c r="N789" s="74">
        <v>0.55000000000000004</v>
      </c>
      <c r="O789">
        <v>2</v>
      </c>
      <c r="P789" s="84">
        <v>0.55000000000000004</v>
      </c>
      <c r="Q789" s="86">
        <v>4.2</v>
      </c>
      <c r="R789" s="85">
        <v>4.2</v>
      </c>
      <c r="S789" s="87">
        <v>1650640</v>
      </c>
      <c r="T789" s="1">
        <v>1</v>
      </c>
      <c r="U789" s="88">
        <v>393009.52380952379</v>
      </c>
      <c r="V789" s="59">
        <v>2.5444676004458877</v>
      </c>
    </row>
    <row r="790" spans="1:22">
      <c r="A790" s="58">
        <v>790</v>
      </c>
      <c r="B790" s="58">
        <v>790</v>
      </c>
      <c r="C790" s="58" t="s">
        <v>1333</v>
      </c>
      <c r="D790" s="58" t="s">
        <v>182</v>
      </c>
      <c r="E790" s="58" t="s">
        <v>182</v>
      </c>
      <c r="F790" s="58" t="s">
        <v>302</v>
      </c>
      <c r="G790" s="58" t="s">
        <v>303</v>
      </c>
      <c r="H790" s="58" t="s">
        <v>179</v>
      </c>
      <c r="I790">
        <v>38000</v>
      </c>
      <c r="J790">
        <v>38000</v>
      </c>
      <c r="K790" s="58" t="s">
        <v>185</v>
      </c>
      <c r="L790" s="74">
        <v>13.069000000000001</v>
      </c>
      <c r="M790" s="85">
        <v>14</v>
      </c>
      <c r="N790" s="74">
        <v>3.0739999999999998</v>
      </c>
      <c r="O790">
        <v>2</v>
      </c>
      <c r="P790" s="84">
        <v>2.3054999999999999</v>
      </c>
      <c r="Q790" s="86">
        <v>25.200000000000003</v>
      </c>
      <c r="R790" s="85">
        <v>25.200000000000003</v>
      </c>
      <c r="S790" s="87">
        <v>1591410</v>
      </c>
      <c r="T790" s="1">
        <v>5</v>
      </c>
      <c r="U790" s="88">
        <v>63151.190476190466</v>
      </c>
      <c r="V790" s="59">
        <v>15.835014232661605</v>
      </c>
    </row>
    <row r="791" spans="1:22">
      <c r="A791" s="89">
        <v>791</v>
      </c>
      <c r="B791" s="89">
        <v>791</v>
      </c>
      <c r="C791" s="89" t="s">
        <v>1334</v>
      </c>
      <c r="D791" s="58" t="s">
        <v>182</v>
      </c>
      <c r="E791" s="58" t="s">
        <v>182</v>
      </c>
      <c r="F791" s="89" t="s">
        <v>302</v>
      </c>
      <c r="G791" s="89" t="s">
        <v>303</v>
      </c>
      <c r="H791" s="89" t="s">
        <v>179</v>
      </c>
      <c r="I791" s="90">
        <v>38000</v>
      </c>
      <c r="J791" s="90">
        <v>38000</v>
      </c>
      <c r="K791" s="89" t="s">
        <v>185</v>
      </c>
      <c r="L791" s="91">
        <v>11.819000000000001</v>
      </c>
      <c r="M791" s="92">
        <v>12</v>
      </c>
      <c r="N791" s="91">
        <v>7.2859999999999996</v>
      </c>
      <c r="O791" s="90">
        <v>2</v>
      </c>
      <c r="P791" s="92">
        <v>5.4644999999999992</v>
      </c>
      <c r="Q791" s="93">
        <v>67.2</v>
      </c>
      <c r="R791" s="92">
        <v>67.2</v>
      </c>
      <c r="S791" s="87">
        <v>3448180</v>
      </c>
      <c r="T791" s="94">
        <v>11</v>
      </c>
      <c r="U791" s="95">
        <v>51312.202380952382</v>
      </c>
      <c r="V791" s="96">
        <v>19.488541781461524</v>
      </c>
    </row>
    <row r="792" spans="1:22">
      <c r="A792" s="58">
        <v>792</v>
      </c>
      <c r="B792" s="58">
        <v>792</v>
      </c>
      <c r="C792" s="58" t="s">
        <v>1335</v>
      </c>
      <c r="D792" s="58" t="s">
        <v>182</v>
      </c>
      <c r="E792" s="58" t="s">
        <v>182</v>
      </c>
      <c r="F792" s="58" t="s">
        <v>302</v>
      </c>
      <c r="G792" s="58" t="s">
        <v>303</v>
      </c>
      <c r="H792" s="58" t="s">
        <v>179</v>
      </c>
      <c r="I792">
        <v>38000</v>
      </c>
      <c r="J792">
        <v>38000</v>
      </c>
      <c r="K792" s="58" t="s">
        <v>185</v>
      </c>
      <c r="L792" s="74">
        <v>11.307</v>
      </c>
      <c r="M792" s="85">
        <v>12</v>
      </c>
      <c r="N792" s="74">
        <v>0.66800000000000004</v>
      </c>
      <c r="O792">
        <v>2</v>
      </c>
      <c r="P792" s="84">
        <v>0.501</v>
      </c>
      <c r="Q792" s="86">
        <v>4.2</v>
      </c>
      <c r="R792" s="85">
        <v>4.2</v>
      </c>
      <c r="S792" s="87">
        <v>1492540</v>
      </c>
      <c r="T792" s="1">
        <v>1</v>
      </c>
      <c r="U792" s="88">
        <v>355366.66666666663</v>
      </c>
      <c r="V792" s="59">
        <v>2.8139949348091173</v>
      </c>
    </row>
    <row r="793" spans="1:22">
      <c r="A793" s="58">
        <v>793</v>
      </c>
      <c r="B793" s="58">
        <v>793</v>
      </c>
      <c r="C793" s="58" t="s">
        <v>1336</v>
      </c>
      <c r="D793" s="58" t="s">
        <v>182</v>
      </c>
      <c r="E793" s="58" t="s">
        <v>182</v>
      </c>
      <c r="F793" s="58" t="s">
        <v>302</v>
      </c>
      <c r="G793" s="58" t="s">
        <v>303</v>
      </c>
      <c r="H793" s="58" t="s">
        <v>179</v>
      </c>
      <c r="I793">
        <v>38000</v>
      </c>
      <c r="J793">
        <v>38000</v>
      </c>
      <c r="K793" s="58" t="s">
        <v>185</v>
      </c>
      <c r="L793" s="74">
        <v>8.8859999999999992</v>
      </c>
      <c r="M793" s="85">
        <v>9</v>
      </c>
      <c r="N793" s="74">
        <v>2.3319999999999999</v>
      </c>
      <c r="O793">
        <v>2</v>
      </c>
      <c r="P793" s="84">
        <v>1.7489999999999999</v>
      </c>
      <c r="Q793" s="86">
        <v>21</v>
      </c>
      <c r="R793" s="85">
        <v>21</v>
      </c>
      <c r="S793" s="87">
        <v>980220</v>
      </c>
      <c r="T793" s="1">
        <v>4</v>
      </c>
      <c r="U793" s="88">
        <v>46677.142857142855</v>
      </c>
      <c r="V793" s="59">
        <v>21.423762012609416</v>
      </c>
    </row>
    <row r="794" spans="1:22">
      <c r="A794" s="58">
        <v>794</v>
      </c>
      <c r="B794" s="58">
        <v>794</v>
      </c>
      <c r="C794" s="58" t="s">
        <v>1337</v>
      </c>
      <c r="D794" s="58" t="s">
        <v>182</v>
      </c>
      <c r="E794" s="58" t="s">
        <v>182</v>
      </c>
      <c r="F794" s="58" t="s">
        <v>302</v>
      </c>
      <c r="G794" s="58" t="s">
        <v>303</v>
      </c>
      <c r="H794" s="58" t="s">
        <v>179</v>
      </c>
      <c r="I794">
        <v>38000</v>
      </c>
      <c r="J794">
        <v>38000</v>
      </c>
      <c r="K794" s="58" t="s">
        <v>185</v>
      </c>
      <c r="L794" s="74">
        <v>11.63</v>
      </c>
      <c r="M794" s="85">
        <v>12</v>
      </c>
      <c r="N794" s="74">
        <v>1.8939999999999999</v>
      </c>
      <c r="O794">
        <v>2</v>
      </c>
      <c r="P794" s="84">
        <v>1.4204999999999999</v>
      </c>
      <c r="Q794" s="86">
        <v>16.8</v>
      </c>
      <c r="R794" s="85">
        <v>16.8</v>
      </c>
      <c r="S794" s="87">
        <v>1191030</v>
      </c>
      <c r="T794" s="1">
        <v>4</v>
      </c>
      <c r="U794" s="88">
        <v>70894.642857142855</v>
      </c>
      <c r="V794" s="59">
        <v>14.105438150172541</v>
      </c>
    </row>
    <row r="795" spans="1:22">
      <c r="A795" s="89">
        <v>795</v>
      </c>
      <c r="B795" s="89">
        <v>795</v>
      </c>
      <c r="C795" s="89" t="s">
        <v>1338</v>
      </c>
      <c r="D795" s="58" t="s">
        <v>234</v>
      </c>
      <c r="E795" s="58" t="s">
        <v>182</v>
      </c>
      <c r="F795" s="89" t="s">
        <v>302</v>
      </c>
      <c r="G795" s="89" t="s">
        <v>303</v>
      </c>
      <c r="H795" s="89" t="s">
        <v>179</v>
      </c>
      <c r="I795" s="90">
        <v>38000</v>
      </c>
      <c r="J795" s="90">
        <v>38000</v>
      </c>
      <c r="K795" s="89" t="s">
        <v>185</v>
      </c>
      <c r="L795" s="91">
        <v>18.431000000000001</v>
      </c>
      <c r="M795" s="92">
        <v>19</v>
      </c>
      <c r="N795" s="91">
        <v>8.1760000000000002</v>
      </c>
      <c r="O795" s="90">
        <v>2</v>
      </c>
      <c r="P795" s="92">
        <v>6.1319999999999997</v>
      </c>
      <c r="Q795" s="93">
        <v>75.600000000000009</v>
      </c>
      <c r="R795" s="92">
        <v>75.600000000000009</v>
      </c>
      <c r="S795" s="87">
        <v>4923850</v>
      </c>
      <c r="T795" s="94">
        <v>11</v>
      </c>
      <c r="U795" s="95">
        <v>65130.291005291001</v>
      </c>
      <c r="V795" s="96">
        <v>15.353838967474642</v>
      </c>
    </row>
    <row r="796" spans="1:22">
      <c r="A796" s="58">
        <v>796</v>
      </c>
      <c r="B796" s="58">
        <v>796</v>
      </c>
      <c r="C796" s="58" t="s">
        <v>1339</v>
      </c>
      <c r="D796" s="58" t="s">
        <v>234</v>
      </c>
      <c r="E796" s="58" t="s">
        <v>234</v>
      </c>
      <c r="F796" s="58" t="s">
        <v>309</v>
      </c>
      <c r="G796" s="58" t="s">
        <v>310</v>
      </c>
      <c r="H796" s="58" t="s">
        <v>179</v>
      </c>
      <c r="I796">
        <v>38000</v>
      </c>
      <c r="J796">
        <v>38000</v>
      </c>
      <c r="K796">
        <v>20000</v>
      </c>
      <c r="L796" s="74">
        <v>18.315999999999999</v>
      </c>
      <c r="M796" s="85">
        <v>19</v>
      </c>
      <c r="N796" s="74">
        <v>1.3009999999999999</v>
      </c>
      <c r="O796">
        <v>2</v>
      </c>
      <c r="P796" s="84">
        <v>0.9757499999999999</v>
      </c>
      <c r="Q796" s="86">
        <v>8.4</v>
      </c>
      <c r="R796" s="85">
        <v>8.4</v>
      </c>
      <c r="S796" s="87">
        <v>1906800</v>
      </c>
      <c r="T796" s="1">
        <v>2</v>
      </c>
      <c r="U796" s="88">
        <v>227000</v>
      </c>
      <c r="V796" s="59">
        <v>4.4052863436123344</v>
      </c>
    </row>
    <row r="797" spans="1:22">
      <c r="A797" s="89">
        <v>797</v>
      </c>
      <c r="B797" s="89">
        <v>797</v>
      </c>
      <c r="C797" s="89" t="s">
        <v>1340</v>
      </c>
      <c r="D797" s="58" t="s">
        <v>234</v>
      </c>
      <c r="E797" s="58" t="s">
        <v>234</v>
      </c>
      <c r="F797" s="89" t="s">
        <v>309</v>
      </c>
      <c r="G797" s="89" t="s">
        <v>310</v>
      </c>
      <c r="H797" s="89" t="s">
        <v>179</v>
      </c>
      <c r="I797" s="90">
        <v>38000</v>
      </c>
      <c r="J797" s="90">
        <v>38000</v>
      </c>
      <c r="K797" s="90">
        <v>20000</v>
      </c>
      <c r="L797" s="91">
        <v>16.39</v>
      </c>
      <c r="M797" s="92">
        <v>17</v>
      </c>
      <c r="N797" s="91">
        <v>10.7959999999999</v>
      </c>
      <c r="O797" s="90">
        <v>2</v>
      </c>
      <c r="P797" s="92">
        <v>8.0969999999999249</v>
      </c>
      <c r="Q797" s="93">
        <v>96.600000000000009</v>
      </c>
      <c r="R797" s="92">
        <v>96.600000000000009</v>
      </c>
      <c r="S797" s="87">
        <v>4502230</v>
      </c>
      <c r="T797" s="94">
        <v>11</v>
      </c>
      <c r="U797" s="95">
        <v>46606.935817805381</v>
      </c>
      <c r="V797" s="96">
        <v>21.456034009812917</v>
      </c>
    </row>
    <row r="798" spans="1:22">
      <c r="A798" s="58">
        <v>798</v>
      </c>
      <c r="B798" s="58">
        <v>798</v>
      </c>
      <c r="C798" s="58" t="s">
        <v>1341</v>
      </c>
      <c r="D798" s="58" t="s">
        <v>234</v>
      </c>
      <c r="E798" s="58" t="s">
        <v>234</v>
      </c>
      <c r="F798" s="58" t="s">
        <v>309</v>
      </c>
      <c r="G798" s="58" t="s">
        <v>310</v>
      </c>
      <c r="H798" s="58" t="s">
        <v>179</v>
      </c>
      <c r="I798">
        <v>38000</v>
      </c>
      <c r="J798">
        <v>38000</v>
      </c>
      <c r="K798">
        <v>20000</v>
      </c>
      <c r="L798" s="74">
        <v>14.798</v>
      </c>
      <c r="M798" s="85">
        <v>15</v>
      </c>
      <c r="N798" s="74">
        <v>0.436</v>
      </c>
      <c r="O798">
        <v>2</v>
      </c>
      <c r="P798" s="84">
        <v>0.436</v>
      </c>
      <c r="Q798" s="86">
        <v>4.2</v>
      </c>
      <c r="R798" s="85">
        <v>4.2</v>
      </c>
      <c r="S798" s="87">
        <v>1650640</v>
      </c>
      <c r="T798" s="1">
        <v>1</v>
      </c>
      <c r="U798" s="88">
        <v>393009.52380952379</v>
      </c>
      <c r="V798" s="59">
        <v>2.5444676004458877</v>
      </c>
    </row>
    <row r="799" spans="1:22">
      <c r="A799" s="58">
        <v>799</v>
      </c>
      <c r="B799" s="58">
        <v>799</v>
      </c>
      <c r="C799" s="58" t="s">
        <v>1342</v>
      </c>
      <c r="D799" s="58" t="s">
        <v>234</v>
      </c>
      <c r="E799" s="58" t="s">
        <v>234</v>
      </c>
      <c r="F799" s="58" t="s">
        <v>309</v>
      </c>
      <c r="G799" s="58" t="s">
        <v>310</v>
      </c>
      <c r="H799" s="58" t="s">
        <v>179</v>
      </c>
      <c r="I799">
        <v>38000</v>
      </c>
      <c r="J799">
        <v>38000</v>
      </c>
      <c r="K799">
        <v>20000</v>
      </c>
      <c r="L799" s="74">
        <v>12.93</v>
      </c>
      <c r="M799" s="85">
        <v>13</v>
      </c>
      <c r="N799" s="74">
        <v>1.266</v>
      </c>
      <c r="O799">
        <v>2</v>
      </c>
      <c r="P799" s="84">
        <v>0.94950000000000001</v>
      </c>
      <c r="Q799" s="86">
        <v>8.4</v>
      </c>
      <c r="R799" s="85">
        <v>8.4</v>
      </c>
      <c r="S799" s="87">
        <v>1590600</v>
      </c>
      <c r="T799" s="1">
        <v>2</v>
      </c>
      <c r="U799" s="88">
        <v>189357.14285714284</v>
      </c>
      <c r="V799" s="59">
        <v>5.2810260279139944</v>
      </c>
    </row>
    <row r="800" spans="1:22">
      <c r="A800" s="58">
        <v>800</v>
      </c>
      <c r="B800" s="58">
        <v>800</v>
      </c>
      <c r="C800" s="58" t="s">
        <v>1343</v>
      </c>
      <c r="D800" s="58" t="s">
        <v>234</v>
      </c>
      <c r="E800" s="58" t="s">
        <v>234</v>
      </c>
      <c r="F800" s="58" t="s">
        <v>309</v>
      </c>
      <c r="G800" s="58" t="s">
        <v>310</v>
      </c>
      <c r="H800" s="58" t="s">
        <v>179</v>
      </c>
      <c r="I800">
        <v>38000</v>
      </c>
      <c r="J800">
        <v>38000</v>
      </c>
      <c r="K800">
        <v>20000</v>
      </c>
      <c r="L800" s="74">
        <v>13.856</v>
      </c>
      <c r="M800" s="85">
        <v>14</v>
      </c>
      <c r="N800" s="74">
        <v>3.9820000000000002</v>
      </c>
      <c r="O800">
        <v>2</v>
      </c>
      <c r="P800" s="84">
        <v>2.9865000000000004</v>
      </c>
      <c r="Q800" s="86">
        <v>33.6</v>
      </c>
      <c r="R800" s="85">
        <v>33.6</v>
      </c>
      <c r="S800" s="87">
        <v>1905430</v>
      </c>
      <c r="T800" s="1">
        <v>6</v>
      </c>
      <c r="U800" s="88">
        <v>56709.226190476191</v>
      </c>
      <c r="V800" s="59">
        <v>17.633814939410001</v>
      </c>
    </row>
    <row r="801" spans="1:22">
      <c r="A801" s="58">
        <v>801</v>
      </c>
      <c r="B801" s="58">
        <v>801</v>
      </c>
      <c r="C801" s="58" t="s">
        <v>1344</v>
      </c>
      <c r="D801" s="58" t="s">
        <v>234</v>
      </c>
      <c r="E801" s="58" t="s">
        <v>234</v>
      </c>
      <c r="F801" s="58" t="s">
        <v>935</v>
      </c>
      <c r="G801" s="58" t="s">
        <v>936</v>
      </c>
      <c r="H801" s="58" t="s">
        <v>179</v>
      </c>
      <c r="I801">
        <v>38000</v>
      </c>
      <c r="J801">
        <v>38000</v>
      </c>
      <c r="K801" s="58" t="s">
        <v>185</v>
      </c>
      <c r="L801" s="74">
        <v>14.372</v>
      </c>
      <c r="M801" s="85">
        <v>15</v>
      </c>
      <c r="N801" s="74">
        <v>4.29</v>
      </c>
      <c r="O801">
        <v>2</v>
      </c>
      <c r="P801" s="84">
        <v>3.2175000000000002</v>
      </c>
      <c r="Q801" s="86">
        <v>37.800000000000004</v>
      </c>
      <c r="R801" s="85">
        <v>37.800000000000004</v>
      </c>
      <c r="S801" s="87">
        <v>2016690</v>
      </c>
      <c r="T801" s="1">
        <v>6</v>
      </c>
      <c r="U801" s="88">
        <v>53351.587301587293</v>
      </c>
      <c r="V801" s="59">
        <v>18.743584784969435</v>
      </c>
    </row>
    <row r="802" spans="1:22">
      <c r="A802" s="58">
        <v>802</v>
      </c>
      <c r="B802" s="58">
        <v>802</v>
      </c>
      <c r="C802" s="58" t="s">
        <v>1345</v>
      </c>
      <c r="D802" s="58" t="s">
        <v>234</v>
      </c>
      <c r="E802" s="58" t="s">
        <v>234</v>
      </c>
      <c r="F802" s="58" t="s">
        <v>595</v>
      </c>
      <c r="G802" s="58" t="s">
        <v>596</v>
      </c>
      <c r="H802" s="58" t="s">
        <v>179</v>
      </c>
      <c r="I802">
        <v>38000</v>
      </c>
      <c r="J802">
        <v>38000</v>
      </c>
      <c r="K802" s="58" t="s">
        <v>185</v>
      </c>
      <c r="L802" s="74">
        <v>18.244</v>
      </c>
      <c r="M802" s="85">
        <v>19</v>
      </c>
      <c r="N802" s="74">
        <v>1.409</v>
      </c>
      <c r="O802">
        <v>2</v>
      </c>
      <c r="P802" s="84">
        <v>1.0567500000000001</v>
      </c>
      <c r="Q802" s="86">
        <v>12.600000000000001</v>
      </c>
      <c r="R802" s="85">
        <v>12.600000000000001</v>
      </c>
      <c r="S802" s="87">
        <v>1943850</v>
      </c>
      <c r="T802" s="1">
        <v>3</v>
      </c>
      <c r="U802" s="88">
        <v>154273.8095238095</v>
      </c>
      <c r="V802" s="59">
        <v>6.4819816343853702</v>
      </c>
    </row>
    <row r="803" spans="1:22">
      <c r="A803" s="58">
        <v>803</v>
      </c>
      <c r="B803" s="58">
        <v>803</v>
      </c>
      <c r="C803" s="58" t="s">
        <v>1346</v>
      </c>
      <c r="D803" s="58" t="s">
        <v>182</v>
      </c>
      <c r="E803" s="58" t="s">
        <v>182</v>
      </c>
      <c r="F803" s="58" t="s">
        <v>302</v>
      </c>
      <c r="G803" s="58" t="s">
        <v>303</v>
      </c>
      <c r="H803" s="58" t="s">
        <v>179</v>
      </c>
      <c r="I803">
        <v>38000</v>
      </c>
      <c r="J803">
        <v>38000</v>
      </c>
      <c r="K803" s="58" t="s">
        <v>185</v>
      </c>
      <c r="L803" s="74">
        <v>16.492000000000001</v>
      </c>
      <c r="M803" s="85">
        <v>17</v>
      </c>
      <c r="N803" s="74">
        <v>1.331</v>
      </c>
      <c r="O803">
        <v>2</v>
      </c>
      <c r="P803" s="84">
        <v>0.99824999999999997</v>
      </c>
      <c r="Q803" s="86">
        <v>8.4</v>
      </c>
      <c r="R803" s="85">
        <v>8.4</v>
      </c>
      <c r="S803" s="87">
        <v>1801400</v>
      </c>
      <c r="T803" s="1">
        <v>2</v>
      </c>
      <c r="U803" s="88">
        <v>214452.38095238095</v>
      </c>
      <c r="V803" s="59">
        <v>4.6630398578883092</v>
      </c>
    </row>
    <row r="804" spans="1:22">
      <c r="A804" s="58">
        <v>804</v>
      </c>
      <c r="B804" s="58">
        <v>804</v>
      </c>
      <c r="C804" s="58" t="s">
        <v>1347</v>
      </c>
      <c r="D804" s="58" t="s">
        <v>182</v>
      </c>
      <c r="E804" s="58" t="s">
        <v>182</v>
      </c>
      <c r="F804" s="58" t="s">
        <v>595</v>
      </c>
      <c r="G804" s="58" t="s">
        <v>596</v>
      </c>
      <c r="H804" s="58" t="s">
        <v>179</v>
      </c>
      <c r="I804">
        <v>38000</v>
      </c>
      <c r="J804">
        <v>38000</v>
      </c>
      <c r="K804" s="58" t="s">
        <v>185</v>
      </c>
      <c r="L804" s="74">
        <v>17.324000000000002</v>
      </c>
      <c r="M804" s="85">
        <v>18</v>
      </c>
      <c r="N804" s="74">
        <v>1.863</v>
      </c>
      <c r="O804">
        <v>2</v>
      </c>
      <c r="P804" s="84">
        <v>1.3972500000000001</v>
      </c>
      <c r="Q804" s="86">
        <v>16.8</v>
      </c>
      <c r="R804" s="85">
        <v>16.8</v>
      </c>
      <c r="S804" s="87">
        <v>1612650</v>
      </c>
      <c r="T804" s="1">
        <v>4</v>
      </c>
      <c r="U804" s="88">
        <v>95991.07142857142</v>
      </c>
      <c r="V804" s="59">
        <v>10.417635568784299</v>
      </c>
    </row>
    <row r="805" spans="1:22">
      <c r="A805" s="58">
        <v>805</v>
      </c>
      <c r="B805" s="58">
        <v>805</v>
      </c>
      <c r="C805" s="58" t="s">
        <v>1348</v>
      </c>
      <c r="D805" s="58" t="s">
        <v>182</v>
      </c>
      <c r="E805" s="58" t="s">
        <v>182</v>
      </c>
      <c r="F805" s="58" t="s">
        <v>302</v>
      </c>
      <c r="G805" s="58" t="s">
        <v>303</v>
      </c>
      <c r="H805" s="58" t="s">
        <v>179</v>
      </c>
      <c r="I805">
        <v>38000</v>
      </c>
      <c r="J805">
        <v>38000</v>
      </c>
      <c r="K805" s="58" t="s">
        <v>185</v>
      </c>
      <c r="L805" s="74">
        <v>16.324999999999999</v>
      </c>
      <c r="M805" s="85">
        <v>17</v>
      </c>
      <c r="N805" s="74">
        <v>1.0049999999999999</v>
      </c>
      <c r="O805">
        <v>2</v>
      </c>
      <c r="P805" s="84">
        <v>0.75374999999999992</v>
      </c>
      <c r="Q805" s="86">
        <v>8.4</v>
      </c>
      <c r="R805" s="85">
        <v>8.4</v>
      </c>
      <c r="S805" s="87">
        <v>1801400</v>
      </c>
      <c r="T805" s="1">
        <v>2</v>
      </c>
      <c r="U805" s="88">
        <v>214452.38095238095</v>
      </c>
      <c r="V805" s="59">
        <v>4.6630398578883092</v>
      </c>
    </row>
    <row r="806" spans="1:22">
      <c r="A806" s="58">
        <v>806</v>
      </c>
      <c r="B806" s="58">
        <v>806</v>
      </c>
      <c r="C806" s="58" t="s">
        <v>1349</v>
      </c>
      <c r="D806" s="58" t="s">
        <v>182</v>
      </c>
      <c r="E806" s="58" t="s">
        <v>182</v>
      </c>
      <c r="F806" s="58" t="s">
        <v>595</v>
      </c>
      <c r="G806" s="58" t="s">
        <v>596</v>
      </c>
      <c r="H806" s="58" t="s">
        <v>179</v>
      </c>
      <c r="I806">
        <v>38000</v>
      </c>
      <c r="J806">
        <v>38000</v>
      </c>
      <c r="K806" s="58" t="s">
        <v>185</v>
      </c>
      <c r="L806" s="74">
        <v>15.186</v>
      </c>
      <c r="M806" s="85">
        <v>16</v>
      </c>
      <c r="N806" s="74">
        <v>0.84199999999999997</v>
      </c>
      <c r="O806">
        <v>2</v>
      </c>
      <c r="P806" s="84">
        <v>0.63149999999999995</v>
      </c>
      <c r="Q806" s="86">
        <v>8.4</v>
      </c>
      <c r="R806" s="85">
        <v>8.4</v>
      </c>
      <c r="S806" s="87">
        <v>1748700</v>
      </c>
      <c r="T806" s="1">
        <v>2</v>
      </c>
      <c r="U806" s="88">
        <v>208178.57142857142</v>
      </c>
      <c r="V806" s="59">
        <v>4.8035683650711958</v>
      </c>
    </row>
    <row r="807" spans="1:22">
      <c r="A807" s="58">
        <v>807</v>
      </c>
      <c r="B807" s="58">
        <v>807</v>
      </c>
      <c r="C807" s="58" t="s">
        <v>1350</v>
      </c>
      <c r="D807" s="58" t="s">
        <v>182</v>
      </c>
      <c r="E807" s="58" t="s">
        <v>182</v>
      </c>
      <c r="F807" s="58" t="s">
        <v>440</v>
      </c>
      <c r="G807" s="58" t="s">
        <v>441</v>
      </c>
      <c r="H807" s="58" t="s">
        <v>199</v>
      </c>
      <c r="I807">
        <v>110000</v>
      </c>
      <c r="L807" s="74">
        <v>12.718</v>
      </c>
      <c r="M807" s="85">
        <v>13</v>
      </c>
      <c r="N807" s="74">
        <v>0.47</v>
      </c>
      <c r="O807">
        <v>2</v>
      </c>
      <c r="P807" s="84">
        <v>0.47</v>
      </c>
      <c r="Q807" s="86">
        <v>4.2</v>
      </c>
      <c r="R807" s="85">
        <v>4.2</v>
      </c>
      <c r="S807" s="87">
        <v>2101570</v>
      </c>
      <c r="T807" s="1">
        <v>7</v>
      </c>
      <c r="U807" s="88">
        <v>500373.80952380953</v>
      </c>
      <c r="V807" s="59">
        <v>1.9985058789381271</v>
      </c>
    </row>
    <row r="808" spans="1:22">
      <c r="A808" s="58">
        <v>808</v>
      </c>
      <c r="B808" s="58">
        <v>808</v>
      </c>
      <c r="C808" s="58" t="s">
        <v>1351</v>
      </c>
      <c r="D808" s="58" t="s">
        <v>182</v>
      </c>
      <c r="E808" s="58" t="s">
        <v>182</v>
      </c>
      <c r="F808" s="58" t="s">
        <v>312</v>
      </c>
      <c r="G808" s="58" t="s">
        <v>313</v>
      </c>
      <c r="H808" s="58" t="s">
        <v>179</v>
      </c>
      <c r="I808">
        <v>38000</v>
      </c>
      <c r="J808">
        <v>38000</v>
      </c>
      <c r="K808">
        <v>10000</v>
      </c>
      <c r="L808" s="74">
        <v>8.1170000000000009</v>
      </c>
      <c r="M808" s="85">
        <v>9</v>
      </c>
      <c r="N808" s="74">
        <v>4.2590000000000003</v>
      </c>
      <c r="O808">
        <v>2</v>
      </c>
      <c r="P808" s="84">
        <v>3.1942500000000003</v>
      </c>
      <c r="Q808" s="86">
        <v>37.800000000000004</v>
      </c>
      <c r="R808" s="85">
        <v>37.800000000000004</v>
      </c>
      <c r="S808" s="87">
        <v>1349130</v>
      </c>
      <c r="T808" s="1">
        <v>6</v>
      </c>
      <c r="U808" s="88">
        <v>35691.269841269837</v>
      </c>
      <c r="V808" s="59">
        <v>28.018056080585271</v>
      </c>
    </row>
    <row r="809" spans="1:22">
      <c r="A809" s="58">
        <v>809</v>
      </c>
      <c r="B809" s="58">
        <v>809</v>
      </c>
      <c r="C809" s="58" t="s">
        <v>1352</v>
      </c>
      <c r="D809" s="58" t="s">
        <v>182</v>
      </c>
      <c r="E809" s="58" t="s">
        <v>182</v>
      </c>
      <c r="F809" s="58" t="s">
        <v>312</v>
      </c>
      <c r="G809" s="58" t="s">
        <v>313</v>
      </c>
      <c r="H809" s="58" t="s">
        <v>179</v>
      </c>
      <c r="I809">
        <v>38000</v>
      </c>
      <c r="J809">
        <v>38000</v>
      </c>
      <c r="K809">
        <v>10000</v>
      </c>
      <c r="L809" s="74">
        <v>11.242000000000001</v>
      </c>
      <c r="M809" s="85">
        <v>12</v>
      </c>
      <c r="N809" s="74">
        <v>2.266</v>
      </c>
      <c r="O809">
        <v>2</v>
      </c>
      <c r="P809" s="84">
        <v>1.6995</v>
      </c>
      <c r="Q809" s="86">
        <v>21</v>
      </c>
      <c r="R809" s="85">
        <v>21</v>
      </c>
      <c r="S809" s="87">
        <v>1191030</v>
      </c>
      <c r="T809" s="1">
        <v>4</v>
      </c>
      <c r="U809" s="88">
        <v>56715.714285714283</v>
      </c>
      <c r="V809" s="59">
        <v>17.631797687715675</v>
      </c>
    </row>
    <row r="810" spans="1:22">
      <c r="A810" s="58">
        <v>810</v>
      </c>
      <c r="B810" s="58">
        <v>810</v>
      </c>
      <c r="C810" s="58" t="s">
        <v>1353</v>
      </c>
      <c r="D810" s="58" t="s">
        <v>182</v>
      </c>
      <c r="E810" s="58" t="s">
        <v>182</v>
      </c>
      <c r="F810" s="58" t="s">
        <v>440</v>
      </c>
      <c r="G810" s="58" t="s">
        <v>441</v>
      </c>
      <c r="H810" s="58" t="s">
        <v>199</v>
      </c>
      <c r="I810">
        <v>110000</v>
      </c>
      <c r="L810" s="74">
        <v>11.454000000000001</v>
      </c>
      <c r="M810" s="85">
        <v>12</v>
      </c>
      <c r="N810" s="74">
        <v>4.2549999999999999</v>
      </c>
      <c r="O810">
        <v>2</v>
      </c>
      <c r="P810" s="84">
        <v>3.1912500000000001</v>
      </c>
      <c r="Q810" s="86">
        <v>37.800000000000004</v>
      </c>
      <c r="R810" s="85">
        <v>37.800000000000004</v>
      </c>
      <c r="S810" s="87">
        <v>3288970</v>
      </c>
      <c r="T810" s="1">
        <v>10</v>
      </c>
      <c r="U810" s="88">
        <v>87009.788359788348</v>
      </c>
      <c r="V810" s="59">
        <v>11.492959802004885</v>
      </c>
    </row>
    <row r="811" spans="1:22">
      <c r="A811" s="58">
        <v>811</v>
      </c>
      <c r="B811" s="58">
        <v>811</v>
      </c>
      <c r="C811" s="58" t="s">
        <v>1354</v>
      </c>
      <c r="D811" s="58" t="s">
        <v>182</v>
      </c>
      <c r="E811" s="58" t="s">
        <v>182</v>
      </c>
      <c r="F811" s="58" t="s">
        <v>183</v>
      </c>
      <c r="G811" s="58" t="s">
        <v>184</v>
      </c>
      <c r="H811" s="58" t="s">
        <v>179</v>
      </c>
      <c r="I811">
        <v>38000</v>
      </c>
      <c r="J811">
        <v>38000</v>
      </c>
      <c r="K811" s="58" t="s">
        <v>185</v>
      </c>
      <c r="L811" s="74">
        <v>3.972</v>
      </c>
      <c r="M811" s="85">
        <v>4</v>
      </c>
      <c r="N811" s="74">
        <v>1.198</v>
      </c>
      <c r="O811">
        <v>2</v>
      </c>
      <c r="P811" s="84">
        <v>0.89849999999999997</v>
      </c>
      <c r="Q811" s="86">
        <v>8.4</v>
      </c>
      <c r="R811" s="85">
        <v>8.4</v>
      </c>
      <c r="S811" s="87">
        <v>628870</v>
      </c>
      <c r="T811" s="1">
        <v>4</v>
      </c>
      <c r="U811" s="88">
        <v>74865.476190476184</v>
      </c>
      <c r="V811" s="59">
        <v>13.357291650102566</v>
      </c>
    </row>
    <row r="812" spans="1:22">
      <c r="A812" s="58">
        <v>812</v>
      </c>
      <c r="B812" s="58">
        <v>812</v>
      </c>
      <c r="C812" s="58" t="s">
        <v>1355</v>
      </c>
      <c r="D812" s="58" t="s">
        <v>234</v>
      </c>
      <c r="E812" s="58" t="s">
        <v>234</v>
      </c>
      <c r="F812" s="58" t="s">
        <v>309</v>
      </c>
      <c r="G812" s="58" t="s">
        <v>310</v>
      </c>
      <c r="H812" s="58" t="s">
        <v>179</v>
      </c>
      <c r="I812">
        <v>38000</v>
      </c>
      <c r="J812">
        <v>38000</v>
      </c>
      <c r="K812">
        <v>20000</v>
      </c>
      <c r="L812" s="74">
        <v>22.097999999999999</v>
      </c>
      <c r="M812" s="85">
        <v>23</v>
      </c>
      <c r="N812" s="74">
        <v>3.4969999999999999</v>
      </c>
      <c r="O812">
        <v>2</v>
      </c>
      <c r="P812" s="84">
        <v>2.6227499999999999</v>
      </c>
      <c r="Q812" s="86">
        <v>29.400000000000006</v>
      </c>
      <c r="R812" s="85">
        <v>29.400000000000006</v>
      </c>
      <c r="S812" s="87">
        <v>2390880</v>
      </c>
      <c r="T812" s="1">
        <v>5</v>
      </c>
      <c r="U812" s="88">
        <v>81322.44897959182</v>
      </c>
      <c r="V812" s="59">
        <v>12.296727564746037</v>
      </c>
    </row>
    <row r="813" spans="1:22">
      <c r="A813" s="58">
        <v>813</v>
      </c>
      <c r="B813" s="58">
        <v>813</v>
      </c>
      <c r="C813" s="58" t="s">
        <v>1356</v>
      </c>
      <c r="D813" s="58" t="s">
        <v>234</v>
      </c>
      <c r="E813" s="58" t="s">
        <v>234</v>
      </c>
      <c r="F813" s="58" t="s">
        <v>316</v>
      </c>
      <c r="G813" s="58" t="s">
        <v>317</v>
      </c>
      <c r="H813" s="58" t="s">
        <v>199</v>
      </c>
      <c r="I813">
        <v>110000</v>
      </c>
      <c r="J813">
        <v>110000</v>
      </c>
      <c r="K813">
        <v>38000</v>
      </c>
      <c r="L813" s="74">
        <v>21.989000000000001</v>
      </c>
      <c r="M813" s="85">
        <v>22</v>
      </c>
      <c r="N813" s="74">
        <v>0.54400000000000004</v>
      </c>
      <c r="O813">
        <v>2</v>
      </c>
      <c r="P813" s="84">
        <v>0.54400000000000004</v>
      </c>
      <c r="Q813" s="86">
        <v>4.2</v>
      </c>
      <c r="R813" s="85">
        <v>4.2</v>
      </c>
      <c r="S813" s="87">
        <v>2575870</v>
      </c>
      <c r="T813" s="1">
        <v>7</v>
      </c>
      <c r="U813" s="88">
        <v>613302.38095238095</v>
      </c>
      <c r="V813" s="59">
        <v>1.6305170680197369</v>
      </c>
    </row>
    <row r="814" spans="1:22">
      <c r="A814" s="58">
        <v>814</v>
      </c>
      <c r="B814" s="58">
        <v>814</v>
      </c>
      <c r="C814" s="58" t="s">
        <v>1357</v>
      </c>
      <c r="D814" s="58" t="s">
        <v>234</v>
      </c>
      <c r="E814" s="58" t="s">
        <v>234</v>
      </c>
      <c r="F814" s="58" t="s">
        <v>316</v>
      </c>
      <c r="G814" s="58" t="s">
        <v>317</v>
      </c>
      <c r="H814" s="58" t="s">
        <v>199</v>
      </c>
      <c r="I814">
        <v>110000</v>
      </c>
      <c r="J814">
        <v>110000</v>
      </c>
      <c r="K814">
        <v>38000</v>
      </c>
      <c r="L814" s="74">
        <v>20.436</v>
      </c>
      <c r="M814" s="85">
        <v>21</v>
      </c>
      <c r="N814" s="74">
        <v>3.0459999999999998</v>
      </c>
      <c r="O814">
        <v>2</v>
      </c>
      <c r="P814" s="84">
        <v>2.2845</v>
      </c>
      <c r="Q814" s="86">
        <v>25.200000000000003</v>
      </c>
      <c r="R814" s="85">
        <v>25.200000000000003</v>
      </c>
      <c r="S814" s="87">
        <v>3819280</v>
      </c>
      <c r="T814" s="1">
        <v>9</v>
      </c>
      <c r="U814" s="88">
        <v>151558.73015873015</v>
      </c>
      <c r="V814" s="59">
        <v>6.5981022601118546</v>
      </c>
    </row>
    <row r="815" spans="1:22">
      <c r="A815" s="58">
        <v>815</v>
      </c>
      <c r="B815" s="58">
        <v>815</v>
      </c>
      <c r="C815" s="58" t="s">
        <v>1358</v>
      </c>
      <c r="D815" s="58" t="s">
        <v>234</v>
      </c>
      <c r="E815" s="58" t="s">
        <v>234</v>
      </c>
      <c r="F815" s="58" t="s">
        <v>316</v>
      </c>
      <c r="G815" s="58" t="s">
        <v>317</v>
      </c>
      <c r="H815" s="58" t="s">
        <v>199</v>
      </c>
      <c r="I815">
        <v>110000</v>
      </c>
      <c r="J815">
        <v>110000</v>
      </c>
      <c r="K815">
        <v>38000</v>
      </c>
      <c r="L815" s="74">
        <v>18.073</v>
      </c>
      <c r="M815" s="85">
        <v>19</v>
      </c>
      <c r="N815" s="74">
        <v>0.48599999999999999</v>
      </c>
      <c r="O815">
        <v>2</v>
      </c>
      <c r="P815" s="84">
        <v>0.48599999999999999</v>
      </c>
      <c r="Q815" s="86">
        <v>4.2</v>
      </c>
      <c r="R815" s="85">
        <v>4.2</v>
      </c>
      <c r="S815" s="87">
        <v>2417770</v>
      </c>
      <c r="T815" s="1">
        <v>7</v>
      </c>
      <c r="U815" s="88">
        <v>575659.52380952379</v>
      </c>
      <c r="V815" s="59">
        <v>1.7371379411606562</v>
      </c>
    </row>
    <row r="816" spans="1:22">
      <c r="A816" s="89">
        <v>816</v>
      </c>
      <c r="B816" s="89">
        <v>816</v>
      </c>
      <c r="C816" s="89" t="s">
        <v>1359</v>
      </c>
      <c r="D816" s="58" t="s">
        <v>234</v>
      </c>
      <c r="E816" s="58" t="s">
        <v>234</v>
      </c>
      <c r="F816" s="89" t="s">
        <v>309</v>
      </c>
      <c r="G816" s="89" t="s">
        <v>310</v>
      </c>
      <c r="H816" s="89" t="s">
        <v>179</v>
      </c>
      <c r="I816" s="90">
        <v>38000</v>
      </c>
      <c r="J816" s="90">
        <v>38000</v>
      </c>
      <c r="K816" s="90">
        <v>20000</v>
      </c>
      <c r="L816" s="91">
        <v>12.260999999999999</v>
      </c>
      <c r="M816" s="92">
        <v>13</v>
      </c>
      <c r="N816" s="91">
        <v>9.9450000000000003</v>
      </c>
      <c r="O816" s="90">
        <v>2</v>
      </c>
      <c r="P816" s="92">
        <v>7.4587500000000002</v>
      </c>
      <c r="Q816" s="93">
        <v>92.4</v>
      </c>
      <c r="R816" s="92">
        <v>92.4</v>
      </c>
      <c r="S816" s="87">
        <v>3658990</v>
      </c>
      <c r="T816" s="94">
        <v>11</v>
      </c>
      <c r="U816" s="95">
        <v>39599.458874458869</v>
      </c>
      <c r="V816" s="96">
        <v>25.252870327604064</v>
      </c>
    </row>
    <row r="817" spans="1:22">
      <c r="A817" s="58">
        <v>817</v>
      </c>
      <c r="B817" s="58">
        <v>817</v>
      </c>
      <c r="C817" s="58" t="s">
        <v>1360</v>
      </c>
      <c r="D817" s="58" t="s">
        <v>234</v>
      </c>
      <c r="E817" s="58" t="s">
        <v>234</v>
      </c>
      <c r="F817" s="58" t="s">
        <v>316</v>
      </c>
      <c r="G817" s="58" t="s">
        <v>317</v>
      </c>
      <c r="H817" s="58" t="s">
        <v>199</v>
      </c>
      <c r="I817">
        <v>110000</v>
      </c>
      <c r="J817">
        <v>110000</v>
      </c>
      <c r="K817">
        <v>38000</v>
      </c>
      <c r="L817" s="74">
        <v>11.499000000000001</v>
      </c>
      <c r="M817" s="85">
        <v>12</v>
      </c>
      <c r="N817" s="74">
        <v>0.98599999999999999</v>
      </c>
      <c r="O817">
        <v>2</v>
      </c>
      <c r="P817" s="84">
        <v>0.73950000000000005</v>
      </c>
      <c r="Q817" s="86">
        <v>8.4</v>
      </c>
      <c r="R817" s="85">
        <v>8.4</v>
      </c>
      <c r="S817" s="87">
        <v>2048870</v>
      </c>
      <c r="T817" s="1">
        <v>7</v>
      </c>
      <c r="U817" s="88">
        <v>243913.09523809524</v>
      </c>
      <c r="V817" s="59">
        <v>4.0998208768735935</v>
      </c>
    </row>
    <row r="818" spans="1:22">
      <c r="A818" s="89">
        <v>818</v>
      </c>
      <c r="B818" s="89">
        <v>818</v>
      </c>
      <c r="C818" s="89" t="s">
        <v>1361</v>
      </c>
      <c r="D818" s="58" t="s">
        <v>234</v>
      </c>
      <c r="E818" s="58" t="s">
        <v>234</v>
      </c>
      <c r="F818" s="89" t="s">
        <v>309</v>
      </c>
      <c r="G818" s="89" t="s">
        <v>310</v>
      </c>
      <c r="H818" s="89" t="s">
        <v>179</v>
      </c>
      <c r="I818" s="90">
        <v>38000</v>
      </c>
      <c r="J818" s="90">
        <v>38000</v>
      </c>
      <c r="K818" s="90">
        <v>20000</v>
      </c>
      <c r="L818" s="91">
        <v>18.516999999999999</v>
      </c>
      <c r="M818" s="92">
        <v>19</v>
      </c>
      <c r="N818" s="91">
        <v>13.319000000000001</v>
      </c>
      <c r="O818" s="90">
        <v>2</v>
      </c>
      <c r="P818" s="92">
        <v>9.9892500000000002</v>
      </c>
      <c r="Q818" s="93">
        <v>121.80000000000001</v>
      </c>
      <c r="R818" s="92">
        <v>121.80000000000001</v>
      </c>
      <c r="S818" s="87">
        <v>4923850</v>
      </c>
      <c r="T818" s="94">
        <v>11</v>
      </c>
      <c r="U818" s="95">
        <v>40425.697865353031</v>
      </c>
      <c r="V818" s="96">
        <v>24.736740558709144</v>
      </c>
    </row>
    <row r="819" spans="1:22">
      <c r="A819" s="58">
        <v>819</v>
      </c>
      <c r="B819" s="58">
        <v>819</v>
      </c>
      <c r="C819" s="58" t="s">
        <v>1362</v>
      </c>
      <c r="D819" s="58" t="s">
        <v>234</v>
      </c>
      <c r="E819" s="58" t="s">
        <v>234</v>
      </c>
      <c r="F819" s="58" t="s">
        <v>309</v>
      </c>
      <c r="G819" s="58" t="s">
        <v>310</v>
      </c>
      <c r="H819" s="58" t="s">
        <v>179</v>
      </c>
      <c r="I819">
        <v>38000</v>
      </c>
      <c r="J819">
        <v>38000</v>
      </c>
      <c r="K819">
        <v>20000</v>
      </c>
      <c r="L819" s="74">
        <v>18.616</v>
      </c>
      <c r="M819" s="85">
        <v>19</v>
      </c>
      <c r="N819" s="74">
        <v>1.5049999999999999</v>
      </c>
      <c r="O819">
        <v>2</v>
      </c>
      <c r="P819" s="84">
        <v>1.1287499999999999</v>
      </c>
      <c r="Q819" s="86">
        <v>12.600000000000001</v>
      </c>
      <c r="R819" s="85">
        <v>12.600000000000001</v>
      </c>
      <c r="S819" s="87">
        <v>1943850</v>
      </c>
      <c r="T819" s="1">
        <v>3</v>
      </c>
      <c r="U819" s="88">
        <v>154273.8095238095</v>
      </c>
      <c r="V819" s="59">
        <v>6.4819816343853702</v>
      </c>
    </row>
    <row r="820" spans="1:22">
      <c r="A820" s="89">
        <v>820</v>
      </c>
      <c r="B820" s="89">
        <v>820</v>
      </c>
      <c r="C820" s="89" t="s">
        <v>1363</v>
      </c>
      <c r="D820" s="58" t="s">
        <v>234</v>
      </c>
      <c r="E820" s="58" t="s">
        <v>234</v>
      </c>
      <c r="F820" s="89" t="s">
        <v>309</v>
      </c>
      <c r="G820" s="89" t="s">
        <v>310</v>
      </c>
      <c r="H820" s="89" t="s">
        <v>179</v>
      </c>
      <c r="I820" s="90">
        <v>38000</v>
      </c>
      <c r="J820" s="90">
        <v>38000</v>
      </c>
      <c r="K820" s="90">
        <v>20000</v>
      </c>
      <c r="L820" s="91">
        <v>16.54</v>
      </c>
      <c r="M820" s="92">
        <v>17</v>
      </c>
      <c r="N820" s="91">
        <v>6.782</v>
      </c>
      <c r="O820" s="90">
        <v>2</v>
      </c>
      <c r="P820" s="92">
        <v>5.0865</v>
      </c>
      <c r="Q820" s="93">
        <v>63</v>
      </c>
      <c r="R820" s="92">
        <v>63</v>
      </c>
      <c r="S820" s="87">
        <v>4502230</v>
      </c>
      <c r="T820" s="94">
        <v>11</v>
      </c>
      <c r="U820" s="95">
        <v>71463.968253968254</v>
      </c>
      <c r="V820" s="96">
        <v>13.99306565857364</v>
      </c>
    </row>
    <row r="821" spans="1:22">
      <c r="A821" s="58">
        <v>821</v>
      </c>
      <c r="B821" s="58">
        <v>821</v>
      </c>
      <c r="C821" s="58" t="s">
        <v>1364</v>
      </c>
      <c r="D821" s="58" t="s">
        <v>234</v>
      </c>
      <c r="E821" s="58" t="s">
        <v>234</v>
      </c>
      <c r="F821" s="58" t="s">
        <v>316</v>
      </c>
      <c r="G821" s="58" t="s">
        <v>317</v>
      </c>
      <c r="H821" s="58" t="s">
        <v>199</v>
      </c>
      <c r="I821">
        <v>110000</v>
      </c>
      <c r="J821">
        <v>110000</v>
      </c>
      <c r="K821">
        <v>38000</v>
      </c>
      <c r="L821" s="74">
        <v>23.484000000000002</v>
      </c>
      <c r="M821" s="85">
        <v>24</v>
      </c>
      <c r="N821" s="74">
        <v>1.556</v>
      </c>
      <c r="O821">
        <v>2</v>
      </c>
      <c r="P821" s="84">
        <v>1.167</v>
      </c>
      <c r="Q821" s="86">
        <v>12.600000000000001</v>
      </c>
      <c r="R821" s="85">
        <v>12.600000000000001</v>
      </c>
      <c r="S821" s="87">
        <v>2681270</v>
      </c>
      <c r="T821" s="1">
        <v>7</v>
      </c>
      <c r="U821" s="88">
        <v>212799.20634920633</v>
      </c>
      <c r="V821" s="59">
        <v>4.6992656465033367</v>
      </c>
    </row>
    <row r="822" spans="1:22">
      <c r="A822" s="58">
        <v>822</v>
      </c>
      <c r="B822" s="58">
        <v>822</v>
      </c>
      <c r="C822" s="58" t="s">
        <v>1365</v>
      </c>
      <c r="D822" s="58" t="s">
        <v>234</v>
      </c>
      <c r="E822" s="58" t="s">
        <v>234</v>
      </c>
      <c r="F822" s="58" t="s">
        <v>302</v>
      </c>
      <c r="G822" s="58" t="s">
        <v>303</v>
      </c>
      <c r="H822" s="58" t="s">
        <v>179</v>
      </c>
      <c r="I822">
        <v>38000</v>
      </c>
      <c r="J822">
        <v>38000</v>
      </c>
      <c r="K822" s="58" t="s">
        <v>185</v>
      </c>
      <c r="L822" s="74">
        <v>21.148</v>
      </c>
      <c r="M822" s="85">
        <v>22</v>
      </c>
      <c r="N822" s="74">
        <v>3.306</v>
      </c>
      <c r="O822">
        <v>2</v>
      </c>
      <c r="P822" s="84">
        <v>2.4794999999999998</v>
      </c>
      <c r="Q822" s="86">
        <v>29.400000000000006</v>
      </c>
      <c r="R822" s="85">
        <v>29.400000000000006</v>
      </c>
      <c r="S822" s="87">
        <v>2302050</v>
      </c>
      <c r="T822" s="1">
        <v>5</v>
      </c>
      <c r="U822" s="88">
        <v>78301.020408163255</v>
      </c>
      <c r="V822" s="59">
        <v>12.771225646706199</v>
      </c>
    </row>
    <row r="823" spans="1:22">
      <c r="A823" s="58">
        <v>823</v>
      </c>
      <c r="B823" s="58">
        <v>823</v>
      </c>
      <c r="C823" s="58" t="s">
        <v>1366</v>
      </c>
      <c r="D823" s="58" t="s">
        <v>234</v>
      </c>
      <c r="E823" s="58" t="s">
        <v>234</v>
      </c>
      <c r="F823" s="58" t="s">
        <v>316</v>
      </c>
      <c r="G823" s="58" t="s">
        <v>317</v>
      </c>
      <c r="H823" s="58" t="s">
        <v>199</v>
      </c>
      <c r="I823">
        <v>110000</v>
      </c>
      <c r="J823">
        <v>110000</v>
      </c>
      <c r="K823">
        <v>38000</v>
      </c>
      <c r="L823" s="74">
        <v>25.893000000000001</v>
      </c>
      <c r="M823" s="85">
        <v>26</v>
      </c>
      <c r="N823" s="74">
        <v>0.89100000000000001</v>
      </c>
      <c r="O823">
        <v>2</v>
      </c>
      <c r="P823" s="84">
        <v>0.66825000000000001</v>
      </c>
      <c r="Q823" s="86">
        <v>8.4</v>
      </c>
      <c r="R823" s="85">
        <v>8.4</v>
      </c>
      <c r="S823" s="87">
        <v>2786670</v>
      </c>
      <c r="T823" s="1">
        <v>7</v>
      </c>
      <c r="U823" s="88">
        <v>331746.42857142858</v>
      </c>
      <c r="V823" s="59">
        <v>3.0143504613032759</v>
      </c>
    </row>
    <row r="824" spans="1:22">
      <c r="A824" s="58">
        <v>824</v>
      </c>
      <c r="B824" s="58">
        <v>824</v>
      </c>
      <c r="C824" s="58" t="s">
        <v>1367</v>
      </c>
      <c r="D824" s="58" t="s">
        <v>234</v>
      </c>
      <c r="E824" s="58" t="s">
        <v>234</v>
      </c>
      <c r="F824" s="58" t="s">
        <v>316</v>
      </c>
      <c r="G824" s="58" t="s">
        <v>317</v>
      </c>
      <c r="H824" s="58" t="s">
        <v>199</v>
      </c>
      <c r="I824">
        <v>110000</v>
      </c>
      <c r="J824">
        <v>110000</v>
      </c>
      <c r="K824">
        <v>38000</v>
      </c>
      <c r="L824" s="74">
        <v>28.367000000000001</v>
      </c>
      <c r="M824" s="85">
        <v>29</v>
      </c>
      <c r="N824" s="74">
        <v>8.5630000000000006</v>
      </c>
      <c r="O824">
        <v>2</v>
      </c>
      <c r="P824" s="84">
        <v>6.42225</v>
      </c>
      <c r="Q824" s="86">
        <v>79.8</v>
      </c>
      <c r="R824" s="85">
        <v>79.8</v>
      </c>
      <c r="S824" s="87">
        <v>7031950</v>
      </c>
      <c r="T824" s="1">
        <v>11</v>
      </c>
      <c r="U824" s="88">
        <v>88119.674185463664</v>
      </c>
      <c r="V824" s="59">
        <v>11.348203556623696</v>
      </c>
    </row>
    <row r="825" spans="1:22">
      <c r="A825" s="58">
        <v>825</v>
      </c>
      <c r="B825" s="58">
        <v>825</v>
      </c>
      <c r="C825" s="58" t="s">
        <v>1368</v>
      </c>
      <c r="D825" s="58" t="s">
        <v>234</v>
      </c>
      <c r="E825" s="58" t="s">
        <v>234</v>
      </c>
      <c r="F825" s="58" t="s">
        <v>316</v>
      </c>
      <c r="G825" s="58" t="s">
        <v>317</v>
      </c>
      <c r="H825" s="58" t="s">
        <v>199</v>
      </c>
      <c r="I825">
        <v>110000</v>
      </c>
      <c r="J825">
        <v>110000</v>
      </c>
      <c r="K825">
        <v>38000</v>
      </c>
      <c r="L825" s="74">
        <v>25.088999999999999</v>
      </c>
      <c r="M825" s="85">
        <v>26</v>
      </c>
      <c r="N825" s="74">
        <v>2.738</v>
      </c>
      <c r="O825">
        <v>2</v>
      </c>
      <c r="P825" s="84">
        <v>2.0535000000000001</v>
      </c>
      <c r="Q825" s="86">
        <v>25.200000000000003</v>
      </c>
      <c r="R825" s="85">
        <v>25.200000000000003</v>
      </c>
      <c r="S825" s="87">
        <v>4263430</v>
      </c>
      <c r="T825" s="1">
        <v>9</v>
      </c>
      <c r="U825" s="88">
        <v>169183.73015873015</v>
      </c>
      <c r="V825" s="59">
        <v>5.9107338457533025</v>
      </c>
    </row>
    <row r="826" spans="1:22">
      <c r="A826" s="58">
        <v>826</v>
      </c>
      <c r="B826" s="58">
        <v>826</v>
      </c>
      <c r="C826" s="58" t="s">
        <v>1369</v>
      </c>
      <c r="D826" s="58" t="s">
        <v>234</v>
      </c>
      <c r="E826" s="58" t="s">
        <v>234</v>
      </c>
      <c r="F826" s="58" t="s">
        <v>316</v>
      </c>
      <c r="G826" s="58" t="s">
        <v>317</v>
      </c>
      <c r="H826" s="58" t="s">
        <v>199</v>
      </c>
      <c r="I826">
        <v>110000</v>
      </c>
      <c r="J826">
        <v>110000</v>
      </c>
      <c r="K826">
        <v>38000</v>
      </c>
      <c r="L826" s="74">
        <v>30.995000000000001</v>
      </c>
      <c r="M826" s="85">
        <v>31</v>
      </c>
      <c r="N826" s="74">
        <v>1.41</v>
      </c>
      <c r="O826">
        <v>2</v>
      </c>
      <c r="P826" s="84">
        <v>1.0574999999999999</v>
      </c>
      <c r="Q826" s="86">
        <v>12.600000000000001</v>
      </c>
      <c r="R826" s="85">
        <v>12.600000000000001</v>
      </c>
      <c r="S826" s="87">
        <v>3050170</v>
      </c>
      <c r="T826" s="1">
        <v>7</v>
      </c>
      <c r="U826" s="88">
        <v>242076.98412698411</v>
      </c>
      <c r="V826" s="59">
        <v>4.1309172931344813</v>
      </c>
    </row>
    <row r="827" spans="1:22">
      <c r="A827" s="58">
        <v>827</v>
      </c>
      <c r="B827" s="58">
        <v>827</v>
      </c>
      <c r="C827" s="58" t="s">
        <v>1370</v>
      </c>
      <c r="D827" s="58" t="s">
        <v>182</v>
      </c>
      <c r="E827" s="58" t="s">
        <v>182</v>
      </c>
      <c r="F827" s="58" t="s">
        <v>302</v>
      </c>
      <c r="G827" s="58" t="s">
        <v>303</v>
      </c>
      <c r="H827" s="58" t="s">
        <v>179</v>
      </c>
      <c r="I827">
        <v>38000</v>
      </c>
      <c r="J827">
        <v>38000</v>
      </c>
      <c r="K827" s="58" t="s">
        <v>185</v>
      </c>
      <c r="L827" s="74">
        <v>7.6950000000000003</v>
      </c>
      <c r="M827" s="85">
        <v>8</v>
      </c>
      <c r="N827" s="74">
        <v>3.7869999999999999</v>
      </c>
      <c r="O827">
        <v>2</v>
      </c>
      <c r="P827" s="84">
        <v>2.8402500000000002</v>
      </c>
      <c r="Q827" s="86">
        <v>33.6</v>
      </c>
      <c r="R827" s="85">
        <v>33.6</v>
      </c>
      <c r="S827" s="87">
        <v>1237870</v>
      </c>
      <c r="T827" s="1">
        <v>6</v>
      </c>
      <c r="U827" s="88">
        <v>36841.369047619046</v>
      </c>
      <c r="V827" s="59">
        <v>27.143399549225688</v>
      </c>
    </row>
    <row r="828" spans="1:22">
      <c r="A828" s="58">
        <v>828</v>
      </c>
      <c r="B828" s="58">
        <v>828</v>
      </c>
      <c r="C828" s="58" t="s">
        <v>1371</v>
      </c>
      <c r="D828" s="58" t="s">
        <v>182</v>
      </c>
      <c r="E828" s="58" t="s">
        <v>182</v>
      </c>
      <c r="F828" s="58" t="s">
        <v>183</v>
      </c>
      <c r="G828" s="58" t="s">
        <v>184</v>
      </c>
      <c r="H828" s="58" t="s">
        <v>179</v>
      </c>
      <c r="I828">
        <v>38000</v>
      </c>
      <c r="J828">
        <v>38000</v>
      </c>
      <c r="K828" s="58" t="s">
        <v>185</v>
      </c>
      <c r="L828" s="74">
        <v>8.3249999999999993</v>
      </c>
      <c r="M828" s="85">
        <v>9</v>
      </c>
      <c r="N828" s="74">
        <v>0.82199999999999995</v>
      </c>
      <c r="O828">
        <v>2</v>
      </c>
      <c r="P828" s="84">
        <v>0.61649999999999994</v>
      </c>
      <c r="Q828" s="86">
        <v>8.4</v>
      </c>
      <c r="R828" s="85">
        <v>8.4</v>
      </c>
      <c r="S828" s="87">
        <v>1379800</v>
      </c>
      <c r="T828" s="1">
        <v>2</v>
      </c>
      <c r="U828" s="88">
        <v>164261.90476190476</v>
      </c>
      <c r="V828" s="59">
        <v>6.087838817219887</v>
      </c>
    </row>
    <row r="829" spans="1:22">
      <c r="A829" s="58">
        <v>829</v>
      </c>
      <c r="B829" s="58">
        <v>829</v>
      </c>
      <c r="C829" s="58" t="s">
        <v>1372</v>
      </c>
      <c r="D829" s="58" t="s">
        <v>182</v>
      </c>
      <c r="E829" s="58" t="s">
        <v>182</v>
      </c>
      <c r="F829" s="58" t="s">
        <v>183</v>
      </c>
      <c r="G829" s="58" t="s">
        <v>184</v>
      </c>
      <c r="H829" s="58" t="s">
        <v>179</v>
      </c>
      <c r="I829">
        <v>38000</v>
      </c>
      <c r="J829">
        <v>38000</v>
      </c>
      <c r="K829" s="58" t="s">
        <v>185</v>
      </c>
      <c r="L829" s="74">
        <v>9.4760000000000009</v>
      </c>
      <c r="M829" s="85">
        <v>10</v>
      </c>
      <c r="N829" s="74">
        <v>1.0589999999999999</v>
      </c>
      <c r="O829">
        <v>2</v>
      </c>
      <c r="P829" s="84">
        <v>0.7942499999999999</v>
      </c>
      <c r="Q829" s="86">
        <v>8.4</v>
      </c>
      <c r="R829" s="85">
        <v>8.4</v>
      </c>
      <c r="S829" s="87">
        <v>1432500</v>
      </c>
      <c r="T829" s="1">
        <v>2</v>
      </c>
      <c r="U829" s="88">
        <v>170535.71428571429</v>
      </c>
      <c r="V829" s="59">
        <v>5.8638743455497382</v>
      </c>
    </row>
    <row r="830" spans="1:22">
      <c r="A830" s="58">
        <v>830</v>
      </c>
      <c r="B830" s="58">
        <v>830</v>
      </c>
      <c r="C830" s="58" t="s">
        <v>1373</v>
      </c>
      <c r="D830" s="58" t="s">
        <v>182</v>
      </c>
      <c r="E830" s="58" t="s">
        <v>182</v>
      </c>
      <c r="F830" s="58" t="s">
        <v>183</v>
      </c>
      <c r="G830" s="58" t="s">
        <v>184</v>
      </c>
      <c r="H830" s="58" t="s">
        <v>179</v>
      </c>
      <c r="I830">
        <v>38000</v>
      </c>
      <c r="J830">
        <v>38000</v>
      </c>
      <c r="K830" s="58" t="s">
        <v>185</v>
      </c>
      <c r="L830" s="74">
        <v>7.6150000000000002</v>
      </c>
      <c r="M830" s="85">
        <v>8</v>
      </c>
      <c r="N830" s="74">
        <v>0.55700000000000005</v>
      </c>
      <c r="O830">
        <v>2</v>
      </c>
      <c r="P830" s="84">
        <v>0.55700000000000005</v>
      </c>
      <c r="Q830" s="86">
        <v>4.2</v>
      </c>
      <c r="R830" s="85">
        <v>4.2</v>
      </c>
      <c r="S830" s="87">
        <v>909950</v>
      </c>
      <c r="T830" s="1">
        <v>4</v>
      </c>
      <c r="U830" s="88">
        <v>216654.76190476189</v>
      </c>
      <c r="V830" s="59">
        <v>4.6156382218803227</v>
      </c>
    </row>
    <row r="831" spans="1:22">
      <c r="A831" s="58">
        <v>831</v>
      </c>
      <c r="B831" s="58">
        <v>831</v>
      </c>
      <c r="C831" s="58" t="s">
        <v>1374</v>
      </c>
      <c r="D831" s="58" t="s">
        <v>182</v>
      </c>
      <c r="E831" s="58" t="s">
        <v>182</v>
      </c>
      <c r="F831" s="58" t="s">
        <v>183</v>
      </c>
      <c r="G831" s="58" t="s">
        <v>184</v>
      </c>
      <c r="H831" s="58" t="s">
        <v>179</v>
      </c>
      <c r="I831">
        <v>38000</v>
      </c>
      <c r="J831">
        <v>38000</v>
      </c>
      <c r="K831" s="58" t="s">
        <v>185</v>
      </c>
      <c r="L831" s="74">
        <v>5.35</v>
      </c>
      <c r="M831" s="85">
        <v>6</v>
      </c>
      <c r="N831" s="74">
        <v>1.76</v>
      </c>
      <c r="O831">
        <v>2</v>
      </c>
      <c r="P831" s="84">
        <v>1.32</v>
      </c>
      <c r="Q831" s="86">
        <v>12.600000000000001</v>
      </c>
      <c r="R831" s="85">
        <v>12.600000000000001</v>
      </c>
      <c r="S831" s="87">
        <v>769410</v>
      </c>
      <c r="T831" s="1">
        <v>4</v>
      </c>
      <c r="U831" s="88">
        <v>61064.28571428571</v>
      </c>
      <c r="V831" s="59">
        <v>16.376184349046675</v>
      </c>
    </row>
    <row r="832" spans="1:22">
      <c r="A832" s="58">
        <v>832</v>
      </c>
      <c r="B832" s="58">
        <v>832</v>
      </c>
      <c r="C832" s="58" t="s">
        <v>1375</v>
      </c>
      <c r="D832" s="58" t="s">
        <v>182</v>
      </c>
      <c r="E832" s="58" t="s">
        <v>182</v>
      </c>
      <c r="F832" s="58" t="s">
        <v>183</v>
      </c>
      <c r="G832" s="58" t="s">
        <v>184</v>
      </c>
      <c r="H832" s="58" t="s">
        <v>179</v>
      </c>
      <c r="I832">
        <v>38000</v>
      </c>
      <c r="J832">
        <v>38000</v>
      </c>
      <c r="K832" s="58" t="s">
        <v>185</v>
      </c>
      <c r="L832" s="74">
        <v>3.8220000000000001</v>
      </c>
      <c r="M832" s="85">
        <v>4</v>
      </c>
      <c r="N832" s="74">
        <v>0.41399999999999998</v>
      </c>
      <c r="O832">
        <v>2</v>
      </c>
      <c r="P832" s="84">
        <v>0.41399999999999998</v>
      </c>
      <c r="Q832" s="86">
        <v>4.2</v>
      </c>
      <c r="R832" s="85">
        <v>4.2</v>
      </c>
      <c r="S832" s="87">
        <v>628870</v>
      </c>
      <c r="T832" s="1">
        <v>4</v>
      </c>
      <c r="U832" s="88">
        <v>149730.95238095237</v>
      </c>
      <c r="V832" s="59">
        <v>6.6786458250512828</v>
      </c>
    </row>
    <row r="833" spans="1:22">
      <c r="A833" s="89">
        <v>833</v>
      </c>
      <c r="B833" s="89">
        <v>833</v>
      </c>
      <c r="C833" s="89" t="s">
        <v>1376</v>
      </c>
      <c r="D833" s="58" t="s">
        <v>182</v>
      </c>
      <c r="E833" s="58" t="s">
        <v>182</v>
      </c>
      <c r="F833" s="89" t="s">
        <v>302</v>
      </c>
      <c r="G833" s="89" t="s">
        <v>303</v>
      </c>
      <c r="H833" s="89" t="s">
        <v>179</v>
      </c>
      <c r="I833" s="90">
        <v>38000</v>
      </c>
      <c r="J833" s="90">
        <v>38000</v>
      </c>
      <c r="K833" s="89" t="s">
        <v>185</v>
      </c>
      <c r="L833" s="91">
        <v>3.532</v>
      </c>
      <c r="M833" s="92">
        <v>4</v>
      </c>
      <c r="N833" s="91">
        <v>6.3959999999999999</v>
      </c>
      <c r="O833" s="90">
        <v>2</v>
      </c>
      <c r="P833" s="92">
        <v>4.7969999999999997</v>
      </c>
      <c r="Q833" s="93">
        <v>58.800000000000011</v>
      </c>
      <c r="R833" s="92">
        <v>58.800000000000011</v>
      </c>
      <c r="S833" s="87">
        <v>1761700</v>
      </c>
      <c r="T833" s="94">
        <v>11</v>
      </c>
      <c r="U833" s="95">
        <v>29960.88435374149</v>
      </c>
      <c r="V833" s="96">
        <v>33.376851904410522</v>
      </c>
    </row>
    <row r="834" spans="1:22">
      <c r="A834" s="58">
        <v>834</v>
      </c>
      <c r="B834" s="58">
        <v>834</v>
      </c>
      <c r="C834" s="58" t="s">
        <v>1377</v>
      </c>
      <c r="D834" s="58" t="s">
        <v>182</v>
      </c>
      <c r="E834" s="58" t="s">
        <v>182</v>
      </c>
      <c r="F834" s="58" t="s">
        <v>302</v>
      </c>
      <c r="G834" s="58" t="s">
        <v>303</v>
      </c>
      <c r="H834" s="58" t="s">
        <v>179</v>
      </c>
      <c r="I834">
        <v>38000</v>
      </c>
      <c r="J834">
        <v>38000</v>
      </c>
      <c r="K834" s="58" t="s">
        <v>185</v>
      </c>
      <c r="L834" s="74">
        <v>11.041</v>
      </c>
      <c r="M834" s="85">
        <v>12</v>
      </c>
      <c r="N834" s="74">
        <v>0.318</v>
      </c>
      <c r="O834">
        <v>2</v>
      </c>
      <c r="P834" s="84">
        <v>0.318</v>
      </c>
      <c r="Q834" s="86">
        <v>4.2</v>
      </c>
      <c r="R834" s="85">
        <v>4.2</v>
      </c>
      <c r="S834" s="87">
        <v>1492540</v>
      </c>
      <c r="T834" s="1">
        <v>1</v>
      </c>
      <c r="U834" s="88">
        <v>355366.66666666663</v>
      </c>
      <c r="V834" s="59">
        <v>2.8139949348091173</v>
      </c>
    </row>
    <row r="835" spans="1:22">
      <c r="A835" s="58">
        <v>835</v>
      </c>
      <c r="B835" s="58">
        <v>835</v>
      </c>
      <c r="C835" s="58" t="s">
        <v>1378</v>
      </c>
      <c r="D835" s="58" t="s">
        <v>182</v>
      </c>
      <c r="E835" s="58" t="s">
        <v>182</v>
      </c>
      <c r="F835" s="58" t="s">
        <v>302</v>
      </c>
      <c r="G835" s="58" t="s">
        <v>303</v>
      </c>
      <c r="H835" s="58" t="s">
        <v>179</v>
      </c>
      <c r="I835">
        <v>38000</v>
      </c>
      <c r="J835">
        <v>38000</v>
      </c>
      <c r="K835" s="58" t="s">
        <v>185</v>
      </c>
      <c r="L835" s="74">
        <v>12.997</v>
      </c>
      <c r="M835" s="85">
        <v>13</v>
      </c>
      <c r="N835" s="74">
        <v>1.7170000000000001</v>
      </c>
      <c r="O835">
        <v>2</v>
      </c>
      <c r="P835" s="84">
        <v>1.28775</v>
      </c>
      <c r="Q835" s="86">
        <v>12.600000000000001</v>
      </c>
      <c r="R835" s="85">
        <v>12.600000000000001</v>
      </c>
      <c r="S835" s="87">
        <v>1627650</v>
      </c>
      <c r="T835" s="1">
        <v>3</v>
      </c>
      <c r="U835" s="88">
        <v>129178.57142857142</v>
      </c>
      <c r="V835" s="59">
        <v>7.7412220071882789</v>
      </c>
    </row>
    <row r="836" spans="1:22">
      <c r="A836" s="89">
        <v>836</v>
      </c>
      <c r="B836" s="89">
        <v>836</v>
      </c>
      <c r="C836" s="89" t="s">
        <v>1379</v>
      </c>
      <c r="D836" s="58" t="s">
        <v>182</v>
      </c>
      <c r="E836" s="58" t="s">
        <v>182</v>
      </c>
      <c r="F836" s="89" t="s">
        <v>302</v>
      </c>
      <c r="G836" s="89" t="s">
        <v>303</v>
      </c>
      <c r="H836" s="89" t="s">
        <v>179</v>
      </c>
      <c r="I836" s="90">
        <v>38000</v>
      </c>
      <c r="J836" s="90">
        <v>38000</v>
      </c>
      <c r="K836" s="89" t="s">
        <v>185</v>
      </c>
      <c r="L836" s="91">
        <v>10.215999999999999</v>
      </c>
      <c r="M836" s="92">
        <v>11</v>
      </c>
      <c r="N836" s="91">
        <v>23.7989999999999</v>
      </c>
      <c r="O836" s="90">
        <v>2</v>
      </c>
      <c r="P836" s="92">
        <v>17.849249999999927</v>
      </c>
      <c r="Q836" s="93">
        <v>218.39999999999998</v>
      </c>
      <c r="R836" s="92">
        <v>218.39999999999998</v>
      </c>
      <c r="S836" s="87">
        <v>9068760</v>
      </c>
      <c r="T836" s="94">
        <v>13</v>
      </c>
      <c r="U836" s="95">
        <v>41523.626373626379</v>
      </c>
      <c r="V836" s="96">
        <v>24.082675029441727</v>
      </c>
    </row>
    <row r="837" spans="1:22">
      <c r="A837" s="58">
        <v>837</v>
      </c>
      <c r="B837" s="58">
        <v>837</v>
      </c>
      <c r="C837" s="58" t="s">
        <v>1380</v>
      </c>
      <c r="D837" s="58" t="s">
        <v>182</v>
      </c>
      <c r="E837" s="58" t="s">
        <v>182</v>
      </c>
      <c r="F837" s="58" t="s">
        <v>302</v>
      </c>
      <c r="G837" s="58" t="s">
        <v>303</v>
      </c>
      <c r="H837" s="58" t="s">
        <v>179</v>
      </c>
      <c r="I837">
        <v>38000</v>
      </c>
      <c r="J837">
        <v>38000</v>
      </c>
      <c r="K837" s="58" t="s">
        <v>185</v>
      </c>
      <c r="L837" s="74">
        <v>13.07</v>
      </c>
      <c r="M837" s="85">
        <v>14</v>
      </c>
      <c r="N837" s="74">
        <v>3.9510000000000001</v>
      </c>
      <c r="O837">
        <v>2</v>
      </c>
      <c r="P837" s="84">
        <v>2.9632499999999999</v>
      </c>
      <c r="Q837" s="86">
        <v>33.6</v>
      </c>
      <c r="R837" s="85">
        <v>33.6</v>
      </c>
      <c r="S837" s="87">
        <v>1905430</v>
      </c>
      <c r="T837" s="1">
        <v>6</v>
      </c>
      <c r="U837" s="88">
        <v>56709.226190476191</v>
      </c>
      <c r="V837" s="59">
        <v>17.633814939410001</v>
      </c>
    </row>
    <row r="838" spans="1:22">
      <c r="A838" s="58">
        <v>838</v>
      </c>
      <c r="B838" s="58">
        <v>838</v>
      </c>
      <c r="C838" s="58" t="s">
        <v>1381</v>
      </c>
      <c r="D838" s="58" t="s">
        <v>234</v>
      </c>
      <c r="E838" s="58" t="s">
        <v>234</v>
      </c>
      <c r="F838" s="58" t="s">
        <v>235</v>
      </c>
      <c r="G838" s="58" t="s">
        <v>236</v>
      </c>
      <c r="H838" s="58" t="s">
        <v>179</v>
      </c>
      <c r="I838">
        <v>38000</v>
      </c>
      <c r="J838">
        <v>38000</v>
      </c>
      <c r="K838">
        <v>20000</v>
      </c>
      <c r="L838" s="74">
        <v>7.9139999999999997</v>
      </c>
      <c r="M838" s="85">
        <v>8</v>
      </c>
      <c r="N838" s="74">
        <v>3.1459999999999999</v>
      </c>
      <c r="O838">
        <v>2</v>
      </c>
      <c r="P838" s="84">
        <v>2.3594999999999997</v>
      </c>
      <c r="Q838" s="86">
        <v>25.200000000000003</v>
      </c>
      <c r="R838" s="85">
        <v>25.200000000000003</v>
      </c>
      <c r="S838" s="87">
        <v>1058430</v>
      </c>
      <c r="T838" s="1">
        <v>5</v>
      </c>
      <c r="U838" s="88">
        <v>42001.190476190473</v>
      </c>
      <c r="V838" s="59">
        <v>23.808848955528475</v>
      </c>
    </row>
    <row r="839" spans="1:22">
      <c r="A839" s="89">
        <v>839</v>
      </c>
      <c r="B839" s="89">
        <v>839</v>
      </c>
      <c r="C839" s="89" t="s">
        <v>1382</v>
      </c>
      <c r="D839" s="58" t="s">
        <v>234</v>
      </c>
      <c r="E839" s="58" t="s">
        <v>234</v>
      </c>
      <c r="F839" s="89" t="s">
        <v>235</v>
      </c>
      <c r="G839" s="89" t="s">
        <v>236</v>
      </c>
      <c r="H839" s="89" t="s">
        <v>179</v>
      </c>
      <c r="I839" s="90">
        <v>38000</v>
      </c>
      <c r="J839" s="90">
        <v>38000</v>
      </c>
      <c r="K839" s="90">
        <v>20000</v>
      </c>
      <c r="L839" s="91">
        <v>3.3050000000000002</v>
      </c>
      <c r="M839" s="92">
        <v>4</v>
      </c>
      <c r="N839" s="91">
        <v>8.6259999999999906</v>
      </c>
      <c r="O839" s="90">
        <v>2</v>
      </c>
      <c r="P839" s="92">
        <v>6.4694999999999929</v>
      </c>
      <c r="Q839" s="93">
        <v>79.8</v>
      </c>
      <c r="R839" s="92">
        <v>79.8</v>
      </c>
      <c r="S839" s="87">
        <v>1761700</v>
      </c>
      <c r="T839" s="94">
        <v>11</v>
      </c>
      <c r="U839" s="95">
        <v>22076.441102756893</v>
      </c>
      <c r="V839" s="96">
        <v>45.297156155985697</v>
      </c>
    </row>
    <row r="840" spans="1:22">
      <c r="A840" s="89">
        <v>840</v>
      </c>
      <c r="B840" s="89">
        <v>840</v>
      </c>
      <c r="C840" s="89" t="s">
        <v>1383</v>
      </c>
      <c r="D840" s="58" t="s">
        <v>234</v>
      </c>
      <c r="E840" s="58" t="s">
        <v>234</v>
      </c>
      <c r="F840" s="89" t="s">
        <v>235</v>
      </c>
      <c r="G840" s="89" t="s">
        <v>236</v>
      </c>
      <c r="H840" s="89" t="s">
        <v>179</v>
      </c>
      <c r="I840" s="90">
        <v>38000</v>
      </c>
      <c r="J840" s="90">
        <v>38000</v>
      </c>
      <c r="K840" s="90">
        <v>20000</v>
      </c>
      <c r="L840" s="91">
        <v>10.038</v>
      </c>
      <c r="M840" s="92">
        <v>11</v>
      </c>
      <c r="N840" s="91">
        <v>10.877000000000001</v>
      </c>
      <c r="O840" s="90">
        <v>2</v>
      </c>
      <c r="P840" s="92">
        <v>8.1577500000000001</v>
      </c>
      <c r="Q840" s="93">
        <v>100.80000000000001</v>
      </c>
      <c r="R840" s="92">
        <v>100.80000000000001</v>
      </c>
      <c r="S840" s="87">
        <v>3237370</v>
      </c>
      <c r="T840" s="94">
        <v>11</v>
      </c>
      <c r="U840" s="95">
        <v>32116.765873015869</v>
      </c>
      <c r="V840" s="96">
        <v>31.136385399259279</v>
      </c>
    </row>
    <row r="841" spans="1:22">
      <c r="A841" s="58">
        <v>841</v>
      </c>
      <c r="B841" s="58">
        <v>841</v>
      </c>
      <c r="C841" s="58" t="s">
        <v>1384</v>
      </c>
      <c r="D841" s="58" t="s">
        <v>234</v>
      </c>
      <c r="E841" s="58" t="s">
        <v>234</v>
      </c>
      <c r="F841" s="58" t="s">
        <v>235</v>
      </c>
      <c r="G841" s="58" t="s">
        <v>236</v>
      </c>
      <c r="H841" s="58" t="s">
        <v>179</v>
      </c>
      <c r="I841">
        <v>38000</v>
      </c>
      <c r="J841">
        <v>38000</v>
      </c>
      <c r="K841">
        <v>20000</v>
      </c>
      <c r="L841" s="74">
        <v>8.74</v>
      </c>
      <c r="M841" s="85">
        <v>9</v>
      </c>
      <c r="N841" s="74">
        <v>0.77200000000000002</v>
      </c>
      <c r="O841">
        <v>2</v>
      </c>
      <c r="P841" s="84">
        <v>0.57899999999999996</v>
      </c>
      <c r="Q841" s="86">
        <v>4.2</v>
      </c>
      <c r="R841" s="85">
        <v>4.2</v>
      </c>
      <c r="S841" s="87">
        <v>1334440</v>
      </c>
      <c r="T841" s="1">
        <v>1</v>
      </c>
      <c r="U841" s="88">
        <v>317723.80952380953</v>
      </c>
      <c r="V841" s="59">
        <v>3.1473876682353645</v>
      </c>
    </row>
    <row r="842" spans="1:22">
      <c r="A842" s="89">
        <v>842</v>
      </c>
      <c r="B842" s="89">
        <v>842</v>
      </c>
      <c r="C842" s="89" t="s">
        <v>1385</v>
      </c>
      <c r="D842" s="58" t="s">
        <v>234</v>
      </c>
      <c r="E842" s="58" t="s">
        <v>234</v>
      </c>
      <c r="F842" s="89" t="s">
        <v>326</v>
      </c>
      <c r="G842" s="89" t="s">
        <v>327</v>
      </c>
      <c r="H842" s="89" t="s">
        <v>199</v>
      </c>
      <c r="I842" s="90">
        <v>110000</v>
      </c>
      <c r="J842" s="90">
        <v>110000</v>
      </c>
      <c r="K842" s="90">
        <v>38000</v>
      </c>
      <c r="L842" s="91">
        <v>5.907</v>
      </c>
      <c r="M842" s="92">
        <v>6</v>
      </c>
      <c r="N842" s="91">
        <v>36.21</v>
      </c>
      <c r="O842" s="90">
        <v>2</v>
      </c>
      <c r="P842" s="92">
        <v>27.157499999999999</v>
      </c>
      <c r="Q842" s="93">
        <v>336</v>
      </c>
      <c r="R842" s="92">
        <v>336</v>
      </c>
      <c r="S842" s="87">
        <v>6397880</v>
      </c>
      <c r="T842" s="94">
        <v>12</v>
      </c>
      <c r="U842" s="95">
        <v>19041.309523809523</v>
      </c>
      <c r="V842" s="96">
        <v>52.517396387553376</v>
      </c>
    </row>
    <row r="843" spans="1:22">
      <c r="A843" s="89">
        <v>843</v>
      </c>
      <c r="B843" s="89">
        <v>843</v>
      </c>
      <c r="C843" s="89" t="s">
        <v>1386</v>
      </c>
      <c r="D843" s="58" t="s">
        <v>234</v>
      </c>
      <c r="E843" s="58" t="s">
        <v>234</v>
      </c>
      <c r="F843" s="89" t="s">
        <v>630</v>
      </c>
      <c r="G843" s="89" t="s">
        <v>631</v>
      </c>
      <c r="H843" s="89" t="s">
        <v>179</v>
      </c>
      <c r="I843" s="90">
        <v>38000</v>
      </c>
      <c r="J843" s="89" t="s">
        <v>185</v>
      </c>
      <c r="K843" s="90">
        <v>38000</v>
      </c>
      <c r="L843" s="91">
        <v>12.163</v>
      </c>
      <c r="M843" s="92">
        <v>13</v>
      </c>
      <c r="N843" s="91">
        <v>13.75</v>
      </c>
      <c r="O843" s="90">
        <v>2</v>
      </c>
      <c r="P843" s="92">
        <v>10.3125</v>
      </c>
      <c r="Q843" s="93">
        <v>126</v>
      </c>
      <c r="R843" s="92">
        <v>126</v>
      </c>
      <c r="S843" s="87">
        <v>5191820</v>
      </c>
      <c r="T843" s="94">
        <v>13</v>
      </c>
      <c r="U843" s="95">
        <v>41204.920634920636</v>
      </c>
      <c r="V843" s="96">
        <v>24.268946149905045</v>
      </c>
    </row>
    <row r="844" spans="1:22">
      <c r="A844" s="89">
        <v>844</v>
      </c>
      <c r="B844" s="89">
        <v>844</v>
      </c>
      <c r="C844" s="89" t="s">
        <v>1387</v>
      </c>
      <c r="D844" s="58" t="s">
        <v>234</v>
      </c>
      <c r="E844" s="58" t="s">
        <v>234</v>
      </c>
      <c r="F844" s="89" t="s">
        <v>323</v>
      </c>
      <c r="G844" s="89" t="s">
        <v>324</v>
      </c>
      <c r="H844" s="89" t="s">
        <v>179</v>
      </c>
      <c r="I844" s="90">
        <v>38000</v>
      </c>
      <c r="J844" s="90">
        <v>38000</v>
      </c>
      <c r="K844" s="90">
        <v>20000</v>
      </c>
      <c r="L844" s="91">
        <v>11.974</v>
      </c>
      <c r="M844" s="92">
        <v>12</v>
      </c>
      <c r="N844" s="91">
        <v>5.9640000000000004</v>
      </c>
      <c r="O844" s="90">
        <v>2</v>
      </c>
      <c r="P844" s="92">
        <v>4.4730000000000008</v>
      </c>
      <c r="Q844" s="93">
        <v>54.599999999999994</v>
      </c>
      <c r="R844" s="92">
        <v>54.599999999999994</v>
      </c>
      <c r="S844" s="87">
        <v>3448180</v>
      </c>
      <c r="T844" s="94">
        <v>11</v>
      </c>
      <c r="U844" s="95">
        <v>63153.479853479861</v>
      </c>
      <c r="V844" s="96">
        <v>15.834440197437486</v>
      </c>
    </row>
    <row r="845" spans="1:22">
      <c r="A845" s="58">
        <v>845</v>
      </c>
      <c r="B845" s="58">
        <v>845</v>
      </c>
      <c r="C845" s="58" t="s">
        <v>1388</v>
      </c>
      <c r="D845" s="58" t="s">
        <v>234</v>
      </c>
      <c r="E845" s="58" t="s">
        <v>234</v>
      </c>
      <c r="F845" s="58" t="s">
        <v>323</v>
      </c>
      <c r="G845" s="58" t="s">
        <v>324</v>
      </c>
      <c r="H845" s="58" t="s">
        <v>179</v>
      </c>
      <c r="I845">
        <v>38000</v>
      </c>
      <c r="J845">
        <v>38000</v>
      </c>
      <c r="K845">
        <v>20000</v>
      </c>
      <c r="L845" s="74">
        <v>9.5210000000000008</v>
      </c>
      <c r="M845" s="85">
        <v>10</v>
      </c>
      <c r="N845" s="74">
        <v>3.1320000000000001</v>
      </c>
      <c r="O845">
        <v>2</v>
      </c>
      <c r="P845" s="84">
        <v>2.3490000000000002</v>
      </c>
      <c r="Q845" s="86">
        <v>25.200000000000003</v>
      </c>
      <c r="R845" s="85">
        <v>25.200000000000003</v>
      </c>
      <c r="S845" s="87">
        <v>1236090</v>
      </c>
      <c r="T845" s="1">
        <v>5</v>
      </c>
      <c r="U845" s="88">
        <v>49051.190476190473</v>
      </c>
      <c r="V845" s="59">
        <v>20.386865034099461</v>
      </c>
    </row>
    <row r="846" spans="1:22">
      <c r="A846" s="58">
        <v>846</v>
      </c>
      <c r="B846" s="58">
        <v>846</v>
      </c>
      <c r="C846" s="58" t="s">
        <v>1389</v>
      </c>
      <c r="D846" s="58" t="s">
        <v>234</v>
      </c>
      <c r="E846" s="58" t="s">
        <v>234</v>
      </c>
      <c r="F846" s="58" t="s">
        <v>326</v>
      </c>
      <c r="G846" s="58" t="s">
        <v>327</v>
      </c>
      <c r="H846" s="58" t="s">
        <v>199</v>
      </c>
      <c r="I846">
        <v>110000</v>
      </c>
      <c r="J846">
        <v>110000</v>
      </c>
      <c r="K846">
        <v>38000</v>
      </c>
      <c r="L846" s="74">
        <v>12.335000000000001</v>
      </c>
      <c r="M846" s="85">
        <v>13</v>
      </c>
      <c r="N846" s="74">
        <v>4.2080000000000002</v>
      </c>
      <c r="O846">
        <v>2</v>
      </c>
      <c r="P846" s="84">
        <v>3.1560000000000001</v>
      </c>
      <c r="Q846" s="86">
        <v>37.800000000000004</v>
      </c>
      <c r="R846" s="85">
        <v>37.800000000000004</v>
      </c>
      <c r="S846" s="87">
        <v>3400230</v>
      </c>
      <c r="T846" s="1">
        <v>10</v>
      </c>
      <c r="U846" s="88">
        <v>89953.174603174586</v>
      </c>
      <c r="V846" s="59">
        <v>11.116895033571261</v>
      </c>
    </row>
    <row r="847" spans="1:22">
      <c r="A847" s="58">
        <v>847</v>
      </c>
      <c r="B847" s="58">
        <v>847</v>
      </c>
      <c r="C847" s="58" t="s">
        <v>1390</v>
      </c>
      <c r="D847" s="58" t="s">
        <v>234</v>
      </c>
      <c r="E847" s="58" t="s">
        <v>234</v>
      </c>
      <c r="F847" s="58" t="s">
        <v>329</v>
      </c>
      <c r="G847" s="58" t="s">
        <v>330</v>
      </c>
      <c r="H847" s="58" t="s">
        <v>179</v>
      </c>
      <c r="I847">
        <v>38000</v>
      </c>
      <c r="J847">
        <v>38000</v>
      </c>
      <c r="K847" s="58" t="s">
        <v>185</v>
      </c>
      <c r="L847" s="74">
        <v>4.3019999999999996</v>
      </c>
      <c r="M847" s="85">
        <v>5</v>
      </c>
      <c r="N847" s="74">
        <v>0.437</v>
      </c>
      <c r="O847">
        <v>2</v>
      </c>
      <c r="P847" s="84">
        <v>0.437</v>
      </c>
      <c r="Q847" s="86">
        <v>4.2</v>
      </c>
      <c r="R847" s="85">
        <v>4.2</v>
      </c>
      <c r="S847" s="87">
        <v>699140</v>
      </c>
      <c r="T847" s="1">
        <v>4</v>
      </c>
      <c r="U847" s="88">
        <v>166461.90476190476</v>
      </c>
      <c r="V847" s="59">
        <v>6.0073804960379897</v>
      </c>
    </row>
    <row r="848" spans="1:22">
      <c r="A848" s="58">
        <v>848</v>
      </c>
      <c r="B848" s="58">
        <v>848</v>
      </c>
      <c r="C848" s="58" t="s">
        <v>1391</v>
      </c>
      <c r="D848" s="58" t="s">
        <v>234</v>
      </c>
      <c r="E848" s="58" t="s">
        <v>234</v>
      </c>
      <c r="F848" s="58" t="s">
        <v>323</v>
      </c>
      <c r="G848" s="58" t="s">
        <v>324</v>
      </c>
      <c r="H848" s="58" t="s">
        <v>179</v>
      </c>
      <c r="I848">
        <v>38000</v>
      </c>
      <c r="J848">
        <v>38000</v>
      </c>
      <c r="K848">
        <v>20000</v>
      </c>
      <c r="L848" s="74">
        <v>8.3170000000000002</v>
      </c>
      <c r="M848" s="85">
        <v>9</v>
      </c>
      <c r="N848" s="74">
        <v>0.93300000000000005</v>
      </c>
      <c r="O848">
        <v>2</v>
      </c>
      <c r="P848" s="84">
        <v>0.69975000000000009</v>
      </c>
      <c r="Q848" s="86">
        <v>8.4</v>
      </c>
      <c r="R848" s="85">
        <v>8.4</v>
      </c>
      <c r="S848" s="87">
        <v>1379800</v>
      </c>
      <c r="T848" s="1">
        <v>2</v>
      </c>
      <c r="U848" s="88">
        <v>164261.90476190476</v>
      </c>
      <c r="V848" s="59">
        <v>6.087838817219887</v>
      </c>
    </row>
    <row r="849" spans="1:22">
      <c r="A849" s="58">
        <v>849</v>
      </c>
      <c r="B849" s="58">
        <v>849</v>
      </c>
      <c r="C849" s="58" t="s">
        <v>1392</v>
      </c>
      <c r="D849" s="58" t="s">
        <v>234</v>
      </c>
      <c r="E849" s="58" t="s">
        <v>234</v>
      </c>
      <c r="F849" s="58" t="s">
        <v>323</v>
      </c>
      <c r="G849" s="58" t="s">
        <v>324</v>
      </c>
      <c r="H849" s="58" t="s">
        <v>179</v>
      </c>
      <c r="I849">
        <v>38000</v>
      </c>
      <c r="J849">
        <v>38000</v>
      </c>
      <c r="K849">
        <v>20000</v>
      </c>
      <c r="L849" s="74">
        <v>11.864000000000001</v>
      </c>
      <c r="M849" s="85">
        <v>12</v>
      </c>
      <c r="N849" s="74">
        <v>1.173</v>
      </c>
      <c r="O849">
        <v>2</v>
      </c>
      <c r="P849" s="84">
        <v>0.87975000000000003</v>
      </c>
      <c r="Q849" s="86">
        <v>8.4</v>
      </c>
      <c r="R849" s="85">
        <v>8.4</v>
      </c>
      <c r="S849" s="87">
        <v>1537900</v>
      </c>
      <c r="T849" s="1">
        <v>2</v>
      </c>
      <c r="U849" s="88">
        <v>183083.33333333331</v>
      </c>
      <c r="V849" s="59">
        <v>5.4619936276741008</v>
      </c>
    </row>
    <row r="850" spans="1:22">
      <c r="A850" s="58">
        <v>850</v>
      </c>
      <c r="B850" s="58">
        <v>850</v>
      </c>
      <c r="C850" s="58" t="s">
        <v>1393</v>
      </c>
      <c r="D850" s="58" t="s">
        <v>234</v>
      </c>
      <c r="E850" s="58" t="s">
        <v>234</v>
      </c>
      <c r="F850" s="58" t="s">
        <v>329</v>
      </c>
      <c r="G850" s="58" t="s">
        <v>330</v>
      </c>
      <c r="H850" s="58" t="s">
        <v>179</v>
      </c>
      <c r="I850">
        <v>38000</v>
      </c>
      <c r="J850">
        <v>38000</v>
      </c>
      <c r="K850" s="58" t="s">
        <v>185</v>
      </c>
      <c r="L850" s="74">
        <v>5.931</v>
      </c>
      <c r="M850" s="85">
        <v>6</v>
      </c>
      <c r="N850" s="74">
        <v>4.2110000000000003</v>
      </c>
      <c r="O850">
        <v>2</v>
      </c>
      <c r="P850" s="84">
        <v>3.1582500000000002</v>
      </c>
      <c r="Q850" s="86">
        <v>37.800000000000004</v>
      </c>
      <c r="R850" s="85">
        <v>37.800000000000004</v>
      </c>
      <c r="S850" s="87">
        <v>1015350</v>
      </c>
      <c r="T850" s="1">
        <v>6</v>
      </c>
      <c r="U850" s="88">
        <v>26861.111111111109</v>
      </c>
      <c r="V850" s="59">
        <v>37.228541882109624</v>
      </c>
    </row>
    <row r="851" spans="1:22">
      <c r="A851" s="58">
        <v>851</v>
      </c>
      <c r="B851" s="58">
        <v>851</v>
      </c>
      <c r="C851" s="58" t="s">
        <v>1394</v>
      </c>
      <c r="D851" s="58" t="s">
        <v>234</v>
      </c>
      <c r="E851" s="58" t="s">
        <v>234</v>
      </c>
      <c r="F851" s="58" t="s">
        <v>329</v>
      </c>
      <c r="G851" s="58" t="s">
        <v>330</v>
      </c>
      <c r="H851" s="58" t="s">
        <v>179</v>
      </c>
      <c r="I851">
        <v>38000</v>
      </c>
      <c r="J851">
        <v>38000</v>
      </c>
      <c r="K851" s="58" t="s">
        <v>185</v>
      </c>
      <c r="L851" s="74">
        <v>8.2650000000000006</v>
      </c>
      <c r="M851" s="85">
        <v>9</v>
      </c>
      <c r="N851" s="74">
        <v>0.42299999999999999</v>
      </c>
      <c r="O851">
        <v>2</v>
      </c>
      <c r="P851" s="84">
        <v>0.42299999999999999</v>
      </c>
      <c r="Q851" s="86">
        <v>4.2</v>
      </c>
      <c r="R851" s="85">
        <v>4.2</v>
      </c>
      <c r="S851" s="87">
        <v>1334440</v>
      </c>
      <c r="T851" s="1">
        <v>1</v>
      </c>
      <c r="U851" s="88">
        <v>317723.80952380953</v>
      </c>
      <c r="V851" s="59">
        <v>3.1473876682353645</v>
      </c>
    </row>
    <row r="852" spans="1:22">
      <c r="A852" s="89">
        <v>852</v>
      </c>
      <c r="B852" s="89">
        <v>852</v>
      </c>
      <c r="C852" s="89" t="s">
        <v>1395</v>
      </c>
      <c r="D852" s="58" t="s">
        <v>234</v>
      </c>
      <c r="E852" s="58" t="s">
        <v>234</v>
      </c>
      <c r="F852" s="89" t="s">
        <v>623</v>
      </c>
      <c r="G852" s="89" t="s">
        <v>624</v>
      </c>
      <c r="H852" s="89" t="s">
        <v>179</v>
      </c>
      <c r="I852" s="90">
        <v>38000</v>
      </c>
      <c r="J852" s="90">
        <v>38000</v>
      </c>
      <c r="K852" s="89" t="s">
        <v>185</v>
      </c>
      <c r="L852" s="91">
        <v>8.3249999999999993</v>
      </c>
      <c r="M852" s="92">
        <v>9</v>
      </c>
      <c r="N852" s="91">
        <v>8.3569999999999904</v>
      </c>
      <c r="O852" s="90">
        <v>2</v>
      </c>
      <c r="P852" s="92">
        <v>6.2677499999999924</v>
      </c>
      <c r="Q852" s="93">
        <v>75.600000000000009</v>
      </c>
      <c r="R852" s="92">
        <v>75.600000000000009</v>
      </c>
      <c r="S852" s="87">
        <v>2815750</v>
      </c>
      <c r="T852" s="94">
        <v>11</v>
      </c>
      <c r="U852" s="95">
        <v>37245.370370370365</v>
      </c>
      <c r="V852" s="96">
        <v>26.848974518334373</v>
      </c>
    </row>
    <row r="853" spans="1:22">
      <c r="A853" s="89">
        <v>853</v>
      </c>
      <c r="B853" s="89">
        <v>853</v>
      </c>
      <c r="C853" s="89" t="s">
        <v>1396</v>
      </c>
      <c r="D853" s="58" t="s">
        <v>234</v>
      </c>
      <c r="E853" s="58" t="s">
        <v>234</v>
      </c>
      <c r="F853" s="89" t="s">
        <v>329</v>
      </c>
      <c r="G853" s="89" t="s">
        <v>330</v>
      </c>
      <c r="H853" s="89" t="s">
        <v>179</v>
      </c>
      <c r="I853" s="90">
        <v>38000</v>
      </c>
      <c r="J853" s="90">
        <v>38000</v>
      </c>
      <c r="K853" s="89" t="s">
        <v>185</v>
      </c>
      <c r="L853" s="91">
        <v>4.3979999999999997</v>
      </c>
      <c r="M853" s="92">
        <v>5</v>
      </c>
      <c r="N853" s="91">
        <v>10.24</v>
      </c>
      <c r="O853" s="90">
        <v>2</v>
      </c>
      <c r="P853" s="92">
        <v>7.68</v>
      </c>
      <c r="Q853" s="93">
        <v>92.4</v>
      </c>
      <c r="R853" s="92">
        <v>92.4</v>
      </c>
      <c r="S853" s="87">
        <v>1972510</v>
      </c>
      <c r="T853" s="94">
        <v>11</v>
      </c>
      <c r="U853" s="95">
        <v>21347.51082251082</v>
      </c>
      <c r="V853" s="96">
        <v>46.843868979117978</v>
      </c>
    </row>
    <row r="854" spans="1:22">
      <c r="A854" s="58">
        <v>854</v>
      </c>
      <c r="B854" s="58">
        <v>854</v>
      </c>
      <c r="C854" s="58" t="s">
        <v>1397</v>
      </c>
      <c r="D854" s="58" t="s">
        <v>234</v>
      </c>
      <c r="E854" s="58" t="s">
        <v>234</v>
      </c>
      <c r="F854" s="58" t="s">
        <v>630</v>
      </c>
      <c r="G854" s="58" t="s">
        <v>631</v>
      </c>
      <c r="H854" s="58" t="s">
        <v>179</v>
      </c>
      <c r="I854">
        <v>38000</v>
      </c>
      <c r="J854" s="58" t="s">
        <v>185</v>
      </c>
      <c r="K854">
        <v>38000</v>
      </c>
      <c r="L854" s="74">
        <v>3.75</v>
      </c>
      <c r="M854" s="85">
        <v>4</v>
      </c>
      <c r="N854" s="74">
        <v>2.6509999999999998</v>
      </c>
      <c r="O854">
        <v>2</v>
      </c>
      <c r="P854" s="84">
        <v>1.9882499999999999</v>
      </c>
      <c r="Q854" s="86">
        <v>21</v>
      </c>
      <c r="R854" s="85">
        <v>21</v>
      </c>
      <c r="S854" s="87">
        <v>628870</v>
      </c>
      <c r="T854" s="1">
        <v>4</v>
      </c>
      <c r="U854" s="88">
        <v>29946.190476190477</v>
      </c>
      <c r="V854" s="59">
        <v>33.393229125256411</v>
      </c>
    </row>
    <row r="855" spans="1:22">
      <c r="A855" s="58">
        <v>855</v>
      </c>
      <c r="B855" s="58">
        <v>855</v>
      </c>
      <c r="C855" s="58" t="s">
        <v>1398</v>
      </c>
      <c r="D855" s="58" t="s">
        <v>234</v>
      </c>
      <c r="E855" s="58" t="s">
        <v>234</v>
      </c>
      <c r="F855" s="58" t="s">
        <v>323</v>
      </c>
      <c r="G855" s="58" t="s">
        <v>324</v>
      </c>
      <c r="H855" s="58" t="s">
        <v>179</v>
      </c>
      <c r="I855">
        <v>38000</v>
      </c>
      <c r="J855">
        <v>38000</v>
      </c>
      <c r="K855">
        <v>20000</v>
      </c>
      <c r="L855" s="74">
        <v>4.8620000000000001</v>
      </c>
      <c r="M855" s="85">
        <v>5</v>
      </c>
      <c r="N855" s="74">
        <v>3.0950000000000002</v>
      </c>
      <c r="O855">
        <v>2</v>
      </c>
      <c r="P855" s="84">
        <v>2.32125</v>
      </c>
      <c r="Q855" s="86">
        <v>25.200000000000003</v>
      </c>
      <c r="R855" s="85">
        <v>25.200000000000003</v>
      </c>
      <c r="S855" s="87">
        <v>791940</v>
      </c>
      <c r="T855" s="1">
        <v>5</v>
      </c>
      <c r="U855" s="88">
        <v>31426.190476190473</v>
      </c>
      <c r="V855" s="59">
        <v>31.820592469126453</v>
      </c>
    </row>
    <row r="856" spans="1:22">
      <c r="A856" s="89">
        <v>856</v>
      </c>
      <c r="B856" s="89">
        <v>856</v>
      </c>
      <c r="C856" s="89" t="s">
        <v>1399</v>
      </c>
      <c r="D856" s="58" t="s">
        <v>234</v>
      </c>
      <c r="E856" s="58" t="s">
        <v>234</v>
      </c>
      <c r="F856" s="89" t="s">
        <v>329</v>
      </c>
      <c r="G856" s="89" t="s">
        <v>330</v>
      </c>
      <c r="H856" s="89" t="s">
        <v>179</v>
      </c>
      <c r="I856" s="90">
        <v>38000</v>
      </c>
      <c r="J856" s="90">
        <v>38000</v>
      </c>
      <c r="K856" s="89" t="s">
        <v>185</v>
      </c>
      <c r="L856" s="91">
        <v>16.684999999999999</v>
      </c>
      <c r="M856" s="92">
        <v>17</v>
      </c>
      <c r="N856" s="91">
        <v>5.3170000000000002</v>
      </c>
      <c r="O856" s="90">
        <v>2</v>
      </c>
      <c r="P856" s="92">
        <v>3.9877500000000001</v>
      </c>
      <c r="Q856" s="93">
        <v>46.2</v>
      </c>
      <c r="R856" s="92">
        <v>46.2</v>
      </c>
      <c r="S856" s="87">
        <v>4502230</v>
      </c>
      <c r="T856" s="94">
        <v>11</v>
      </c>
      <c r="U856" s="95">
        <v>97450.865800865795</v>
      </c>
      <c r="V856" s="96">
        <v>10.261581482954004</v>
      </c>
    </row>
    <row r="857" spans="1:22">
      <c r="A857" s="89">
        <v>857</v>
      </c>
      <c r="B857" s="89">
        <v>857</v>
      </c>
      <c r="C857" s="89" t="s">
        <v>1400</v>
      </c>
      <c r="D857" s="58" t="s">
        <v>234</v>
      </c>
      <c r="E857" s="58" t="s">
        <v>234</v>
      </c>
      <c r="F857" s="89" t="s">
        <v>329</v>
      </c>
      <c r="G857" s="89" t="s">
        <v>330</v>
      </c>
      <c r="H857" s="89" t="s">
        <v>179</v>
      </c>
      <c r="I857" s="90">
        <v>38000</v>
      </c>
      <c r="J857" s="90">
        <v>38000</v>
      </c>
      <c r="K857" s="89" t="s">
        <v>185</v>
      </c>
      <c r="L857" s="91">
        <v>12.957000000000001</v>
      </c>
      <c r="M857" s="92">
        <v>13</v>
      </c>
      <c r="N857" s="91">
        <v>5.2480000000000002</v>
      </c>
      <c r="O857" s="90">
        <v>2</v>
      </c>
      <c r="P857" s="92">
        <v>3.9359999999999999</v>
      </c>
      <c r="Q857" s="93">
        <v>46.2</v>
      </c>
      <c r="R857" s="92">
        <v>46.2</v>
      </c>
      <c r="S857" s="87">
        <v>3658990</v>
      </c>
      <c r="T857" s="94">
        <v>11</v>
      </c>
      <c r="U857" s="95">
        <v>79198.917748917738</v>
      </c>
      <c r="V857" s="96">
        <v>12.626435163802032</v>
      </c>
    </row>
    <row r="858" spans="1:22">
      <c r="A858" s="58">
        <v>858</v>
      </c>
      <c r="B858" s="58">
        <v>858</v>
      </c>
      <c r="C858" s="58" t="s">
        <v>1401</v>
      </c>
      <c r="D858" s="58" t="s">
        <v>234</v>
      </c>
      <c r="E858" s="58" t="s">
        <v>234</v>
      </c>
      <c r="F858" s="58" t="s">
        <v>329</v>
      </c>
      <c r="G858" s="58" t="s">
        <v>330</v>
      </c>
      <c r="H858" s="58" t="s">
        <v>179</v>
      </c>
      <c r="I858">
        <v>38000</v>
      </c>
      <c r="J858">
        <v>38000</v>
      </c>
      <c r="K858" s="58" t="s">
        <v>185</v>
      </c>
      <c r="L858" s="74">
        <v>17.137</v>
      </c>
      <c r="M858" s="85">
        <v>18</v>
      </c>
      <c r="N858" s="74">
        <v>1.1379999999999999</v>
      </c>
      <c r="O858">
        <v>2</v>
      </c>
      <c r="P858" s="84">
        <v>0.85349999999999993</v>
      </c>
      <c r="Q858" s="86">
        <v>8.4</v>
      </c>
      <c r="R858" s="85">
        <v>8.4</v>
      </c>
      <c r="S858" s="87">
        <v>1854100</v>
      </c>
      <c r="T858" s="1">
        <v>2</v>
      </c>
      <c r="U858" s="88">
        <v>220726.19047619047</v>
      </c>
      <c r="V858" s="59">
        <v>4.5304999730327387</v>
      </c>
    </row>
    <row r="859" spans="1:22">
      <c r="A859" s="58">
        <v>859</v>
      </c>
      <c r="B859" s="58">
        <v>859</v>
      </c>
      <c r="C859" s="58" t="s">
        <v>1402</v>
      </c>
      <c r="D859" s="58" t="s">
        <v>234</v>
      </c>
      <c r="E859" s="58" t="s">
        <v>234</v>
      </c>
      <c r="F859" s="58" t="s">
        <v>329</v>
      </c>
      <c r="G859" s="58" t="s">
        <v>330</v>
      </c>
      <c r="H859" s="58" t="s">
        <v>179</v>
      </c>
      <c r="I859">
        <v>38000</v>
      </c>
      <c r="J859">
        <v>38000</v>
      </c>
      <c r="K859" s="58" t="s">
        <v>185</v>
      </c>
      <c r="L859" s="74">
        <v>19.07</v>
      </c>
      <c r="M859" s="85">
        <v>20</v>
      </c>
      <c r="N859" s="74">
        <v>1.675</v>
      </c>
      <c r="O859">
        <v>2</v>
      </c>
      <c r="P859" s="84">
        <v>1.2562500000000001</v>
      </c>
      <c r="Q859" s="86">
        <v>12.600000000000001</v>
      </c>
      <c r="R859" s="85">
        <v>12.600000000000001</v>
      </c>
      <c r="S859" s="87">
        <v>1996550</v>
      </c>
      <c r="T859" s="1">
        <v>3</v>
      </c>
      <c r="U859" s="88">
        <v>158456.3492063492</v>
      </c>
      <c r="V859" s="59">
        <v>6.3108862788309841</v>
      </c>
    </row>
    <row r="860" spans="1:22">
      <c r="A860" s="89">
        <v>860</v>
      </c>
      <c r="B860" s="89">
        <v>860</v>
      </c>
      <c r="C860" s="89" t="s">
        <v>1403</v>
      </c>
      <c r="D860" s="58" t="s">
        <v>234</v>
      </c>
      <c r="E860" s="58" t="s">
        <v>234</v>
      </c>
      <c r="F860" s="89" t="s">
        <v>326</v>
      </c>
      <c r="G860" s="89" t="s">
        <v>327</v>
      </c>
      <c r="H860" s="89" t="s">
        <v>199</v>
      </c>
      <c r="I860" s="90">
        <v>110000</v>
      </c>
      <c r="J860" s="90">
        <v>110000</v>
      </c>
      <c r="K860" s="90">
        <v>38000</v>
      </c>
      <c r="L860" s="91">
        <v>9.3010000000000002</v>
      </c>
      <c r="M860" s="92">
        <v>10</v>
      </c>
      <c r="N860" s="91">
        <v>159.80600000000001</v>
      </c>
      <c r="O860" s="90">
        <v>2</v>
      </c>
      <c r="P860" s="92">
        <v>119.8545</v>
      </c>
      <c r="Q860" s="93">
        <v>1491</v>
      </c>
      <c r="R860" s="92">
        <v>1491</v>
      </c>
      <c r="S860" s="87">
        <v>42473340</v>
      </c>
      <c r="T860" s="94">
        <v>999999999</v>
      </c>
      <c r="U860" s="95">
        <v>28486.478873239437</v>
      </c>
      <c r="V860" s="96">
        <v>35.104373708307378</v>
      </c>
    </row>
    <row r="861" spans="1:22">
      <c r="A861" s="58">
        <v>861</v>
      </c>
      <c r="B861" s="58">
        <v>861</v>
      </c>
      <c r="C861" s="58" t="s">
        <v>1404</v>
      </c>
      <c r="D861" s="58" t="s">
        <v>234</v>
      </c>
      <c r="E861" s="58" t="s">
        <v>234</v>
      </c>
      <c r="F861" s="58" t="s">
        <v>326</v>
      </c>
      <c r="G861" s="58" t="s">
        <v>327</v>
      </c>
      <c r="H861" s="58" t="s">
        <v>199</v>
      </c>
      <c r="I861">
        <v>110000</v>
      </c>
      <c r="J861">
        <v>110000</v>
      </c>
      <c r="K861">
        <v>38000</v>
      </c>
      <c r="L861" s="74">
        <v>16.594999999999999</v>
      </c>
      <c r="M861" s="85">
        <v>17</v>
      </c>
      <c r="N861" s="74">
        <v>4.1890000000000001</v>
      </c>
      <c r="O861">
        <v>2</v>
      </c>
      <c r="P861" s="84">
        <v>3.14175</v>
      </c>
      <c r="Q861" s="86">
        <v>37.800000000000004</v>
      </c>
      <c r="R861" s="85">
        <v>37.800000000000004</v>
      </c>
      <c r="S861" s="87">
        <v>3845270</v>
      </c>
      <c r="T861" s="1">
        <v>10</v>
      </c>
      <c r="U861" s="88">
        <v>101726.71957671957</v>
      </c>
      <c r="V861" s="59">
        <v>9.8302589935167113</v>
      </c>
    </row>
    <row r="862" spans="1:22">
      <c r="A862" s="89">
        <v>862</v>
      </c>
      <c r="B862" s="89">
        <v>862</v>
      </c>
      <c r="C862" s="89" t="s">
        <v>1405</v>
      </c>
      <c r="D862" s="58" t="s">
        <v>234</v>
      </c>
      <c r="E862" s="58" t="s">
        <v>234</v>
      </c>
      <c r="F862" s="89" t="s">
        <v>329</v>
      </c>
      <c r="G862" s="89" t="s">
        <v>330</v>
      </c>
      <c r="H862" s="89" t="s">
        <v>179</v>
      </c>
      <c r="I862" s="90">
        <v>38000</v>
      </c>
      <c r="J862" s="90">
        <v>38000</v>
      </c>
      <c r="K862" s="89" t="s">
        <v>185</v>
      </c>
      <c r="L862" s="91">
        <v>2.7120000000000002</v>
      </c>
      <c r="M862" s="92">
        <v>3</v>
      </c>
      <c r="N862" s="91">
        <v>5.0490000000000004</v>
      </c>
      <c r="O862" s="90">
        <v>2</v>
      </c>
      <c r="P862" s="92">
        <v>3.7867500000000005</v>
      </c>
      <c r="Q862" s="93">
        <v>46.2</v>
      </c>
      <c r="R862" s="92">
        <v>46.2</v>
      </c>
      <c r="S862" s="87">
        <v>1550890</v>
      </c>
      <c r="T862" s="94">
        <v>11</v>
      </c>
      <c r="U862" s="95">
        <v>33569.047619047618</v>
      </c>
      <c r="V862" s="96">
        <v>29.789346762181715</v>
      </c>
    </row>
    <row r="863" spans="1:22">
      <c r="A863" s="58">
        <v>863</v>
      </c>
      <c r="B863" s="58">
        <v>863</v>
      </c>
      <c r="C863" s="58" t="s">
        <v>1406</v>
      </c>
      <c r="D863" s="58" t="s">
        <v>234</v>
      </c>
      <c r="E863" s="58" t="s">
        <v>234</v>
      </c>
      <c r="F863" s="58" t="s">
        <v>326</v>
      </c>
      <c r="G863" s="58" t="s">
        <v>327</v>
      </c>
      <c r="H863" s="58" t="s">
        <v>199</v>
      </c>
      <c r="I863">
        <v>110000</v>
      </c>
      <c r="J863">
        <v>110000</v>
      </c>
      <c r="K863">
        <v>38000</v>
      </c>
      <c r="L863" s="74">
        <v>19.323</v>
      </c>
      <c r="M863" s="85">
        <v>20</v>
      </c>
      <c r="N863" s="74">
        <v>2.8820000000000001</v>
      </c>
      <c r="O863">
        <v>2</v>
      </c>
      <c r="P863" s="84">
        <v>2.1615000000000002</v>
      </c>
      <c r="Q863" s="86">
        <v>25.200000000000003</v>
      </c>
      <c r="R863" s="85">
        <v>25.200000000000003</v>
      </c>
      <c r="S863" s="87">
        <v>3730450</v>
      </c>
      <c r="T863" s="1">
        <v>9</v>
      </c>
      <c r="U863" s="88">
        <v>148033.73015873015</v>
      </c>
      <c r="V863" s="59">
        <v>6.7552171989974408</v>
      </c>
    </row>
    <row r="864" spans="1:22">
      <c r="A864" s="58">
        <v>864</v>
      </c>
      <c r="B864" s="58">
        <v>864</v>
      </c>
      <c r="C864" s="58" t="s">
        <v>1407</v>
      </c>
      <c r="D864" s="58" t="s">
        <v>234</v>
      </c>
      <c r="E864" s="58" t="s">
        <v>234</v>
      </c>
      <c r="F864" s="58" t="s">
        <v>329</v>
      </c>
      <c r="G864" s="58" t="s">
        <v>330</v>
      </c>
      <c r="H864" s="58" t="s">
        <v>179</v>
      </c>
      <c r="I864">
        <v>38000</v>
      </c>
      <c r="J864">
        <v>38000</v>
      </c>
      <c r="K864" s="58" t="s">
        <v>185</v>
      </c>
      <c r="L864" s="74">
        <v>10.401</v>
      </c>
      <c r="M864" s="85">
        <v>11</v>
      </c>
      <c r="N864" s="74">
        <v>0.45200000000000001</v>
      </c>
      <c r="O864">
        <v>2</v>
      </c>
      <c r="P864" s="84">
        <v>0.45200000000000001</v>
      </c>
      <c r="Q864" s="86">
        <v>4.2</v>
      </c>
      <c r="R864" s="85">
        <v>4.2</v>
      </c>
      <c r="S864" s="87">
        <v>1439840</v>
      </c>
      <c r="T864" s="1">
        <v>1</v>
      </c>
      <c r="U864" s="88">
        <v>342819.04761904763</v>
      </c>
      <c r="V864" s="59">
        <v>2.9169907767529724</v>
      </c>
    </row>
    <row r="865" spans="1:22">
      <c r="A865" s="58">
        <v>865</v>
      </c>
      <c r="B865" s="58">
        <v>865</v>
      </c>
      <c r="C865" s="58" t="s">
        <v>1408</v>
      </c>
      <c r="D865" s="58" t="s">
        <v>234</v>
      </c>
      <c r="E865" s="58" t="s">
        <v>234</v>
      </c>
      <c r="F865" s="58" t="s">
        <v>329</v>
      </c>
      <c r="G865" s="58" t="s">
        <v>330</v>
      </c>
      <c r="H865" s="58" t="s">
        <v>179</v>
      </c>
      <c r="I865">
        <v>38000</v>
      </c>
      <c r="J865">
        <v>38000</v>
      </c>
      <c r="K865" s="58" t="s">
        <v>185</v>
      </c>
      <c r="L865" s="74">
        <v>7.6390000000000002</v>
      </c>
      <c r="M865" s="85">
        <v>8</v>
      </c>
      <c r="N865" s="74">
        <v>0.66800000000000004</v>
      </c>
      <c r="O865">
        <v>2</v>
      </c>
      <c r="P865" s="84">
        <v>0.501</v>
      </c>
      <c r="Q865" s="86">
        <v>4.2</v>
      </c>
      <c r="R865" s="85">
        <v>4.2</v>
      </c>
      <c r="S865" s="87">
        <v>909950</v>
      </c>
      <c r="T865" s="1">
        <v>4</v>
      </c>
      <c r="U865" s="88">
        <v>216654.76190476189</v>
      </c>
      <c r="V865" s="59">
        <v>4.6156382218803227</v>
      </c>
    </row>
    <row r="866" spans="1:22">
      <c r="A866" s="58">
        <v>866</v>
      </c>
      <c r="B866" s="58">
        <v>866</v>
      </c>
      <c r="C866" s="58" t="s">
        <v>1409</v>
      </c>
      <c r="D866" s="58" t="s">
        <v>234</v>
      </c>
      <c r="E866" s="58" t="s">
        <v>234</v>
      </c>
      <c r="F866" s="58" t="s">
        <v>329</v>
      </c>
      <c r="G866" s="58" t="s">
        <v>330</v>
      </c>
      <c r="H866" s="58" t="s">
        <v>179</v>
      </c>
      <c r="I866">
        <v>38000</v>
      </c>
      <c r="J866">
        <v>38000</v>
      </c>
      <c r="K866" s="58" t="s">
        <v>185</v>
      </c>
      <c r="L866" s="74">
        <v>6.1139999999999999</v>
      </c>
      <c r="M866" s="85">
        <v>7</v>
      </c>
      <c r="N866" s="74">
        <v>0.48699999999999999</v>
      </c>
      <c r="O866">
        <v>2</v>
      </c>
      <c r="P866" s="84">
        <v>0.48699999999999999</v>
      </c>
      <c r="Q866" s="86">
        <v>4.2</v>
      </c>
      <c r="R866" s="85">
        <v>4.2</v>
      </c>
      <c r="S866" s="87">
        <v>839680</v>
      </c>
      <c r="T866" s="1">
        <v>4</v>
      </c>
      <c r="U866" s="88">
        <v>199923.80952380953</v>
      </c>
      <c r="V866" s="59">
        <v>5.0019054878048781</v>
      </c>
    </row>
    <row r="867" spans="1:22">
      <c r="A867" s="89">
        <v>867</v>
      </c>
      <c r="B867" s="89">
        <v>867</v>
      </c>
      <c r="C867" s="89" t="s">
        <v>1410</v>
      </c>
      <c r="D867" s="58" t="s">
        <v>346</v>
      </c>
      <c r="E867" s="58" t="s">
        <v>234</v>
      </c>
      <c r="F867" s="89" t="s">
        <v>646</v>
      </c>
      <c r="G867" s="89" t="s">
        <v>647</v>
      </c>
      <c r="H867" s="89" t="s">
        <v>179</v>
      </c>
      <c r="I867" s="90">
        <v>38000</v>
      </c>
      <c r="J867" s="89" t="s">
        <v>185</v>
      </c>
      <c r="K867" s="90">
        <v>38000</v>
      </c>
      <c r="L867" s="91">
        <v>4.4050000000000002</v>
      </c>
      <c r="M867" s="92">
        <v>5</v>
      </c>
      <c r="N867" s="91">
        <v>51.771000000000001</v>
      </c>
      <c r="O867" s="90">
        <v>2</v>
      </c>
      <c r="P867" s="92">
        <v>38.828249999999997</v>
      </c>
      <c r="Q867" s="93">
        <v>483</v>
      </c>
      <c r="R867" s="92">
        <v>483</v>
      </c>
      <c r="S867" s="87">
        <v>8456580</v>
      </c>
      <c r="T867" s="94">
        <v>12</v>
      </c>
      <c r="U867" s="95">
        <v>17508.447204968943</v>
      </c>
      <c r="V867" s="96">
        <v>57.115287740434077</v>
      </c>
    </row>
    <row r="868" spans="1:22">
      <c r="A868" s="58">
        <v>868</v>
      </c>
      <c r="B868" s="58">
        <v>868</v>
      </c>
      <c r="C868" s="58" t="s">
        <v>1411</v>
      </c>
      <c r="D868" s="58" t="s">
        <v>346</v>
      </c>
      <c r="E868" s="58" t="s">
        <v>346</v>
      </c>
      <c r="F868" s="58" t="s">
        <v>646</v>
      </c>
      <c r="G868" s="58" t="s">
        <v>647</v>
      </c>
      <c r="H868" s="58" t="s">
        <v>179</v>
      </c>
      <c r="I868">
        <v>38000</v>
      </c>
      <c r="J868" s="58" t="s">
        <v>185</v>
      </c>
      <c r="K868">
        <v>38000</v>
      </c>
      <c r="L868" s="74">
        <v>6.3979999999999997</v>
      </c>
      <c r="M868" s="85">
        <v>7</v>
      </c>
      <c r="N868" s="74">
        <v>2.3050000000000002</v>
      </c>
      <c r="O868">
        <v>2</v>
      </c>
      <c r="P868" s="84">
        <v>1.7287500000000002</v>
      </c>
      <c r="Q868" s="86">
        <v>21</v>
      </c>
      <c r="R868" s="85">
        <v>21</v>
      </c>
      <c r="S868" s="87">
        <v>839680</v>
      </c>
      <c r="T868" s="1">
        <v>4</v>
      </c>
      <c r="U868" s="88">
        <v>39984.761904761908</v>
      </c>
      <c r="V868" s="59">
        <v>25.009527439024389</v>
      </c>
    </row>
    <row r="869" spans="1:22">
      <c r="A869" s="58">
        <v>869</v>
      </c>
      <c r="B869" s="58">
        <v>869</v>
      </c>
      <c r="C869" s="58" t="s">
        <v>1412</v>
      </c>
      <c r="D869" s="58" t="s">
        <v>346</v>
      </c>
      <c r="E869" s="58" t="s">
        <v>346</v>
      </c>
      <c r="F869" s="58" t="s">
        <v>347</v>
      </c>
      <c r="G869" s="58" t="s">
        <v>348</v>
      </c>
      <c r="H869" s="58" t="s">
        <v>199</v>
      </c>
      <c r="I869">
        <v>110000</v>
      </c>
      <c r="J869">
        <v>110000</v>
      </c>
      <c r="K869" s="58" t="s">
        <v>200</v>
      </c>
      <c r="L869" s="74">
        <v>9.4160000000000004</v>
      </c>
      <c r="M869" s="85">
        <v>10</v>
      </c>
      <c r="N869" s="74">
        <v>7.4470000000000001</v>
      </c>
      <c r="O869">
        <v>2</v>
      </c>
      <c r="P869" s="84">
        <v>5.5852500000000003</v>
      </c>
      <c r="Q869" s="86">
        <v>67.2</v>
      </c>
      <c r="R869" s="85">
        <v>67.2</v>
      </c>
      <c r="S869" s="87">
        <v>3026560</v>
      </c>
      <c r="T869" s="1">
        <v>11</v>
      </c>
      <c r="U869" s="88">
        <v>45038.095238095237</v>
      </c>
      <c r="V869" s="59">
        <v>22.203425671389301</v>
      </c>
    </row>
    <row r="870" spans="1:22">
      <c r="A870" s="58">
        <v>870</v>
      </c>
      <c r="B870" s="58">
        <v>870</v>
      </c>
      <c r="C870" s="58" t="s">
        <v>1413</v>
      </c>
      <c r="D870" s="58" t="s">
        <v>346</v>
      </c>
      <c r="E870" s="58" t="s">
        <v>346</v>
      </c>
      <c r="F870" s="58" t="s">
        <v>347</v>
      </c>
      <c r="G870" s="58" t="s">
        <v>348</v>
      </c>
      <c r="H870" s="58" t="s">
        <v>199</v>
      </c>
      <c r="I870">
        <v>110000</v>
      </c>
      <c r="J870">
        <v>110000</v>
      </c>
      <c r="K870" s="58" t="s">
        <v>200</v>
      </c>
      <c r="L870" s="74">
        <v>7.2759999999999998</v>
      </c>
      <c r="M870" s="85">
        <v>8</v>
      </c>
      <c r="N870" s="74">
        <v>6.1040000000000001</v>
      </c>
      <c r="O870">
        <v>2</v>
      </c>
      <c r="P870" s="84">
        <v>4.5780000000000003</v>
      </c>
      <c r="Q870" s="86">
        <v>54.599999999999994</v>
      </c>
      <c r="R870" s="85">
        <v>54.599999999999994</v>
      </c>
      <c r="S870" s="87">
        <v>2604940</v>
      </c>
      <c r="T870" s="1">
        <v>11</v>
      </c>
      <c r="U870" s="88">
        <v>47709.523809523816</v>
      </c>
      <c r="V870" s="59">
        <v>20.960175666234154</v>
      </c>
    </row>
    <row r="871" spans="1:22">
      <c r="A871" s="58">
        <v>871</v>
      </c>
      <c r="B871" s="58">
        <v>871</v>
      </c>
      <c r="C871" s="58" t="s">
        <v>1414</v>
      </c>
      <c r="D871" s="58" t="s">
        <v>346</v>
      </c>
      <c r="E871" s="58" t="s">
        <v>346</v>
      </c>
      <c r="F871" s="58" t="s">
        <v>347</v>
      </c>
      <c r="G871" s="58" t="s">
        <v>348</v>
      </c>
      <c r="H871" s="58" t="s">
        <v>199</v>
      </c>
      <c r="I871">
        <v>110000</v>
      </c>
      <c r="J871">
        <v>110000</v>
      </c>
      <c r="K871" s="58" t="s">
        <v>200</v>
      </c>
      <c r="L871" s="74">
        <v>10.159000000000001</v>
      </c>
      <c r="M871" s="85">
        <v>11</v>
      </c>
      <c r="N871" s="74">
        <v>1.5680000000000001</v>
      </c>
      <c r="O871">
        <v>2</v>
      </c>
      <c r="P871" s="84">
        <v>1.1760000000000002</v>
      </c>
      <c r="Q871" s="86">
        <v>12.600000000000001</v>
      </c>
      <c r="R871" s="85">
        <v>12.600000000000001</v>
      </c>
      <c r="S871" s="87">
        <v>1996170</v>
      </c>
      <c r="T871" s="1">
        <v>7</v>
      </c>
      <c r="U871" s="88">
        <v>158426.19047619044</v>
      </c>
      <c r="V871" s="59">
        <v>6.3120876478456251</v>
      </c>
    </row>
    <row r="872" spans="1:22">
      <c r="A872" s="58">
        <v>872</v>
      </c>
      <c r="B872" s="58">
        <v>872</v>
      </c>
      <c r="C872" s="58" t="s">
        <v>1415</v>
      </c>
      <c r="D872" s="58" t="s">
        <v>346</v>
      </c>
      <c r="E872" s="58" t="s">
        <v>346</v>
      </c>
      <c r="F872" s="58" t="s">
        <v>347</v>
      </c>
      <c r="G872" s="58" t="s">
        <v>348</v>
      </c>
      <c r="H872" s="58" t="s">
        <v>199</v>
      </c>
      <c r="I872">
        <v>110000</v>
      </c>
      <c r="J872">
        <v>110000</v>
      </c>
      <c r="K872" s="58" t="s">
        <v>200</v>
      </c>
      <c r="L872" s="74">
        <v>8.5129999999999999</v>
      </c>
      <c r="M872" s="85">
        <v>9</v>
      </c>
      <c r="N872" s="74">
        <v>0.41</v>
      </c>
      <c r="O872">
        <v>2</v>
      </c>
      <c r="P872" s="84">
        <v>0.41</v>
      </c>
      <c r="Q872" s="86">
        <v>4.2</v>
      </c>
      <c r="R872" s="85">
        <v>4.2</v>
      </c>
      <c r="S872" s="87">
        <v>1890770</v>
      </c>
      <c r="T872" s="1">
        <v>7</v>
      </c>
      <c r="U872" s="88">
        <v>450183.33333333331</v>
      </c>
      <c r="V872" s="59">
        <v>2.2213172411239865</v>
      </c>
    </row>
    <row r="873" spans="1:22">
      <c r="A873" s="58">
        <v>873</v>
      </c>
      <c r="B873" s="58">
        <v>873</v>
      </c>
      <c r="C873" s="58" t="s">
        <v>1416</v>
      </c>
      <c r="D873" s="58" t="s">
        <v>346</v>
      </c>
      <c r="E873" s="58" t="s">
        <v>346</v>
      </c>
      <c r="F873" s="58" t="s">
        <v>1417</v>
      </c>
      <c r="G873" s="58" t="s">
        <v>1418</v>
      </c>
      <c r="H873" s="58" t="s">
        <v>179</v>
      </c>
      <c r="I873">
        <v>38000</v>
      </c>
      <c r="J873">
        <v>38000</v>
      </c>
      <c r="K873" s="58" t="s">
        <v>185</v>
      </c>
      <c r="L873" s="74">
        <v>8.7840000000000007</v>
      </c>
      <c r="M873" s="85">
        <v>9</v>
      </c>
      <c r="N873" s="74">
        <v>0.503</v>
      </c>
      <c r="O873">
        <v>2</v>
      </c>
      <c r="P873" s="84">
        <v>0.503</v>
      </c>
      <c r="Q873" s="86">
        <v>4.2</v>
      </c>
      <c r="R873" s="85">
        <v>4.2</v>
      </c>
      <c r="S873" s="87">
        <v>1334440</v>
      </c>
      <c r="T873" s="1">
        <v>1</v>
      </c>
      <c r="U873" s="88">
        <v>317723.80952380953</v>
      </c>
      <c r="V873" s="59">
        <v>3.1473876682353645</v>
      </c>
    </row>
    <row r="874" spans="1:22">
      <c r="A874" s="58">
        <v>874</v>
      </c>
      <c r="B874" s="58">
        <v>874</v>
      </c>
      <c r="C874" s="58" t="s">
        <v>1419</v>
      </c>
      <c r="D874" s="58" t="s">
        <v>346</v>
      </c>
      <c r="E874" s="58" t="s">
        <v>346</v>
      </c>
      <c r="F874" s="58" t="s">
        <v>646</v>
      </c>
      <c r="G874" s="58" t="s">
        <v>647</v>
      </c>
      <c r="H874" s="58" t="s">
        <v>179</v>
      </c>
      <c r="I874">
        <v>38000</v>
      </c>
      <c r="J874" s="58" t="s">
        <v>185</v>
      </c>
      <c r="K874">
        <v>38000</v>
      </c>
      <c r="L874" s="74">
        <v>7.4480000000000004</v>
      </c>
      <c r="M874" s="85">
        <v>8</v>
      </c>
      <c r="N874" s="74">
        <v>0.72499999999999998</v>
      </c>
      <c r="O874">
        <v>2</v>
      </c>
      <c r="P874" s="84">
        <v>0.54374999999999996</v>
      </c>
      <c r="Q874" s="86">
        <v>4.2</v>
      </c>
      <c r="R874" s="85">
        <v>4.2</v>
      </c>
      <c r="S874" s="87">
        <v>909950</v>
      </c>
      <c r="T874" s="1">
        <v>4</v>
      </c>
      <c r="U874" s="88">
        <v>216654.76190476189</v>
      </c>
      <c r="V874" s="59">
        <v>4.6156382218803227</v>
      </c>
    </row>
    <row r="875" spans="1:22">
      <c r="A875" s="58">
        <v>875</v>
      </c>
      <c r="B875" s="58">
        <v>875</v>
      </c>
      <c r="C875" s="58" t="s">
        <v>1420</v>
      </c>
      <c r="D875" s="58" t="s">
        <v>346</v>
      </c>
      <c r="E875" s="58" t="s">
        <v>346</v>
      </c>
      <c r="F875" s="58" t="s">
        <v>652</v>
      </c>
      <c r="G875" s="58" t="s">
        <v>653</v>
      </c>
      <c r="H875" s="58" t="s">
        <v>179</v>
      </c>
      <c r="I875">
        <v>38000</v>
      </c>
      <c r="J875">
        <v>38000</v>
      </c>
      <c r="K875" s="58" t="s">
        <v>185</v>
      </c>
      <c r="L875" s="74">
        <v>11.552</v>
      </c>
      <c r="M875" s="85">
        <v>12</v>
      </c>
      <c r="N875" s="74">
        <v>0.73299999999999998</v>
      </c>
      <c r="O875">
        <v>2</v>
      </c>
      <c r="P875" s="84">
        <v>0.54974999999999996</v>
      </c>
      <c r="Q875" s="86">
        <v>4.2</v>
      </c>
      <c r="R875" s="85">
        <v>4.2</v>
      </c>
      <c r="S875" s="87">
        <v>1492540</v>
      </c>
      <c r="T875" s="1">
        <v>1</v>
      </c>
      <c r="U875" s="88">
        <v>355366.66666666663</v>
      </c>
      <c r="V875" s="59">
        <v>2.8139949348091173</v>
      </c>
    </row>
    <row r="876" spans="1:22">
      <c r="A876" s="58">
        <v>876</v>
      </c>
      <c r="B876" s="58">
        <v>876</v>
      </c>
      <c r="C876" s="58" t="s">
        <v>1421</v>
      </c>
      <c r="D876" s="58" t="s">
        <v>351</v>
      </c>
      <c r="E876" s="58" t="s">
        <v>351</v>
      </c>
      <c r="F876" s="58" t="s">
        <v>652</v>
      </c>
      <c r="G876" s="58" t="s">
        <v>653</v>
      </c>
      <c r="H876" s="58" t="s">
        <v>179</v>
      </c>
      <c r="I876">
        <v>38000</v>
      </c>
      <c r="J876">
        <v>38000</v>
      </c>
      <c r="K876" s="58" t="s">
        <v>185</v>
      </c>
      <c r="L876" s="74">
        <v>11.834</v>
      </c>
      <c r="M876" s="85">
        <v>12</v>
      </c>
      <c r="N876" s="74">
        <v>0.371</v>
      </c>
      <c r="O876">
        <v>2</v>
      </c>
      <c r="P876" s="84">
        <v>0.371</v>
      </c>
      <c r="Q876" s="86">
        <v>4.2</v>
      </c>
      <c r="R876" s="85">
        <v>4.2</v>
      </c>
      <c r="S876" s="87">
        <v>1492540</v>
      </c>
      <c r="T876" s="1">
        <v>1</v>
      </c>
      <c r="U876" s="88">
        <v>355366.66666666663</v>
      </c>
      <c r="V876" s="59">
        <v>2.8139949348091173</v>
      </c>
    </row>
    <row r="877" spans="1:22">
      <c r="A877" s="89">
        <v>877</v>
      </c>
      <c r="B877" s="89">
        <v>877</v>
      </c>
      <c r="C877" s="89" t="s">
        <v>1422</v>
      </c>
      <c r="D877" s="58" t="s">
        <v>346</v>
      </c>
      <c r="E877" s="58" t="s">
        <v>351</v>
      </c>
      <c r="F877" s="89" t="s">
        <v>352</v>
      </c>
      <c r="G877" s="89" t="s">
        <v>353</v>
      </c>
      <c r="H877" s="89" t="s">
        <v>179</v>
      </c>
      <c r="I877" s="90">
        <v>38000</v>
      </c>
      <c r="J877" s="90">
        <v>38000</v>
      </c>
      <c r="K877" s="90">
        <v>10000</v>
      </c>
      <c r="L877" s="91">
        <v>11.555</v>
      </c>
      <c r="M877" s="92">
        <v>12</v>
      </c>
      <c r="N877" s="91">
        <v>13.159000000000001</v>
      </c>
      <c r="O877" s="90">
        <v>2</v>
      </c>
      <c r="P877" s="92">
        <v>9.869250000000001</v>
      </c>
      <c r="Q877" s="93">
        <v>121.80000000000001</v>
      </c>
      <c r="R877" s="92">
        <v>121.80000000000001</v>
      </c>
      <c r="S877" s="87">
        <v>3448180</v>
      </c>
      <c r="T877" s="94">
        <v>11</v>
      </c>
      <c r="U877" s="95">
        <v>28310.180623973723</v>
      </c>
      <c r="V877" s="96">
        <v>35.322981978899016</v>
      </c>
    </row>
    <row r="878" spans="1:22">
      <c r="A878" s="58">
        <v>878</v>
      </c>
      <c r="B878" s="58">
        <v>878</v>
      </c>
      <c r="C878" s="58" t="s">
        <v>1423</v>
      </c>
      <c r="D878" s="58" t="s">
        <v>346</v>
      </c>
      <c r="E878" s="58" t="s">
        <v>346</v>
      </c>
      <c r="F878" s="58" t="s">
        <v>352</v>
      </c>
      <c r="G878" s="58" t="s">
        <v>353</v>
      </c>
      <c r="H878" s="58" t="s">
        <v>179</v>
      </c>
      <c r="I878">
        <v>38000</v>
      </c>
      <c r="J878">
        <v>38000</v>
      </c>
      <c r="K878">
        <v>10000</v>
      </c>
      <c r="L878" s="74">
        <v>8.5730000000000004</v>
      </c>
      <c r="M878" s="85">
        <v>9</v>
      </c>
      <c r="N878" s="74">
        <v>0.52400000000000002</v>
      </c>
      <c r="O878">
        <v>2</v>
      </c>
      <c r="P878" s="84">
        <v>0.52400000000000002</v>
      </c>
      <c r="Q878" s="86">
        <v>4.2</v>
      </c>
      <c r="R878" s="85">
        <v>4.2</v>
      </c>
      <c r="S878" s="87">
        <v>1334440</v>
      </c>
      <c r="T878" s="1">
        <v>1</v>
      </c>
      <c r="U878" s="88">
        <v>317723.80952380953</v>
      </c>
      <c r="V878" s="59">
        <v>3.1473876682353645</v>
      </c>
    </row>
    <row r="879" spans="1:22">
      <c r="A879" s="58">
        <v>879</v>
      </c>
      <c r="B879" s="58">
        <v>879</v>
      </c>
      <c r="C879" s="58" t="s">
        <v>1424</v>
      </c>
      <c r="D879" s="58" t="s">
        <v>346</v>
      </c>
      <c r="E879" s="58" t="s">
        <v>346</v>
      </c>
      <c r="F879" s="58" t="s">
        <v>352</v>
      </c>
      <c r="G879" s="58" t="s">
        <v>353</v>
      </c>
      <c r="H879" s="58" t="s">
        <v>179</v>
      </c>
      <c r="I879">
        <v>38000</v>
      </c>
      <c r="J879">
        <v>38000</v>
      </c>
      <c r="K879">
        <v>10000</v>
      </c>
      <c r="L879" s="74">
        <v>10.85</v>
      </c>
      <c r="M879" s="85">
        <v>11</v>
      </c>
      <c r="N879" s="74">
        <v>0.28799999999999998</v>
      </c>
      <c r="O879">
        <v>2</v>
      </c>
      <c r="P879" s="84">
        <v>0.28799999999999998</v>
      </c>
      <c r="Q879" s="86">
        <v>4.2</v>
      </c>
      <c r="R879" s="85">
        <v>4.2</v>
      </c>
      <c r="S879" s="87">
        <v>1439840</v>
      </c>
      <c r="T879" s="1">
        <v>1</v>
      </c>
      <c r="U879" s="88">
        <v>342819.04761904763</v>
      </c>
      <c r="V879" s="59">
        <v>2.9169907767529724</v>
      </c>
    </row>
    <row r="880" spans="1:22">
      <c r="A880" s="58">
        <v>880</v>
      </c>
      <c r="B880" s="58">
        <v>880</v>
      </c>
      <c r="C880" s="58" t="s">
        <v>1425</v>
      </c>
      <c r="D880" s="58" t="s">
        <v>346</v>
      </c>
      <c r="E880" s="58" t="s">
        <v>346</v>
      </c>
      <c r="F880" s="58" t="s">
        <v>352</v>
      </c>
      <c r="G880" s="58" t="s">
        <v>353</v>
      </c>
      <c r="H880" s="58" t="s">
        <v>179</v>
      </c>
      <c r="I880">
        <v>38000</v>
      </c>
      <c r="J880">
        <v>38000</v>
      </c>
      <c r="K880">
        <v>10000</v>
      </c>
      <c r="L880" s="74">
        <v>7.5919999999999996</v>
      </c>
      <c r="M880" s="85">
        <v>8</v>
      </c>
      <c r="N880" s="74">
        <v>0.76300000000000001</v>
      </c>
      <c r="O880">
        <v>2</v>
      </c>
      <c r="P880" s="84">
        <v>0.57225000000000004</v>
      </c>
      <c r="Q880" s="86">
        <v>4.2</v>
      </c>
      <c r="R880" s="85">
        <v>4.2</v>
      </c>
      <c r="S880" s="87">
        <v>909950</v>
      </c>
      <c r="T880" s="1">
        <v>4</v>
      </c>
      <c r="U880" s="88">
        <v>216654.76190476189</v>
      </c>
      <c r="V880" s="59">
        <v>4.6156382218803227</v>
      </c>
    </row>
    <row r="881" spans="1:22">
      <c r="A881" s="58">
        <v>881</v>
      </c>
      <c r="B881" s="58">
        <v>881</v>
      </c>
      <c r="C881" s="58" t="s">
        <v>1426</v>
      </c>
      <c r="D881" s="58" t="s">
        <v>346</v>
      </c>
      <c r="E881" s="58" t="s">
        <v>346</v>
      </c>
      <c r="F881" s="58" t="s">
        <v>1427</v>
      </c>
      <c r="G881" s="58" t="s">
        <v>1428</v>
      </c>
      <c r="H881" s="58" t="s">
        <v>199</v>
      </c>
      <c r="I881">
        <v>110000</v>
      </c>
      <c r="J881">
        <v>110000</v>
      </c>
      <c r="K881">
        <v>38000</v>
      </c>
      <c r="L881" s="74">
        <v>3.3460000000000001</v>
      </c>
      <c r="M881" s="85">
        <v>4</v>
      </c>
      <c r="N881" s="74">
        <v>1.8560000000000001</v>
      </c>
      <c r="O881">
        <v>2</v>
      </c>
      <c r="P881" s="84">
        <v>1.3920000000000001</v>
      </c>
      <c r="Q881" s="86">
        <v>16.8</v>
      </c>
      <c r="R881" s="85">
        <v>16.8</v>
      </c>
      <c r="S881" s="87">
        <v>1875790</v>
      </c>
      <c r="T881" s="1">
        <v>8</v>
      </c>
      <c r="U881" s="88">
        <v>111654.16666666666</v>
      </c>
      <c r="V881" s="59">
        <v>8.9562264432585739</v>
      </c>
    </row>
    <row r="882" spans="1:22">
      <c r="A882" s="58">
        <v>882</v>
      </c>
      <c r="B882" s="58">
        <v>882</v>
      </c>
      <c r="C882" s="58" t="s">
        <v>1429</v>
      </c>
      <c r="D882" s="58" t="s">
        <v>346</v>
      </c>
      <c r="E882" s="58" t="s">
        <v>346</v>
      </c>
      <c r="F882" s="58" t="s">
        <v>652</v>
      </c>
      <c r="G882" s="58" t="s">
        <v>653</v>
      </c>
      <c r="H882" s="58" t="s">
        <v>179</v>
      </c>
      <c r="I882">
        <v>38000</v>
      </c>
      <c r="J882">
        <v>38000</v>
      </c>
      <c r="K882" s="58" t="s">
        <v>185</v>
      </c>
      <c r="L882" s="74">
        <v>13.34</v>
      </c>
      <c r="M882" s="85">
        <v>14</v>
      </c>
      <c r="N882" s="74">
        <v>0.41399999999999998</v>
      </c>
      <c r="O882">
        <v>2</v>
      </c>
      <c r="P882" s="84">
        <v>0.41399999999999998</v>
      </c>
      <c r="Q882" s="86">
        <v>4.2</v>
      </c>
      <c r="R882" s="85">
        <v>4.2</v>
      </c>
      <c r="S882" s="87">
        <v>1597940</v>
      </c>
      <c r="T882" s="1">
        <v>1</v>
      </c>
      <c r="U882" s="88">
        <v>380461.90476190473</v>
      </c>
      <c r="V882" s="59">
        <v>2.6283840444572388</v>
      </c>
    </row>
    <row r="883" spans="1:22">
      <c r="A883" s="58">
        <v>883</v>
      </c>
      <c r="B883" s="58">
        <v>883</v>
      </c>
      <c r="C883" s="58" t="s">
        <v>1430</v>
      </c>
      <c r="D883" s="58" t="s">
        <v>187</v>
      </c>
      <c r="E883" s="58" t="s">
        <v>187</v>
      </c>
      <c r="F883" s="58" t="s">
        <v>188</v>
      </c>
      <c r="G883" s="58" t="s">
        <v>189</v>
      </c>
      <c r="H883" s="58" t="s">
        <v>179</v>
      </c>
      <c r="I883">
        <v>38000</v>
      </c>
      <c r="J883">
        <v>38000</v>
      </c>
      <c r="K883">
        <v>10000</v>
      </c>
      <c r="L883" s="74">
        <v>9.0540000000000003</v>
      </c>
      <c r="M883" s="85">
        <v>10</v>
      </c>
      <c r="N883" s="74">
        <v>2.9889999999999999</v>
      </c>
      <c r="O883">
        <v>2</v>
      </c>
      <c r="P883" s="84">
        <v>2.2417499999999997</v>
      </c>
      <c r="Q883" s="86">
        <v>25.200000000000003</v>
      </c>
      <c r="R883" s="85">
        <v>25.200000000000003</v>
      </c>
      <c r="S883" s="87">
        <v>1236090</v>
      </c>
      <c r="T883" s="1">
        <v>5</v>
      </c>
      <c r="U883" s="88">
        <v>49051.190476190473</v>
      </c>
      <c r="V883" s="59">
        <v>20.386865034099461</v>
      </c>
    </row>
    <row r="884" spans="1:22">
      <c r="A884" s="58">
        <v>884</v>
      </c>
      <c r="B884" s="58">
        <v>884</v>
      </c>
      <c r="C884" s="58" t="s">
        <v>1431</v>
      </c>
      <c r="D884" s="58" t="s">
        <v>187</v>
      </c>
      <c r="E884" s="58" t="s">
        <v>187</v>
      </c>
      <c r="F884" s="58" t="s">
        <v>188</v>
      </c>
      <c r="G884" s="58" t="s">
        <v>189</v>
      </c>
      <c r="H884" s="58" t="s">
        <v>179</v>
      </c>
      <c r="I884">
        <v>38000</v>
      </c>
      <c r="J884">
        <v>38000</v>
      </c>
      <c r="K884">
        <v>10000</v>
      </c>
      <c r="L884" s="74">
        <v>6.55</v>
      </c>
      <c r="M884" s="85">
        <v>7</v>
      </c>
      <c r="N884" s="74">
        <v>0.81299999999999994</v>
      </c>
      <c r="O884">
        <v>2</v>
      </c>
      <c r="P884" s="84">
        <v>0.60975000000000001</v>
      </c>
      <c r="Q884" s="86">
        <v>4.2</v>
      </c>
      <c r="R884" s="85">
        <v>4.2</v>
      </c>
      <c r="S884" s="87">
        <v>839680</v>
      </c>
      <c r="T884" s="1">
        <v>4</v>
      </c>
      <c r="U884" s="88">
        <v>199923.80952380953</v>
      </c>
      <c r="V884" s="59">
        <v>5.0019054878048781</v>
      </c>
    </row>
    <row r="885" spans="1:22">
      <c r="A885" s="58">
        <v>885</v>
      </c>
      <c r="B885" s="58">
        <v>885</v>
      </c>
      <c r="C885" s="58" t="s">
        <v>1432</v>
      </c>
      <c r="D885" s="58" t="s">
        <v>187</v>
      </c>
      <c r="E885" s="58" t="s">
        <v>187</v>
      </c>
      <c r="F885" s="58" t="s">
        <v>188</v>
      </c>
      <c r="G885" s="58" t="s">
        <v>189</v>
      </c>
      <c r="H885" s="58" t="s">
        <v>179</v>
      </c>
      <c r="I885">
        <v>38000</v>
      </c>
      <c r="J885">
        <v>38000</v>
      </c>
      <c r="K885">
        <v>10000</v>
      </c>
      <c r="L885" s="74">
        <v>6.4729999999999999</v>
      </c>
      <c r="M885" s="85">
        <v>7</v>
      </c>
      <c r="N885" s="74">
        <v>2.456</v>
      </c>
      <c r="O885">
        <v>2</v>
      </c>
      <c r="P885" s="84">
        <v>1.8420000000000001</v>
      </c>
      <c r="Q885" s="86">
        <v>21</v>
      </c>
      <c r="R885" s="85">
        <v>21</v>
      </c>
      <c r="S885" s="87">
        <v>839680</v>
      </c>
      <c r="T885" s="1">
        <v>4</v>
      </c>
      <c r="U885" s="88">
        <v>39984.761904761908</v>
      </c>
      <c r="V885" s="59">
        <v>25.009527439024389</v>
      </c>
    </row>
    <row r="886" spans="1:22">
      <c r="A886" s="58">
        <v>886</v>
      </c>
      <c r="B886" s="58">
        <v>886</v>
      </c>
      <c r="C886" s="58" t="s">
        <v>1433</v>
      </c>
      <c r="D886" s="58" t="s">
        <v>187</v>
      </c>
      <c r="E886" s="58" t="s">
        <v>187</v>
      </c>
      <c r="F886" s="58" t="s">
        <v>188</v>
      </c>
      <c r="G886" s="58" t="s">
        <v>189</v>
      </c>
      <c r="H886" s="58" t="s">
        <v>179</v>
      </c>
      <c r="I886">
        <v>38000</v>
      </c>
      <c r="J886">
        <v>38000</v>
      </c>
      <c r="K886">
        <v>10000</v>
      </c>
      <c r="L886" s="74">
        <v>12.154999999999999</v>
      </c>
      <c r="M886" s="85">
        <v>13</v>
      </c>
      <c r="N886" s="74">
        <v>2.956</v>
      </c>
      <c r="O886">
        <v>2</v>
      </c>
      <c r="P886" s="84">
        <v>2.2170000000000001</v>
      </c>
      <c r="Q886" s="86">
        <v>25.200000000000003</v>
      </c>
      <c r="R886" s="85">
        <v>25.200000000000003</v>
      </c>
      <c r="S886" s="87">
        <v>1502580</v>
      </c>
      <c r="T886" s="1">
        <v>5</v>
      </c>
      <c r="U886" s="88">
        <v>59626.190476190466</v>
      </c>
      <c r="V886" s="59">
        <v>16.771153615780861</v>
      </c>
    </row>
    <row r="887" spans="1:22">
      <c r="A887" s="58">
        <v>887</v>
      </c>
      <c r="B887" s="58">
        <v>887</v>
      </c>
      <c r="C887" s="58" t="s">
        <v>1434</v>
      </c>
      <c r="D887" s="58" t="s">
        <v>187</v>
      </c>
      <c r="E887" s="58" t="s">
        <v>187</v>
      </c>
      <c r="F887" s="58" t="s">
        <v>188</v>
      </c>
      <c r="G887" s="58" t="s">
        <v>189</v>
      </c>
      <c r="H887" s="58" t="s">
        <v>179</v>
      </c>
      <c r="I887">
        <v>38000</v>
      </c>
      <c r="J887">
        <v>38000</v>
      </c>
      <c r="K887">
        <v>10000</v>
      </c>
      <c r="L887" s="74">
        <v>12.862</v>
      </c>
      <c r="M887" s="85">
        <v>13</v>
      </c>
      <c r="N887" s="74">
        <v>1.3080000000000001</v>
      </c>
      <c r="O887">
        <v>2</v>
      </c>
      <c r="P887" s="84">
        <v>0.98100000000000009</v>
      </c>
      <c r="Q887" s="86">
        <v>8.4</v>
      </c>
      <c r="R887" s="85">
        <v>8.4</v>
      </c>
      <c r="S887" s="87">
        <v>1590600</v>
      </c>
      <c r="T887" s="1">
        <v>2</v>
      </c>
      <c r="U887" s="88">
        <v>189357.14285714284</v>
      </c>
      <c r="V887" s="59">
        <v>5.2810260279139944</v>
      </c>
    </row>
    <row r="888" spans="1:22">
      <c r="A888" s="58">
        <v>888</v>
      </c>
      <c r="B888" s="58">
        <v>888</v>
      </c>
      <c r="C888" s="58" t="s">
        <v>1435</v>
      </c>
      <c r="D888" s="58" t="s">
        <v>187</v>
      </c>
      <c r="E888" s="58" t="s">
        <v>187</v>
      </c>
      <c r="F888" s="58" t="s">
        <v>188</v>
      </c>
      <c r="G888" s="58" t="s">
        <v>189</v>
      </c>
      <c r="H888" s="58" t="s">
        <v>179</v>
      </c>
      <c r="I888">
        <v>38000</v>
      </c>
      <c r="J888">
        <v>38000</v>
      </c>
      <c r="K888">
        <v>10000</v>
      </c>
      <c r="L888" s="74">
        <v>12.042</v>
      </c>
      <c r="M888" s="85">
        <v>13</v>
      </c>
      <c r="N888" s="74">
        <v>0.89100000000000001</v>
      </c>
      <c r="O888">
        <v>2</v>
      </c>
      <c r="P888" s="84">
        <v>0.66825000000000001</v>
      </c>
      <c r="Q888" s="86">
        <v>8.4</v>
      </c>
      <c r="R888" s="85">
        <v>8.4</v>
      </c>
      <c r="S888" s="87">
        <v>1590600</v>
      </c>
      <c r="T888" s="1">
        <v>2</v>
      </c>
      <c r="U888" s="88">
        <v>189357.14285714284</v>
      </c>
      <c r="V888" s="59">
        <v>5.2810260279139944</v>
      </c>
    </row>
    <row r="889" spans="1:22">
      <c r="A889" s="89">
        <v>889</v>
      </c>
      <c r="B889" s="89">
        <v>889</v>
      </c>
      <c r="C889" s="89" t="s">
        <v>1436</v>
      </c>
      <c r="D889" s="58" t="s">
        <v>187</v>
      </c>
      <c r="E889" s="58" t="s">
        <v>187</v>
      </c>
      <c r="F889" s="89" t="s">
        <v>188</v>
      </c>
      <c r="G889" s="89" t="s">
        <v>189</v>
      </c>
      <c r="H889" s="89" t="s">
        <v>179</v>
      </c>
      <c r="I889" s="90">
        <v>38000</v>
      </c>
      <c r="J889" s="90">
        <v>38000</v>
      </c>
      <c r="K889" s="90">
        <v>10000</v>
      </c>
      <c r="L889" s="91">
        <v>10.007</v>
      </c>
      <c r="M889" s="92">
        <v>11</v>
      </c>
      <c r="N889" s="91">
        <v>7.0309999999999997</v>
      </c>
      <c r="O889" s="90">
        <v>2</v>
      </c>
      <c r="P889" s="92">
        <v>5.27325</v>
      </c>
      <c r="Q889" s="93">
        <v>63</v>
      </c>
      <c r="R889" s="92">
        <v>63</v>
      </c>
      <c r="S889" s="87">
        <v>3237370</v>
      </c>
      <c r="T889" s="94">
        <v>11</v>
      </c>
      <c r="U889" s="95">
        <v>51386.825396825399</v>
      </c>
      <c r="V889" s="96">
        <v>19.460240874537046</v>
      </c>
    </row>
    <row r="890" spans="1:22">
      <c r="A890" s="58">
        <v>890</v>
      </c>
      <c r="B890" s="58">
        <v>890</v>
      </c>
      <c r="C890" s="58" t="s">
        <v>1437</v>
      </c>
      <c r="D890" s="58" t="s">
        <v>187</v>
      </c>
      <c r="E890" s="58" t="s">
        <v>187</v>
      </c>
      <c r="F890" s="58" t="s">
        <v>188</v>
      </c>
      <c r="G890" s="58" t="s">
        <v>189</v>
      </c>
      <c r="H890" s="58" t="s">
        <v>179</v>
      </c>
      <c r="I890">
        <v>38000</v>
      </c>
      <c r="J890">
        <v>38000</v>
      </c>
      <c r="K890">
        <v>10000</v>
      </c>
      <c r="L890" s="74">
        <v>9.7949999999999999</v>
      </c>
      <c r="M890" s="85">
        <v>10</v>
      </c>
      <c r="N890" s="74">
        <v>2.4689999999999999</v>
      </c>
      <c r="O890">
        <v>2</v>
      </c>
      <c r="P890" s="84">
        <v>1.85175</v>
      </c>
      <c r="Q890" s="86">
        <v>21</v>
      </c>
      <c r="R890" s="85">
        <v>21</v>
      </c>
      <c r="S890" s="87">
        <v>1050490</v>
      </c>
      <c r="T890" s="1">
        <v>4</v>
      </c>
      <c r="U890" s="88">
        <v>50023.333333333336</v>
      </c>
      <c r="V890" s="59">
        <v>19.990671020190579</v>
      </c>
    </row>
    <row r="891" spans="1:22">
      <c r="A891" s="58">
        <v>891</v>
      </c>
      <c r="B891" s="58">
        <v>891</v>
      </c>
      <c r="C891" s="58" t="s">
        <v>1438</v>
      </c>
      <c r="D891" s="58" t="s">
        <v>187</v>
      </c>
      <c r="E891" s="58" t="s">
        <v>187</v>
      </c>
      <c r="F891" s="58" t="s">
        <v>359</v>
      </c>
      <c r="G891" s="58" t="s">
        <v>360</v>
      </c>
      <c r="H891" s="58" t="s">
        <v>179</v>
      </c>
      <c r="I891">
        <v>38000</v>
      </c>
      <c r="J891" s="58" t="s">
        <v>185</v>
      </c>
      <c r="K891">
        <v>38000</v>
      </c>
      <c r="L891" s="74">
        <v>5.9809999999999999</v>
      </c>
      <c r="M891" s="85">
        <v>6</v>
      </c>
      <c r="N891" s="74">
        <v>0.39500000000000002</v>
      </c>
      <c r="O891">
        <v>2</v>
      </c>
      <c r="P891" s="84">
        <v>0.39500000000000002</v>
      </c>
      <c r="Q891" s="86">
        <v>4.2</v>
      </c>
      <c r="R891" s="85">
        <v>4.2</v>
      </c>
      <c r="S891" s="87">
        <v>769410</v>
      </c>
      <c r="T891" s="1">
        <v>4</v>
      </c>
      <c r="U891" s="88">
        <v>183192.85714285713</v>
      </c>
      <c r="V891" s="59">
        <v>5.4587281163488903</v>
      </c>
    </row>
    <row r="892" spans="1:22">
      <c r="A892" s="58">
        <v>892</v>
      </c>
      <c r="B892" s="58">
        <v>892</v>
      </c>
      <c r="C892" s="58" t="s">
        <v>1439</v>
      </c>
      <c r="D892" s="58" t="s">
        <v>187</v>
      </c>
      <c r="E892" s="58" t="s">
        <v>187</v>
      </c>
      <c r="F892" s="58" t="s">
        <v>359</v>
      </c>
      <c r="G892" s="58" t="s">
        <v>360</v>
      </c>
      <c r="H892" s="58" t="s">
        <v>179</v>
      </c>
      <c r="I892">
        <v>38000</v>
      </c>
      <c r="J892" s="58" t="s">
        <v>185</v>
      </c>
      <c r="K892">
        <v>38000</v>
      </c>
      <c r="L892" s="74">
        <v>5.9790000000000001</v>
      </c>
      <c r="M892" s="85">
        <v>6</v>
      </c>
      <c r="N892" s="74">
        <v>1.2769999999999999</v>
      </c>
      <c r="O892">
        <v>2</v>
      </c>
      <c r="P892" s="84">
        <v>0.95774999999999988</v>
      </c>
      <c r="Q892" s="86">
        <v>8.4</v>
      </c>
      <c r="R892" s="85">
        <v>8.4</v>
      </c>
      <c r="S892" s="87">
        <v>769410</v>
      </c>
      <c r="T892" s="1">
        <v>4</v>
      </c>
      <c r="U892" s="88">
        <v>91596.428571428565</v>
      </c>
      <c r="V892" s="59">
        <v>10.917456232697781</v>
      </c>
    </row>
    <row r="893" spans="1:22">
      <c r="A893" s="89">
        <v>893</v>
      </c>
      <c r="B893" s="89">
        <v>893</v>
      </c>
      <c r="C893" s="89" t="s">
        <v>1440</v>
      </c>
      <c r="D893" s="58" t="s">
        <v>187</v>
      </c>
      <c r="E893" s="58" t="s">
        <v>187</v>
      </c>
      <c r="F893" s="89" t="s">
        <v>188</v>
      </c>
      <c r="G893" s="89" t="s">
        <v>189</v>
      </c>
      <c r="H893" s="89" t="s">
        <v>179</v>
      </c>
      <c r="I893" s="90">
        <v>38000</v>
      </c>
      <c r="J893" s="90">
        <v>38000</v>
      </c>
      <c r="K893" s="90">
        <v>10000</v>
      </c>
      <c r="L893" s="91">
        <v>4.9690000000000003</v>
      </c>
      <c r="M893" s="92">
        <v>5</v>
      </c>
      <c r="N893" s="91">
        <v>18.341999999999899</v>
      </c>
      <c r="O893" s="90">
        <v>2</v>
      </c>
      <c r="P893" s="92">
        <v>13.756499999999924</v>
      </c>
      <c r="Q893" s="93">
        <v>168</v>
      </c>
      <c r="R893" s="92">
        <v>168</v>
      </c>
      <c r="S893" s="87">
        <v>2818860</v>
      </c>
      <c r="T893" s="94">
        <v>12</v>
      </c>
      <c r="U893" s="95">
        <v>16778.928571428572</v>
      </c>
      <c r="V893" s="96">
        <v>59.598561120452949</v>
      </c>
    </row>
    <row r="894" spans="1:22">
      <c r="A894" s="58">
        <v>895</v>
      </c>
      <c r="B894" s="58">
        <v>895</v>
      </c>
      <c r="C894" s="58" t="s">
        <v>1441</v>
      </c>
      <c r="D894" s="58" t="s">
        <v>187</v>
      </c>
      <c r="E894" s="58" t="s">
        <v>187</v>
      </c>
      <c r="F894" s="58" t="s">
        <v>368</v>
      </c>
      <c r="G894" s="58" t="s">
        <v>369</v>
      </c>
      <c r="H894" s="58" t="s">
        <v>199</v>
      </c>
      <c r="I894">
        <v>110000</v>
      </c>
      <c r="J894">
        <v>110000</v>
      </c>
      <c r="K894">
        <v>38000</v>
      </c>
      <c r="L894" s="74">
        <v>4.5609999999999999</v>
      </c>
      <c r="M894" s="85">
        <v>5</v>
      </c>
      <c r="N894" s="74">
        <v>4.4089999999999998</v>
      </c>
      <c r="O894">
        <v>2</v>
      </c>
      <c r="P894" s="84">
        <v>3.3067500000000001</v>
      </c>
      <c r="Q894" s="86">
        <v>37.800000000000004</v>
      </c>
      <c r="R894" s="85">
        <v>37.800000000000004</v>
      </c>
      <c r="S894" s="87">
        <v>2510150</v>
      </c>
      <c r="T894" s="1">
        <v>10</v>
      </c>
      <c r="U894" s="88">
        <v>66406.084656084655</v>
      </c>
      <c r="V894" s="59">
        <v>15.058861024241581</v>
      </c>
    </row>
    <row r="895" spans="1:22">
      <c r="A895" s="58">
        <v>896</v>
      </c>
      <c r="B895" s="58">
        <v>896</v>
      </c>
      <c r="C895" s="58" t="s">
        <v>1442</v>
      </c>
      <c r="D895" s="58" t="s">
        <v>187</v>
      </c>
      <c r="E895" s="58" t="s">
        <v>187</v>
      </c>
      <c r="F895" s="58" t="s">
        <v>1443</v>
      </c>
      <c r="G895" s="58" t="s">
        <v>1444</v>
      </c>
      <c r="H895" s="58" t="s">
        <v>179</v>
      </c>
      <c r="I895">
        <v>38000</v>
      </c>
      <c r="J895" s="58" t="s">
        <v>185</v>
      </c>
      <c r="K895">
        <v>38000</v>
      </c>
      <c r="L895" s="74">
        <v>2.7629999999999999</v>
      </c>
      <c r="M895" s="85">
        <v>3</v>
      </c>
      <c r="N895" s="74">
        <v>0.754</v>
      </c>
      <c r="O895">
        <v>2</v>
      </c>
      <c r="P895" s="84">
        <v>0.5655</v>
      </c>
      <c r="Q895" s="86">
        <v>4.2</v>
      </c>
      <c r="R895" s="85">
        <v>4.2</v>
      </c>
      <c r="S895" s="87">
        <v>558600</v>
      </c>
      <c r="T895" s="1">
        <v>4</v>
      </c>
      <c r="U895" s="88">
        <v>133000</v>
      </c>
      <c r="V895" s="59">
        <v>7.518796992481203</v>
      </c>
    </row>
    <row r="896" spans="1:22">
      <c r="A896" s="58">
        <v>897</v>
      </c>
      <c r="B896" s="58">
        <v>897</v>
      </c>
      <c r="C896" s="58" t="s">
        <v>1445</v>
      </c>
      <c r="D896" s="58" t="s">
        <v>187</v>
      </c>
      <c r="E896" s="58" t="s">
        <v>187</v>
      </c>
      <c r="F896" s="58" t="s">
        <v>1443</v>
      </c>
      <c r="G896" s="58" t="s">
        <v>1444</v>
      </c>
      <c r="H896" s="58" t="s">
        <v>179</v>
      </c>
      <c r="I896">
        <v>38000</v>
      </c>
      <c r="J896" s="58" t="s">
        <v>185</v>
      </c>
      <c r="K896">
        <v>38000</v>
      </c>
      <c r="L896" s="74">
        <v>2.2160000000000002</v>
      </c>
      <c r="M896" s="85">
        <v>3</v>
      </c>
      <c r="N896" s="74">
        <v>2.367</v>
      </c>
      <c r="O896">
        <v>2</v>
      </c>
      <c r="P896" s="84">
        <v>1.77525</v>
      </c>
      <c r="Q896" s="86">
        <v>21</v>
      </c>
      <c r="R896" s="85">
        <v>21</v>
      </c>
      <c r="S896" s="87">
        <v>558600</v>
      </c>
      <c r="T896" s="1">
        <v>4</v>
      </c>
      <c r="U896" s="88">
        <v>26600</v>
      </c>
      <c r="V896" s="59">
        <v>37.593984962406012</v>
      </c>
    </row>
    <row r="897" spans="1:22">
      <c r="A897" s="58">
        <v>898</v>
      </c>
      <c r="B897" s="58">
        <v>898</v>
      </c>
      <c r="C897" s="58" t="s">
        <v>1446</v>
      </c>
      <c r="D897" s="58" t="s">
        <v>187</v>
      </c>
      <c r="E897" s="58" t="s">
        <v>187</v>
      </c>
      <c r="F897" s="58" t="s">
        <v>1443</v>
      </c>
      <c r="G897" s="58" t="s">
        <v>1444</v>
      </c>
      <c r="H897" s="58" t="s">
        <v>179</v>
      </c>
      <c r="I897">
        <v>38000</v>
      </c>
      <c r="J897" s="58" t="s">
        <v>185</v>
      </c>
      <c r="K897">
        <v>38000</v>
      </c>
      <c r="L897" s="74">
        <v>3.3170000000000002</v>
      </c>
      <c r="M897" s="85">
        <v>4</v>
      </c>
      <c r="N897" s="74">
        <v>2.9940000000000002</v>
      </c>
      <c r="O897">
        <v>2</v>
      </c>
      <c r="P897" s="84">
        <v>2.2455000000000003</v>
      </c>
      <c r="Q897" s="86">
        <v>25.200000000000003</v>
      </c>
      <c r="R897" s="85">
        <v>25.200000000000003</v>
      </c>
      <c r="S897" s="87">
        <v>703110</v>
      </c>
      <c r="T897" s="1">
        <v>5</v>
      </c>
      <c r="U897" s="88">
        <v>27901.190476190473</v>
      </c>
      <c r="V897" s="59">
        <v>35.840764602978204</v>
      </c>
    </row>
    <row r="898" spans="1:22">
      <c r="A898" s="58">
        <v>899</v>
      </c>
      <c r="B898" s="58">
        <v>899</v>
      </c>
      <c r="C898" s="58" t="s">
        <v>1447</v>
      </c>
      <c r="D898" s="58" t="s">
        <v>187</v>
      </c>
      <c r="E898" s="58" t="s">
        <v>187</v>
      </c>
      <c r="F898" s="58" t="s">
        <v>359</v>
      </c>
      <c r="G898" s="58" t="s">
        <v>360</v>
      </c>
      <c r="H898" s="58" t="s">
        <v>179</v>
      </c>
      <c r="I898">
        <v>38000</v>
      </c>
      <c r="J898" s="58" t="s">
        <v>185</v>
      </c>
      <c r="K898">
        <v>38000</v>
      </c>
      <c r="L898" s="74">
        <v>3.7490000000000001</v>
      </c>
      <c r="M898" s="85">
        <v>4</v>
      </c>
      <c r="N898" s="74">
        <v>0.38700000000000001</v>
      </c>
      <c r="O898">
        <v>2</v>
      </c>
      <c r="P898" s="84">
        <v>0.38700000000000001</v>
      </c>
      <c r="Q898" s="86">
        <v>4.2</v>
      </c>
      <c r="R898" s="85">
        <v>4.2</v>
      </c>
      <c r="S898" s="87">
        <v>628870</v>
      </c>
      <c r="T898" s="1">
        <v>4</v>
      </c>
      <c r="U898" s="88">
        <v>149730.95238095237</v>
      </c>
      <c r="V898" s="59">
        <v>6.6786458250512828</v>
      </c>
    </row>
    <row r="899" spans="1:22">
      <c r="A899" s="58">
        <v>900</v>
      </c>
      <c r="B899" s="58">
        <v>900</v>
      </c>
      <c r="C899" s="58" t="s">
        <v>1448</v>
      </c>
      <c r="D899" s="58" t="s">
        <v>187</v>
      </c>
      <c r="E899" s="58" t="s">
        <v>187</v>
      </c>
      <c r="F899" s="58" t="s">
        <v>191</v>
      </c>
      <c r="G899" s="58" t="s">
        <v>192</v>
      </c>
      <c r="H899" s="58" t="s">
        <v>179</v>
      </c>
      <c r="I899">
        <v>38000</v>
      </c>
      <c r="J899">
        <v>38000</v>
      </c>
      <c r="K899" s="58" t="s">
        <v>185</v>
      </c>
      <c r="L899" s="74">
        <v>7.3860000000000001</v>
      </c>
      <c r="M899" s="85">
        <v>8</v>
      </c>
      <c r="N899" s="74">
        <v>0.64500000000000002</v>
      </c>
      <c r="O899">
        <v>2</v>
      </c>
      <c r="P899" s="84">
        <v>0.48375000000000001</v>
      </c>
      <c r="Q899" s="86">
        <v>4.2</v>
      </c>
      <c r="R899" s="85">
        <v>4.2</v>
      </c>
      <c r="S899" s="87">
        <v>909950</v>
      </c>
      <c r="T899" s="1">
        <v>4</v>
      </c>
      <c r="U899" s="88">
        <v>216654.76190476189</v>
      </c>
      <c r="V899" s="59">
        <v>4.6156382218803227</v>
      </c>
    </row>
    <row r="900" spans="1:22">
      <c r="A900" s="58">
        <v>901</v>
      </c>
      <c r="B900" s="58">
        <v>901</v>
      </c>
      <c r="C900" s="58" t="s">
        <v>1449</v>
      </c>
      <c r="D900" s="58" t="s">
        <v>187</v>
      </c>
      <c r="E900" s="58" t="s">
        <v>187</v>
      </c>
      <c r="F900" s="58" t="s">
        <v>228</v>
      </c>
      <c r="G900" s="58" t="s">
        <v>229</v>
      </c>
      <c r="H900" s="58" t="s">
        <v>179</v>
      </c>
      <c r="I900">
        <v>38000</v>
      </c>
      <c r="J900">
        <v>38000</v>
      </c>
      <c r="K900" s="58" t="s">
        <v>185</v>
      </c>
      <c r="L900" s="74">
        <v>9.8109999999999999</v>
      </c>
      <c r="M900" s="85">
        <v>10</v>
      </c>
      <c r="N900" s="74">
        <v>0.503</v>
      </c>
      <c r="O900">
        <v>2</v>
      </c>
      <c r="P900" s="84">
        <v>0.503</v>
      </c>
      <c r="Q900" s="86">
        <v>4.2</v>
      </c>
      <c r="R900" s="85">
        <v>4.2</v>
      </c>
      <c r="S900" s="87">
        <v>1387140</v>
      </c>
      <c r="T900" s="1">
        <v>1</v>
      </c>
      <c r="U900" s="88">
        <v>330271.42857142858</v>
      </c>
      <c r="V900" s="59">
        <v>3.0278126216531858</v>
      </c>
    </row>
    <row r="901" spans="1:22">
      <c r="A901" s="58">
        <v>902</v>
      </c>
      <c r="B901" s="58">
        <v>902</v>
      </c>
      <c r="C901" s="58" t="s">
        <v>1450</v>
      </c>
      <c r="D901" s="58" t="s">
        <v>187</v>
      </c>
      <c r="E901" s="58" t="s">
        <v>187</v>
      </c>
      <c r="F901" s="58" t="s">
        <v>194</v>
      </c>
      <c r="G901" s="58" t="s">
        <v>195</v>
      </c>
      <c r="H901" s="58" t="s">
        <v>179</v>
      </c>
      <c r="I901">
        <v>38000</v>
      </c>
      <c r="J901" s="58" t="s">
        <v>185</v>
      </c>
      <c r="K901">
        <v>38000</v>
      </c>
      <c r="L901" s="74">
        <v>6.26</v>
      </c>
      <c r="M901" s="85">
        <v>7</v>
      </c>
      <c r="N901" s="74">
        <v>0.92300000000000004</v>
      </c>
      <c r="O901">
        <v>2</v>
      </c>
      <c r="P901" s="84">
        <v>0.69225000000000003</v>
      </c>
      <c r="Q901" s="86">
        <v>8.4</v>
      </c>
      <c r="R901" s="85">
        <v>8.4</v>
      </c>
      <c r="S901" s="87">
        <v>839680</v>
      </c>
      <c r="T901" s="1">
        <v>4</v>
      </c>
      <c r="U901" s="88">
        <v>99961.904761904763</v>
      </c>
      <c r="V901" s="59">
        <v>10.003810975609756</v>
      </c>
    </row>
    <row r="902" spans="1:22">
      <c r="A902" s="58">
        <v>903</v>
      </c>
      <c r="B902" s="58">
        <v>903</v>
      </c>
      <c r="C902" s="58" t="s">
        <v>1451</v>
      </c>
      <c r="D902" s="58" t="s">
        <v>187</v>
      </c>
      <c r="E902" s="58" t="s">
        <v>187</v>
      </c>
      <c r="F902" s="58" t="s">
        <v>194</v>
      </c>
      <c r="G902" s="58" t="s">
        <v>195</v>
      </c>
      <c r="H902" s="58" t="s">
        <v>179</v>
      </c>
      <c r="I902">
        <v>38000</v>
      </c>
      <c r="J902" s="58" t="s">
        <v>185</v>
      </c>
      <c r="K902">
        <v>38000</v>
      </c>
      <c r="L902" s="74">
        <v>3.36</v>
      </c>
      <c r="M902" s="85">
        <v>4</v>
      </c>
      <c r="N902" s="74">
        <v>3.1419999999999999</v>
      </c>
      <c r="O902">
        <v>2</v>
      </c>
      <c r="P902" s="84">
        <v>2.3565</v>
      </c>
      <c r="Q902" s="86">
        <v>25.200000000000003</v>
      </c>
      <c r="R902" s="85">
        <v>25.200000000000003</v>
      </c>
      <c r="S902" s="87">
        <v>703110</v>
      </c>
      <c r="T902" s="1">
        <v>5</v>
      </c>
      <c r="U902" s="88">
        <v>27901.190476190473</v>
      </c>
      <c r="V902" s="59">
        <v>35.840764602978204</v>
      </c>
    </row>
    <row r="903" spans="1:22">
      <c r="A903" s="58">
        <v>904</v>
      </c>
      <c r="B903" s="58">
        <v>904</v>
      </c>
      <c r="C903" s="58" t="s">
        <v>1452</v>
      </c>
      <c r="D903" s="58" t="s">
        <v>187</v>
      </c>
      <c r="E903" s="58" t="s">
        <v>187</v>
      </c>
      <c r="F903" s="58" t="s">
        <v>531</v>
      </c>
      <c r="G903" s="58" t="s">
        <v>532</v>
      </c>
      <c r="H903" s="58" t="s">
        <v>179</v>
      </c>
      <c r="I903">
        <v>38000</v>
      </c>
      <c r="J903">
        <v>38000</v>
      </c>
      <c r="K903" s="58" t="s">
        <v>185</v>
      </c>
      <c r="L903" s="74">
        <v>8.7959999999999994</v>
      </c>
      <c r="M903" s="85">
        <v>9</v>
      </c>
      <c r="N903" s="74">
        <v>1.2849999999999999</v>
      </c>
      <c r="O903">
        <v>2</v>
      </c>
      <c r="P903" s="84">
        <v>0.96374999999999988</v>
      </c>
      <c r="Q903" s="86">
        <v>8.4</v>
      </c>
      <c r="R903" s="85">
        <v>8.4</v>
      </c>
      <c r="S903" s="87">
        <v>1379800</v>
      </c>
      <c r="T903" s="1">
        <v>2</v>
      </c>
      <c r="U903" s="88">
        <v>164261.90476190476</v>
      </c>
      <c r="V903" s="59">
        <v>6.087838817219887</v>
      </c>
    </row>
    <row r="904" spans="1:22">
      <c r="A904" s="58">
        <v>905</v>
      </c>
      <c r="B904" s="58">
        <v>905</v>
      </c>
      <c r="C904" s="58" t="s">
        <v>1453</v>
      </c>
      <c r="D904" s="58" t="s">
        <v>187</v>
      </c>
      <c r="E904" s="58" t="s">
        <v>187</v>
      </c>
      <c r="F904" s="58" t="s">
        <v>531</v>
      </c>
      <c r="G904" s="58" t="s">
        <v>532</v>
      </c>
      <c r="H904" s="58" t="s">
        <v>179</v>
      </c>
      <c r="I904">
        <v>38000</v>
      </c>
      <c r="J904">
        <v>38000</v>
      </c>
      <c r="K904" s="58" t="s">
        <v>185</v>
      </c>
      <c r="L904" s="74">
        <v>12.413</v>
      </c>
      <c r="M904" s="85">
        <v>13</v>
      </c>
      <c r="N904" s="74">
        <v>0.42799999999999999</v>
      </c>
      <c r="O904">
        <v>2</v>
      </c>
      <c r="P904" s="84">
        <v>0.42799999999999999</v>
      </c>
      <c r="Q904" s="86">
        <v>4.2</v>
      </c>
      <c r="R904" s="85">
        <v>4.2</v>
      </c>
      <c r="S904" s="87">
        <v>1545240</v>
      </c>
      <c r="T904" s="1">
        <v>1</v>
      </c>
      <c r="U904" s="88">
        <v>367914.28571428568</v>
      </c>
      <c r="V904" s="59">
        <v>2.7180243845616214</v>
      </c>
    </row>
    <row r="905" spans="1:22">
      <c r="A905" s="58">
        <v>906</v>
      </c>
      <c r="B905" s="58">
        <v>906</v>
      </c>
      <c r="C905" s="58" t="s">
        <v>1454</v>
      </c>
      <c r="D905" s="58" t="s">
        <v>187</v>
      </c>
      <c r="E905" s="58" t="s">
        <v>187</v>
      </c>
      <c r="F905" s="58" t="s">
        <v>374</v>
      </c>
      <c r="G905" s="58" t="s">
        <v>375</v>
      </c>
      <c r="H905" s="58" t="s">
        <v>179</v>
      </c>
      <c r="I905">
        <v>38000</v>
      </c>
      <c r="J905">
        <v>38000</v>
      </c>
      <c r="K905">
        <v>20000</v>
      </c>
      <c r="L905" s="74">
        <v>3.7789999999999999</v>
      </c>
      <c r="M905" s="85">
        <v>4</v>
      </c>
      <c r="N905" s="74">
        <v>1.3440000000000001</v>
      </c>
      <c r="O905">
        <v>2</v>
      </c>
      <c r="P905" s="84">
        <v>1.008</v>
      </c>
      <c r="Q905" s="86">
        <v>8.4</v>
      </c>
      <c r="R905" s="85">
        <v>8.4</v>
      </c>
      <c r="S905" s="87">
        <v>628870</v>
      </c>
      <c r="T905" s="1">
        <v>4</v>
      </c>
      <c r="U905" s="88">
        <v>74865.476190476184</v>
      </c>
      <c r="V905" s="59">
        <v>13.357291650102566</v>
      </c>
    </row>
    <row r="906" spans="1:22">
      <c r="A906" s="89">
        <v>907</v>
      </c>
      <c r="B906" s="89">
        <v>907</v>
      </c>
      <c r="C906" s="89" t="s">
        <v>1455</v>
      </c>
      <c r="D906" s="58" t="s">
        <v>187</v>
      </c>
      <c r="E906" s="58" t="s">
        <v>187</v>
      </c>
      <c r="F906" s="89" t="s">
        <v>231</v>
      </c>
      <c r="G906" s="89" t="s">
        <v>232</v>
      </c>
      <c r="H906" s="89" t="s">
        <v>179</v>
      </c>
      <c r="I906" s="90">
        <v>38000</v>
      </c>
      <c r="J906" s="89" t="s">
        <v>185</v>
      </c>
      <c r="K906" s="90">
        <v>38000</v>
      </c>
      <c r="L906" s="91">
        <v>3.6179999999999999</v>
      </c>
      <c r="M906" s="92">
        <v>4</v>
      </c>
      <c r="N906" s="91">
        <v>12.867000000000001</v>
      </c>
      <c r="O906" s="90">
        <v>2</v>
      </c>
      <c r="P906" s="92">
        <v>9.6502499999999998</v>
      </c>
      <c r="Q906" s="93">
        <v>117.60000000000002</v>
      </c>
      <c r="R906" s="92">
        <v>117.60000000000002</v>
      </c>
      <c r="S906" s="87">
        <v>1761700</v>
      </c>
      <c r="T906" s="94">
        <v>11</v>
      </c>
      <c r="U906" s="95">
        <v>14980.442176870745</v>
      </c>
      <c r="V906" s="96">
        <v>66.753703808821044</v>
      </c>
    </row>
    <row r="907" spans="1:22">
      <c r="A907" s="58">
        <v>908</v>
      </c>
      <c r="B907" s="58">
        <v>908</v>
      </c>
      <c r="C907" s="58" t="s">
        <v>1456</v>
      </c>
      <c r="D907" s="58" t="s">
        <v>187</v>
      </c>
      <c r="E907" s="58" t="s">
        <v>187</v>
      </c>
      <c r="F907" s="58" t="s">
        <v>800</v>
      </c>
      <c r="G907" s="58" t="s">
        <v>801</v>
      </c>
      <c r="H907" s="58" t="s">
        <v>199</v>
      </c>
      <c r="I907">
        <v>110000</v>
      </c>
      <c r="J907">
        <v>20000</v>
      </c>
      <c r="K907">
        <v>110000</v>
      </c>
      <c r="L907" s="74">
        <v>4.867</v>
      </c>
      <c r="M907" s="85">
        <v>5</v>
      </c>
      <c r="N907" s="74">
        <v>1.7929999999999999</v>
      </c>
      <c r="O907">
        <v>2</v>
      </c>
      <c r="P907" s="84">
        <v>1.3447499999999999</v>
      </c>
      <c r="Q907" s="86">
        <v>12.600000000000001</v>
      </c>
      <c r="R907" s="85">
        <v>12.600000000000001</v>
      </c>
      <c r="S907" s="87">
        <v>1679970</v>
      </c>
      <c r="T907" s="1">
        <v>7</v>
      </c>
      <c r="U907" s="88">
        <v>133330.95238095237</v>
      </c>
      <c r="V907" s="59">
        <v>7.5001339309630541</v>
      </c>
    </row>
    <row r="908" spans="1:22">
      <c r="A908" s="58">
        <v>909</v>
      </c>
      <c r="B908" s="58">
        <v>909</v>
      </c>
      <c r="C908" s="58" t="s">
        <v>1457</v>
      </c>
      <c r="D908" s="58" t="s">
        <v>187</v>
      </c>
      <c r="E908" s="58" t="s">
        <v>187</v>
      </c>
      <c r="F908" s="58" t="s">
        <v>677</v>
      </c>
      <c r="G908" s="58" t="s">
        <v>678</v>
      </c>
      <c r="H908" s="58" t="s">
        <v>179</v>
      </c>
      <c r="I908">
        <v>38000</v>
      </c>
      <c r="J908" s="58" t="s">
        <v>185</v>
      </c>
      <c r="K908">
        <v>38000</v>
      </c>
      <c r="L908" s="74">
        <v>4.9969999999999999</v>
      </c>
      <c r="M908" s="85">
        <v>5</v>
      </c>
      <c r="N908" s="74">
        <v>3.8980000000000001</v>
      </c>
      <c r="O908">
        <v>2</v>
      </c>
      <c r="P908" s="84">
        <v>2.9235000000000002</v>
      </c>
      <c r="Q908" s="86">
        <v>33.6</v>
      </c>
      <c r="R908" s="85">
        <v>33.6</v>
      </c>
      <c r="S908" s="87">
        <v>904090</v>
      </c>
      <c r="T908" s="1">
        <v>6</v>
      </c>
      <c r="U908" s="88">
        <v>26907.440476190473</v>
      </c>
      <c r="V908" s="59">
        <v>37.164441593204216</v>
      </c>
    </row>
    <row r="909" spans="1:22">
      <c r="A909" s="58">
        <v>910</v>
      </c>
      <c r="B909" s="58">
        <v>910</v>
      </c>
      <c r="C909" s="58" t="s">
        <v>1458</v>
      </c>
      <c r="D909" s="58" t="s">
        <v>187</v>
      </c>
      <c r="E909" s="58" t="s">
        <v>187</v>
      </c>
      <c r="F909" s="58" t="s">
        <v>531</v>
      </c>
      <c r="G909" s="58" t="s">
        <v>532</v>
      </c>
      <c r="H909" s="58" t="s">
        <v>179</v>
      </c>
      <c r="I909">
        <v>38000</v>
      </c>
      <c r="J909">
        <v>38000</v>
      </c>
      <c r="K909" s="58" t="s">
        <v>185</v>
      </c>
      <c r="L909" s="74">
        <v>3.581</v>
      </c>
      <c r="M909" s="85">
        <v>4</v>
      </c>
      <c r="N909" s="74">
        <v>2.6989999999999998</v>
      </c>
      <c r="O909">
        <v>2</v>
      </c>
      <c r="P909" s="84">
        <v>2.0242499999999999</v>
      </c>
      <c r="Q909" s="86">
        <v>21</v>
      </c>
      <c r="R909" s="85">
        <v>21</v>
      </c>
      <c r="S909" s="87">
        <v>628870</v>
      </c>
      <c r="T909" s="1">
        <v>4</v>
      </c>
      <c r="U909" s="88">
        <v>29946.190476190477</v>
      </c>
      <c r="V909" s="59">
        <v>33.393229125256411</v>
      </c>
    </row>
    <row r="910" spans="1:22">
      <c r="A910" s="58">
        <v>911</v>
      </c>
      <c r="B910" s="58">
        <v>911</v>
      </c>
      <c r="C910" s="58" t="s">
        <v>1459</v>
      </c>
      <c r="D910" s="58" t="s">
        <v>187</v>
      </c>
      <c r="E910" s="58" t="s">
        <v>187</v>
      </c>
      <c r="F910" s="58" t="s">
        <v>531</v>
      </c>
      <c r="G910" s="58" t="s">
        <v>532</v>
      </c>
      <c r="H910" s="58" t="s">
        <v>179</v>
      </c>
      <c r="I910">
        <v>38000</v>
      </c>
      <c r="J910">
        <v>38000</v>
      </c>
      <c r="K910" s="58" t="s">
        <v>185</v>
      </c>
      <c r="L910" s="74">
        <v>3.9630000000000001</v>
      </c>
      <c r="M910" s="85">
        <v>4</v>
      </c>
      <c r="N910" s="74">
        <v>1.8120000000000001</v>
      </c>
      <c r="O910">
        <v>2</v>
      </c>
      <c r="P910" s="84">
        <v>1.359</v>
      </c>
      <c r="Q910" s="86">
        <v>16.8</v>
      </c>
      <c r="R910" s="85">
        <v>16.8</v>
      </c>
      <c r="S910" s="87">
        <v>628870</v>
      </c>
      <c r="T910" s="1">
        <v>4</v>
      </c>
      <c r="U910" s="88">
        <v>37432.738095238092</v>
      </c>
      <c r="V910" s="59">
        <v>26.714583300205131</v>
      </c>
    </row>
    <row r="911" spans="1:22">
      <c r="A911" s="58">
        <v>912</v>
      </c>
      <c r="B911" s="58">
        <v>912</v>
      </c>
      <c r="C911" s="58" t="s">
        <v>1460</v>
      </c>
      <c r="D911" s="58" t="s">
        <v>187</v>
      </c>
      <c r="E911" s="58" t="s">
        <v>187</v>
      </c>
      <c r="F911" s="58" t="s">
        <v>377</v>
      </c>
      <c r="H911" s="58" t="s">
        <v>179</v>
      </c>
      <c r="I911">
        <v>38000</v>
      </c>
      <c r="L911" s="74">
        <v>3.0070000000000001</v>
      </c>
      <c r="M911" s="85">
        <v>4</v>
      </c>
      <c r="N911" s="74">
        <v>3.2480000000000002</v>
      </c>
      <c r="O911">
        <v>2</v>
      </c>
      <c r="P911" s="84">
        <v>2.4359999999999999</v>
      </c>
      <c r="Q911" s="86">
        <v>29.400000000000006</v>
      </c>
      <c r="R911" s="85">
        <v>29.400000000000006</v>
      </c>
      <c r="S911" s="87">
        <v>703110</v>
      </c>
      <c r="T911" s="1">
        <v>5</v>
      </c>
      <c r="U911" s="88">
        <v>23915.306122448976</v>
      </c>
      <c r="V911" s="59">
        <v>41.814225370141237</v>
      </c>
    </row>
    <row r="912" spans="1:22">
      <c r="A912" s="58">
        <v>913</v>
      </c>
      <c r="B912" s="58">
        <v>913</v>
      </c>
      <c r="C912" s="58" t="s">
        <v>1461</v>
      </c>
      <c r="D912" s="58" t="s">
        <v>187</v>
      </c>
      <c r="E912" s="58" t="s">
        <v>187</v>
      </c>
      <c r="F912" s="58" t="s">
        <v>377</v>
      </c>
      <c r="H912" s="58" t="s">
        <v>179</v>
      </c>
      <c r="I912">
        <v>38000</v>
      </c>
      <c r="L912" s="74">
        <v>4.4370000000000003</v>
      </c>
      <c r="M912" s="85">
        <v>5</v>
      </c>
      <c r="N912" s="74">
        <v>2.9340000000000002</v>
      </c>
      <c r="O912">
        <v>2</v>
      </c>
      <c r="P912" s="84">
        <v>2.2004999999999999</v>
      </c>
      <c r="Q912" s="86">
        <v>25.200000000000003</v>
      </c>
      <c r="R912" s="85">
        <v>25.200000000000003</v>
      </c>
      <c r="S912" s="87">
        <v>791940</v>
      </c>
      <c r="T912" s="1">
        <v>5</v>
      </c>
      <c r="U912" s="88">
        <v>31426.190476190473</v>
      </c>
      <c r="V912" s="59">
        <v>31.820592469126453</v>
      </c>
    </row>
    <row r="913" spans="1:22">
      <c r="A913" s="58">
        <v>914</v>
      </c>
      <c r="B913" s="58">
        <v>914</v>
      </c>
      <c r="C913" s="58" t="s">
        <v>1462</v>
      </c>
      <c r="D913" s="58" t="s">
        <v>187</v>
      </c>
      <c r="E913" s="58" t="s">
        <v>187</v>
      </c>
      <c r="F913" s="58" t="s">
        <v>377</v>
      </c>
      <c r="H913" s="58" t="s">
        <v>179</v>
      </c>
      <c r="I913">
        <v>38000</v>
      </c>
      <c r="L913" s="74">
        <v>4.5039999999999996</v>
      </c>
      <c r="M913" s="85">
        <v>5</v>
      </c>
      <c r="N913" s="74">
        <v>4.4889999999999999</v>
      </c>
      <c r="O913">
        <v>2</v>
      </c>
      <c r="P913" s="84">
        <v>3.3667499999999997</v>
      </c>
      <c r="Q913" s="86">
        <v>37.800000000000004</v>
      </c>
      <c r="R913" s="85">
        <v>37.800000000000004</v>
      </c>
      <c r="S913" s="87">
        <v>904090</v>
      </c>
      <c r="T913" s="1">
        <v>6</v>
      </c>
      <c r="U913" s="88">
        <v>23917.724867724864</v>
      </c>
      <c r="V913" s="59">
        <v>41.809996792354752</v>
      </c>
    </row>
    <row r="914" spans="1:22">
      <c r="A914" s="58">
        <v>915</v>
      </c>
      <c r="B914" s="58">
        <v>915</v>
      </c>
      <c r="C914" s="58" t="s">
        <v>1463</v>
      </c>
      <c r="D914" s="58" t="s">
        <v>187</v>
      </c>
      <c r="E914" s="58" t="s">
        <v>187</v>
      </c>
      <c r="F914" s="58" t="s">
        <v>377</v>
      </c>
      <c r="H914" s="58" t="s">
        <v>179</v>
      </c>
      <c r="I914">
        <v>38000</v>
      </c>
      <c r="L914" s="74">
        <v>1.5329999999999999</v>
      </c>
      <c r="M914" s="85">
        <v>2</v>
      </c>
      <c r="N914" s="74">
        <v>1.4350000000000001</v>
      </c>
      <c r="O914">
        <v>2</v>
      </c>
      <c r="P914" s="84">
        <v>1.0762499999999999</v>
      </c>
      <c r="Q914" s="86">
        <v>12.600000000000001</v>
      </c>
      <c r="R914" s="85">
        <v>12.600000000000001</v>
      </c>
      <c r="S914" s="87">
        <v>488330</v>
      </c>
      <c r="T914" s="1">
        <v>4</v>
      </c>
      <c r="U914" s="88">
        <v>38756.349206349201</v>
      </c>
      <c r="V914" s="59">
        <v>25.802223905965231</v>
      </c>
    </row>
    <row r="915" spans="1:22">
      <c r="A915" s="89">
        <v>916</v>
      </c>
      <c r="B915" s="89">
        <v>916</v>
      </c>
      <c r="C915" s="89" t="s">
        <v>1464</v>
      </c>
      <c r="D915" s="58" t="s">
        <v>187</v>
      </c>
      <c r="E915" s="58" t="s">
        <v>187</v>
      </c>
      <c r="F915" s="89" t="s">
        <v>377</v>
      </c>
      <c r="G915" s="89"/>
      <c r="H915" s="89" t="s">
        <v>179</v>
      </c>
      <c r="I915" s="90">
        <v>38000</v>
      </c>
      <c r="J915" s="89"/>
      <c r="K915" s="89"/>
      <c r="L915" s="91">
        <v>3.4649999999999999</v>
      </c>
      <c r="M915" s="92">
        <v>4</v>
      </c>
      <c r="N915" s="91">
        <v>5.3230000000000004</v>
      </c>
      <c r="O915" s="90">
        <v>2</v>
      </c>
      <c r="P915" s="92">
        <v>3.9922500000000003</v>
      </c>
      <c r="Q915" s="93">
        <v>46.2</v>
      </c>
      <c r="R915" s="92">
        <v>46.2</v>
      </c>
      <c r="S915" s="87">
        <v>1761700</v>
      </c>
      <c r="T915" s="94">
        <v>11</v>
      </c>
      <c r="U915" s="95">
        <v>38132.034632034629</v>
      </c>
      <c r="V915" s="96">
        <v>26.224669353465401</v>
      </c>
    </row>
    <row r="916" spans="1:22">
      <c r="A916" s="58">
        <v>917</v>
      </c>
      <c r="B916" s="58">
        <v>917</v>
      </c>
      <c r="C916" s="58" t="s">
        <v>1465</v>
      </c>
      <c r="D916" s="58" t="s">
        <v>187</v>
      </c>
      <c r="E916" s="58" t="s">
        <v>187</v>
      </c>
      <c r="F916" s="58" t="s">
        <v>377</v>
      </c>
      <c r="H916" s="58" t="s">
        <v>179</v>
      </c>
      <c r="I916">
        <v>38000</v>
      </c>
      <c r="L916" s="74">
        <v>4.9829999999999997</v>
      </c>
      <c r="M916" s="85">
        <v>5</v>
      </c>
      <c r="N916" s="74">
        <v>1.4910000000000001</v>
      </c>
      <c r="O916">
        <v>2</v>
      </c>
      <c r="P916" s="84">
        <v>1.1182500000000002</v>
      </c>
      <c r="Q916" s="86">
        <v>12.600000000000001</v>
      </c>
      <c r="R916" s="85">
        <v>12.600000000000001</v>
      </c>
      <c r="S916" s="87">
        <v>699140</v>
      </c>
      <c r="T916" s="1">
        <v>4</v>
      </c>
      <c r="U916" s="88">
        <v>55487.301587301583</v>
      </c>
      <c r="V916" s="59">
        <v>18.02214148811397</v>
      </c>
    </row>
    <row r="917" spans="1:22">
      <c r="A917" s="58">
        <v>918</v>
      </c>
      <c r="B917" s="58">
        <v>918</v>
      </c>
      <c r="C917" s="58" t="s">
        <v>1466</v>
      </c>
      <c r="D917" s="58" t="s">
        <v>187</v>
      </c>
      <c r="E917" s="58" t="s">
        <v>187</v>
      </c>
      <c r="F917" s="58" t="s">
        <v>683</v>
      </c>
      <c r="G917" s="58" t="s">
        <v>684</v>
      </c>
      <c r="H917" s="58" t="s">
        <v>179</v>
      </c>
      <c r="I917">
        <v>38000</v>
      </c>
      <c r="J917" s="58" t="s">
        <v>185</v>
      </c>
      <c r="K917">
        <v>38000</v>
      </c>
      <c r="L917" s="74">
        <v>3.5449999999999999</v>
      </c>
      <c r="M917" s="85">
        <v>4</v>
      </c>
      <c r="N917" s="74">
        <v>0.84</v>
      </c>
      <c r="O917">
        <v>2</v>
      </c>
      <c r="P917" s="84">
        <v>0.63</v>
      </c>
      <c r="Q917" s="86">
        <v>8.4</v>
      </c>
      <c r="R917" s="85">
        <v>8.4</v>
      </c>
      <c r="S917" s="87">
        <v>628870</v>
      </c>
      <c r="T917" s="1">
        <v>4</v>
      </c>
      <c r="U917" s="88">
        <v>74865.476190476184</v>
      </c>
      <c r="V917" s="59">
        <v>13.357291650102566</v>
      </c>
    </row>
    <row r="918" spans="1:22">
      <c r="A918" s="58">
        <v>919</v>
      </c>
      <c r="B918" s="58">
        <v>919</v>
      </c>
      <c r="C918" s="58" t="s">
        <v>1467</v>
      </c>
      <c r="D918" s="58" t="s">
        <v>187</v>
      </c>
      <c r="E918" s="58" t="s">
        <v>187</v>
      </c>
      <c r="F918" s="58" t="s">
        <v>683</v>
      </c>
      <c r="G918" s="58" t="s">
        <v>684</v>
      </c>
      <c r="H918" s="58" t="s">
        <v>179</v>
      </c>
      <c r="I918">
        <v>38000</v>
      </c>
      <c r="J918" s="58" t="s">
        <v>185</v>
      </c>
      <c r="K918">
        <v>38000</v>
      </c>
      <c r="L918" s="74">
        <v>4.4009999999999998</v>
      </c>
      <c r="M918" s="85">
        <v>5</v>
      </c>
      <c r="N918" s="74">
        <v>2.5510000000000002</v>
      </c>
      <c r="O918">
        <v>2</v>
      </c>
      <c r="P918" s="84">
        <v>1.9132500000000001</v>
      </c>
      <c r="Q918" s="86">
        <v>21</v>
      </c>
      <c r="R918" s="85">
        <v>21</v>
      </c>
      <c r="S918" s="87">
        <v>699140</v>
      </c>
      <c r="T918" s="1">
        <v>4</v>
      </c>
      <c r="U918" s="88">
        <v>33292.380952380954</v>
      </c>
      <c r="V918" s="59">
        <v>30.036902480189948</v>
      </c>
    </row>
    <row r="919" spans="1:22">
      <c r="A919" s="58">
        <v>920</v>
      </c>
      <c r="B919" s="58">
        <v>920</v>
      </c>
      <c r="C919" s="58" t="s">
        <v>1468</v>
      </c>
      <c r="D919" s="58" t="s">
        <v>187</v>
      </c>
      <c r="E919" s="58" t="s">
        <v>187</v>
      </c>
      <c r="F919" s="58" t="s">
        <v>1469</v>
      </c>
      <c r="G919" s="58" t="s">
        <v>1470</v>
      </c>
      <c r="H919" s="58" t="s">
        <v>179</v>
      </c>
      <c r="I919">
        <v>38000</v>
      </c>
      <c r="J919">
        <v>38000</v>
      </c>
      <c r="K919">
        <v>20000</v>
      </c>
      <c r="L919" s="74">
        <v>2.1789999999999998</v>
      </c>
      <c r="M919" s="85">
        <v>3</v>
      </c>
      <c r="N919" s="74">
        <v>2.11</v>
      </c>
      <c r="O919">
        <v>2</v>
      </c>
      <c r="P919" s="84">
        <v>1.5825</v>
      </c>
      <c r="Q919" s="86">
        <v>16.8</v>
      </c>
      <c r="R919" s="85">
        <v>16.8</v>
      </c>
      <c r="S919" s="87">
        <v>558600</v>
      </c>
      <c r="T919" s="1">
        <v>4</v>
      </c>
      <c r="U919" s="88">
        <v>33250</v>
      </c>
      <c r="V919" s="59">
        <v>30.075187969924812</v>
      </c>
    </row>
    <row r="920" spans="1:22">
      <c r="A920" s="58">
        <v>921</v>
      </c>
      <c r="B920" s="58">
        <v>921</v>
      </c>
      <c r="C920" s="58" t="s">
        <v>1471</v>
      </c>
      <c r="D920" s="58" t="s">
        <v>187</v>
      </c>
      <c r="E920" s="58" t="s">
        <v>187</v>
      </c>
      <c r="F920" s="58" t="s">
        <v>228</v>
      </c>
      <c r="G920" s="58" t="s">
        <v>229</v>
      </c>
      <c r="H920" s="58" t="s">
        <v>179</v>
      </c>
      <c r="I920">
        <v>38000</v>
      </c>
      <c r="J920">
        <v>38000</v>
      </c>
      <c r="K920" s="58" t="s">
        <v>185</v>
      </c>
      <c r="L920" s="74">
        <v>6.2990000000000004</v>
      </c>
      <c r="M920" s="85">
        <v>7</v>
      </c>
      <c r="N920" s="74">
        <v>0.28699999999999998</v>
      </c>
      <c r="O920">
        <v>2</v>
      </c>
      <c r="P920" s="84">
        <v>0.28699999999999998</v>
      </c>
      <c r="Q920" s="86">
        <v>4.2</v>
      </c>
      <c r="R920" s="85">
        <v>4.2</v>
      </c>
      <c r="S920" s="87">
        <v>839680</v>
      </c>
      <c r="T920" s="1">
        <v>4</v>
      </c>
      <c r="U920" s="88">
        <v>199923.80952380953</v>
      </c>
      <c r="V920" s="59">
        <v>5.0019054878048781</v>
      </c>
    </row>
    <row r="921" spans="1:22">
      <c r="A921" s="58">
        <v>922</v>
      </c>
      <c r="B921" s="58">
        <v>922</v>
      </c>
      <c r="C921" s="58" t="s">
        <v>1472</v>
      </c>
      <c r="D921" s="58" t="s">
        <v>187</v>
      </c>
      <c r="E921" s="58" t="s">
        <v>187</v>
      </c>
      <c r="F921" s="58" t="s">
        <v>228</v>
      </c>
      <c r="G921" s="58" t="s">
        <v>229</v>
      </c>
      <c r="H921" s="58" t="s">
        <v>179</v>
      </c>
      <c r="I921">
        <v>38000</v>
      </c>
      <c r="J921">
        <v>38000</v>
      </c>
      <c r="K921" s="58" t="s">
        <v>185</v>
      </c>
      <c r="L921" s="74">
        <v>4.8959999999999999</v>
      </c>
      <c r="M921" s="85">
        <v>5</v>
      </c>
      <c r="N921" s="74">
        <v>0.622</v>
      </c>
      <c r="O921">
        <v>2</v>
      </c>
      <c r="P921" s="84">
        <v>0.46650000000000003</v>
      </c>
      <c r="Q921" s="86">
        <v>4.2</v>
      </c>
      <c r="R921" s="85">
        <v>4.2</v>
      </c>
      <c r="S921" s="87">
        <v>699140</v>
      </c>
      <c r="T921" s="1">
        <v>4</v>
      </c>
      <c r="U921" s="88">
        <v>166461.90476190476</v>
      </c>
      <c r="V921" s="59">
        <v>6.0073804960379897</v>
      </c>
    </row>
    <row r="922" spans="1:22">
      <c r="A922" s="58">
        <v>923</v>
      </c>
      <c r="B922" s="58">
        <v>923</v>
      </c>
      <c r="C922" s="58" t="s">
        <v>1473</v>
      </c>
      <c r="D922" s="58" t="s">
        <v>234</v>
      </c>
      <c r="E922" s="58" t="s">
        <v>234</v>
      </c>
      <c r="F922" s="58" t="s">
        <v>235</v>
      </c>
      <c r="G922" s="58" t="s">
        <v>236</v>
      </c>
      <c r="H922" s="58" t="s">
        <v>179</v>
      </c>
      <c r="I922">
        <v>38000</v>
      </c>
      <c r="J922">
        <v>38000</v>
      </c>
      <c r="K922">
        <v>20000</v>
      </c>
      <c r="L922" s="74">
        <v>7.3869999999999996</v>
      </c>
      <c r="M922" s="85">
        <v>8</v>
      </c>
      <c r="N922" s="74">
        <v>0.47399999999999998</v>
      </c>
      <c r="O922">
        <v>2</v>
      </c>
      <c r="P922" s="84">
        <v>0.47399999999999998</v>
      </c>
      <c r="Q922" s="86">
        <v>4.2</v>
      </c>
      <c r="R922" s="85">
        <v>4.2</v>
      </c>
      <c r="S922" s="87">
        <v>909950</v>
      </c>
      <c r="T922" s="1">
        <v>4</v>
      </c>
      <c r="U922" s="88">
        <v>216654.76190476189</v>
      </c>
      <c r="V922" s="59">
        <v>4.6156382218803227</v>
      </c>
    </row>
    <row r="923" spans="1:22">
      <c r="A923" s="58">
        <v>924</v>
      </c>
      <c r="B923" s="58">
        <v>924</v>
      </c>
      <c r="C923" s="58" t="s">
        <v>1474</v>
      </c>
      <c r="D923" s="58" t="s">
        <v>234</v>
      </c>
      <c r="E923" s="58" t="s">
        <v>234</v>
      </c>
      <c r="F923" s="58" t="s">
        <v>235</v>
      </c>
      <c r="G923" s="58" t="s">
        <v>236</v>
      </c>
      <c r="H923" s="58" t="s">
        <v>179</v>
      </c>
      <c r="I923">
        <v>38000</v>
      </c>
      <c r="J923">
        <v>38000</v>
      </c>
      <c r="K923">
        <v>20000</v>
      </c>
      <c r="L923" s="74">
        <v>5.2809999999999997</v>
      </c>
      <c r="M923" s="85">
        <v>6</v>
      </c>
      <c r="N923" s="74">
        <v>0.46300000000000002</v>
      </c>
      <c r="O923">
        <v>2</v>
      </c>
      <c r="P923" s="84">
        <v>0.46300000000000002</v>
      </c>
      <c r="Q923" s="86">
        <v>4.2</v>
      </c>
      <c r="R923" s="85">
        <v>4.2</v>
      </c>
      <c r="S923" s="87">
        <v>769410</v>
      </c>
      <c r="T923" s="1">
        <v>4</v>
      </c>
      <c r="U923" s="88">
        <v>183192.85714285713</v>
      </c>
      <c r="V923" s="59">
        <v>5.4587281163488903</v>
      </c>
    </row>
    <row r="924" spans="1:22">
      <c r="A924" s="58">
        <v>925</v>
      </c>
      <c r="B924" s="58">
        <v>925</v>
      </c>
      <c r="C924" s="58" t="s">
        <v>1475</v>
      </c>
      <c r="D924" s="58" t="s">
        <v>234</v>
      </c>
      <c r="E924" s="58" t="s">
        <v>234</v>
      </c>
      <c r="F924" s="58" t="s">
        <v>235</v>
      </c>
      <c r="G924" s="58" t="s">
        <v>236</v>
      </c>
      <c r="H924" s="58" t="s">
        <v>179</v>
      </c>
      <c r="I924">
        <v>38000</v>
      </c>
      <c r="J924">
        <v>38000</v>
      </c>
      <c r="K924">
        <v>20000</v>
      </c>
      <c r="L924" s="74">
        <v>8.0540000000000003</v>
      </c>
      <c r="M924" s="85">
        <v>9</v>
      </c>
      <c r="N924" s="74">
        <v>0.312</v>
      </c>
      <c r="O924">
        <v>2</v>
      </c>
      <c r="P924" s="84">
        <v>0.312</v>
      </c>
      <c r="Q924" s="86">
        <v>4.2</v>
      </c>
      <c r="R924" s="85">
        <v>4.2</v>
      </c>
      <c r="S924" s="87">
        <v>1334440</v>
      </c>
      <c r="T924" s="1">
        <v>1</v>
      </c>
      <c r="U924" s="88">
        <v>317723.80952380953</v>
      </c>
      <c r="V924" s="59">
        <v>3.1473876682353645</v>
      </c>
    </row>
    <row r="925" spans="1:22">
      <c r="A925" s="58">
        <v>926</v>
      </c>
      <c r="B925" s="58">
        <v>926</v>
      </c>
      <c r="C925" s="58" t="s">
        <v>1476</v>
      </c>
      <c r="D925" s="58" t="s">
        <v>234</v>
      </c>
      <c r="E925" s="58" t="s">
        <v>234</v>
      </c>
      <c r="F925" s="58" t="s">
        <v>235</v>
      </c>
      <c r="G925" s="58" t="s">
        <v>236</v>
      </c>
      <c r="H925" s="58" t="s">
        <v>179</v>
      </c>
      <c r="I925">
        <v>38000</v>
      </c>
      <c r="J925">
        <v>38000</v>
      </c>
      <c r="K925">
        <v>20000</v>
      </c>
      <c r="L925" s="74">
        <v>8.8889999999999993</v>
      </c>
      <c r="M925" s="85">
        <v>9</v>
      </c>
      <c r="N925" s="74">
        <v>0.89700000000000002</v>
      </c>
      <c r="O925">
        <v>2</v>
      </c>
      <c r="P925" s="84">
        <v>0.67274999999999996</v>
      </c>
      <c r="Q925" s="86">
        <v>8.4</v>
      </c>
      <c r="R925" s="85">
        <v>8.4</v>
      </c>
      <c r="S925" s="87">
        <v>1379800</v>
      </c>
      <c r="T925" s="1">
        <v>2</v>
      </c>
      <c r="U925" s="88">
        <v>164261.90476190476</v>
      </c>
      <c r="V925" s="59">
        <v>6.087838817219887</v>
      </c>
    </row>
    <row r="926" spans="1:22">
      <c r="A926" s="58">
        <v>927</v>
      </c>
      <c r="B926" s="58">
        <v>927</v>
      </c>
      <c r="C926" s="58" t="s">
        <v>1477</v>
      </c>
      <c r="D926" s="58" t="s">
        <v>234</v>
      </c>
      <c r="E926" s="58" t="s">
        <v>234</v>
      </c>
      <c r="F926" s="58" t="s">
        <v>235</v>
      </c>
      <c r="G926" s="58" t="s">
        <v>236</v>
      </c>
      <c r="H926" s="58" t="s">
        <v>179</v>
      </c>
      <c r="I926">
        <v>38000</v>
      </c>
      <c r="J926">
        <v>38000</v>
      </c>
      <c r="K926">
        <v>20000</v>
      </c>
      <c r="L926" s="74">
        <v>8.5069999999999997</v>
      </c>
      <c r="M926" s="85">
        <v>9</v>
      </c>
      <c r="N926" s="74">
        <v>0.83199999999999996</v>
      </c>
      <c r="O926">
        <v>2</v>
      </c>
      <c r="P926" s="84">
        <v>0.624</v>
      </c>
      <c r="Q926" s="86">
        <v>8.4</v>
      </c>
      <c r="R926" s="85">
        <v>8.4</v>
      </c>
      <c r="S926" s="87">
        <v>1379800</v>
      </c>
      <c r="T926" s="1">
        <v>2</v>
      </c>
      <c r="U926" s="88">
        <v>164261.90476190476</v>
      </c>
      <c r="V926" s="59">
        <v>6.087838817219887</v>
      </c>
    </row>
    <row r="927" spans="1:22">
      <c r="A927" s="58">
        <v>928</v>
      </c>
      <c r="B927" s="58">
        <v>928</v>
      </c>
      <c r="C927" s="58" t="s">
        <v>1478</v>
      </c>
      <c r="D927" s="58" t="s">
        <v>234</v>
      </c>
      <c r="E927" s="58" t="s">
        <v>234</v>
      </c>
      <c r="F927" s="58" t="s">
        <v>235</v>
      </c>
      <c r="G927" s="58" t="s">
        <v>236</v>
      </c>
      <c r="H927" s="58" t="s">
        <v>179</v>
      </c>
      <c r="I927">
        <v>38000</v>
      </c>
      <c r="J927">
        <v>38000</v>
      </c>
      <c r="K927">
        <v>20000</v>
      </c>
      <c r="L927" s="74">
        <v>20.452000000000002</v>
      </c>
      <c r="M927" s="85">
        <v>21</v>
      </c>
      <c r="N927" s="74">
        <v>0.38900000000000001</v>
      </c>
      <c r="O927">
        <v>2</v>
      </c>
      <c r="P927" s="84">
        <v>0.38900000000000001</v>
      </c>
      <c r="Q927" s="86">
        <v>4.2</v>
      </c>
      <c r="R927" s="85">
        <v>4.2</v>
      </c>
      <c r="S927" s="87">
        <v>1966840</v>
      </c>
      <c r="T927" s="1">
        <v>1</v>
      </c>
      <c r="U927" s="88">
        <v>468295.23809523805</v>
      </c>
      <c r="V927" s="59">
        <v>2.135405015151207</v>
      </c>
    </row>
    <row r="928" spans="1:22">
      <c r="A928" s="58">
        <v>929</v>
      </c>
      <c r="B928" s="58">
        <v>929</v>
      </c>
      <c r="C928" s="58" t="s">
        <v>1479</v>
      </c>
      <c r="D928" s="58" t="s">
        <v>234</v>
      </c>
      <c r="E928" s="58" t="s">
        <v>234</v>
      </c>
      <c r="F928" s="58" t="s">
        <v>235</v>
      </c>
      <c r="G928" s="58" t="s">
        <v>236</v>
      </c>
      <c r="H928" s="58" t="s">
        <v>179</v>
      </c>
      <c r="I928">
        <v>38000</v>
      </c>
      <c r="J928">
        <v>38000</v>
      </c>
      <c r="K928">
        <v>20000</v>
      </c>
      <c r="L928" s="74">
        <v>17.134</v>
      </c>
      <c r="M928" s="85">
        <v>18</v>
      </c>
      <c r="N928" s="74">
        <v>1.083</v>
      </c>
      <c r="O928">
        <v>2</v>
      </c>
      <c r="P928" s="84">
        <v>0.81224999999999992</v>
      </c>
      <c r="Q928" s="86">
        <v>8.4</v>
      </c>
      <c r="R928" s="85">
        <v>8.4</v>
      </c>
      <c r="S928" s="87">
        <v>1854100</v>
      </c>
      <c r="T928" s="1">
        <v>2</v>
      </c>
      <c r="U928" s="88">
        <v>220726.19047619047</v>
      </c>
      <c r="V928" s="59">
        <v>4.5304999730327387</v>
      </c>
    </row>
    <row r="929" spans="1:22">
      <c r="A929" s="58">
        <v>930</v>
      </c>
      <c r="B929" s="58">
        <v>930</v>
      </c>
      <c r="C929" s="58" t="s">
        <v>1480</v>
      </c>
      <c r="D929" s="58" t="s">
        <v>234</v>
      </c>
      <c r="E929" s="58" t="s">
        <v>234</v>
      </c>
      <c r="F929" s="58" t="s">
        <v>235</v>
      </c>
      <c r="G929" s="58" t="s">
        <v>236</v>
      </c>
      <c r="H929" s="58" t="s">
        <v>179</v>
      </c>
      <c r="I929">
        <v>38000</v>
      </c>
      <c r="J929">
        <v>38000</v>
      </c>
      <c r="K929">
        <v>20000</v>
      </c>
      <c r="L929" s="74">
        <v>20.925999999999998</v>
      </c>
      <c r="M929" s="85">
        <v>21</v>
      </c>
      <c r="N929" s="74">
        <v>0.58899999999999997</v>
      </c>
      <c r="O929">
        <v>2</v>
      </c>
      <c r="P929" s="84">
        <v>0.58899999999999997</v>
      </c>
      <c r="Q929" s="86">
        <v>4.2</v>
      </c>
      <c r="R929" s="85">
        <v>4.2</v>
      </c>
      <c r="S929" s="87">
        <v>1966840</v>
      </c>
      <c r="T929" s="1">
        <v>1</v>
      </c>
      <c r="U929" s="88">
        <v>468295.23809523805</v>
      </c>
      <c r="V929" s="59">
        <v>2.135405015151207</v>
      </c>
    </row>
    <row r="930" spans="1:22">
      <c r="A930" s="58">
        <v>931</v>
      </c>
      <c r="B930" s="58">
        <v>931</v>
      </c>
      <c r="C930" s="58" t="s">
        <v>1481</v>
      </c>
      <c r="D930" s="58" t="s">
        <v>234</v>
      </c>
      <c r="E930" s="58" t="s">
        <v>234</v>
      </c>
      <c r="F930" s="58" t="s">
        <v>235</v>
      </c>
      <c r="G930" s="58" t="s">
        <v>236</v>
      </c>
      <c r="H930" s="58" t="s">
        <v>179</v>
      </c>
      <c r="I930">
        <v>38000</v>
      </c>
      <c r="J930">
        <v>38000</v>
      </c>
      <c r="K930">
        <v>20000</v>
      </c>
      <c r="L930" s="74">
        <v>18.271999999999998</v>
      </c>
      <c r="M930" s="85">
        <v>19</v>
      </c>
      <c r="N930" s="74">
        <v>1.881</v>
      </c>
      <c r="O930">
        <v>2</v>
      </c>
      <c r="P930" s="84">
        <v>1.4107499999999999</v>
      </c>
      <c r="Q930" s="86">
        <v>16.8</v>
      </c>
      <c r="R930" s="85">
        <v>16.8</v>
      </c>
      <c r="S930" s="87">
        <v>1682920</v>
      </c>
      <c r="T930" s="1">
        <v>4</v>
      </c>
      <c r="U930" s="88">
        <v>100173.80952380953</v>
      </c>
      <c r="V930" s="59">
        <v>9.9826492049532956</v>
      </c>
    </row>
    <row r="931" spans="1:22">
      <c r="A931" s="58">
        <v>932</v>
      </c>
      <c r="B931" s="58">
        <v>932</v>
      </c>
      <c r="C931" s="58" t="s">
        <v>1482</v>
      </c>
      <c r="D931" s="58" t="s">
        <v>234</v>
      </c>
      <c r="E931" s="58" t="s">
        <v>234</v>
      </c>
      <c r="F931" s="58" t="s">
        <v>235</v>
      </c>
      <c r="G931" s="58" t="s">
        <v>236</v>
      </c>
      <c r="H931" s="58" t="s">
        <v>179</v>
      </c>
      <c r="I931">
        <v>38000</v>
      </c>
      <c r="J931">
        <v>38000</v>
      </c>
      <c r="K931">
        <v>20000</v>
      </c>
      <c r="L931" s="74">
        <v>13.481999999999999</v>
      </c>
      <c r="M931" s="85">
        <v>14</v>
      </c>
      <c r="N931" s="74">
        <v>0.57899999999999996</v>
      </c>
      <c r="O931">
        <v>2</v>
      </c>
      <c r="P931" s="84">
        <v>0.57899999999999996</v>
      </c>
      <c r="Q931" s="86">
        <v>4.2</v>
      </c>
      <c r="R931" s="85">
        <v>4.2</v>
      </c>
      <c r="S931" s="87">
        <v>1597940</v>
      </c>
      <c r="T931" s="1">
        <v>1</v>
      </c>
      <c r="U931" s="88">
        <v>380461.90476190473</v>
      </c>
      <c r="V931" s="59">
        <v>2.6283840444572388</v>
      </c>
    </row>
    <row r="932" spans="1:22">
      <c r="A932" s="58">
        <v>933</v>
      </c>
      <c r="B932" s="58">
        <v>933</v>
      </c>
      <c r="C932" s="58" t="s">
        <v>1483</v>
      </c>
      <c r="D932" s="58" t="s">
        <v>215</v>
      </c>
      <c r="E932" s="58" t="s">
        <v>215</v>
      </c>
      <c r="F932" s="58" t="s">
        <v>225</v>
      </c>
      <c r="G932" s="58" t="s">
        <v>226</v>
      </c>
      <c r="H932" s="58" t="s">
        <v>179</v>
      </c>
      <c r="I932">
        <v>38000</v>
      </c>
      <c r="J932">
        <v>38000</v>
      </c>
      <c r="K932">
        <v>20000</v>
      </c>
      <c r="L932" s="74">
        <v>4.0179999999999998</v>
      </c>
      <c r="M932" s="85">
        <v>5</v>
      </c>
      <c r="N932" s="74">
        <v>0.56399999999999995</v>
      </c>
      <c r="O932">
        <v>2</v>
      </c>
      <c r="P932" s="84">
        <v>0.56399999999999995</v>
      </c>
      <c r="Q932" s="86">
        <v>4.2</v>
      </c>
      <c r="R932" s="85">
        <v>4.2</v>
      </c>
      <c r="S932" s="87">
        <v>699140</v>
      </c>
      <c r="T932" s="1">
        <v>4</v>
      </c>
      <c r="U932" s="88">
        <v>166461.90476190476</v>
      </c>
      <c r="V932" s="59">
        <v>6.0073804960379897</v>
      </c>
    </row>
    <row r="933" spans="1:22">
      <c r="A933" s="58">
        <v>934</v>
      </c>
      <c r="B933" s="58">
        <v>934</v>
      </c>
      <c r="C933" s="58" t="s">
        <v>1484</v>
      </c>
      <c r="D933" s="58" t="s">
        <v>176</v>
      </c>
      <c r="E933" s="58" t="s">
        <v>176</v>
      </c>
      <c r="F933" s="58" t="s">
        <v>177</v>
      </c>
      <c r="G933" s="58" t="s">
        <v>178</v>
      </c>
      <c r="H933" s="58" t="s">
        <v>179</v>
      </c>
      <c r="I933">
        <v>38000</v>
      </c>
      <c r="J933">
        <v>38000</v>
      </c>
      <c r="K933">
        <v>20000</v>
      </c>
      <c r="L933" s="74">
        <v>11.46</v>
      </c>
      <c r="M933" s="85">
        <v>12</v>
      </c>
      <c r="N933" s="74">
        <v>0.60499999999999998</v>
      </c>
      <c r="O933">
        <v>2</v>
      </c>
      <c r="P933" s="84">
        <v>0.60499999999999998</v>
      </c>
      <c r="Q933" s="86">
        <v>4.2</v>
      </c>
      <c r="R933" s="85">
        <v>4.2</v>
      </c>
      <c r="S933" s="87">
        <v>1492540</v>
      </c>
      <c r="T933" s="1">
        <v>1</v>
      </c>
      <c r="U933" s="88">
        <v>355366.66666666663</v>
      </c>
      <c r="V933" s="59">
        <v>2.8139949348091173</v>
      </c>
    </row>
    <row r="934" spans="1:22">
      <c r="A934" s="58">
        <v>935</v>
      </c>
      <c r="B934" s="58">
        <v>935</v>
      </c>
      <c r="C934" s="58" t="s">
        <v>1485</v>
      </c>
      <c r="D934" s="58" t="s">
        <v>346</v>
      </c>
      <c r="E934" s="58" t="s">
        <v>346</v>
      </c>
      <c r="F934" s="58" t="s">
        <v>1486</v>
      </c>
      <c r="G934" s="58" t="s">
        <v>1487</v>
      </c>
      <c r="H934" s="58" t="s">
        <v>199</v>
      </c>
      <c r="I934">
        <v>110000</v>
      </c>
      <c r="J934">
        <v>20000</v>
      </c>
      <c r="K934">
        <v>110000</v>
      </c>
      <c r="L934" s="74">
        <v>4.2320000000000002</v>
      </c>
      <c r="M934" s="85">
        <v>5</v>
      </c>
      <c r="N934" s="74">
        <v>2.734</v>
      </c>
      <c r="O934">
        <v>2</v>
      </c>
      <c r="P934" s="84">
        <v>2.0505</v>
      </c>
      <c r="Q934" s="86">
        <v>25.200000000000003</v>
      </c>
      <c r="R934" s="85">
        <v>25.200000000000003</v>
      </c>
      <c r="S934" s="87">
        <v>2398000</v>
      </c>
      <c r="T934" s="1">
        <v>9</v>
      </c>
      <c r="U934" s="88">
        <v>95158.730158730148</v>
      </c>
      <c r="V934" s="59">
        <v>10.508757297748126</v>
      </c>
    </row>
    <row r="935" spans="1:22">
      <c r="A935" s="58">
        <v>936</v>
      </c>
      <c r="B935" s="58">
        <v>936</v>
      </c>
      <c r="C935" s="58" t="s">
        <v>1488</v>
      </c>
      <c r="D935" s="58" t="s">
        <v>346</v>
      </c>
      <c r="E935" s="58" t="s">
        <v>351</v>
      </c>
      <c r="F935" s="58" t="s">
        <v>1486</v>
      </c>
      <c r="G935" s="58" t="s">
        <v>1487</v>
      </c>
      <c r="H935" s="58" t="s">
        <v>199</v>
      </c>
      <c r="I935">
        <v>110000</v>
      </c>
      <c r="J935">
        <v>20000</v>
      </c>
      <c r="K935">
        <v>110000</v>
      </c>
      <c r="L935" s="74">
        <v>3.9319999999999999</v>
      </c>
      <c r="M935" s="85">
        <v>4</v>
      </c>
      <c r="N935" s="74">
        <v>2.6190000000000002</v>
      </c>
      <c r="O935">
        <v>2</v>
      </c>
      <c r="P935" s="84">
        <v>1.9642500000000003</v>
      </c>
      <c r="Q935" s="86">
        <v>21</v>
      </c>
      <c r="R935" s="85">
        <v>21</v>
      </c>
      <c r="S935" s="87">
        <v>1875790</v>
      </c>
      <c r="T935" s="1">
        <v>8</v>
      </c>
      <c r="U935" s="88">
        <v>89323.333333333328</v>
      </c>
      <c r="V935" s="59">
        <v>11.195283054073217</v>
      </c>
    </row>
    <row r="936" spans="1:22">
      <c r="A936" s="58">
        <v>937</v>
      </c>
      <c r="B936" s="58">
        <v>937</v>
      </c>
      <c r="C936" s="58" t="s">
        <v>1489</v>
      </c>
      <c r="D936" s="58" t="s">
        <v>852</v>
      </c>
      <c r="E936" s="58" t="s">
        <v>346</v>
      </c>
      <c r="F936" s="58" t="s">
        <v>422</v>
      </c>
      <c r="G936" s="58" t="s">
        <v>423</v>
      </c>
      <c r="H936" s="58" t="s">
        <v>199</v>
      </c>
      <c r="I936">
        <v>110000</v>
      </c>
      <c r="J936">
        <v>110000</v>
      </c>
      <c r="K936">
        <v>20000</v>
      </c>
      <c r="L936" s="74">
        <v>5.774</v>
      </c>
      <c r="M936" s="85">
        <v>6</v>
      </c>
      <c r="N936" s="74">
        <v>1.88</v>
      </c>
      <c r="O936">
        <v>2</v>
      </c>
      <c r="P936" s="84">
        <v>1.41</v>
      </c>
      <c r="Q936" s="86">
        <v>16.8</v>
      </c>
      <c r="R936" s="85">
        <v>16.8</v>
      </c>
      <c r="S936" s="87">
        <v>2016330</v>
      </c>
      <c r="T936" s="1">
        <v>8</v>
      </c>
      <c r="U936" s="88">
        <v>120019.64285714286</v>
      </c>
      <c r="V936" s="59">
        <v>8.3319694692833011</v>
      </c>
    </row>
    <row r="937" spans="1:22">
      <c r="A937" s="58">
        <v>938</v>
      </c>
      <c r="B937" s="58">
        <v>938</v>
      </c>
      <c r="C937" s="58" t="s">
        <v>1490</v>
      </c>
      <c r="D937" s="58" t="s">
        <v>384</v>
      </c>
      <c r="E937" s="58" t="s">
        <v>384</v>
      </c>
      <c r="F937" s="58" t="s">
        <v>381</v>
      </c>
      <c r="G937" s="58" t="s">
        <v>382</v>
      </c>
      <c r="H937" s="58" t="s">
        <v>199</v>
      </c>
      <c r="I937">
        <v>110000</v>
      </c>
      <c r="J937">
        <v>20000</v>
      </c>
      <c r="K937">
        <v>110000</v>
      </c>
      <c r="L937" s="74">
        <v>7.399</v>
      </c>
      <c r="M937" s="85">
        <v>8</v>
      </c>
      <c r="N937" s="74">
        <v>2.0819999999999999</v>
      </c>
      <c r="O937">
        <v>2</v>
      </c>
      <c r="P937" s="84">
        <v>1.5614999999999999</v>
      </c>
      <c r="Q937" s="86">
        <v>16.8</v>
      </c>
      <c r="R937" s="85">
        <v>16.8</v>
      </c>
      <c r="S937" s="87">
        <v>2156870</v>
      </c>
      <c r="T937" s="1">
        <v>8</v>
      </c>
      <c r="U937" s="88">
        <v>128385.11904761904</v>
      </c>
      <c r="V937" s="59">
        <v>7.7890647095096135</v>
      </c>
    </row>
    <row r="938" spans="1:22">
      <c r="A938" s="58">
        <v>939</v>
      </c>
      <c r="B938" s="58">
        <v>939</v>
      </c>
      <c r="C938" s="58" t="s">
        <v>1491</v>
      </c>
      <c r="D938" s="58" t="s">
        <v>380</v>
      </c>
      <c r="E938" s="58" t="s">
        <v>380</v>
      </c>
      <c r="F938" s="58" t="s">
        <v>386</v>
      </c>
      <c r="G938" s="58" t="s">
        <v>387</v>
      </c>
      <c r="H938" s="58" t="s">
        <v>179</v>
      </c>
      <c r="I938">
        <v>38000</v>
      </c>
      <c r="J938">
        <v>38000</v>
      </c>
      <c r="K938">
        <v>20000</v>
      </c>
      <c r="L938" s="74">
        <v>9.8019999999999996</v>
      </c>
      <c r="M938" s="85">
        <v>10</v>
      </c>
      <c r="N938" s="74">
        <v>3.3370000000000002</v>
      </c>
      <c r="O938">
        <v>2</v>
      </c>
      <c r="P938" s="84">
        <v>2.5027500000000003</v>
      </c>
      <c r="Q938" s="86">
        <v>29.400000000000006</v>
      </c>
      <c r="R938" s="85">
        <v>29.400000000000006</v>
      </c>
      <c r="S938" s="87">
        <v>1236090</v>
      </c>
      <c r="T938" s="1">
        <v>5</v>
      </c>
      <c r="U938" s="88">
        <v>42043.8775510204</v>
      </c>
      <c r="V938" s="59">
        <v>23.78467587311604</v>
      </c>
    </row>
    <row r="939" spans="1:22">
      <c r="A939" s="58">
        <v>940</v>
      </c>
      <c r="B939" s="58">
        <v>940</v>
      </c>
      <c r="C939" s="58" t="s">
        <v>1492</v>
      </c>
      <c r="D939" s="58" t="s">
        <v>380</v>
      </c>
      <c r="E939" s="58" t="s">
        <v>380</v>
      </c>
      <c r="F939" s="58" t="s">
        <v>1493</v>
      </c>
      <c r="G939" s="58" t="s">
        <v>1494</v>
      </c>
      <c r="H939" s="58" t="s">
        <v>179</v>
      </c>
      <c r="I939">
        <v>38000</v>
      </c>
      <c r="J939">
        <v>38000</v>
      </c>
      <c r="K939" s="58" t="s">
        <v>185</v>
      </c>
      <c r="L939" s="74">
        <v>11.734</v>
      </c>
      <c r="M939" s="85">
        <v>12</v>
      </c>
      <c r="N939" s="74">
        <v>0.53700000000000003</v>
      </c>
      <c r="O939">
        <v>2</v>
      </c>
      <c r="P939" s="84">
        <v>0.53700000000000003</v>
      </c>
      <c r="Q939" s="86">
        <v>4.2</v>
      </c>
      <c r="R939" s="85">
        <v>4.2</v>
      </c>
      <c r="S939" s="87">
        <v>1492540</v>
      </c>
      <c r="T939" s="1">
        <v>1</v>
      </c>
      <c r="U939" s="88">
        <v>355366.66666666663</v>
      </c>
      <c r="V939" s="59">
        <v>2.8139949348091173</v>
      </c>
    </row>
    <row r="940" spans="1:22">
      <c r="A940" s="58">
        <v>941</v>
      </c>
      <c r="B940" s="58">
        <v>941</v>
      </c>
      <c r="C940" s="58" t="s">
        <v>1495</v>
      </c>
      <c r="D940" s="58" t="s">
        <v>380</v>
      </c>
      <c r="E940" s="58" t="s">
        <v>380</v>
      </c>
      <c r="F940" s="58" t="s">
        <v>381</v>
      </c>
      <c r="G940" s="58" t="s">
        <v>382</v>
      </c>
      <c r="H940" s="58" t="s">
        <v>199</v>
      </c>
      <c r="I940">
        <v>110000</v>
      </c>
      <c r="J940">
        <v>20000</v>
      </c>
      <c r="K940">
        <v>110000</v>
      </c>
      <c r="L940" s="74">
        <v>11.413</v>
      </c>
      <c r="M940" s="85">
        <v>12</v>
      </c>
      <c r="N940" s="74">
        <v>0.45600000000000002</v>
      </c>
      <c r="O940">
        <v>2</v>
      </c>
      <c r="P940" s="84">
        <v>0.45600000000000002</v>
      </c>
      <c r="Q940" s="86">
        <v>4.2</v>
      </c>
      <c r="R940" s="85">
        <v>4.2</v>
      </c>
      <c r="S940" s="87">
        <v>2048870</v>
      </c>
      <c r="T940" s="1">
        <v>7</v>
      </c>
      <c r="U940" s="88">
        <v>487826.19047619047</v>
      </c>
      <c r="V940" s="59">
        <v>2.0499104384367968</v>
      </c>
    </row>
    <row r="941" spans="1:22">
      <c r="A941" s="58">
        <v>942</v>
      </c>
      <c r="B941" s="58">
        <v>942</v>
      </c>
      <c r="C941" s="58" t="s">
        <v>1496</v>
      </c>
      <c r="D941" s="58" t="s">
        <v>380</v>
      </c>
      <c r="E941" s="58" t="s">
        <v>384</v>
      </c>
      <c r="F941" s="58" t="s">
        <v>381</v>
      </c>
      <c r="G941" s="58" t="s">
        <v>382</v>
      </c>
      <c r="H941" s="58" t="s">
        <v>199</v>
      </c>
      <c r="I941">
        <v>110000</v>
      </c>
      <c r="J941">
        <v>20000</v>
      </c>
      <c r="K941">
        <v>110000</v>
      </c>
      <c r="L941" s="74">
        <v>9.5190000000000001</v>
      </c>
      <c r="M941" s="85">
        <v>10</v>
      </c>
      <c r="N941" s="74">
        <v>4.49</v>
      </c>
      <c r="O941">
        <v>2</v>
      </c>
      <c r="P941" s="84">
        <v>3.3675000000000002</v>
      </c>
      <c r="Q941" s="86">
        <v>37.800000000000004</v>
      </c>
      <c r="R941" s="85">
        <v>37.800000000000004</v>
      </c>
      <c r="S941" s="87">
        <v>3066450</v>
      </c>
      <c r="T941" s="1">
        <v>10</v>
      </c>
      <c r="U941" s="88">
        <v>81123.015873015858</v>
      </c>
      <c r="V941" s="59">
        <v>12.326957882893902</v>
      </c>
    </row>
    <row r="942" spans="1:22">
      <c r="A942" s="58">
        <v>943</v>
      </c>
      <c r="B942" s="58">
        <v>943</v>
      </c>
      <c r="C942" s="58" t="s">
        <v>1497</v>
      </c>
      <c r="D942" s="58" t="s">
        <v>207</v>
      </c>
      <c r="E942" s="58" t="s">
        <v>207</v>
      </c>
      <c r="F942" s="58" t="s">
        <v>698</v>
      </c>
      <c r="G942" s="58" t="s">
        <v>699</v>
      </c>
      <c r="H942" s="58" t="s">
        <v>199</v>
      </c>
      <c r="I942">
        <v>110000</v>
      </c>
      <c r="J942" s="58" t="s">
        <v>185</v>
      </c>
      <c r="K942">
        <v>110000</v>
      </c>
      <c r="L942" s="74">
        <v>12.856999999999999</v>
      </c>
      <c r="M942" s="85">
        <v>13</v>
      </c>
      <c r="N942" s="74">
        <v>0.17199999999999999</v>
      </c>
      <c r="O942">
        <v>2</v>
      </c>
      <c r="P942" s="84">
        <v>0.17199999999999999</v>
      </c>
      <c r="Q942" s="86">
        <v>4.2</v>
      </c>
      <c r="R942" s="85">
        <v>4.2</v>
      </c>
      <c r="S942" s="87">
        <v>2101570</v>
      </c>
      <c r="T942" s="1">
        <v>7</v>
      </c>
      <c r="U942" s="88">
        <v>500373.80952380953</v>
      </c>
      <c r="V942" s="59">
        <v>1.9985058789381271</v>
      </c>
    </row>
    <row r="943" spans="1:22">
      <c r="A943" s="58">
        <v>944</v>
      </c>
      <c r="B943" s="58">
        <v>944</v>
      </c>
      <c r="C943" s="58" t="s">
        <v>1498</v>
      </c>
      <c r="D943" s="58" t="s">
        <v>207</v>
      </c>
      <c r="E943" s="58" t="s">
        <v>207</v>
      </c>
      <c r="F943" s="58" t="s">
        <v>389</v>
      </c>
      <c r="G943" s="58" t="s">
        <v>390</v>
      </c>
      <c r="H943" s="58" t="s">
        <v>199</v>
      </c>
      <c r="I943">
        <v>110000</v>
      </c>
      <c r="J943">
        <v>110000</v>
      </c>
      <c r="K943">
        <v>38000</v>
      </c>
      <c r="L943" s="74">
        <v>6.6130000000000004</v>
      </c>
      <c r="M943" s="85">
        <v>7</v>
      </c>
      <c r="N943" s="74">
        <v>1.5189999999999999</v>
      </c>
      <c r="O943">
        <v>2</v>
      </c>
      <c r="P943" s="84">
        <v>1.1392499999999999</v>
      </c>
      <c r="Q943" s="86">
        <v>12.600000000000001</v>
      </c>
      <c r="R943" s="85">
        <v>12.600000000000001</v>
      </c>
      <c r="S943" s="87">
        <v>1785370</v>
      </c>
      <c r="T943" s="1">
        <v>7</v>
      </c>
      <c r="U943" s="88">
        <v>141696.03174603172</v>
      </c>
      <c r="V943" s="59">
        <v>7.0573606591350826</v>
      </c>
    </row>
    <row r="944" spans="1:22">
      <c r="A944" s="58">
        <v>945</v>
      </c>
      <c r="B944" s="58">
        <v>945</v>
      </c>
      <c r="C944" s="58" t="s">
        <v>1499</v>
      </c>
      <c r="D944" s="58" t="s">
        <v>207</v>
      </c>
      <c r="E944" s="58" t="s">
        <v>207</v>
      </c>
      <c r="F944" s="58" t="s">
        <v>389</v>
      </c>
      <c r="G944" s="58" t="s">
        <v>390</v>
      </c>
      <c r="H944" s="58" t="s">
        <v>199</v>
      </c>
      <c r="I944">
        <v>110000</v>
      </c>
      <c r="J944">
        <v>110000</v>
      </c>
      <c r="K944">
        <v>38000</v>
      </c>
      <c r="L944" s="74">
        <v>7.6079999999999997</v>
      </c>
      <c r="M944" s="85">
        <v>8</v>
      </c>
      <c r="N944" s="74">
        <v>3.4990000000000001</v>
      </c>
      <c r="O944">
        <v>2</v>
      </c>
      <c r="P944" s="84">
        <v>2.62425</v>
      </c>
      <c r="Q944" s="86">
        <v>29.400000000000006</v>
      </c>
      <c r="R944" s="85">
        <v>29.400000000000006</v>
      </c>
      <c r="S944" s="87">
        <v>2664490</v>
      </c>
      <c r="T944" s="1">
        <v>9</v>
      </c>
      <c r="U944" s="88">
        <v>90628.911564625829</v>
      </c>
      <c r="V944" s="59">
        <v>11.034006507812004</v>
      </c>
    </row>
    <row r="945" spans="1:22">
      <c r="A945" s="58">
        <v>946</v>
      </c>
      <c r="B945" s="58">
        <v>946</v>
      </c>
      <c r="C945" s="58" t="s">
        <v>1500</v>
      </c>
      <c r="D945" s="58" t="s">
        <v>207</v>
      </c>
      <c r="E945" s="58" t="s">
        <v>207</v>
      </c>
      <c r="F945" s="58" t="s">
        <v>393</v>
      </c>
      <c r="G945" s="58" t="s">
        <v>394</v>
      </c>
      <c r="H945" s="58" t="s">
        <v>179</v>
      </c>
      <c r="I945">
        <v>38000</v>
      </c>
      <c r="J945">
        <v>38000</v>
      </c>
      <c r="K945" s="58" t="s">
        <v>185</v>
      </c>
      <c r="L945" s="74">
        <v>6.8070000000000004</v>
      </c>
      <c r="M945" s="85">
        <v>7</v>
      </c>
      <c r="N945" s="74">
        <v>2.4740000000000002</v>
      </c>
      <c r="O945">
        <v>2</v>
      </c>
      <c r="P945" s="84">
        <v>1.8555000000000001</v>
      </c>
      <c r="Q945" s="86">
        <v>21</v>
      </c>
      <c r="R945" s="85">
        <v>21</v>
      </c>
      <c r="S945" s="87">
        <v>839680</v>
      </c>
      <c r="T945" s="1">
        <v>4</v>
      </c>
      <c r="U945" s="88">
        <v>39984.761904761908</v>
      </c>
      <c r="V945" s="59">
        <v>25.009527439024389</v>
      </c>
    </row>
    <row r="946" spans="1:22">
      <c r="A946" s="58">
        <v>947</v>
      </c>
      <c r="B946" s="58">
        <v>947</v>
      </c>
      <c r="C946" s="58" t="s">
        <v>1501</v>
      </c>
      <c r="D946" s="58" t="s">
        <v>207</v>
      </c>
      <c r="E946" s="58" t="s">
        <v>207</v>
      </c>
      <c r="F946" s="58" t="s">
        <v>389</v>
      </c>
      <c r="G946" s="58" t="s">
        <v>390</v>
      </c>
      <c r="H946" s="58" t="s">
        <v>199</v>
      </c>
      <c r="I946">
        <v>110000</v>
      </c>
      <c r="J946">
        <v>110000</v>
      </c>
      <c r="K946">
        <v>38000</v>
      </c>
      <c r="L946" s="74">
        <v>8.5879999999999992</v>
      </c>
      <c r="M946" s="85">
        <v>9</v>
      </c>
      <c r="N946" s="74">
        <v>1.55</v>
      </c>
      <c r="O946">
        <v>2</v>
      </c>
      <c r="P946" s="84">
        <v>1.1625000000000001</v>
      </c>
      <c r="Q946" s="86">
        <v>12.600000000000001</v>
      </c>
      <c r="R946" s="85">
        <v>12.600000000000001</v>
      </c>
      <c r="S946" s="87">
        <v>1890770</v>
      </c>
      <c r="T946" s="1">
        <v>7</v>
      </c>
      <c r="U946" s="88">
        <v>150061.11111111109</v>
      </c>
      <c r="V946" s="59">
        <v>6.6639517233719605</v>
      </c>
    </row>
    <row r="947" spans="1:22">
      <c r="A947" s="58">
        <v>948</v>
      </c>
      <c r="B947" s="58">
        <v>948</v>
      </c>
      <c r="C947" s="58" t="s">
        <v>1502</v>
      </c>
      <c r="D947" s="58" t="s">
        <v>207</v>
      </c>
      <c r="E947" s="58" t="s">
        <v>207</v>
      </c>
      <c r="F947" s="58" t="s">
        <v>389</v>
      </c>
      <c r="G947" s="58" t="s">
        <v>390</v>
      </c>
      <c r="H947" s="58" t="s">
        <v>199</v>
      </c>
      <c r="I947">
        <v>110000</v>
      </c>
      <c r="J947">
        <v>110000</v>
      </c>
      <c r="K947">
        <v>38000</v>
      </c>
      <c r="L947" s="74">
        <v>6.8289999999999997</v>
      </c>
      <c r="M947" s="85">
        <v>7</v>
      </c>
      <c r="N947" s="74">
        <v>0.64</v>
      </c>
      <c r="O947">
        <v>2</v>
      </c>
      <c r="P947" s="84">
        <v>0.48</v>
      </c>
      <c r="Q947" s="86">
        <v>4.2</v>
      </c>
      <c r="R947" s="85">
        <v>4.2</v>
      </c>
      <c r="S947" s="87">
        <v>1785370</v>
      </c>
      <c r="T947" s="1">
        <v>7</v>
      </c>
      <c r="U947" s="88">
        <v>425088.09523809521</v>
      </c>
      <c r="V947" s="59">
        <v>2.3524535530450272</v>
      </c>
    </row>
    <row r="948" spans="1:22">
      <c r="A948" s="89">
        <v>949</v>
      </c>
      <c r="B948" s="89">
        <v>949</v>
      </c>
      <c r="C948" s="89" t="s">
        <v>1503</v>
      </c>
      <c r="D948" s="58" t="s">
        <v>207</v>
      </c>
      <c r="E948" s="58" t="s">
        <v>207</v>
      </c>
      <c r="F948" s="89" t="s">
        <v>393</v>
      </c>
      <c r="G948" s="89" t="s">
        <v>394</v>
      </c>
      <c r="H948" s="89" t="s">
        <v>179</v>
      </c>
      <c r="I948" s="90">
        <v>38000</v>
      </c>
      <c r="J948" s="90">
        <v>38000</v>
      </c>
      <c r="K948" s="89" t="s">
        <v>185</v>
      </c>
      <c r="L948" s="91">
        <v>8.1180000000000003</v>
      </c>
      <c r="M948" s="92">
        <v>9</v>
      </c>
      <c r="N948" s="91">
        <v>5.9189999999999996</v>
      </c>
      <c r="O948" s="90">
        <v>2</v>
      </c>
      <c r="P948" s="92">
        <v>4.4392499999999995</v>
      </c>
      <c r="Q948" s="93">
        <v>54.599999999999994</v>
      </c>
      <c r="R948" s="92">
        <v>54.599999999999994</v>
      </c>
      <c r="S948" s="87">
        <v>2815750</v>
      </c>
      <c r="T948" s="94">
        <v>11</v>
      </c>
      <c r="U948" s="95">
        <v>51570.512820512828</v>
      </c>
      <c r="V948" s="96">
        <v>19.390926041019263</v>
      </c>
    </row>
    <row r="949" spans="1:22">
      <c r="A949" s="89">
        <v>950</v>
      </c>
      <c r="B949" s="89">
        <v>950</v>
      </c>
      <c r="C949" s="89" t="s">
        <v>1504</v>
      </c>
      <c r="D949" s="58" t="s">
        <v>207</v>
      </c>
      <c r="E949" s="58" t="s">
        <v>207</v>
      </c>
      <c r="F949" s="89" t="s">
        <v>393</v>
      </c>
      <c r="G949" s="89" t="s">
        <v>394</v>
      </c>
      <c r="H949" s="89" t="s">
        <v>179</v>
      </c>
      <c r="I949" s="90">
        <v>38000</v>
      </c>
      <c r="J949" s="90">
        <v>38000</v>
      </c>
      <c r="K949" s="89" t="s">
        <v>185</v>
      </c>
      <c r="L949" s="91">
        <v>10.439</v>
      </c>
      <c r="M949" s="92">
        <v>11</v>
      </c>
      <c r="N949" s="91">
        <v>6.8410000000000002</v>
      </c>
      <c r="O949" s="90">
        <v>2</v>
      </c>
      <c r="P949" s="92">
        <v>5.1307499999999999</v>
      </c>
      <c r="Q949" s="93">
        <v>63</v>
      </c>
      <c r="R949" s="92">
        <v>63</v>
      </c>
      <c r="S949" s="87">
        <v>3237370</v>
      </c>
      <c r="T949" s="94">
        <v>11</v>
      </c>
      <c r="U949" s="95">
        <v>51386.825396825399</v>
      </c>
      <c r="V949" s="96">
        <v>19.460240874537046</v>
      </c>
    </row>
    <row r="950" spans="1:22">
      <c r="A950" s="58">
        <v>951</v>
      </c>
      <c r="B950" s="58">
        <v>951</v>
      </c>
      <c r="C950" s="58" t="s">
        <v>1505</v>
      </c>
      <c r="D950" s="58" t="s">
        <v>207</v>
      </c>
      <c r="E950" s="58" t="s">
        <v>207</v>
      </c>
      <c r="F950" s="58" t="s">
        <v>705</v>
      </c>
      <c r="G950" s="58" t="s">
        <v>706</v>
      </c>
      <c r="H950" s="58" t="s">
        <v>179</v>
      </c>
      <c r="I950">
        <v>38000</v>
      </c>
      <c r="J950" s="58" t="s">
        <v>185</v>
      </c>
      <c r="K950">
        <v>38000</v>
      </c>
      <c r="L950" s="74">
        <v>10.708</v>
      </c>
      <c r="M950" s="85">
        <v>11</v>
      </c>
      <c r="N950" s="74">
        <v>2.331</v>
      </c>
      <c r="O950">
        <v>2</v>
      </c>
      <c r="P950" s="84">
        <v>1.7482500000000001</v>
      </c>
      <c r="Q950" s="86">
        <v>21</v>
      </c>
      <c r="R950" s="85">
        <v>21</v>
      </c>
      <c r="S950" s="87">
        <v>1120760</v>
      </c>
      <c r="T950" s="1">
        <v>4</v>
      </c>
      <c r="U950" s="88">
        <v>53369.523809523809</v>
      </c>
      <c r="V950" s="59">
        <v>18.737285413469433</v>
      </c>
    </row>
    <row r="951" spans="1:22">
      <c r="A951" s="58">
        <v>952</v>
      </c>
      <c r="B951" s="58">
        <v>952</v>
      </c>
      <c r="C951" s="58" t="s">
        <v>1506</v>
      </c>
      <c r="D951" s="58" t="s">
        <v>207</v>
      </c>
      <c r="E951" s="58" t="s">
        <v>207</v>
      </c>
      <c r="F951" s="58" t="s">
        <v>705</v>
      </c>
      <c r="G951" s="58" t="s">
        <v>706</v>
      </c>
      <c r="H951" s="58" t="s">
        <v>179</v>
      </c>
      <c r="I951">
        <v>38000</v>
      </c>
      <c r="J951" s="58" t="s">
        <v>185</v>
      </c>
      <c r="K951">
        <v>38000</v>
      </c>
      <c r="L951" s="74">
        <v>11.326000000000001</v>
      </c>
      <c r="M951" s="85">
        <v>12</v>
      </c>
      <c r="N951" s="74">
        <v>2.9220000000000002</v>
      </c>
      <c r="O951">
        <v>2</v>
      </c>
      <c r="P951" s="84">
        <v>2.1915</v>
      </c>
      <c r="Q951" s="86">
        <v>25.200000000000003</v>
      </c>
      <c r="R951" s="85">
        <v>25.200000000000003</v>
      </c>
      <c r="S951" s="87">
        <v>1413750</v>
      </c>
      <c r="T951" s="1">
        <v>5</v>
      </c>
      <c r="U951" s="88">
        <v>56101.190476190473</v>
      </c>
      <c r="V951" s="59">
        <v>17.824933687002655</v>
      </c>
    </row>
    <row r="952" spans="1:22">
      <c r="A952" s="58">
        <v>953</v>
      </c>
      <c r="B952" s="58">
        <v>953</v>
      </c>
      <c r="C952" s="58" t="s">
        <v>1507</v>
      </c>
      <c r="D952" s="58" t="s">
        <v>207</v>
      </c>
      <c r="E952" s="58" t="s">
        <v>207</v>
      </c>
      <c r="F952" s="58" t="s">
        <v>389</v>
      </c>
      <c r="G952" s="58" t="s">
        <v>390</v>
      </c>
      <c r="H952" s="58" t="s">
        <v>199</v>
      </c>
      <c r="I952">
        <v>110000</v>
      </c>
      <c r="J952">
        <v>110000</v>
      </c>
      <c r="K952">
        <v>38000</v>
      </c>
      <c r="L952" s="74">
        <v>10.335000000000001</v>
      </c>
      <c r="M952" s="85">
        <v>11</v>
      </c>
      <c r="N952" s="74">
        <v>0.6</v>
      </c>
      <c r="O952">
        <v>2</v>
      </c>
      <c r="P952" s="84">
        <v>0.6</v>
      </c>
      <c r="Q952" s="86">
        <v>4.2</v>
      </c>
      <c r="R952" s="85">
        <v>4.2</v>
      </c>
      <c r="S952" s="87">
        <v>1996170</v>
      </c>
      <c r="T952" s="1">
        <v>7</v>
      </c>
      <c r="U952" s="88">
        <v>475278.57142857142</v>
      </c>
      <c r="V952" s="59">
        <v>2.1040292159485414</v>
      </c>
    </row>
    <row r="953" spans="1:22">
      <c r="A953" s="58">
        <v>954</v>
      </c>
      <c r="B953" s="58">
        <v>954</v>
      </c>
      <c r="C953" s="58" t="s">
        <v>1508</v>
      </c>
      <c r="D953" s="58" t="s">
        <v>207</v>
      </c>
      <c r="E953" s="58" t="s">
        <v>207</v>
      </c>
      <c r="F953" s="58" t="s">
        <v>698</v>
      </c>
      <c r="G953" s="58" t="s">
        <v>699</v>
      </c>
      <c r="H953" s="58" t="s">
        <v>199</v>
      </c>
      <c r="I953">
        <v>110000</v>
      </c>
      <c r="J953" s="58" t="s">
        <v>185</v>
      </c>
      <c r="K953">
        <v>110000</v>
      </c>
      <c r="L953" s="74">
        <v>13.099</v>
      </c>
      <c r="M953" s="85">
        <v>14</v>
      </c>
      <c r="N953" s="74">
        <v>3.6560000000000001</v>
      </c>
      <c r="O953">
        <v>2</v>
      </c>
      <c r="P953" s="84">
        <v>2.742</v>
      </c>
      <c r="Q953" s="86">
        <v>33.6</v>
      </c>
      <c r="R953" s="85">
        <v>33.6</v>
      </c>
      <c r="S953" s="87">
        <v>3511490</v>
      </c>
      <c r="T953" s="1">
        <v>10</v>
      </c>
      <c r="U953" s="88">
        <v>104508.63095238095</v>
      </c>
      <c r="V953" s="59">
        <v>9.568587693543197</v>
      </c>
    </row>
    <row r="954" spans="1:22">
      <c r="A954" s="58">
        <v>955</v>
      </c>
      <c r="B954" s="58">
        <v>955</v>
      </c>
      <c r="C954" s="58" t="s">
        <v>1509</v>
      </c>
      <c r="D954" s="58" t="s">
        <v>207</v>
      </c>
      <c r="E954" s="58" t="s">
        <v>207</v>
      </c>
      <c r="F954" s="58" t="s">
        <v>698</v>
      </c>
      <c r="G954" s="58" t="s">
        <v>699</v>
      </c>
      <c r="H954" s="58" t="s">
        <v>199</v>
      </c>
      <c r="I954">
        <v>110000</v>
      </c>
      <c r="J954" s="58" t="s">
        <v>185</v>
      </c>
      <c r="K954">
        <v>110000</v>
      </c>
      <c r="L954" s="74">
        <v>9.2390000000000008</v>
      </c>
      <c r="M954" s="85">
        <v>10</v>
      </c>
      <c r="N954" s="74">
        <v>1.742</v>
      </c>
      <c r="O954">
        <v>2</v>
      </c>
      <c r="P954" s="84">
        <v>1.3065</v>
      </c>
      <c r="Q954" s="86">
        <v>12.600000000000001</v>
      </c>
      <c r="R954" s="85">
        <v>12.600000000000001</v>
      </c>
      <c r="S954" s="87">
        <v>1943470</v>
      </c>
      <c r="T954" s="1">
        <v>7</v>
      </c>
      <c r="U954" s="88">
        <v>154243.65079365077</v>
      </c>
      <c r="V954" s="59">
        <v>6.4832490339444409</v>
      </c>
    </row>
    <row r="955" spans="1:22">
      <c r="A955" s="58">
        <v>956</v>
      </c>
      <c r="B955" s="58">
        <v>956</v>
      </c>
      <c r="C955" s="58" t="s">
        <v>1510</v>
      </c>
      <c r="D955" s="58" t="s">
        <v>207</v>
      </c>
      <c r="E955" s="58" t="s">
        <v>207</v>
      </c>
      <c r="F955" s="58" t="s">
        <v>242</v>
      </c>
      <c r="G955" s="58" t="s">
        <v>243</v>
      </c>
      <c r="H955" s="58" t="s">
        <v>179</v>
      </c>
      <c r="I955">
        <v>38000</v>
      </c>
      <c r="J955">
        <v>38000</v>
      </c>
      <c r="K955">
        <v>20000</v>
      </c>
      <c r="L955" s="74">
        <v>9.4990000000000006</v>
      </c>
      <c r="M955" s="85">
        <v>10</v>
      </c>
      <c r="N955" s="74">
        <v>0.93899999999999995</v>
      </c>
      <c r="O955">
        <v>2</v>
      </c>
      <c r="P955" s="84">
        <v>0.70424999999999993</v>
      </c>
      <c r="Q955" s="86">
        <v>8.4</v>
      </c>
      <c r="R955" s="85">
        <v>8.4</v>
      </c>
      <c r="S955" s="87">
        <v>1432500</v>
      </c>
      <c r="T955" s="1">
        <v>2</v>
      </c>
      <c r="U955" s="88">
        <v>170535.71428571429</v>
      </c>
      <c r="V955" s="59">
        <v>5.8638743455497382</v>
      </c>
    </row>
    <row r="956" spans="1:22">
      <c r="A956" s="58">
        <v>957</v>
      </c>
      <c r="B956" s="58">
        <v>957</v>
      </c>
      <c r="C956" s="58" t="s">
        <v>1511</v>
      </c>
      <c r="D956" s="58" t="s">
        <v>202</v>
      </c>
      <c r="E956" s="58" t="s">
        <v>202</v>
      </c>
      <c r="F956" s="58" t="s">
        <v>398</v>
      </c>
      <c r="G956" s="58" t="s">
        <v>399</v>
      </c>
      <c r="H956" s="58" t="s">
        <v>179</v>
      </c>
      <c r="I956">
        <v>38000</v>
      </c>
      <c r="J956">
        <v>38000</v>
      </c>
      <c r="K956">
        <v>10000</v>
      </c>
      <c r="L956" s="74">
        <v>8.6630000000000003</v>
      </c>
      <c r="M956" s="85">
        <v>9</v>
      </c>
      <c r="N956" s="74">
        <v>1.216</v>
      </c>
      <c r="O956">
        <v>2</v>
      </c>
      <c r="P956" s="84">
        <v>0.91199999999999992</v>
      </c>
      <c r="Q956" s="86">
        <v>8.4</v>
      </c>
      <c r="R956" s="85">
        <v>8.4</v>
      </c>
      <c r="S956" s="87">
        <v>1379800</v>
      </c>
      <c r="T956" s="1">
        <v>2</v>
      </c>
      <c r="U956" s="88">
        <v>164261.90476190476</v>
      </c>
      <c r="V956" s="59">
        <v>6.087838817219887</v>
      </c>
    </row>
    <row r="957" spans="1:22">
      <c r="A957" s="58">
        <v>958</v>
      </c>
      <c r="B957" s="58">
        <v>958</v>
      </c>
      <c r="C957" s="58" t="s">
        <v>1512</v>
      </c>
      <c r="D957" s="58" t="s">
        <v>207</v>
      </c>
      <c r="E957" s="58" t="s">
        <v>207</v>
      </c>
      <c r="F957" s="58" t="s">
        <v>502</v>
      </c>
      <c r="G957" s="58" t="s">
        <v>503</v>
      </c>
      <c r="H957" s="58" t="s">
        <v>179</v>
      </c>
      <c r="I957">
        <v>38000</v>
      </c>
      <c r="J957">
        <v>38000</v>
      </c>
      <c r="K957" s="58" t="s">
        <v>185</v>
      </c>
      <c r="L957" s="74">
        <v>13.872999999999999</v>
      </c>
      <c r="M957" s="85">
        <v>14</v>
      </c>
      <c r="N957" s="74">
        <v>0.86599999999999999</v>
      </c>
      <c r="O957">
        <v>2</v>
      </c>
      <c r="P957" s="84">
        <v>0.64949999999999997</v>
      </c>
      <c r="Q957" s="86">
        <v>8.4</v>
      </c>
      <c r="R957" s="85">
        <v>8.4</v>
      </c>
      <c r="S957" s="87">
        <v>1643300</v>
      </c>
      <c r="T957" s="1">
        <v>2</v>
      </c>
      <c r="U957" s="88">
        <v>195630.95238095237</v>
      </c>
      <c r="V957" s="59">
        <v>5.1116655510253759</v>
      </c>
    </row>
    <row r="958" spans="1:22">
      <c r="A958" s="58">
        <v>959</v>
      </c>
      <c r="B958" s="58">
        <v>959</v>
      </c>
      <c r="C958" s="58" t="s">
        <v>1513</v>
      </c>
      <c r="D958" s="58" t="s">
        <v>384</v>
      </c>
      <c r="E958" s="58" t="s">
        <v>207</v>
      </c>
      <c r="F958" s="58" t="s">
        <v>476</v>
      </c>
      <c r="G958" s="58" t="s">
        <v>477</v>
      </c>
      <c r="H958" s="58" t="s">
        <v>179</v>
      </c>
      <c r="I958">
        <v>38000</v>
      </c>
      <c r="J958">
        <v>20000</v>
      </c>
      <c r="K958">
        <v>38000</v>
      </c>
      <c r="L958" s="74">
        <v>3.1789999999999998</v>
      </c>
      <c r="M958" s="85">
        <v>4</v>
      </c>
      <c r="N958" s="74">
        <v>2.3759999999999999</v>
      </c>
      <c r="O958">
        <v>2</v>
      </c>
      <c r="P958" s="84">
        <v>1.782</v>
      </c>
      <c r="Q958" s="86">
        <v>21</v>
      </c>
      <c r="R958" s="85">
        <v>21</v>
      </c>
      <c r="S958" s="87">
        <v>628870</v>
      </c>
      <c r="T958" s="1">
        <v>4</v>
      </c>
      <c r="U958" s="88">
        <v>29946.190476190477</v>
      </c>
      <c r="V958" s="59">
        <v>33.393229125256411</v>
      </c>
    </row>
    <row r="959" spans="1:22">
      <c r="A959" s="58">
        <v>960</v>
      </c>
      <c r="B959" s="58">
        <v>960</v>
      </c>
      <c r="C959" s="58" t="s">
        <v>1514</v>
      </c>
      <c r="D959" s="58" t="s">
        <v>207</v>
      </c>
      <c r="E959" s="58" t="s">
        <v>207</v>
      </c>
      <c r="F959" s="58" t="s">
        <v>476</v>
      </c>
      <c r="G959" s="58" t="s">
        <v>477</v>
      </c>
      <c r="H959" s="58" t="s">
        <v>179</v>
      </c>
      <c r="I959">
        <v>38000</v>
      </c>
      <c r="J959">
        <v>20000</v>
      </c>
      <c r="K959">
        <v>38000</v>
      </c>
      <c r="L959" s="74">
        <v>2.41</v>
      </c>
      <c r="M959" s="85">
        <v>3</v>
      </c>
      <c r="N959" s="74">
        <v>0.77300000000000002</v>
      </c>
      <c r="O959">
        <v>2</v>
      </c>
      <c r="P959" s="84">
        <v>0.57974999999999999</v>
      </c>
      <c r="Q959" s="86">
        <v>4.2</v>
      </c>
      <c r="R959" s="85">
        <v>4.2</v>
      </c>
      <c r="S959" s="87">
        <v>558600</v>
      </c>
      <c r="T959" s="1">
        <v>4</v>
      </c>
      <c r="U959" s="88">
        <v>133000</v>
      </c>
      <c r="V959" s="59">
        <v>7.518796992481203</v>
      </c>
    </row>
    <row r="960" spans="1:22">
      <c r="A960" s="58">
        <v>961</v>
      </c>
      <c r="B960" s="58">
        <v>961</v>
      </c>
      <c r="C960" s="58" t="s">
        <v>1515</v>
      </c>
      <c r="D960" s="58" t="s">
        <v>215</v>
      </c>
      <c r="E960" s="58" t="s">
        <v>215</v>
      </c>
      <c r="F960" s="58" t="s">
        <v>483</v>
      </c>
      <c r="G960" s="58" t="s">
        <v>484</v>
      </c>
      <c r="H960" s="58" t="s">
        <v>179</v>
      </c>
      <c r="I960">
        <v>38000</v>
      </c>
      <c r="L960" s="74">
        <v>2.085</v>
      </c>
      <c r="M960" s="85">
        <v>3</v>
      </c>
      <c r="N960" s="74">
        <v>0.2</v>
      </c>
      <c r="O960">
        <v>2</v>
      </c>
      <c r="P960" s="84">
        <v>0.2</v>
      </c>
      <c r="Q960" s="86">
        <v>4.2</v>
      </c>
      <c r="R960" s="85">
        <v>4.2</v>
      </c>
      <c r="S960" s="87">
        <v>558600</v>
      </c>
      <c r="T960" s="1">
        <v>4</v>
      </c>
      <c r="U960" s="88">
        <v>133000</v>
      </c>
      <c r="V960" s="59">
        <v>7.518796992481203</v>
      </c>
    </row>
    <row r="961" spans="1:22">
      <c r="A961" s="58">
        <v>962</v>
      </c>
      <c r="B961" s="58">
        <v>962</v>
      </c>
      <c r="C961" s="58" t="s">
        <v>1516</v>
      </c>
      <c r="D961" s="58" t="s">
        <v>215</v>
      </c>
      <c r="E961" s="58" t="s">
        <v>176</v>
      </c>
      <c r="F961" s="58" t="s">
        <v>713</v>
      </c>
      <c r="G961" s="58" t="s">
        <v>714</v>
      </c>
      <c r="H961" s="58" t="s">
        <v>199</v>
      </c>
      <c r="I961">
        <v>110000</v>
      </c>
      <c r="J961" s="58" t="s">
        <v>185</v>
      </c>
      <c r="K961">
        <v>110000</v>
      </c>
      <c r="L961" s="74">
        <v>5.5549999999999997</v>
      </c>
      <c r="M961" s="85">
        <v>6</v>
      </c>
      <c r="N961" s="74">
        <v>5.0510000000000002</v>
      </c>
      <c r="O961">
        <v>2</v>
      </c>
      <c r="P961" s="84">
        <v>3.7882500000000001</v>
      </c>
      <c r="Q961" s="86">
        <v>46.2</v>
      </c>
      <c r="R961" s="85">
        <v>46.2</v>
      </c>
      <c r="S961" s="87">
        <v>2183320</v>
      </c>
      <c r="T961" s="1">
        <v>11</v>
      </c>
      <c r="U961" s="88">
        <v>47258.008658008657</v>
      </c>
      <c r="V961" s="59">
        <v>21.160434567539344</v>
      </c>
    </row>
    <row r="962" spans="1:22">
      <c r="A962" s="58">
        <v>963</v>
      </c>
      <c r="B962" s="58">
        <v>963</v>
      </c>
      <c r="C962" s="58" t="s">
        <v>1517</v>
      </c>
      <c r="D962" s="58" t="s">
        <v>176</v>
      </c>
      <c r="E962" s="58" t="s">
        <v>176</v>
      </c>
      <c r="F962" s="58" t="s">
        <v>713</v>
      </c>
      <c r="G962" s="58" t="s">
        <v>714</v>
      </c>
      <c r="H962" s="58" t="s">
        <v>199</v>
      </c>
      <c r="I962">
        <v>110000</v>
      </c>
      <c r="J962" s="58" t="s">
        <v>185</v>
      </c>
      <c r="K962">
        <v>110000</v>
      </c>
      <c r="L962" s="74">
        <v>2.323</v>
      </c>
      <c r="M962" s="85">
        <v>3</v>
      </c>
      <c r="N962" s="74">
        <v>7.915</v>
      </c>
      <c r="O962">
        <v>2</v>
      </c>
      <c r="P962" s="84">
        <v>5.9362500000000002</v>
      </c>
      <c r="Q962" s="86">
        <v>71.400000000000006</v>
      </c>
      <c r="R962" s="85">
        <v>71.400000000000006</v>
      </c>
      <c r="S962" s="87">
        <v>1550890</v>
      </c>
      <c r="T962" s="1">
        <v>11</v>
      </c>
      <c r="U962" s="88">
        <v>21721.148459383752</v>
      </c>
      <c r="V962" s="59">
        <v>46.038081359735379</v>
      </c>
    </row>
    <row r="963" spans="1:22">
      <c r="A963" s="58">
        <v>964</v>
      </c>
      <c r="B963" s="58">
        <v>964</v>
      </c>
      <c r="C963" s="58" t="s">
        <v>1518</v>
      </c>
      <c r="D963" s="58" t="s">
        <v>215</v>
      </c>
      <c r="E963" s="58" t="s">
        <v>215</v>
      </c>
      <c r="F963" s="58" t="s">
        <v>713</v>
      </c>
      <c r="G963" s="58" t="s">
        <v>714</v>
      </c>
      <c r="H963" s="58" t="s">
        <v>199</v>
      </c>
      <c r="I963">
        <v>110000</v>
      </c>
      <c r="J963" s="58" t="s">
        <v>185</v>
      </c>
      <c r="K963">
        <v>110000</v>
      </c>
      <c r="L963" s="74">
        <v>2.1070000000000002</v>
      </c>
      <c r="M963" s="85">
        <v>3</v>
      </c>
      <c r="N963" s="74">
        <v>1.2869999999999999</v>
      </c>
      <c r="O963">
        <v>2</v>
      </c>
      <c r="P963" s="84">
        <v>0.96524999999999994</v>
      </c>
      <c r="Q963" s="86">
        <v>8.4</v>
      </c>
      <c r="R963" s="85">
        <v>8.4</v>
      </c>
      <c r="S963" s="87">
        <v>1574570</v>
      </c>
      <c r="T963" s="1">
        <v>7</v>
      </c>
      <c r="U963" s="88">
        <v>187448.80952380953</v>
      </c>
      <c r="V963" s="59">
        <v>5.3347898156322042</v>
      </c>
    </row>
    <row r="964" spans="1:22">
      <c r="A964" s="58">
        <v>965</v>
      </c>
      <c r="B964" s="58">
        <v>965</v>
      </c>
      <c r="C964" s="58" t="s">
        <v>1519</v>
      </c>
      <c r="D964" s="58" t="s">
        <v>215</v>
      </c>
      <c r="E964" s="58" t="s">
        <v>176</v>
      </c>
      <c r="F964" s="58" t="s">
        <v>406</v>
      </c>
      <c r="G964" s="58" t="s">
        <v>407</v>
      </c>
      <c r="H964" s="58" t="s">
        <v>179</v>
      </c>
      <c r="I964">
        <v>38000</v>
      </c>
      <c r="J964" s="58" t="s">
        <v>185</v>
      </c>
      <c r="K964">
        <v>38000</v>
      </c>
      <c r="L964" s="74">
        <v>3.2109999999999999</v>
      </c>
      <c r="M964" s="85">
        <v>4</v>
      </c>
      <c r="N964" s="74">
        <v>1.54</v>
      </c>
      <c r="O964">
        <v>2</v>
      </c>
      <c r="P964" s="84">
        <v>1.155</v>
      </c>
      <c r="Q964" s="86">
        <v>12.600000000000001</v>
      </c>
      <c r="R964" s="85">
        <v>12.600000000000001</v>
      </c>
      <c r="S964" s="87">
        <v>628870</v>
      </c>
      <c r="T964" s="1">
        <v>4</v>
      </c>
      <c r="U964" s="88">
        <v>49910.317460317456</v>
      </c>
      <c r="V964" s="59">
        <v>20.035937475153851</v>
      </c>
    </row>
    <row r="965" spans="1:22">
      <c r="A965" s="58">
        <v>966</v>
      </c>
      <c r="B965" s="58">
        <v>966</v>
      </c>
      <c r="C965" s="58" t="s">
        <v>1520</v>
      </c>
      <c r="D965" s="58" t="s">
        <v>215</v>
      </c>
      <c r="E965" s="58" t="s">
        <v>215</v>
      </c>
      <c r="F965" s="58" t="s">
        <v>406</v>
      </c>
      <c r="G965" s="58" t="s">
        <v>407</v>
      </c>
      <c r="H965" s="58" t="s">
        <v>179</v>
      </c>
      <c r="I965">
        <v>38000</v>
      </c>
      <c r="J965" s="58" t="s">
        <v>185</v>
      </c>
      <c r="K965">
        <v>38000</v>
      </c>
      <c r="L965" s="74">
        <v>2.4489999999999998</v>
      </c>
      <c r="M965" s="85">
        <v>3</v>
      </c>
      <c r="N965" s="74">
        <v>1.569</v>
      </c>
      <c r="O965">
        <v>2</v>
      </c>
      <c r="P965" s="84">
        <v>1.17675</v>
      </c>
      <c r="Q965" s="86">
        <v>12.600000000000001</v>
      </c>
      <c r="R965" s="85">
        <v>12.600000000000001</v>
      </c>
      <c r="S965" s="87">
        <v>558600</v>
      </c>
      <c r="T965" s="1">
        <v>4</v>
      </c>
      <c r="U965" s="88">
        <v>44333.333333333328</v>
      </c>
      <c r="V965" s="59">
        <v>22.556390977443613</v>
      </c>
    </row>
    <row r="966" spans="1:22">
      <c r="A966" s="89">
        <v>967</v>
      </c>
      <c r="B966" s="89">
        <v>967</v>
      </c>
      <c r="C966" s="89" t="s">
        <v>1521</v>
      </c>
      <c r="D966" s="58" t="s">
        <v>215</v>
      </c>
      <c r="E966" s="58" t="s">
        <v>215</v>
      </c>
      <c r="F966" s="89" t="s">
        <v>406</v>
      </c>
      <c r="G966" s="89" t="s">
        <v>407</v>
      </c>
      <c r="H966" s="89" t="s">
        <v>179</v>
      </c>
      <c r="I966" s="90">
        <v>38000</v>
      </c>
      <c r="J966" s="89" t="s">
        <v>185</v>
      </c>
      <c r="K966" s="90">
        <v>38000</v>
      </c>
      <c r="L966" s="91">
        <v>4.9530000000000003</v>
      </c>
      <c r="M966" s="92">
        <v>5</v>
      </c>
      <c r="N966" s="91">
        <v>6.7460000000000004</v>
      </c>
      <c r="O966" s="90">
        <v>2</v>
      </c>
      <c r="P966" s="92">
        <v>5.0594999999999999</v>
      </c>
      <c r="Q966" s="93">
        <v>58.800000000000011</v>
      </c>
      <c r="R966" s="92">
        <v>58.800000000000011</v>
      </c>
      <c r="S966" s="87">
        <v>1972510</v>
      </c>
      <c r="T966" s="94">
        <v>11</v>
      </c>
      <c r="U966" s="95">
        <v>33546.088435374142</v>
      </c>
      <c r="V966" s="96">
        <v>29.809734804893264</v>
      </c>
    </row>
    <row r="967" spans="1:22">
      <c r="A967" s="58">
        <v>968</v>
      </c>
      <c r="B967" s="58">
        <v>968</v>
      </c>
      <c r="C967" s="58" t="s">
        <v>1522</v>
      </c>
      <c r="D967" s="58" t="s">
        <v>176</v>
      </c>
      <c r="E967" s="58" t="s">
        <v>176</v>
      </c>
      <c r="F967" s="58" t="s">
        <v>1523</v>
      </c>
      <c r="G967" s="58" t="s">
        <v>1524</v>
      </c>
      <c r="H967" s="58" t="s">
        <v>199</v>
      </c>
      <c r="I967">
        <v>110000</v>
      </c>
      <c r="J967" s="58" t="s">
        <v>1525</v>
      </c>
      <c r="K967">
        <v>110000</v>
      </c>
      <c r="L967" s="74">
        <v>1.84</v>
      </c>
      <c r="M967" s="85">
        <v>2</v>
      </c>
      <c r="N967" s="74">
        <v>0.8</v>
      </c>
      <c r="O967">
        <v>2</v>
      </c>
      <c r="P967" s="84">
        <v>0.60000000000000009</v>
      </c>
      <c r="Q967" s="86">
        <v>4.2</v>
      </c>
      <c r="R967" s="85">
        <v>4.2</v>
      </c>
      <c r="S967" s="87">
        <v>1340080</v>
      </c>
      <c r="T967" s="1">
        <v>11</v>
      </c>
      <c r="U967" s="88">
        <v>319066.66666666663</v>
      </c>
      <c r="V967" s="59">
        <v>3.134141245298788</v>
      </c>
    </row>
    <row r="968" spans="1:22">
      <c r="A968" s="58">
        <v>969</v>
      </c>
      <c r="B968" s="58">
        <v>969</v>
      </c>
      <c r="C968" s="58" t="s">
        <v>1526</v>
      </c>
      <c r="D968" s="58" t="s">
        <v>176</v>
      </c>
      <c r="E968" s="58" t="s">
        <v>176</v>
      </c>
      <c r="F968" s="58" t="s">
        <v>1523</v>
      </c>
      <c r="G968" s="58" t="s">
        <v>1524</v>
      </c>
      <c r="H968" s="58" t="s">
        <v>199</v>
      </c>
      <c r="I968">
        <v>110000</v>
      </c>
      <c r="J968" s="58" t="s">
        <v>1525</v>
      </c>
      <c r="K968">
        <v>110000</v>
      </c>
      <c r="L968" s="74">
        <v>3.81</v>
      </c>
      <c r="M968" s="85">
        <v>4</v>
      </c>
      <c r="N968" s="74">
        <v>1.026</v>
      </c>
      <c r="O968">
        <v>2</v>
      </c>
      <c r="P968" s="84">
        <v>0.76950000000000007</v>
      </c>
      <c r="Q968" s="86">
        <v>8.4</v>
      </c>
      <c r="R968" s="85">
        <v>8.4</v>
      </c>
      <c r="S968" s="87">
        <v>1627270</v>
      </c>
      <c r="T968" s="1">
        <v>7</v>
      </c>
      <c r="U968" s="88">
        <v>193722.61904761905</v>
      </c>
      <c r="V968" s="59">
        <v>5.162019824614231</v>
      </c>
    </row>
    <row r="969" spans="1:22">
      <c r="A969" s="58">
        <v>970</v>
      </c>
      <c r="B969" s="58">
        <v>970</v>
      </c>
      <c r="C969" s="58" t="s">
        <v>1527</v>
      </c>
      <c r="D969" s="58" t="s">
        <v>215</v>
      </c>
      <c r="E969" s="58" t="s">
        <v>215</v>
      </c>
      <c r="F969" s="58" t="s">
        <v>840</v>
      </c>
      <c r="G969" s="58" t="s">
        <v>841</v>
      </c>
      <c r="H969" s="58" t="s">
        <v>199</v>
      </c>
      <c r="I969">
        <v>110000</v>
      </c>
      <c r="J969" s="58" t="s">
        <v>185</v>
      </c>
      <c r="K969">
        <v>110000</v>
      </c>
      <c r="L969" s="74">
        <v>5.9029999999999996</v>
      </c>
      <c r="M969" s="85">
        <v>6</v>
      </c>
      <c r="N969" s="74">
        <v>2.7440000000000002</v>
      </c>
      <c r="O969">
        <v>2</v>
      </c>
      <c r="P969" s="84">
        <v>2.0580000000000003</v>
      </c>
      <c r="Q969" s="86">
        <v>25.200000000000003</v>
      </c>
      <c r="R969" s="85">
        <v>25.200000000000003</v>
      </c>
      <c r="S969" s="87">
        <v>2486830</v>
      </c>
      <c r="T969" s="1">
        <v>9</v>
      </c>
      <c r="U969" s="88">
        <v>98683.730158730148</v>
      </c>
      <c r="V969" s="59">
        <v>10.133382659852103</v>
      </c>
    </row>
    <row r="970" spans="1:22">
      <c r="A970" s="58">
        <v>971</v>
      </c>
      <c r="B970" s="58">
        <v>971</v>
      </c>
      <c r="C970" s="58" t="s">
        <v>1528</v>
      </c>
      <c r="D970" s="58" t="s">
        <v>215</v>
      </c>
      <c r="E970" s="58" t="s">
        <v>176</v>
      </c>
      <c r="F970" s="58" t="s">
        <v>713</v>
      </c>
      <c r="G970" s="58" t="s">
        <v>714</v>
      </c>
      <c r="H970" s="58" t="s">
        <v>199</v>
      </c>
      <c r="I970">
        <v>110000</v>
      </c>
      <c r="J970" s="58" t="s">
        <v>185</v>
      </c>
      <c r="K970">
        <v>110000</v>
      </c>
      <c r="L970" s="74">
        <v>2.7970000000000002</v>
      </c>
      <c r="M970" s="85">
        <v>3</v>
      </c>
      <c r="N970" s="74">
        <v>0.79900000000000004</v>
      </c>
      <c r="O970">
        <v>2</v>
      </c>
      <c r="P970" s="84">
        <v>0.59925000000000006</v>
      </c>
      <c r="Q970" s="86">
        <v>4.2</v>
      </c>
      <c r="R970" s="85">
        <v>4.2</v>
      </c>
      <c r="S970" s="87">
        <v>1574570</v>
      </c>
      <c r="T970" s="1">
        <v>7</v>
      </c>
      <c r="U970" s="88">
        <v>374897.61904761905</v>
      </c>
      <c r="V970" s="59">
        <v>2.6673949078161021</v>
      </c>
    </row>
    <row r="971" spans="1:22">
      <c r="A971" s="58">
        <v>972</v>
      </c>
      <c r="B971" s="58">
        <v>972</v>
      </c>
      <c r="C971" s="58" t="s">
        <v>1529</v>
      </c>
      <c r="D971" s="58" t="s">
        <v>215</v>
      </c>
      <c r="E971" s="58" t="s">
        <v>176</v>
      </c>
      <c r="F971" s="58" t="s">
        <v>719</v>
      </c>
      <c r="G971" s="58" t="s">
        <v>720</v>
      </c>
      <c r="H971" s="58" t="s">
        <v>199</v>
      </c>
      <c r="I971">
        <v>110000</v>
      </c>
      <c r="J971">
        <v>38000</v>
      </c>
      <c r="K971">
        <v>110000</v>
      </c>
      <c r="L971" s="74">
        <v>6.1159999999999997</v>
      </c>
      <c r="M971" s="85">
        <v>7</v>
      </c>
      <c r="N971" s="74">
        <v>9.3800000000000008</v>
      </c>
      <c r="O971">
        <v>2</v>
      </c>
      <c r="P971" s="84">
        <v>7.0350000000000001</v>
      </c>
      <c r="Q971" s="86">
        <v>84</v>
      </c>
      <c r="R971" s="85">
        <v>84</v>
      </c>
      <c r="S971" s="87">
        <v>2394130</v>
      </c>
      <c r="T971" s="1">
        <v>11</v>
      </c>
      <c r="U971" s="88">
        <v>28501.547619047618</v>
      </c>
      <c r="V971" s="59">
        <v>35.085814053539281</v>
      </c>
    </row>
    <row r="972" spans="1:22">
      <c r="A972" s="58">
        <v>973</v>
      </c>
      <c r="B972" s="58">
        <v>973</v>
      </c>
      <c r="C972" s="58" t="s">
        <v>1530</v>
      </c>
      <c r="D972" s="58" t="s">
        <v>176</v>
      </c>
      <c r="E972" s="58" t="s">
        <v>176</v>
      </c>
      <c r="F972" s="58" t="s">
        <v>564</v>
      </c>
      <c r="G972" s="58" t="s">
        <v>565</v>
      </c>
      <c r="H972" s="58" t="s">
        <v>199</v>
      </c>
      <c r="I972">
        <v>110000</v>
      </c>
      <c r="L972" s="74">
        <v>3.1150000000000002</v>
      </c>
      <c r="M972" s="85">
        <v>4</v>
      </c>
      <c r="N972" s="74">
        <v>6.3609999999999998</v>
      </c>
      <c r="O972">
        <v>2</v>
      </c>
      <c r="P972" s="84">
        <v>4.7707499999999996</v>
      </c>
      <c r="Q972" s="86">
        <v>58.800000000000011</v>
      </c>
      <c r="R972" s="85">
        <v>58.800000000000011</v>
      </c>
      <c r="S972" s="87">
        <v>1761700</v>
      </c>
      <c r="T972" s="1">
        <v>11</v>
      </c>
      <c r="U972" s="88">
        <v>29960.88435374149</v>
      </c>
      <c r="V972" s="59">
        <v>33.376851904410522</v>
      </c>
    </row>
    <row r="973" spans="1:22">
      <c r="A973" s="58">
        <v>974</v>
      </c>
      <c r="B973" s="58">
        <v>974</v>
      </c>
      <c r="C973" s="58" t="s">
        <v>1531</v>
      </c>
      <c r="D973" s="58" t="s">
        <v>215</v>
      </c>
      <c r="E973" s="58" t="s">
        <v>176</v>
      </c>
      <c r="F973" s="58" t="s">
        <v>719</v>
      </c>
      <c r="G973" s="58" t="s">
        <v>720</v>
      </c>
      <c r="H973" s="58" t="s">
        <v>199</v>
      </c>
      <c r="I973">
        <v>110000</v>
      </c>
      <c r="J973">
        <v>38000</v>
      </c>
      <c r="K973">
        <v>110000</v>
      </c>
      <c r="L973" s="74">
        <v>5.282</v>
      </c>
      <c r="M973" s="85">
        <v>6</v>
      </c>
      <c r="N973" s="74">
        <v>7.26</v>
      </c>
      <c r="O973">
        <v>2</v>
      </c>
      <c r="P973" s="84">
        <v>5.4450000000000003</v>
      </c>
      <c r="Q973" s="86">
        <v>67.2</v>
      </c>
      <c r="R973" s="85">
        <v>67.2</v>
      </c>
      <c r="S973" s="87">
        <v>2183320</v>
      </c>
      <c r="T973" s="1">
        <v>11</v>
      </c>
      <c r="U973" s="88">
        <v>32489.88095238095</v>
      </c>
      <c r="V973" s="59">
        <v>30.778813916420862</v>
      </c>
    </row>
    <row r="974" spans="1:22">
      <c r="A974" s="58">
        <v>975</v>
      </c>
      <c r="B974" s="58">
        <v>975</v>
      </c>
      <c r="C974" s="58" t="s">
        <v>1532</v>
      </c>
      <c r="D974" s="58" t="s">
        <v>215</v>
      </c>
      <c r="E974" s="58" t="s">
        <v>215</v>
      </c>
      <c r="F974" s="58" t="s">
        <v>719</v>
      </c>
      <c r="G974" s="58" t="s">
        <v>720</v>
      </c>
      <c r="H974" s="58" t="s">
        <v>199</v>
      </c>
      <c r="I974">
        <v>110000</v>
      </c>
      <c r="J974">
        <v>38000</v>
      </c>
      <c r="K974">
        <v>110000</v>
      </c>
      <c r="L974" s="74">
        <v>2.5049999999999999</v>
      </c>
      <c r="M974" s="85">
        <v>3</v>
      </c>
      <c r="N974" s="74">
        <v>1.42</v>
      </c>
      <c r="O974">
        <v>2</v>
      </c>
      <c r="P974" s="84">
        <v>1.0649999999999999</v>
      </c>
      <c r="Q974" s="86">
        <v>12.600000000000001</v>
      </c>
      <c r="R974" s="85">
        <v>12.600000000000001</v>
      </c>
      <c r="S974" s="87">
        <v>1574570</v>
      </c>
      <c r="T974" s="1">
        <v>7</v>
      </c>
      <c r="U974" s="88">
        <v>124965.873015873</v>
      </c>
      <c r="V974" s="59">
        <v>8.0021847234483072</v>
      </c>
    </row>
    <row r="975" spans="1:22">
      <c r="A975" s="58">
        <v>976</v>
      </c>
      <c r="B975" s="58">
        <v>976</v>
      </c>
      <c r="C975" s="58" t="s">
        <v>1533</v>
      </c>
      <c r="D975" s="58" t="s">
        <v>215</v>
      </c>
      <c r="E975" s="58" t="s">
        <v>215</v>
      </c>
      <c r="F975" s="58" t="s">
        <v>727</v>
      </c>
      <c r="G975" s="58" t="s">
        <v>728</v>
      </c>
      <c r="H975" s="58" t="s">
        <v>199</v>
      </c>
      <c r="I975">
        <v>110000</v>
      </c>
      <c r="L975" s="74">
        <v>2.2170000000000001</v>
      </c>
      <c r="M975" s="85">
        <v>3</v>
      </c>
      <c r="N975" s="74">
        <v>2.8519999999999999</v>
      </c>
      <c r="O975">
        <v>2</v>
      </c>
      <c r="P975" s="84">
        <v>2.1389999999999998</v>
      </c>
      <c r="Q975" s="86">
        <v>25.200000000000003</v>
      </c>
      <c r="R975" s="85">
        <v>25.200000000000003</v>
      </c>
      <c r="S975" s="87">
        <v>2220340</v>
      </c>
      <c r="T975" s="1">
        <v>9</v>
      </c>
      <c r="U975" s="88">
        <v>88108.730158730148</v>
      </c>
      <c r="V975" s="59">
        <v>11.349613122314603</v>
      </c>
    </row>
    <row r="976" spans="1:22">
      <c r="A976" s="58">
        <v>977</v>
      </c>
      <c r="B976" s="58">
        <v>977</v>
      </c>
      <c r="C976" s="58" t="s">
        <v>1534</v>
      </c>
      <c r="D976" s="58" t="s">
        <v>215</v>
      </c>
      <c r="E976" s="58" t="s">
        <v>215</v>
      </c>
      <c r="F976" s="58" t="s">
        <v>727</v>
      </c>
      <c r="G976" s="58" t="s">
        <v>728</v>
      </c>
      <c r="H976" s="58" t="s">
        <v>199</v>
      </c>
      <c r="I976">
        <v>110000</v>
      </c>
      <c r="L976" s="74">
        <v>5.2619999999999996</v>
      </c>
      <c r="M976" s="85">
        <v>6</v>
      </c>
      <c r="N976" s="74">
        <v>0.65300000000000002</v>
      </c>
      <c r="O976">
        <v>2</v>
      </c>
      <c r="P976" s="84">
        <v>0.48975000000000002</v>
      </c>
      <c r="Q976" s="86">
        <v>4.2</v>
      </c>
      <c r="R976" s="85">
        <v>4.2</v>
      </c>
      <c r="S976" s="87">
        <v>1732670</v>
      </c>
      <c r="T976" s="1">
        <v>7</v>
      </c>
      <c r="U976" s="88">
        <v>412540.47619047615</v>
      </c>
      <c r="V976" s="59">
        <v>2.4240045709800482</v>
      </c>
    </row>
    <row r="977" spans="1:22">
      <c r="A977" s="58">
        <v>978</v>
      </c>
      <c r="B977" s="58">
        <v>978</v>
      </c>
      <c r="C977" s="58" t="s">
        <v>1535</v>
      </c>
      <c r="D977" s="58" t="s">
        <v>215</v>
      </c>
      <c r="E977" s="58" t="s">
        <v>215</v>
      </c>
      <c r="F977" s="58" t="s">
        <v>1536</v>
      </c>
      <c r="G977" s="58" t="s">
        <v>1537</v>
      </c>
      <c r="H977" s="58" t="s">
        <v>179</v>
      </c>
      <c r="I977">
        <v>38000</v>
      </c>
      <c r="J977" s="58" t="s">
        <v>185</v>
      </c>
      <c r="K977">
        <v>38000</v>
      </c>
      <c r="L977" s="74">
        <v>4.8029999999999999</v>
      </c>
      <c r="M977" s="85">
        <v>5</v>
      </c>
      <c r="N977" s="74">
        <v>1.052</v>
      </c>
      <c r="O977">
        <v>2</v>
      </c>
      <c r="P977" s="84">
        <v>0.78900000000000003</v>
      </c>
      <c r="Q977" s="86">
        <v>8.4</v>
      </c>
      <c r="R977" s="85">
        <v>8.4</v>
      </c>
      <c r="S977" s="87">
        <v>699140</v>
      </c>
      <c r="T977" s="1">
        <v>4</v>
      </c>
      <c r="U977" s="88">
        <v>83230.952380952382</v>
      </c>
      <c r="V977" s="59">
        <v>12.014760992075979</v>
      </c>
    </row>
    <row r="978" spans="1:22">
      <c r="A978" s="58">
        <v>979</v>
      </c>
      <c r="B978" s="58">
        <v>979</v>
      </c>
      <c r="C978" s="58" t="s">
        <v>1538</v>
      </c>
      <c r="D978" s="58" t="s">
        <v>215</v>
      </c>
      <c r="E978" s="58" t="s">
        <v>215</v>
      </c>
      <c r="F978" s="58" t="s">
        <v>727</v>
      </c>
      <c r="G978" s="58" t="s">
        <v>728</v>
      </c>
      <c r="H978" s="58" t="s">
        <v>199</v>
      </c>
      <c r="I978">
        <v>110000</v>
      </c>
      <c r="L978" s="74">
        <v>6.1559999999999997</v>
      </c>
      <c r="M978" s="85">
        <v>7</v>
      </c>
      <c r="N978" s="74">
        <v>0.53100000000000003</v>
      </c>
      <c r="O978">
        <v>2</v>
      </c>
      <c r="P978" s="84">
        <v>0.53100000000000003</v>
      </c>
      <c r="Q978" s="86">
        <v>4.2</v>
      </c>
      <c r="R978" s="85">
        <v>4.2</v>
      </c>
      <c r="S978" s="87">
        <v>1785370</v>
      </c>
      <c r="T978" s="1">
        <v>7</v>
      </c>
      <c r="U978" s="88">
        <v>425088.09523809521</v>
      </c>
      <c r="V978" s="59">
        <v>2.3524535530450272</v>
      </c>
    </row>
    <row r="979" spans="1:22">
      <c r="A979" s="58">
        <v>980</v>
      </c>
      <c r="B979" s="58">
        <v>980</v>
      </c>
      <c r="C979" s="58" t="s">
        <v>1539</v>
      </c>
      <c r="D979" s="58" t="s">
        <v>215</v>
      </c>
      <c r="E979" s="58" t="s">
        <v>215</v>
      </c>
      <c r="F979" s="58" t="s">
        <v>845</v>
      </c>
      <c r="G979" s="58" t="s">
        <v>846</v>
      </c>
      <c r="H979" s="58" t="s">
        <v>199</v>
      </c>
      <c r="I979">
        <v>110000</v>
      </c>
      <c r="L979" s="74">
        <v>3.048</v>
      </c>
      <c r="M979" s="85">
        <v>4</v>
      </c>
      <c r="N979" s="74">
        <v>0.71399999999999997</v>
      </c>
      <c r="O979">
        <v>2</v>
      </c>
      <c r="P979" s="84">
        <v>0.53549999999999998</v>
      </c>
      <c r="Q979" s="86">
        <v>4.2</v>
      </c>
      <c r="R979" s="85">
        <v>4.2</v>
      </c>
      <c r="S979" s="87">
        <v>1627270</v>
      </c>
      <c r="T979" s="1">
        <v>7</v>
      </c>
      <c r="U979" s="88">
        <v>387445.23809523811</v>
      </c>
      <c r="V979" s="59">
        <v>2.5810099123071155</v>
      </c>
    </row>
    <row r="980" spans="1:22">
      <c r="A980" s="58">
        <v>981</v>
      </c>
      <c r="B980" s="58">
        <v>981</v>
      </c>
      <c r="C980" s="58" t="s">
        <v>1540</v>
      </c>
      <c r="D980" s="58" t="s">
        <v>176</v>
      </c>
      <c r="E980" s="58" t="s">
        <v>176</v>
      </c>
      <c r="F980" s="58" t="s">
        <v>272</v>
      </c>
      <c r="G980" s="58" t="s">
        <v>273</v>
      </c>
      <c r="H980" s="58" t="s">
        <v>179</v>
      </c>
      <c r="I980">
        <v>38000</v>
      </c>
      <c r="J980">
        <v>38000</v>
      </c>
      <c r="K980" s="58" t="s">
        <v>185</v>
      </c>
      <c r="L980" s="74">
        <v>6.7060000000000004</v>
      </c>
      <c r="M980" s="85">
        <v>7</v>
      </c>
      <c r="N980" s="74">
        <v>0.69499999999999995</v>
      </c>
      <c r="O980">
        <v>2</v>
      </c>
      <c r="P980" s="84">
        <v>0.52124999999999999</v>
      </c>
      <c r="Q980" s="86">
        <v>4.2</v>
      </c>
      <c r="R980" s="85">
        <v>4.2</v>
      </c>
      <c r="S980" s="87">
        <v>839680</v>
      </c>
      <c r="T980" s="1">
        <v>4</v>
      </c>
      <c r="U980" s="88">
        <v>199923.80952380953</v>
      </c>
      <c r="V980" s="59">
        <v>5.0019054878048781</v>
      </c>
    </row>
    <row r="981" spans="1:22">
      <c r="A981" s="58">
        <v>982</v>
      </c>
      <c r="B981" s="58">
        <v>982</v>
      </c>
      <c r="C981" s="58" t="s">
        <v>1541</v>
      </c>
      <c r="D981" s="58" t="s">
        <v>489</v>
      </c>
      <c r="E981" s="58" t="s">
        <v>1169</v>
      </c>
      <c r="F981" s="58" t="s">
        <v>869</v>
      </c>
      <c r="G981" s="58" t="s">
        <v>870</v>
      </c>
      <c r="H981" s="58" t="s">
        <v>179</v>
      </c>
      <c r="I981">
        <v>38000</v>
      </c>
      <c r="J981">
        <v>38000</v>
      </c>
      <c r="K981" s="58" t="s">
        <v>185</v>
      </c>
      <c r="L981" s="74">
        <v>6.3760000000000003</v>
      </c>
      <c r="M981" s="85">
        <v>7</v>
      </c>
      <c r="N981" s="74">
        <v>0.83099999999999996</v>
      </c>
      <c r="O981">
        <v>2</v>
      </c>
      <c r="P981" s="84">
        <v>0.62324999999999997</v>
      </c>
      <c r="Q981" s="86">
        <v>8.4</v>
      </c>
      <c r="R981" s="85">
        <v>8.4</v>
      </c>
      <c r="S981" s="87">
        <v>839680</v>
      </c>
      <c r="T981" s="1">
        <v>4</v>
      </c>
      <c r="U981" s="88">
        <v>99961.904761904763</v>
      </c>
      <c r="V981" s="59">
        <v>10.003810975609756</v>
      </c>
    </row>
    <row r="982" spans="1:22">
      <c r="A982" s="58">
        <v>983</v>
      </c>
      <c r="B982" s="58">
        <v>983</v>
      </c>
      <c r="C982" s="58" t="s">
        <v>1542</v>
      </c>
      <c r="D982" s="58" t="s">
        <v>197</v>
      </c>
      <c r="E982" s="58" t="s">
        <v>197</v>
      </c>
      <c r="F982" s="58" t="s">
        <v>1543</v>
      </c>
      <c r="G982" s="58" t="s">
        <v>1544</v>
      </c>
      <c r="H982" s="58" t="s">
        <v>199</v>
      </c>
      <c r="I982">
        <v>110000</v>
      </c>
      <c r="J982" s="58" t="s">
        <v>185</v>
      </c>
      <c r="K982">
        <v>110000</v>
      </c>
      <c r="L982" s="74">
        <v>8.9890000000000008</v>
      </c>
      <c r="M982" s="85">
        <v>9</v>
      </c>
      <c r="N982" s="74">
        <v>1.9590000000000001</v>
      </c>
      <c r="O982">
        <v>2</v>
      </c>
      <c r="P982" s="84">
        <v>1.4692500000000002</v>
      </c>
      <c r="Q982" s="86">
        <v>16.8</v>
      </c>
      <c r="R982" s="85">
        <v>16.8</v>
      </c>
      <c r="S982" s="87">
        <v>2227140</v>
      </c>
      <c r="T982" s="1">
        <v>8</v>
      </c>
      <c r="U982" s="88">
        <v>132567.85714285713</v>
      </c>
      <c r="V982" s="59">
        <v>7.5433066623562057</v>
      </c>
    </row>
    <row r="983" spans="1:22">
      <c r="A983" s="58">
        <v>984</v>
      </c>
      <c r="B983" s="58">
        <v>984</v>
      </c>
      <c r="C983" s="58" t="s">
        <v>1545</v>
      </c>
      <c r="D983" s="58" t="s">
        <v>410</v>
      </c>
      <c r="E983" s="58" t="s">
        <v>410</v>
      </c>
      <c r="F983" s="58" t="s">
        <v>411</v>
      </c>
      <c r="G983" s="58" t="s">
        <v>412</v>
      </c>
      <c r="H983" s="58" t="s">
        <v>179</v>
      </c>
      <c r="I983">
        <v>38000</v>
      </c>
      <c r="J983">
        <v>38000</v>
      </c>
      <c r="K983" s="58" t="s">
        <v>185</v>
      </c>
      <c r="L983" s="74">
        <v>8.1449999999999996</v>
      </c>
      <c r="M983" s="85">
        <v>9</v>
      </c>
      <c r="N983" s="74">
        <v>0.93100000000000005</v>
      </c>
      <c r="O983">
        <v>2</v>
      </c>
      <c r="P983" s="84">
        <v>0.69825000000000004</v>
      </c>
      <c r="Q983" s="86">
        <v>8.4</v>
      </c>
      <c r="R983" s="85">
        <v>8.4</v>
      </c>
      <c r="S983" s="87">
        <v>1379800</v>
      </c>
      <c r="T983" s="1">
        <v>2</v>
      </c>
      <c r="U983" s="88">
        <v>164261.90476190476</v>
      </c>
      <c r="V983" s="59">
        <v>6.087838817219887</v>
      </c>
    </row>
    <row r="984" spans="1:22">
      <c r="A984" s="58">
        <v>985</v>
      </c>
      <c r="B984" s="58">
        <v>985</v>
      </c>
      <c r="C984" s="58" t="s">
        <v>1546</v>
      </c>
      <c r="D984" s="58" t="s">
        <v>410</v>
      </c>
      <c r="E984" s="58" t="s">
        <v>410</v>
      </c>
      <c r="F984" s="58" t="s">
        <v>1113</v>
      </c>
      <c r="G984" s="58" t="s">
        <v>1114</v>
      </c>
      <c r="H984" s="58" t="s">
        <v>179</v>
      </c>
      <c r="I984">
        <v>38000</v>
      </c>
      <c r="J984">
        <v>38000</v>
      </c>
      <c r="K984">
        <v>10000</v>
      </c>
      <c r="L984" s="74">
        <v>6.7329999999999997</v>
      </c>
      <c r="M984" s="85">
        <v>7</v>
      </c>
      <c r="N984" s="74">
        <v>1.1020000000000001</v>
      </c>
      <c r="O984">
        <v>2</v>
      </c>
      <c r="P984" s="84">
        <v>0.82650000000000001</v>
      </c>
      <c r="Q984" s="86">
        <v>8.4</v>
      </c>
      <c r="R984" s="85">
        <v>8.4</v>
      </c>
      <c r="S984" s="87">
        <v>839680</v>
      </c>
      <c r="T984" s="1">
        <v>4</v>
      </c>
      <c r="U984" s="88">
        <v>99961.904761904763</v>
      </c>
      <c r="V984" s="59">
        <v>10.003810975609756</v>
      </c>
    </row>
    <row r="985" spans="1:22">
      <c r="A985" s="58">
        <v>986</v>
      </c>
      <c r="B985" s="58">
        <v>986</v>
      </c>
      <c r="C985" s="58" t="s">
        <v>1547</v>
      </c>
      <c r="D985" s="58" t="s">
        <v>197</v>
      </c>
      <c r="E985" s="58" t="s">
        <v>197</v>
      </c>
      <c r="F985" s="58" t="s">
        <v>1548</v>
      </c>
      <c r="G985" s="58" t="s">
        <v>1549</v>
      </c>
      <c r="H985" s="58" t="s">
        <v>199</v>
      </c>
      <c r="I985">
        <v>110000</v>
      </c>
      <c r="J985" s="58" t="s">
        <v>185</v>
      </c>
      <c r="K985">
        <v>110000</v>
      </c>
      <c r="L985" s="74">
        <v>4.2930000000000001</v>
      </c>
      <c r="M985" s="85">
        <v>5</v>
      </c>
      <c r="N985" s="74">
        <v>2.98</v>
      </c>
      <c r="O985">
        <v>2</v>
      </c>
      <c r="P985" s="84">
        <v>2.2349999999999999</v>
      </c>
      <c r="Q985" s="86">
        <v>25.200000000000003</v>
      </c>
      <c r="R985" s="85">
        <v>25.200000000000003</v>
      </c>
      <c r="S985" s="87">
        <v>2398000</v>
      </c>
      <c r="T985" s="1">
        <v>9</v>
      </c>
      <c r="U985" s="88">
        <v>95158.730158730148</v>
      </c>
      <c r="V985" s="59">
        <v>10.508757297748126</v>
      </c>
    </row>
    <row r="986" spans="1:22">
      <c r="A986" s="58">
        <v>987</v>
      </c>
      <c r="B986" s="58">
        <v>987</v>
      </c>
      <c r="C986" s="58" t="s">
        <v>1550</v>
      </c>
      <c r="D986" s="58" t="s">
        <v>197</v>
      </c>
      <c r="E986" s="58" t="s">
        <v>197</v>
      </c>
      <c r="F986" s="58" t="s">
        <v>1551</v>
      </c>
      <c r="G986" s="58" t="s">
        <v>1552</v>
      </c>
      <c r="H986" s="58" t="s">
        <v>179</v>
      </c>
      <c r="I986">
        <v>38000</v>
      </c>
      <c r="J986" s="58" t="s">
        <v>185</v>
      </c>
      <c r="K986">
        <v>38000</v>
      </c>
      <c r="L986" s="74">
        <v>1.9550000000000001</v>
      </c>
      <c r="M986" s="85">
        <v>2</v>
      </c>
      <c r="N986" s="74">
        <v>2.0670000000000002</v>
      </c>
      <c r="O986">
        <v>2</v>
      </c>
      <c r="P986" s="84">
        <v>1.5502500000000001</v>
      </c>
      <c r="Q986" s="86">
        <v>16.8</v>
      </c>
      <c r="R986" s="85">
        <v>16.8</v>
      </c>
      <c r="S986" s="87">
        <v>488330</v>
      </c>
      <c r="T986" s="1">
        <v>4</v>
      </c>
      <c r="U986" s="88">
        <v>29067.261904761905</v>
      </c>
      <c r="V986" s="59">
        <v>34.402965207953635</v>
      </c>
    </row>
    <row r="987" spans="1:22">
      <c r="A987" s="58">
        <v>988</v>
      </c>
      <c r="B987" s="58">
        <v>988</v>
      </c>
      <c r="C987" s="58" t="s">
        <v>1553</v>
      </c>
      <c r="D987" s="58" t="s">
        <v>197</v>
      </c>
      <c r="E987" s="58" t="s">
        <v>197</v>
      </c>
      <c r="F987" s="58" t="s">
        <v>1551</v>
      </c>
      <c r="G987" s="58" t="s">
        <v>1552</v>
      </c>
      <c r="H987" s="58" t="s">
        <v>179</v>
      </c>
      <c r="I987">
        <v>38000</v>
      </c>
      <c r="J987" s="58" t="s">
        <v>185</v>
      </c>
      <c r="K987">
        <v>38000</v>
      </c>
      <c r="L987" s="74">
        <v>4.8280000000000003</v>
      </c>
      <c r="M987" s="85">
        <v>5</v>
      </c>
      <c r="N987" s="74">
        <v>0.57699999999999996</v>
      </c>
      <c r="O987">
        <v>2</v>
      </c>
      <c r="P987" s="84">
        <v>0.57699999999999996</v>
      </c>
      <c r="Q987" s="86">
        <v>4.2</v>
      </c>
      <c r="R987" s="85">
        <v>4.2</v>
      </c>
      <c r="S987" s="87">
        <v>699140</v>
      </c>
      <c r="T987" s="1">
        <v>4</v>
      </c>
      <c r="U987" s="88">
        <v>166461.90476190476</v>
      </c>
      <c r="V987" s="59">
        <v>6.0073804960379897</v>
      </c>
    </row>
    <row r="988" spans="1:22">
      <c r="A988" s="58">
        <v>989</v>
      </c>
      <c r="B988" s="58">
        <v>989</v>
      </c>
      <c r="C988" s="58" t="s">
        <v>1554</v>
      </c>
      <c r="D988" s="58" t="s">
        <v>197</v>
      </c>
      <c r="E988" s="58" t="s">
        <v>197</v>
      </c>
      <c r="F988" s="58" t="s">
        <v>1551</v>
      </c>
      <c r="G988" s="58" t="s">
        <v>1552</v>
      </c>
      <c r="H988" s="58" t="s">
        <v>179</v>
      </c>
      <c r="I988">
        <v>38000</v>
      </c>
      <c r="J988" s="58" t="s">
        <v>185</v>
      </c>
      <c r="K988">
        <v>38000</v>
      </c>
      <c r="L988" s="74">
        <v>2.1640000000000001</v>
      </c>
      <c r="M988" s="85">
        <v>3</v>
      </c>
      <c r="N988" s="74">
        <v>1.9530000000000001</v>
      </c>
      <c r="O988">
        <v>2</v>
      </c>
      <c r="P988" s="84">
        <v>1.46475</v>
      </c>
      <c r="Q988" s="86">
        <v>16.8</v>
      </c>
      <c r="R988" s="85">
        <v>16.8</v>
      </c>
      <c r="S988" s="87">
        <v>558600</v>
      </c>
      <c r="T988" s="1">
        <v>4</v>
      </c>
      <c r="U988" s="88">
        <v>33250</v>
      </c>
      <c r="V988" s="59">
        <v>30.075187969924812</v>
      </c>
    </row>
    <row r="989" spans="1:22">
      <c r="A989" s="58">
        <v>990</v>
      </c>
      <c r="B989" s="58">
        <v>990</v>
      </c>
      <c r="C989" s="58" t="s">
        <v>1555</v>
      </c>
      <c r="D989" s="58" t="s">
        <v>187</v>
      </c>
      <c r="E989" s="58" t="s">
        <v>187</v>
      </c>
      <c r="F989" s="58" t="s">
        <v>1469</v>
      </c>
      <c r="G989" s="58" t="s">
        <v>1470</v>
      </c>
      <c r="H989" s="58" t="s">
        <v>179</v>
      </c>
      <c r="I989">
        <v>38000</v>
      </c>
      <c r="J989">
        <v>38000</v>
      </c>
      <c r="K989">
        <v>20000</v>
      </c>
      <c r="L989" s="74">
        <v>1.282</v>
      </c>
      <c r="M989" s="85">
        <v>2</v>
      </c>
      <c r="N989" s="74">
        <v>1.766</v>
      </c>
      <c r="O989">
        <v>2</v>
      </c>
      <c r="P989" s="84">
        <v>1.3245</v>
      </c>
      <c r="Q989" s="86">
        <v>12.600000000000001</v>
      </c>
      <c r="R989" s="85">
        <v>12.600000000000001</v>
      </c>
      <c r="S989" s="87">
        <v>488330</v>
      </c>
      <c r="T989" s="1">
        <v>4</v>
      </c>
      <c r="U989" s="88">
        <v>38756.349206349201</v>
      </c>
      <c r="V989" s="59">
        <v>25.802223905965231</v>
      </c>
    </row>
    <row r="990" spans="1:22">
      <c r="A990" s="58">
        <v>991</v>
      </c>
      <c r="B990" s="58">
        <v>991</v>
      </c>
      <c r="C990" s="58" t="s">
        <v>1556</v>
      </c>
      <c r="D990" s="58" t="s">
        <v>187</v>
      </c>
      <c r="E990" s="58" t="s">
        <v>187</v>
      </c>
      <c r="F990" s="58" t="s">
        <v>731</v>
      </c>
      <c r="G990" s="58" t="s">
        <v>732</v>
      </c>
      <c r="H990" s="58" t="s">
        <v>179</v>
      </c>
      <c r="I990">
        <v>38000</v>
      </c>
      <c r="L990" s="74">
        <v>4.944</v>
      </c>
      <c r="M990" s="85">
        <v>5</v>
      </c>
      <c r="N990" s="74">
        <v>0.70599999999999996</v>
      </c>
      <c r="O990">
        <v>2</v>
      </c>
      <c r="P990" s="84">
        <v>0.52949999999999997</v>
      </c>
      <c r="Q990" s="86">
        <v>4.2</v>
      </c>
      <c r="R990" s="85">
        <v>4.2</v>
      </c>
      <c r="S990" s="87">
        <v>699140</v>
      </c>
      <c r="T990" s="1">
        <v>4</v>
      </c>
      <c r="U990" s="88">
        <v>166461.90476190476</v>
      </c>
      <c r="V990" s="59">
        <v>6.0073804960379897</v>
      </c>
    </row>
    <row r="991" spans="1:22">
      <c r="A991" s="58">
        <v>992</v>
      </c>
      <c r="B991" s="58">
        <v>992</v>
      </c>
      <c r="C991" s="58" t="s">
        <v>1557</v>
      </c>
      <c r="D991" s="58" t="s">
        <v>187</v>
      </c>
      <c r="E991" s="58" t="s">
        <v>187</v>
      </c>
      <c r="F991" s="58" t="s">
        <v>418</v>
      </c>
      <c r="G991" s="58" t="s">
        <v>419</v>
      </c>
      <c r="H991" s="58" t="s">
        <v>199</v>
      </c>
      <c r="I991">
        <v>110000</v>
      </c>
      <c r="J991" s="58" t="s">
        <v>185</v>
      </c>
      <c r="K991">
        <v>110000</v>
      </c>
      <c r="L991" s="74">
        <v>10.983000000000001</v>
      </c>
      <c r="M991" s="85">
        <v>11</v>
      </c>
      <c r="N991" s="74">
        <v>0.60899999999999999</v>
      </c>
      <c r="O991">
        <v>2</v>
      </c>
      <c r="P991" s="84">
        <v>0.60899999999999999</v>
      </c>
      <c r="Q991" s="86">
        <v>4.2</v>
      </c>
      <c r="R991" s="85">
        <v>4.2</v>
      </c>
      <c r="S991" s="87">
        <v>1996170</v>
      </c>
      <c r="T991" s="1">
        <v>7</v>
      </c>
      <c r="U991" s="88">
        <v>475278.57142857142</v>
      </c>
      <c r="V991" s="59">
        <v>2.1040292159485414</v>
      </c>
    </row>
    <row r="992" spans="1:22">
      <c r="A992" s="58">
        <v>993</v>
      </c>
      <c r="B992" s="58">
        <v>993</v>
      </c>
      <c r="C992" s="58" t="s">
        <v>1558</v>
      </c>
      <c r="D992" s="58" t="s">
        <v>187</v>
      </c>
      <c r="E992" s="58" t="s">
        <v>187</v>
      </c>
      <c r="F992" s="58" t="s">
        <v>418</v>
      </c>
      <c r="G992" s="58" t="s">
        <v>419</v>
      </c>
      <c r="H992" s="58" t="s">
        <v>199</v>
      </c>
      <c r="I992">
        <v>110000</v>
      </c>
      <c r="J992" s="58" t="s">
        <v>185</v>
      </c>
      <c r="K992">
        <v>110000</v>
      </c>
      <c r="L992" s="74">
        <v>8.7390000000000008</v>
      </c>
      <c r="M992" s="85">
        <v>9</v>
      </c>
      <c r="N992" s="74">
        <v>8.3800000000000008</v>
      </c>
      <c r="O992">
        <v>2</v>
      </c>
      <c r="P992" s="84">
        <v>6.2850000000000001</v>
      </c>
      <c r="Q992" s="86">
        <v>75.600000000000009</v>
      </c>
      <c r="R992" s="85">
        <v>75.600000000000009</v>
      </c>
      <c r="S992" s="87">
        <v>2815750</v>
      </c>
      <c r="T992" s="1">
        <v>11</v>
      </c>
      <c r="U992" s="88">
        <v>37245.370370370365</v>
      </c>
      <c r="V992" s="59">
        <v>26.848974518334373</v>
      </c>
    </row>
    <row r="993" spans="1:22">
      <c r="A993" s="58">
        <v>994</v>
      </c>
      <c r="B993" s="58">
        <v>994</v>
      </c>
      <c r="C993" s="58" t="s">
        <v>1559</v>
      </c>
      <c r="D993" s="58" t="s">
        <v>187</v>
      </c>
      <c r="E993" s="58" t="s">
        <v>187</v>
      </c>
      <c r="F993" s="58" t="s">
        <v>752</v>
      </c>
      <c r="G993" s="58" t="s">
        <v>753</v>
      </c>
      <c r="H993" s="58" t="s">
        <v>199</v>
      </c>
      <c r="I993">
        <v>110000</v>
      </c>
      <c r="J993" s="58" t="s">
        <v>185</v>
      </c>
      <c r="K993">
        <v>110000</v>
      </c>
      <c r="L993" s="74">
        <v>12.298999999999999</v>
      </c>
      <c r="M993" s="85">
        <v>13</v>
      </c>
      <c r="N993" s="74">
        <v>4.1550000000000002</v>
      </c>
      <c r="O993">
        <v>2</v>
      </c>
      <c r="P993" s="84">
        <v>3.11625</v>
      </c>
      <c r="Q993" s="86">
        <v>37.800000000000004</v>
      </c>
      <c r="R993" s="85">
        <v>37.800000000000004</v>
      </c>
      <c r="S993" s="87">
        <v>3400230</v>
      </c>
      <c r="T993" s="1">
        <v>10</v>
      </c>
      <c r="U993" s="88">
        <v>89953.174603174586</v>
      </c>
      <c r="V993" s="59">
        <v>11.116895033571261</v>
      </c>
    </row>
    <row r="994" spans="1:22">
      <c r="A994" s="58">
        <v>995</v>
      </c>
      <c r="B994" s="58">
        <v>995</v>
      </c>
      <c r="C994" s="58" t="s">
        <v>1560</v>
      </c>
      <c r="D994" s="58" t="s">
        <v>187</v>
      </c>
      <c r="E994" s="58" t="s">
        <v>187</v>
      </c>
      <c r="F994" s="58" t="s">
        <v>368</v>
      </c>
      <c r="G994" s="58" t="s">
        <v>369</v>
      </c>
      <c r="H994" s="58" t="s">
        <v>199</v>
      </c>
      <c r="I994">
        <v>110000</v>
      </c>
      <c r="J994">
        <v>110000</v>
      </c>
      <c r="K994">
        <v>38000</v>
      </c>
      <c r="L994" s="74">
        <v>6.1189999999999998</v>
      </c>
      <c r="M994" s="85">
        <v>7</v>
      </c>
      <c r="N994" s="74">
        <v>8.2750000000000004</v>
      </c>
      <c r="O994">
        <v>2</v>
      </c>
      <c r="P994" s="84">
        <v>6.2062500000000007</v>
      </c>
      <c r="Q994" s="86">
        <v>75.600000000000009</v>
      </c>
      <c r="R994" s="85">
        <v>75.600000000000009</v>
      </c>
      <c r="S994" s="87">
        <v>2394130</v>
      </c>
      <c r="T994" s="1">
        <v>11</v>
      </c>
      <c r="U994" s="88">
        <v>31668.386243386241</v>
      </c>
      <c r="V994" s="59">
        <v>31.577232648185358</v>
      </c>
    </row>
    <row r="995" spans="1:22">
      <c r="A995" s="58">
        <v>996</v>
      </c>
      <c r="B995" s="58">
        <v>996</v>
      </c>
      <c r="C995" s="58" t="s">
        <v>1561</v>
      </c>
      <c r="D995" s="58" t="s">
        <v>187</v>
      </c>
      <c r="E995" s="58" t="s">
        <v>187</v>
      </c>
      <c r="F995" s="58" t="s">
        <v>368</v>
      </c>
      <c r="G995" s="58" t="s">
        <v>369</v>
      </c>
      <c r="H995" s="58" t="s">
        <v>199</v>
      </c>
      <c r="I995">
        <v>110000</v>
      </c>
      <c r="J995">
        <v>110000</v>
      </c>
      <c r="K995">
        <v>38000</v>
      </c>
      <c r="L995" s="74">
        <v>9.3409999999999993</v>
      </c>
      <c r="M995" s="85">
        <v>10</v>
      </c>
      <c r="N995" s="74">
        <v>1.871</v>
      </c>
      <c r="O995">
        <v>2</v>
      </c>
      <c r="P995" s="84">
        <v>1.4032499999999999</v>
      </c>
      <c r="Q995" s="86">
        <v>16.8</v>
      </c>
      <c r="R995" s="85">
        <v>16.8</v>
      </c>
      <c r="S995" s="87">
        <v>2297410</v>
      </c>
      <c r="T995" s="1">
        <v>8</v>
      </c>
      <c r="U995" s="88">
        <v>136750.59523809524</v>
      </c>
      <c r="V995" s="59">
        <v>7.3125824297796216</v>
      </c>
    </row>
    <row r="996" spans="1:22">
      <c r="A996" s="89">
        <v>997</v>
      </c>
      <c r="B996" s="89">
        <v>997</v>
      </c>
      <c r="C996" s="89" t="s">
        <v>1562</v>
      </c>
      <c r="D996" s="58" t="s">
        <v>187</v>
      </c>
      <c r="E996" s="58" t="s">
        <v>187</v>
      </c>
      <c r="F996" s="89" t="s">
        <v>415</v>
      </c>
      <c r="G996" s="89" t="s">
        <v>416</v>
      </c>
      <c r="H996" s="89" t="s">
        <v>179</v>
      </c>
      <c r="I996" s="90">
        <v>38000</v>
      </c>
      <c r="J996" s="90">
        <v>38000</v>
      </c>
      <c r="K996" s="89" t="s">
        <v>185</v>
      </c>
      <c r="L996" s="91">
        <v>7.1909999999999998</v>
      </c>
      <c r="M996" s="92">
        <v>8</v>
      </c>
      <c r="N996" s="91">
        <v>11.635</v>
      </c>
      <c r="O996" s="90">
        <v>2</v>
      </c>
      <c r="P996" s="92">
        <v>8.7262500000000003</v>
      </c>
      <c r="Q996" s="93">
        <v>105</v>
      </c>
      <c r="R996" s="92">
        <v>105</v>
      </c>
      <c r="S996" s="87">
        <v>2604940</v>
      </c>
      <c r="T996" s="94">
        <v>11</v>
      </c>
      <c r="U996" s="95">
        <v>24808.952380952382</v>
      </c>
      <c r="V996" s="96">
        <v>40.308030127373378</v>
      </c>
    </row>
    <row r="997" spans="1:22">
      <c r="A997" s="58">
        <v>998</v>
      </c>
      <c r="B997" s="58">
        <v>998</v>
      </c>
      <c r="C997" s="58" t="s">
        <v>1563</v>
      </c>
      <c r="D997" s="58" t="s">
        <v>187</v>
      </c>
      <c r="E997" s="58" t="s">
        <v>187</v>
      </c>
      <c r="F997" s="58" t="s">
        <v>418</v>
      </c>
      <c r="G997" s="58" t="s">
        <v>419</v>
      </c>
      <c r="H997" s="58" t="s">
        <v>199</v>
      </c>
      <c r="I997">
        <v>110000</v>
      </c>
      <c r="J997" s="58" t="s">
        <v>185</v>
      </c>
      <c r="K997">
        <v>110000</v>
      </c>
      <c r="L997" s="74">
        <v>3.7810000000000001</v>
      </c>
      <c r="M997" s="85">
        <v>4</v>
      </c>
      <c r="N997" s="74">
        <v>5.2130000000000001</v>
      </c>
      <c r="O997">
        <v>2</v>
      </c>
      <c r="P997" s="84">
        <v>3.9097499999999998</v>
      </c>
      <c r="Q997" s="86">
        <v>46.2</v>
      </c>
      <c r="R997" s="85">
        <v>46.2</v>
      </c>
      <c r="S997" s="87">
        <v>1761700</v>
      </c>
      <c r="T997" s="1">
        <v>11</v>
      </c>
      <c r="U997" s="88">
        <v>38132.034632034629</v>
      </c>
      <c r="V997" s="59">
        <v>26.224669353465401</v>
      </c>
    </row>
    <row r="998" spans="1:22">
      <c r="A998" s="58">
        <v>999</v>
      </c>
      <c r="B998" s="58">
        <v>999</v>
      </c>
      <c r="C998" s="58" t="s">
        <v>1564</v>
      </c>
      <c r="D998" s="58" t="s">
        <v>187</v>
      </c>
      <c r="E998" s="58" t="s">
        <v>187</v>
      </c>
      <c r="F998" s="58" t="s">
        <v>368</v>
      </c>
      <c r="G998" s="58" t="s">
        <v>369</v>
      </c>
      <c r="H998" s="58" t="s">
        <v>199</v>
      </c>
      <c r="I998">
        <v>110000</v>
      </c>
      <c r="J998">
        <v>110000</v>
      </c>
      <c r="K998">
        <v>38000</v>
      </c>
      <c r="L998" s="74">
        <v>10.545</v>
      </c>
      <c r="M998" s="85">
        <v>11</v>
      </c>
      <c r="N998" s="74">
        <v>1.3560000000000001</v>
      </c>
      <c r="O998">
        <v>2</v>
      </c>
      <c r="P998" s="84">
        <v>1.0170000000000001</v>
      </c>
      <c r="Q998" s="86">
        <v>12.600000000000001</v>
      </c>
      <c r="R998" s="85">
        <v>12.600000000000001</v>
      </c>
      <c r="S998" s="87">
        <v>1996170</v>
      </c>
      <c r="T998" s="1">
        <v>7</v>
      </c>
      <c r="U998" s="88">
        <v>158426.19047619044</v>
      </c>
      <c r="V998" s="59">
        <v>6.3120876478456251</v>
      </c>
    </row>
    <row r="999" spans="1:22">
      <c r="A999" s="58">
        <v>1000</v>
      </c>
      <c r="B999" s="58">
        <v>1000</v>
      </c>
      <c r="C999" s="58" t="s">
        <v>1565</v>
      </c>
      <c r="D999" s="58" t="s">
        <v>187</v>
      </c>
      <c r="E999" s="58" t="s">
        <v>187</v>
      </c>
      <c r="F999" s="58" t="s">
        <v>368</v>
      </c>
      <c r="G999" s="58" t="s">
        <v>369</v>
      </c>
      <c r="H999" s="58" t="s">
        <v>199</v>
      </c>
      <c r="I999">
        <v>110000</v>
      </c>
      <c r="J999">
        <v>110000</v>
      </c>
      <c r="K999">
        <v>38000</v>
      </c>
      <c r="L999" s="74">
        <v>3.1829999999999998</v>
      </c>
      <c r="M999" s="85">
        <v>4</v>
      </c>
      <c r="N999" s="74">
        <v>1.82</v>
      </c>
      <c r="O999">
        <v>2</v>
      </c>
      <c r="P999" s="84">
        <v>1.365</v>
      </c>
      <c r="Q999" s="86">
        <v>16.8</v>
      </c>
      <c r="R999" s="85">
        <v>16.8</v>
      </c>
      <c r="S999" s="87">
        <v>1875790</v>
      </c>
      <c r="T999" s="1">
        <v>8</v>
      </c>
      <c r="U999" s="88">
        <v>111654.16666666666</v>
      </c>
      <c r="V999" s="59">
        <v>8.9562264432585739</v>
      </c>
    </row>
    <row r="1000" spans="1:22">
      <c r="A1000" s="58">
        <v>1001</v>
      </c>
      <c r="B1000" s="58">
        <v>1001</v>
      </c>
      <c r="C1000" s="58" t="s">
        <v>1566</v>
      </c>
      <c r="D1000" s="58" t="s">
        <v>187</v>
      </c>
      <c r="E1000" s="58" t="s">
        <v>187</v>
      </c>
      <c r="F1000" s="58" t="s">
        <v>368</v>
      </c>
      <c r="G1000" s="58" t="s">
        <v>369</v>
      </c>
      <c r="H1000" s="58" t="s">
        <v>199</v>
      </c>
      <c r="I1000">
        <v>110000</v>
      </c>
      <c r="J1000">
        <v>110000</v>
      </c>
      <c r="K1000">
        <v>38000</v>
      </c>
      <c r="L1000" s="74">
        <v>7.1539999999999999</v>
      </c>
      <c r="M1000" s="85">
        <v>8</v>
      </c>
      <c r="N1000" s="74">
        <v>5.444</v>
      </c>
      <c r="O1000">
        <v>2</v>
      </c>
      <c r="P1000" s="84">
        <v>4.0830000000000002</v>
      </c>
      <c r="Q1000" s="86">
        <v>50.400000000000006</v>
      </c>
      <c r="R1000" s="85">
        <v>50.400000000000006</v>
      </c>
      <c r="S1000" s="87">
        <v>2604940</v>
      </c>
      <c r="T1000" s="1">
        <v>11</v>
      </c>
      <c r="U1000" s="88">
        <v>51685.317460317456</v>
      </c>
      <c r="V1000" s="59">
        <v>19.347854461139224</v>
      </c>
    </row>
    <row r="1001" spans="1:22">
      <c r="A1001" s="89">
        <v>1002</v>
      </c>
      <c r="B1001" s="89">
        <v>1002</v>
      </c>
      <c r="C1001" s="89" t="s">
        <v>1567</v>
      </c>
      <c r="D1001" s="58" t="s">
        <v>351</v>
      </c>
      <c r="E1001" s="58" t="s">
        <v>351</v>
      </c>
      <c r="F1001" s="89" t="s">
        <v>514</v>
      </c>
      <c r="G1001" s="89" t="s">
        <v>515</v>
      </c>
      <c r="H1001" s="89" t="s">
        <v>179</v>
      </c>
      <c r="I1001" s="90">
        <v>38000</v>
      </c>
      <c r="J1001" s="90">
        <v>38000</v>
      </c>
      <c r="K1001" s="90">
        <v>20000</v>
      </c>
      <c r="L1001" s="91">
        <v>10.009</v>
      </c>
      <c r="M1001" s="92">
        <v>11</v>
      </c>
      <c r="N1001" s="91">
        <v>21.5</v>
      </c>
      <c r="O1001" s="90">
        <v>2</v>
      </c>
      <c r="P1001" s="92">
        <v>16.125</v>
      </c>
      <c r="Q1001" s="93">
        <v>197.4</v>
      </c>
      <c r="R1001" s="92">
        <v>197.4</v>
      </c>
      <c r="S1001" s="87">
        <v>9068760</v>
      </c>
      <c r="T1001" s="94">
        <v>13</v>
      </c>
      <c r="U1001" s="95">
        <v>45941.033434650453</v>
      </c>
      <c r="V1001" s="96">
        <v>21.76703319968772</v>
      </c>
    </row>
    <row r="1002" spans="1:22">
      <c r="A1002" s="89">
        <v>1003</v>
      </c>
      <c r="B1002" s="89">
        <v>1003</v>
      </c>
      <c r="C1002" s="89" t="s">
        <v>1568</v>
      </c>
      <c r="D1002" s="58" t="s">
        <v>249</v>
      </c>
      <c r="E1002" s="58" t="s">
        <v>351</v>
      </c>
      <c r="F1002" s="89" t="s">
        <v>514</v>
      </c>
      <c r="G1002" s="89" t="s">
        <v>515</v>
      </c>
      <c r="H1002" s="89" t="s">
        <v>179</v>
      </c>
      <c r="I1002" s="90">
        <v>38000</v>
      </c>
      <c r="J1002" s="90">
        <v>38000</v>
      </c>
      <c r="K1002" s="90">
        <v>20000</v>
      </c>
      <c r="L1002" s="91">
        <v>8.3970000000000002</v>
      </c>
      <c r="M1002" s="92">
        <v>9</v>
      </c>
      <c r="N1002" s="91">
        <v>25.306000000000001</v>
      </c>
      <c r="O1002" s="90">
        <v>2</v>
      </c>
      <c r="P1002" s="92">
        <v>18.979500000000002</v>
      </c>
      <c r="Q1002" s="93">
        <v>235.20000000000005</v>
      </c>
      <c r="R1002" s="92">
        <v>235.20000000000005</v>
      </c>
      <c r="S1002" s="87">
        <v>8678360</v>
      </c>
      <c r="T1002" s="94">
        <v>12</v>
      </c>
      <c r="U1002" s="95">
        <v>36897.78911564625</v>
      </c>
      <c r="V1002" s="96">
        <v>27.101894828055077</v>
      </c>
    </row>
    <row r="1003" spans="1:22">
      <c r="A1003" s="89">
        <v>1004</v>
      </c>
      <c r="B1003" s="89">
        <v>1004</v>
      </c>
      <c r="C1003" s="89" t="s">
        <v>1569</v>
      </c>
      <c r="D1003" s="58" t="s">
        <v>249</v>
      </c>
      <c r="E1003" s="58" t="s">
        <v>351</v>
      </c>
      <c r="F1003" s="89" t="s">
        <v>250</v>
      </c>
      <c r="G1003" s="89" t="s">
        <v>251</v>
      </c>
      <c r="H1003" s="89" t="s">
        <v>199</v>
      </c>
      <c r="I1003" s="90">
        <v>110000</v>
      </c>
      <c r="J1003" s="89"/>
      <c r="K1003" s="89"/>
      <c r="L1003" s="91">
        <v>8.6319999999999997</v>
      </c>
      <c r="M1003" s="92">
        <v>9</v>
      </c>
      <c r="N1003" s="91">
        <v>22.242000000000001</v>
      </c>
      <c r="O1003" s="90">
        <v>2</v>
      </c>
      <c r="P1003" s="92">
        <v>16.6815</v>
      </c>
      <c r="Q1003" s="93">
        <v>205.8</v>
      </c>
      <c r="R1003" s="92">
        <v>205.8</v>
      </c>
      <c r="S1003" s="87">
        <v>8678360</v>
      </c>
      <c r="T1003" s="94">
        <v>12</v>
      </c>
      <c r="U1003" s="95">
        <v>42168.901846452864</v>
      </c>
      <c r="V1003" s="96">
        <v>23.714157974548186</v>
      </c>
    </row>
    <row r="1004" spans="1:22">
      <c r="A1004" s="58">
        <v>1005</v>
      </c>
      <c r="B1004" s="58">
        <v>1005</v>
      </c>
      <c r="C1004" s="58" t="s">
        <v>1570</v>
      </c>
      <c r="D1004" s="58" t="s">
        <v>351</v>
      </c>
      <c r="E1004" s="58" t="s">
        <v>351</v>
      </c>
      <c r="F1004" s="58" t="s">
        <v>422</v>
      </c>
      <c r="G1004" s="58" t="s">
        <v>423</v>
      </c>
      <c r="H1004" s="58" t="s">
        <v>199</v>
      </c>
      <c r="I1004">
        <v>110000</v>
      </c>
      <c r="J1004">
        <v>110000</v>
      </c>
      <c r="K1004">
        <v>20000</v>
      </c>
      <c r="L1004" s="74">
        <v>7.2030000000000003</v>
      </c>
      <c r="M1004" s="85">
        <v>8</v>
      </c>
      <c r="N1004" s="74">
        <v>13.323</v>
      </c>
      <c r="O1004">
        <v>2</v>
      </c>
      <c r="P1004" s="84">
        <v>9.9922500000000003</v>
      </c>
      <c r="Q1004" s="86">
        <v>121.80000000000001</v>
      </c>
      <c r="R1004" s="85">
        <v>121.80000000000001</v>
      </c>
      <c r="S1004" s="87">
        <v>2604940</v>
      </c>
      <c r="T1004" s="1">
        <v>11</v>
      </c>
      <c r="U1004" s="88">
        <v>21387.027914614118</v>
      </c>
      <c r="V1004" s="59">
        <v>46.757314947753123</v>
      </c>
    </row>
    <row r="1005" spans="1:22">
      <c r="A1005" s="58">
        <v>1006</v>
      </c>
      <c r="B1005" s="58">
        <v>1006</v>
      </c>
      <c r="C1005" s="58" t="s">
        <v>1571</v>
      </c>
      <c r="D1005" s="58" t="s">
        <v>351</v>
      </c>
      <c r="E1005" s="58" t="s">
        <v>351</v>
      </c>
      <c r="F1005" s="58" t="s">
        <v>514</v>
      </c>
      <c r="G1005" s="58" t="s">
        <v>515</v>
      </c>
      <c r="H1005" s="58" t="s">
        <v>179</v>
      </c>
      <c r="I1005">
        <v>38000</v>
      </c>
      <c r="J1005">
        <v>38000</v>
      </c>
      <c r="K1005">
        <v>20000</v>
      </c>
      <c r="L1005" s="74">
        <v>6.8719999999999999</v>
      </c>
      <c r="M1005" s="85">
        <v>7</v>
      </c>
      <c r="N1005" s="74">
        <v>3.573</v>
      </c>
      <c r="O1005">
        <v>2</v>
      </c>
      <c r="P1005" s="84">
        <v>2.6797499999999999</v>
      </c>
      <c r="Q1005" s="86">
        <v>29.400000000000006</v>
      </c>
      <c r="R1005" s="85">
        <v>29.400000000000006</v>
      </c>
      <c r="S1005" s="87">
        <v>969600</v>
      </c>
      <c r="T1005" s="1">
        <v>5</v>
      </c>
      <c r="U1005" s="88">
        <v>32979.591836734689</v>
      </c>
      <c r="V1005" s="59">
        <v>30.321782178217831</v>
      </c>
    </row>
    <row r="1006" spans="1:22">
      <c r="A1006" s="58">
        <v>1007</v>
      </c>
      <c r="B1006" s="58">
        <v>1007</v>
      </c>
      <c r="C1006" s="58" t="s">
        <v>1572</v>
      </c>
      <c r="D1006" s="58" t="s">
        <v>346</v>
      </c>
      <c r="E1006" s="58" t="s">
        <v>234</v>
      </c>
      <c r="F1006" s="58" t="s">
        <v>425</v>
      </c>
      <c r="G1006" s="58" t="s">
        <v>426</v>
      </c>
      <c r="H1006" s="58" t="s">
        <v>199</v>
      </c>
      <c r="I1006">
        <v>110000</v>
      </c>
      <c r="J1006">
        <v>110000</v>
      </c>
      <c r="K1006">
        <v>38000</v>
      </c>
      <c r="L1006" s="74">
        <v>5.1740000000000004</v>
      </c>
      <c r="M1006" s="85">
        <v>6</v>
      </c>
      <c r="N1006" s="74">
        <v>9.9710000000000001</v>
      </c>
      <c r="O1006">
        <v>2</v>
      </c>
      <c r="P1006" s="84">
        <v>7.4782500000000001</v>
      </c>
      <c r="Q1006" s="86">
        <v>92.4</v>
      </c>
      <c r="R1006" s="85">
        <v>92.4</v>
      </c>
      <c r="S1006" s="87">
        <v>2183320</v>
      </c>
      <c r="T1006" s="1">
        <v>11</v>
      </c>
      <c r="U1006" s="88">
        <v>23629.004329004329</v>
      </c>
      <c r="V1006" s="59">
        <v>42.320869135078688</v>
      </c>
    </row>
    <row r="1007" spans="1:22">
      <c r="A1007" s="58">
        <v>1008</v>
      </c>
      <c r="B1007" s="58">
        <v>1008</v>
      </c>
      <c r="C1007" s="58" t="s">
        <v>1573</v>
      </c>
      <c r="D1007" s="58" t="s">
        <v>234</v>
      </c>
      <c r="E1007" s="58" t="s">
        <v>234</v>
      </c>
      <c r="F1007" s="58" t="s">
        <v>425</v>
      </c>
      <c r="G1007" s="58" t="s">
        <v>426</v>
      </c>
      <c r="H1007" s="58" t="s">
        <v>199</v>
      </c>
      <c r="I1007">
        <v>110000</v>
      </c>
      <c r="J1007">
        <v>110000</v>
      </c>
      <c r="K1007">
        <v>38000</v>
      </c>
      <c r="L1007" s="74">
        <v>2.5419999999999998</v>
      </c>
      <c r="M1007" s="85">
        <v>3</v>
      </c>
      <c r="N1007" s="74">
        <v>4.992</v>
      </c>
      <c r="O1007">
        <v>2</v>
      </c>
      <c r="P1007" s="84">
        <v>3.7439999999999998</v>
      </c>
      <c r="Q1007" s="86">
        <v>46.2</v>
      </c>
      <c r="R1007" s="85">
        <v>46.2</v>
      </c>
      <c r="S1007" s="87">
        <v>1550890</v>
      </c>
      <c r="T1007" s="1">
        <v>11</v>
      </c>
      <c r="U1007" s="88">
        <v>33569.047619047618</v>
      </c>
      <c r="V1007" s="59">
        <v>29.789346762181715</v>
      </c>
    </row>
    <row r="1008" spans="1:22">
      <c r="A1008" s="58">
        <v>1009</v>
      </c>
      <c r="B1008" s="58">
        <v>1009</v>
      </c>
      <c r="C1008" s="58" t="s">
        <v>1574</v>
      </c>
      <c r="D1008" s="58" t="s">
        <v>234</v>
      </c>
      <c r="E1008" s="58" t="s">
        <v>234</v>
      </c>
      <c r="F1008" s="58" t="s">
        <v>630</v>
      </c>
      <c r="G1008" s="58" t="s">
        <v>631</v>
      </c>
      <c r="H1008" s="58" t="s">
        <v>179</v>
      </c>
      <c r="I1008">
        <v>38000</v>
      </c>
      <c r="J1008" s="58" t="s">
        <v>185</v>
      </c>
      <c r="K1008">
        <v>38000</v>
      </c>
      <c r="L1008" s="74">
        <v>9.1790000000000003</v>
      </c>
      <c r="M1008" s="85">
        <v>10</v>
      </c>
      <c r="N1008" s="74">
        <v>0.47699999999999998</v>
      </c>
      <c r="O1008">
        <v>2</v>
      </c>
      <c r="P1008" s="84">
        <v>0.47699999999999998</v>
      </c>
      <c r="Q1008" s="86">
        <v>4.2</v>
      </c>
      <c r="R1008" s="85">
        <v>4.2</v>
      </c>
      <c r="S1008" s="87">
        <v>1387140</v>
      </c>
      <c r="T1008" s="1">
        <v>1</v>
      </c>
      <c r="U1008" s="88">
        <v>330271.42857142858</v>
      </c>
      <c r="V1008" s="59">
        <v>3.0278126216531858</v>
      </c>
    </row>
    <row r="1009" spans="1:22">
      <c r="A1009" s="58">
        <v>1010</v>
      </c>
      <c r="B1009" s="58">
        <v>1010</v>
      </c>
      <c r="C1009" s="58" t="s">
        <v>1575</v>
      </c>
      <c r="D1009" s="58" t="s">
        <v>234</v>
      </c>
      <c r="E1009" s="58" t="s">
        <v>234</v>
      </c>
      <c r="F1009" s="58" t="s">
        <v>630</v>
      </c>
      <c r="G1009" s="58" t="s">
        <v>631</v>
      </c>
      <c r="H1009" s="58" t="s">
        <v>179</v>
      </c>
      <c r="I1009">
        <v>38000</v>
      </c>
      <c r="J1009" s="58" t="s">
        <v>185</v>
      </c>
      <c r="K1009">
        <v>38000</v>
      </c>
      <c r="L1009" s="74">
        <v>6.5970000000000004</v>
      </c>
      <c r="M1009" s="85">
        <v>7</v>
      </c>
      <c r="N1009" s="74">
        <v>3.673</v>
      </c>
      <c r="O1009">
        <v>2</v>
      </c>
      <c r="P1009" s="84">
        <v>2.75475</v>
      </c>
      <c r="Q1009" s="86">
        <v>33.6</v>
      </c>
      <c r="R1009" s="85">
        <v>33.6</v>
      </c>
      <c r="S1009" s="87">
        <v>1126610</v>
      </c>
      <c r="T1009" s="1">
        <v>6</v>
      </c>
      <c r="U1009" s="88">
        <v>33530.059523809519</v>
      </c>
      <c r="V1009" s="59">
        <v>29.823985230026363</v>
      </c>
    </row>
    <row r="1010" spans="1:22">
      <c r="A1010" s="58">
        <v>1011</v>
      </c>
      <c r="B1010" s="58">
        <v>1011</v>
      </c>
      <c r="C1010" s="58" t="s">
        <v>1576</v>
      </c>
      <c r="D1010" s="58" t="s">
        <v>234</v>
      </c>
      <c r="E1010" s="58" t="s">
        <v>234</v>
      </c>
      <c r="F1010" s="58" t="s">
        <v>337</v>
      </c>
      <c r="G1010" s="58" t="s">
        <v>338</v>
      </c>
      <c r="H1010" s="58" t="s">
        <v>179</v>
      </c>
      <c r="I1010">
        <v>38000</v>
      </c>
      <c r="J1010">
        <v>38000</v>
      </c>
      <c r="K1010" s="58" t="s">
        <v>185</v>
      </c>
      <c r="L1010" s="74">
        <v>10.711</v>
      </c>
      <c r="M1010" s="85">
        <v>11</v>
      </c>
      <c r="N1010" s="74">
        <v>0.92200000000000004</v>
      </c>
      <c r="O1010">
        <v>2</v>
      </c>
      <c r="P1010" s="84">
        <v>0.6915</v>
      </c>
      <c r="Q1010" s="86">
        <v>8.4</v>
      </c>
      <c r="R1010" s="85">
        <v>8.4</v>
      </c>
      <c r="S1010" s="87">
        <v>1485200</v>
      </c>
      <c r="T1010" s="1">
        <v>2</v>
      </c>
      <c r="U1010" s="88">
        <v>176809.52380952382</v>
      </c>
      <c r="V1010" s="59">
        <v>5.655803932130353</v>
      </c>
    </row>
    <row r="1011" spans="1:22">
      <c r="A1011" s="58">
        <v>1012</v>
      </c>
      <c r="B1011" s="58">
        <v>1012</v>
      </c>
      <c r="C1011" s="58" t="s">
        <v>1577</v>
      </c>
      <c r="D1011" s="58" t="s">
        <v>234</v>
      </c>
      <c r="E1011" s="58" t="s">
        <v>234</v>
      </c>
      <c r="F1011" s="58" t="s">
        <v>630</v>
      </c>
      <c r="G1011" s="58" t="s">
        <v>631</v>
      </c>
      <c r="H1011" s="58" t="s">
        <v>179</v>
      </c>
      <c r="I1011">
        <v>38000</v>
      </c>
      <c r="J1011" s="58" t="s">
        <v>185</v>
      </c>
      <c r="K1011">
        <v>38000</v>
      </c>
      <c r="L1011" s="74">
        <v>10.968999999999999</v>
      </c>
      <c r="M1011" s="85">
        <v>11</v>
      </c>
      <c r="N1011" s="74">
        <v>2.2949999999999999</v>
      </c>
      <c r="O1011">
        <v>2</v>
      </c>
      <c r="P1011" s="84">
        <v>1.7212499999999999</v>
      </c>
      <c r="Q1011" s="86">
        <v>21</v>
      </c>
      <c r="R1011" s="85">
        <v>21</v>
      </c>
      <c r="S1011" s="87">
        <v>1120760</v>
      </c>
      <c r="T1011" s="1">
        <v>4</v>
      </c>
      <c r="U1011" s="88">
        <v>53369.523809523809</v>
      </c>
      <c r="V1011" s="59">
        <v>18.737285413469433</v>
      </c>
    </row>
    <row r="1012" spans="1:22">
      <c r="A1012" s="58">
        <v>1013</v>
      </c>
      <c r="B1012" s="58">
        <v>1013</v>
      </c>
      <c r="C1012" s="58" t="s">
        <v>1578</v>
      </c>
      <c r="D1012" s="58" t="s">
        <v>234</v>
      </c>
      <c r="E1012" s="58" t="s">
        <v>234</v>
      </c>
      <c r="F1012" s="58" t="s">
        <v>326</v>
      </c>
      <c r="G1012" s="58" t="s">
        <v>327</v>
      </c>
      <c r="H1012" s="58" t="s">
        <v>199</v>
      </c>
      <c r="I1012">
        <v>110000</v>
      </c>
      <c r="J1012">
        <v>110000</v>
      </c>
      <c r="K1012">
        <v>38000</v>
      </c>
      <c r="L1012" s="74">
        <v>8.8390000000000004</v>
      </c>
      <c r="M1012" s="85">
        <v>9</v>
      </c>
      <c r="N1012" s="74">
        <v>7.0819999999999999</v>
      </c>
      <c r="O1012">
        <v>2</v>
      </c>
      <c r="P1012" s="84">
        <v>5.3114999999999997</v>
      </c>
      <c r="Q1012" s="86">
        <v>63</v>
      </c>
      <c r="R1012" s="85">
        <v>63</v>
      </c>
      <c r="S1012" s="87">
        <v>2815750</v>
      </c>
      <c r="T1012" s="1">
        <v>11</v>
      </c>
      <c r="U1012" s="88">
        <v>44694.444444444445</v>
      </c>
      <c r="V1012" s="59">
        <v>22.374145431945308</v>
      </c>
    </row>
    <row r="1013" spans="1:22">
      <c r="A1013" s="58">
        <v>1014</v>
      </c>
      <c r="B1013" s="58">
        <v>1014</v>
      </c>
      <c r="C1013" s="58" t="s">
        <v>1579</v>
      </c>
      <c r="D1013" s="58" t="s">
        <v>234</v>
      </c>
      <c r="E1013" s="58" t="s">
        <v>234</v>
      </c>
      <c r="F1013" s="58" t="s">
        <v>326</v>
      </c>
      <c r="G1013" s="58" t="s">
        <v>327</v>
      </c>
      <c r="H1013" s="58" t="s">
        <v>199</v>
      </c>
      <c r="I1013">
        <v>110000</v>
      </c>
      <c r="J1013">
        <v>110000</v>
      </c>
      <c r="K1013">
        <v>38000</v>
      </c>
      <c r="L1013" s="74">
        <v>5.2939999999999996</v>
      </c>
      <c r="M1013" s="85">
        <v>6</v>
      </c>
      <c r="N1013" s="74">
        <v>0.97099999999999997</v>
      </c>
      <c r="O1013">
        <v>2</v>
      </c>
      <c r="P1013" s="84">
        <v>0.72824999999999995</v>
      </c>
      <c r="Q1013" s="86">
        <v>8.4</v>
      </c>
      <c r="R1013" s="85">
        <v>8.4</v>
      </c>
      <c r="S1013" s="87">
        <v>1732670</v>
      </c>
      <c r="T1013" s="1">
        <v>7</v>
      </c>
      <c r="U1013" s="88">
        <v>206270.23809523808</v>
      </c>
      <c r="V1013" s="59">
        <v>4.8480091419600964</v>
      </c>
    </row>
    <row r="1014" spans="1:22">
      <c r="A1014" s="58">
        <v>1015</v>
      </c>
      <c r="B1014" s="58">
        <v>1015</v>
      </c>
      <c r="C1014" s="58" t="s">
        <v>1580</v>
      </c>
      <c r="D1014" s="58" t="s">
        <v>187</v>
      </c>
      <c r="E1014" s="58" t="s">
        <v>187</v>
      </c>
      <c r="F1014" s="58" t="s">
        <v>752</v>
      </c>
      <c r="G1014" s="58" t="s">
        <v>753</v>
      </c>
      <c r="H1014" s="58" t="s">
        <v>199</v>
      </c>
      <c r="I1014">
        <v>110000</v>
      </c>
      <c r="J1014" s="58" t="s">
        <v>185</v>
      </c>
      <c r="K1014">
        <v>110000</v>
      </c>
      <c r="L1014" s="74">
        <v>2.4489999999999998</v>
      </c>
      <c r="M1014" s="85">
        <v>3</v>
      </c>
      <c r="N1014" s="74">
        <v>10.191000000000001</v>
      </c>
      <c r="O1014">
        <v>2</v>
      </c>
      <c r="P1014" s="84">
        <v>7.6432500000000001</v>
      </c>
      <c r="Q1014" s="86">
        <v>92.4</v>
      </c>
      <c r="R1014" s="85">
        <v>92.4</v>
      </c>
      <c r="S1014" s="87">
        <v>1550890</v>
      </c>
      <c r="T1014" s="1">
        <v>11</v>
      </c>
      <c r="U1014" s="88">
        <v>16784.523809523809</v>
      </c>
      <c r="V1014" s="59">
        <v>59.57869352436343</v>
      </c>
    </row>
    <row r="1015" spans="1:22">
      <c r="A1015" s="58">
        <v>1016</v>
      </c>
      <c r="B1015" s="58">
        <v>1016</v>
      </c>
      <c r="C1015" s="58" t="s">
        <v>1581</v>
      </c>
      <c r="D1015" s="58" t="s">
        <v>187</v>
      </c>
      <c r="E1015" s="58" t="s">
        <v>187</v>
      </c>
      <c r="F1015" s="58" t="s">
        <v>752</v>
      </c>
      <c r="G1015" s="58" t="s">
        <v>753</v>
      </c>
      <c r="H1015" s="58" t="s">
        <v>199</v>
      </c>
      <c r="I1015">
        <v>110000</v>
      </c>
      <c r="J1015" s="58" t="s">
        <v>185</v>
      </c>
      <c r="K1015">
        <v>110000</v>
      </c>
      <c r="L1015" s="74">
        <v>6.5759999999999996</v>
      </c>
      <c r="M1015" s="85">
        <v>7</v>
      </c>
      <c r="N1015" s="74">
        <v>6.468</v>
      </c>
      <c r="O1015">
        <v>2</v>
      </c>
      <c r="P1015" s="84">
        <v>4.851</v>
      </c>
      <c r="Q1015" s="86">
        <v>58.800000000000011</v>
      </c>
      <c r="R1015" s="85">
        <v>58.800000000000011</v>
      </c>
      <c r="S1015" s="87">
        <v>2394130</v>
      </c>
      <c r="T1015" s="1">
        <v>11</v>
      </c>
      <c r="U1015" s="88">
        <v>40716.496598639445</v>
      </c>
      <c r="V1015" s="59">
        <v>24.560069837477503</v>
      </c>
    </row>
    <row r="1016" spans="1:22">
      <c r="A1016" s="89">
        <v>1017</v>
      </c>
      <c r="B1016" s="89">
        <v>1017</v>
      </c>
      <c r="C1016" s="89" t="s">
        <v>1582</v>
      </c>
      <c r="D1016" s="58" t="s">
        <v>187</v>
      </c>
      <c r="E1016" s="58" t="s">
        <v>187</v>
      </c>
      <c r="F1016" s="89" t="s">
        <v>432</v>
      </c>
      <c r="G1016" s="89" t="s">
        <v>433</v>
      </c>
      <c r="H1016" s="89" t="s">
        <v>199</v>
      </c>
      <c r="I1016" s="90">
        <v>110000</v>
      </c>
      <c r="J1016" s="89"/>
      <c r="K1016" s="89"/>
      <c r="L1016" s="91">
        <v>7.89</v>
      </c>
      <c r="M1016" s="92">
        <v>8</v>
      </c>
      <c r="N1016" s="91">
        <v>49.463999999999899</v>
      </c>
      <c r="O1016" s="90">
        <v>2</v>
      </c>
      <c r="P1016" s="92">
        <v>37.097999999999928</v>
      </c>
      <c r="Q1016" s="93">
        <v>457.79999999999995</v>
      </c>
      <c r="R1016" s="92">
        <v>457.79999999999995</v>
      </c>
      <c r="S1016" s="87">
        <v>11877300</v>
      </c>
      <c r="T1016" s="94">
        <v>12</v>
      </c>
      <c r="U1016" s="95">
        <v>25944.298820445612</v>
      </c>
      <c r="V1016" s="96">
        <v>38.544113561162888</v>
      </c>
    </row>
    <row r="1017" spans="1:22">
      <c r="A1017" s="58">
        <v>1018</v>
      </c>
      <c r="B1017" s="58">
        <v>1018</v>
      </c>
      <c r="C1017" s="58" t="s">
        <v>1583</v>
      </c>
      <c r="D1017" s="58" t="s">
        <v>187</v>
      </c>
      <c r="E1017" s="58" t="s">
        <v>187</v>
      </c>
      <c r="F1017" s="58" t="s">
        <v>368</v>
      </c>
      <c r="G1017" s="58" t="s">
        <v>369</v>
      </c>
      <c r="H1017" s="58" t="s">
        <v>199</v>
      </c>
      <c r="I1017">
        <v>110000</v>
      </c>
      <c r="J1017">
        <v>110000</v>
      </c>
      <c r="K1017">
        <v>38000</v>
      </c>
      <c r="L1017" s="74">
        <v>10.090999999999999</v>
      </c>
      <c r="M1017" s="85">
        <v>11</v>
      </c>
      <c r="N1017" s="74">
        <v>0.99399999999999999</v>
      </c>
      <c r="O1017">
        <v>2</v>
      </c>
      <c r="P1017" s="84">
        <v>0.74550000000000005</v>
      </c>
      <c r="Q1017" s="86">
        <v>8.4</v>
      </c>
      <c r="R1017" s="85">
        <v>8.4</v>
      </c>
      <c r="S1017" s="87">
        <v>1996170</v>
      </c>
      <c r="T1017" s="1">
        <v>7</v>
      </c>
      <c r="U1017" s="88">
        <v>237639.28571428571</v>
      </c>
      <c r="V1017" s="59">
        <v>4.2080584318970828</v>
      </c>
    </row>
    <row r="1018" spans="1:22">
      <c r="A1018" s="58">
        <v>1019</v>
      </c>
      <c r="B1018" s="58">
        <v>1019</v>
      </c>
      <c r="C1018" s="58" t="s">
        <v>1584</v>
      </c>
      <c r="D1018" s="58" t="s">
        <v>187</v>
      </c>
      <c r="E1018" s="58" t="s">
        <v>187</v>
      </c>
      <c r="F1018" s="58" t="s">
        <v>746</v>
      </c>
      <c r="G1018" s="58" t="s">
        <v>747</v>
      </c>
      <c r="H1018" s="58" t="s">
        <v>199</v>
      </c>
      <c r="I1018">
        <v>110000</v>
      </c>
      <c r="J1018">
        <v>110000</v>
      </c>
      <c r="K1018">
        <v>38000</v>
      </c>
      <c r="L1018" s="74">
        <v>6.9749999999999996</v>
      </c>
      <c r="M1018" s="85">
        <v>7</v>
      </c>
      <c r="N1018" s="74">
        <v>1.135</v>
      </c>
      <c r="O1018">
        <v>2</v>
      </c>
      <c r="P1018" s="84">
        <v>0.85125000000000006</v>
      </c>
      <c r="Q1018" s="86">
        <v>8.4</v>
      </c>
      <c r="R1018" s="85">
        <v>8.4</v>
      </c>
      <c r="S1018" s="87">
        <v>1785370</v>
      </c>
      <c r="T1018" s="1">
        <v>7</v>
      </c>
      <c r="U1018" s="88">
        <v>212544.0476190476</v>
      </c>
      <c r="V1018" s="59">
        <v>4.7049071060900545</v>
      </c>
    </row>
    <row r="1019" spans="1:22">
      <c r="A1019" s="58">
        <v>1020</v>
      </c>
      <c r="B1019" s="58">
        <v>1020</v>
      </c>
      <c r="C1019" s="58" t="s">
        <v>1585</v>
      </c>
      <c r="D1019" s="58" t="s">
        <v>187</v>
      </c>
      <c r="E1019" s="58" t="s">
        <v>187</v>
      </c>
      <c r="F1019" s="58" t="s">
        <v>746</v>
      </c>
      <c r="G1019" s="58" t="s">
        <v>747</v>
      </c>
      <c r="H1019" s="58" t="s">
        <v>199</v>
      </c>
      <c r="I1019">
        <v>110000</v>
      </c>
      <c r="J1019">
        <v>110000</v>
      </c>
      <c r="K1019">
        <v>38000</v>
      </c>
      <c r="L1019" s="74">
        <v>3.7040000000000002</v>
      </c>
      <c r="M1019" s="85">
        <v>4</v>
      </c>
      <c r="N1019" s="74">
        <v>2.8730000000000002</v>
      </c>
      <c r="O1019">
        <v>2</v>
      </c>
      <c r="P1019" s="84">
        <v>2.1547499999999999</v>
      </c>
      <c r="Q1019" s="86">
        <v>25.200000000000003</v>
      </c>
      <c r="R1019" s="85">
        <v>25.200000000000003</v>
      </c>
      <c r="S1019" s="87">
        <v>2309170</v>
      </c>
      <c r="T1019" s="1">
        <v>9</v>
      </c>
      <c r="U1019" s="88">
        <v>91633.730158730148</v>
      </c>
      <c r="V1019" s="59">
        <v>10.913012034627162</v>
      </c>
    </row>
    <row r="1020" spans="1:22">
      <c r="A1020" s="58">
        <v>1021</v>
      </c>
      <c r="B1020" s="58">
        <v>1021</v>
      </c>
      <c r="C1020" s="58" t="s">
        <v>1586</v>
      </c>
      <c r="D1020" s="58" t="s">
        <v>187</v>
      </c>
      <c r="E1020" s="58" t="s">
        <v>187</v>
      </c>
      <c r="F1020" s="58" t="s">
        <v>746</v>
      </c>
      <c r="G1020" s="58" t="s">
        <v>747</v>
      </c>
      <c r="H1020" s="58" t="s">
        <v>199</v>
      </c>
      <c r="I1020">
        <v>110000</v>
      </c>
      <c r="J1020">
        <v>110000</v>
      </c>
      <c r="K1020">
        <v>38000</v>
      </c>
      <c r="L1020" s="74">
        <v>3.2090000000000001</v>
      </c>
      <c r="M1020" s="85">
        <v>4</v>
      </c>
      <c r="N1020" s="74">
        <v>2.1179999999999999</v>
      </c>
      <c r="O1020">
        <v>2</v>
      </c>
      <c r="P1020" s="84">
        <v>1.5884999999999998</v>
      </c>
      <c r="Q1020" s="86">
        <v>16.8</v>
      </c>
      <c r="R1020" s="85">
        <v>16.8</v>
      </c>
      <c r="S1020" s="87">
        <v>1875790</v>
      </c>
      <c r="T1020" s="1">
        <v>8</v>
      </c>
      <c r="U1020" s="88">
        <v>111654.16666666666</v>
      </c>
      <c r="V1020" s="59">
        <v>8.9562264432585739</v>
      </c>
    </row>
    <row r="1021" spans="1:22">
      <c r="A1021" s="58">
        <v>1022</v>
      </c>
      <c r="B1021" s="58">
        <v>1022</v>
      </c>
      <c r="C1021" s="58" t="s">
        <v>1587</v>
      </c>
      <c r="D1021" s="58" t="s">
        <v>187</v>
      </c>
      <c r="E1021" s="58" t="s">
        <v>187</v>
      </c>
      <c r="F1021" s="58" t="s">
        <v>368</v>
      </c>
      <c r="G1021" s="58" t="s">
        <v>369</v>
      </c>
      <c r="H1021" s="58" t="s">
        <v>199</v>
      </c>
      <c r="I1021">
        <v>110000</v>
      </c>
      <c r="J1021">
        <v>110000</v>
      </c>
      <c r="K1021">
        <v>38000</v>
      </c>
      <c r="L1021" s="74">
        <v>5.0279999999999996</v>
      </c>
      <c r="M1021" s="85">
        <v>6</v>
      </c>
      <c r="N1021" s="74">
        <v>3.464</v>
      </c>
      <c r="O1021">
        <v>2</v>
      </c>
      <c r="P1021" s="84">
        <v>2.5979999999999999</v>
      </c>
      <c r="Q1021" s="86">
        <v>29.400000000000006</v>
      </c>
      <c r="R1021" s="85">
        <v>29.400000000000006</v>
      </c>
      <c r="S1021" s="87">
        <v>2486830</v>
      </c>
      <c r="T1021" s="1">
        <v>9</v>
      </c>
      <c r="U1021" s="88">
        <v>84586.054421768698</v>
      </c>
      <c r="V1021" s="59">
        <v>11.822279769827453</v>
      </c>
    </row>
    <row r="1022" spans="1:22">
      <c r="A1022" s="58">
        <v>1023</v>
      </c>
      <c r="B1022" s="58">
        <v>1023</v>
      </c>
      <c r="C1022" s="58" t="s">
        <v>1588</v>
      </c>
      <c r="D1022" s="58" t="s">
        <v>187</v>
      </c>
      <c r="E1022" s="58" t="s">
        <v>187</v>
      </c>
      <c r="F1022" s="58" t="s">
        <v>368</v>
      </c>
      <c r="G1022" s="58" t="s">
        <v>369</v>
      </c>
      <c r="H1022" s="58" t="s">
        <v>199</v>
      </c>
      <c r="I1022">
        <v>110000</v>
      </c>
      <c r="J1022">
        <v>110000</v>
      </c>
      <c r="K1022">
        <v>38000</v>
      </c>
      <c r="L1022" s="74">
        <v>8.2769999999999992</v>
      </c>
      <c r="M1022" s="85">
        <v>9</v>
      </c>
      <c r="N1022" s="74">
        <v>1.0549999999999999</v>
      </c>
      <c r="O1022">
        <v>2</v>
      </c>
      <c r="P1022" s="84">
        <v>0.79125000000000001</v>
      </c>
      <c r="Q1022" s="86">
        <v>8.4</v>
      </c>
      <c r="R1022" s="85">
        <v>8.4</v>
      </c>
      <c r="S1022" s="87">
        <v>1890770</v>
      </c>
      <c r="T1022" s="1">
        <v>7</v>
      </c>
      <c r="U1022" s="88">
        <v>225091.66666666666</v>
      </c>
      <c r="V1022" s="59">
        <v>4.4426344822479731</v>
      </c>
    </row>
    <row r="1023" spans="1:22">
      <c r="A1023" s="58">
        <v>1024</v>
      </c>
      <c r="B1023" s="58">
        <v>1024</v>
      </c>
      <c r="C1023" s="58" t="s">
        <v>1589</v>
      </c>
      <c r="D1023" s="58" t="s">
        <v>187</v>
      </c>
      <c r="E1023" s="58" t="s">
        <v>187</v>
      </c>
      <c r="F1023" s="58" t="s">
        <v>368</v>
      </c>
      <c r="G1023" s="58" t="s">
        <v>369</v>
      </c>
      <c r="H1023" s="58" t="s">
        <v>199</v>
      </c>
      <c r="I1023">
        <v>110000</v>
      </c>
      <c r="J1023">
        <v>110000</v>
      </c>
      <c r="K1023">
        <v>38000</v>
      </c>
      <c r="L1023" s="74">
        <v>7.4489999999999998</v>
      </c>
      <c r="M1023" s="85">
        <v>8</v>
      </c>
      <c r="N1023" s="74">
        <v>3.6539999999999999</v>
      </c>
      <c r="O1023">
        <v>2</v>
      </c>
      <c r="P1023" s="84">
        <v>2.7404999999999999</v>
      </c>
      <c r="Q1023" s="86">
        <v>33.6</v>
      </c>
      <c r="R1023" s="85">
        <v>33.6</v>
      </c>
      <c r="S1023" s="87">
        <v>2843930</v>
      </c>
      <c r="T1023" s="1">
        <v>10</v>
      </c>
      <c r="U1023" s="88">
        <v>84640.773809523802</v>
      </c>
      <c r="V1023" s="59">
        <v>11.814636787825298</v>
      </c>
    </row>
    <row r="1024" spans="1:22">
      <c r="A1024" s="58">
        <v>1025</v>
      </c>
      <c r="B1024" s="58">
        <v>1025</v>
      </c>
      <c r="C1024" s="58" t="s">
        <v>1590</v>
      </c>
      <c r="D1024" s="58" t="s">
        <v>187</v>
      </c>
      <c r="E1024" s="58" t="s">
        <v>187</v>
      </c>
      <c r="F1024" s="58" t="s">
        <v>368</v>
      </c>
      <c r="G1024" s="58" t="s">
        <v>369</v>
      </c>
      <c r="H1024" s="58" t="s">
        <v>199</v>
      </c>
      <c r="I1024">
        <v>110000</v>
      </c>
      <c r="J1024">
        <v>110000</v>
      </c>
      <c r="K1024">
        <v>38000</v>
      </c>
      <c r="L1024" s="74">
        <v>10.709</v>
      </c>
      <c r="M1024" s="85">
        <v>11</v>
      </c>
      <c r="N1024" s="74">
        <v>2.4140000000000001</v>
      </c>
      <c r="O1024">
        <v>2</v>
      </c>
      <c r="P1024" s="84">
        <v>1.8105000000000002</v>
      </c>
      <c r="Q1024" s="86">
        <v>21</v>
      </c>
      <c r="R1024" s="85">
        <v>21</v>
      </c>
      <c r="S1024" s="87">
        <v>2367680</v>
      </c>
      <c r="T1024" s="1">
        <v>8</v>
      </c>
      <c r="U1024" s="88">
        <v>112746.66666666667</v>
      </c>
      <c r="V1024" s="59">
        <v>8.8694418164616842</v>
      </c>
    </row>
    <row r="1025" spans="1:22">
      <c r="A1025" s="58">
        <v>1026</v>
      </c>
      <c r="B1025" s="58">
        <v>1026</v>
      </c>
      <c r="C1025" s="58" t="s">
        <v>1591</v>
      </c>
      <c r="D1025" s="58" t="s">
        <v>187</v>
      </c>
      <c r="E1025" s="58" t="s">
        <v>187</v>
      </c>
      <c r="F1025" s="58" t="s">
        <v>752</v>
      </c>
      <c r="G1025" s="58" t="s">
        <v>753</v>
      </c>
      <c r="H1025" s="58" t="s">
        <v>199</v>
      </c>
      <c r="I1025">
        <v>110000</v>
      </c>
      <c r="J1025" s="58" t="s">
        <v>185</v>
      </c>
      <c r="K1025">
        <v>110000</v>
      </c>
      <c r="L1025" s="74">
        <v>10.584</v>
      </c>
      <c r="M1025" s="85">
        <v>11</v>
      </c>
      <c r="N1025" s="74">
        <v>0.63</v>
      </c>
      <c r="O1025">
        <v>2</v>
      </c>
      <c r="P1025" s="84">
        <v>0.47250000000000003</v>
      </c>
      <c r="Q1025" s="86">
        <v>4.2</v>
      </c>
      <c r="R1025" s="85">
        <v>4.2</v>
      </c>
      <c r="S1025" s="87">
        <v>1996170</v>
      </c>
      <c r="T1025" s="1">
        <v>7</v>
      </c>
      <c r="U1025" s="88">
        <v>475278.57142857142</v>
      </c>
      <c r="V1025" s="59">
        <v>2.1040292159485414</v>
      </c>
    </row>
    <row r="1026" spans="1:22">
      <c r="A1026" s="58">
        <v>1027</v>
      </c>
      <c r="B1026" s="58">
        <v>1027</v>
      </c>
      <c r="C1026" s="58" t="s">
        <v>1592</v>
      </c>
      <c r="D1026" s="58" t="s">
        <v>187</v>
      </c>
      <c r="E1026" s="58" t="s">
        <v>187</v>
      </c>
      <c r="F1026" s="58" t="s">
        <v>1593</v>
      </c>
      <c r="G1026" s="58" t="s">
        <v>1594</v>
      </c>
      <c r="H1026" s="58" t="s">
        <v>179</v>
      </c>
      <c r="I1026">
        <v>38000</v>
      </c>
      <c r="J1026">
        <v>38000</v>
      </c>
      <c r="K1026" s="58" t="s">
        <v>185</v>
      </c>
      <c r="L1026" s="74">
        <v>3.0419999999999998</v>
      </c>
      <c r="M1026" s="85">
        <v>4</v>
      </c>
      <c r="N1026" s="74">
        <v>0.77100000000000002</v>
      </c>
      <c r="O1026">
        <v>2</v>
      </c>
      <c r="P1026" s="84">
        <v>0.57825000000000004</v>
      </c>
      <c r="Q1026" s="86">
        <v>4.2</v>
      </c>
      <c r="R1026" s="85">
        <v>4.2</v>
      </c>
      <c r="S1026" s="87">
        <v>628870</v>
      </c>
      <c r="T1026" s="1">
        <v>4</v>
      </c>
      <c r="U1026" s="88">
        <v>149730.95238095237</v>
      </c>
      <c r="V1026" s="59">
        <v>6.6786458250512828</v>
      </c>
    </row>
    <row r="1027" spans="1:22">
      <c r="A1027" s="58">
        <v>1028</v>
      </c>
      <c r="B1027" s="58">
        <v>1028</v>
      </c>
      <c r="C1027" s="58" t="s">
        <v>1595</v>
      </c>
      <c r="D1027" s="58" t="s">
        <v>187</v>
      </c>
      <c r="E1027" s="58" t="s">
        <v>187</v>
      </c>
      <c r="F1027" s="58" t="s">
        <v>368</v>
      </c>
      <c r="G1027" s="58" t="s">
        <v>369</v>
      </c>
      <c r="H1027" s="58" t="s">
        <v>199</v>
      </c>
      <c r="I1027">
        <v>110000</v>
      </c>
      <c r="J1027">
        <v>110000</v>
      </c>
      <c r="K1027">
        <v>38000</v>
      </c>
      <c r="L1027" s="74">
        <v>3.5219999999999998</v>
      </c>
      <c r="M1027" s="85">
        <v>4</v>
      </c>
      <c r="N1027" s="74">
        <v>0.72099999999999997</v>
      </c>
      <c r="O1027">
        <v>2</v>
      </c>
      <c r="P1027" s="84">
        <v>0.54074999999999995</v>
      </c>
      <c r="Q1027" s="86">
        <v>4.2</v>
      </c>
      <c r="R1027" s="85">
        <v>4.2</v>
      </c>
      <c r="S1027" s="87">
        <v>1627270</v>
      </c>
      <c r="T1027" s="1">
        <v>7</v>
      </c>
      <c r="U1027" s="88">
        <v>387445.23809523811</v>
      </c>
      <c r="V1027" s="59">
        <v>2.5810099123071155</v>
      </c>
    </row>
    <row r="1028" spans="1:22">
      <c r="A1028" s="58">
        <v>1029</v>
      </c>
      <c r="B1028" s="58">
        <v>1029</v>
      </c>
      <c r="C1028" s="58" t="s">
        <v>1596</v>
      </c>
      <c r="D1028" s="58" t="s">
        <v>187</v>
      </c>
      <c r="E1028" s="58" t="s">
        <v>187</v>
      </c>
      <c r="F1028" s="58" t="s">
        <v>752</v>
      </c>
      <c r="G1028" s="58" t="s">
        <v>753</v>
      </c>
      <c r="H1028" s="58" t="s">
        <v>199</v>
      </c>
      <c r="I1028">
        <v>110000</v>
      </c>
      <c r="J1028" s="58" t="s">
        <v>185</v>
      </c>
      <c r="K1028">
        <v>110000</v>
      </c>
      <c r="L1028" s="74">
        <v>8.9030000000000005</v>
      </c>
      <c r="M1028" s="85">
        <v>9</v>
      </c>
      <c r="N1028" s="74">
        <v>3.0739999999999998</v>
      </c>
      <c r="O1028">
        <v>2</v>
      </c>
      <c r="P1028" s="84">
        <v>2.3054999999999999</v>
      </c>
      <c r="Q1028" s="86">
        <v>25.200000000000003</v>
      </c>
      <c r="R1028" s="85">
        <v>25.200000000000003</v>
      </c>
      <c r="S1028" s="87">
        <v>2753320</v>
      </c>
      <c r="T1028" s="1">
        <v>9</v>
      </c>
      <c r="U1028" s="88">
        <v>109258.73015873015</v>
      </c>
      <c r="V1028" s="59">
        <v>9.1525866953350885</v>
      </c>
    </row>
    <row r="1029" spans="1:22">
      <c r="A1029" s="58">
        <v>1030</v>
      </c>
      <c r="B1029" s="58">
        <v>1030</v>
      </c>
      <c r="C1029" s="58" t="s">
        <v>1597</v>
      </c>
      <c r="D1029" s="58" t="s">
        <v>187</v>
      </c>
      <c r="E1029" s="58" t="s">
        <v>187</v>
      </c>
      <c r="F1029" s="58" t="s">
        <v>752</v>
      </c>
      <c r="G1029" s="58" t="s">
        <v>753</v>
      </c>
      <c r="H1029" s="58" t="s">
        <v>199</v>
      </c>
      <c r="I1029">
        <v>110000</v>
      </c>
      <c r="J1029" s="58" t="s">
        <v>185</v>
      </c>
      <c r="K1029">
        <v>110000</v>
      </c>
      <c r="L1029" s="74">
        <v>10.583</v>
      </c>
      <c r="M1029" s="85">
        <v>11</v>
      </c>
      <c r="N1029" s="74">
        <v>2.1539999999999999</v>
      </c>
      <c r="O1029">
        <v>2</v>
      </c>
      <c r="P1029" s="84">
        <v>1.6154999999999999</v>
      </c>
      <c r="Q1029" s="86">
        <v>16.8</v>
      </c>
      <c r="R1029" s="85">
        <v>16.8</v>
      </c>
      <c r="S1029" s="87">
        <v>2367680</v>
      </c>
      <c r="T1029" s="1">
        <v>8</v>
      </c>
      <c r="U1029" s="88">
        <v>140933.33333333331</v>
      </c>
      <c r="V1029" s="59">
        <v>7.0955534531693472</v>
      </c>
    </row>
    <row r="1030" spans="1:22">
      <c r="A1030" s="58">
        <v>1031</v>
      </c>
      <c r="B1030" s="58">
        <v>1031</v>
      </c>
      <c r="C1030" s="58" t="s">
        <v>1598</v>
      </c>
      <c r="D1030" s="58" t="s">
        <v>187</v>
      </c>
      <c r="E1030" s="58" t="s">
        <v>187</v>
      </c>
      <c r="F1030" s="58" t="s">
        <v>859</v>
      </c>
      <c r="G1030" s="58" t="s">
        <v>860</v>
      </c>
      <c r="H1030" s="58" t="s">
        <v>179</v>
      </c>
      <c r="I1030">
        <v>38000</v>
      </c>
      <c r="J1030">
        <v>38000</v>
      </c>
      <c r="K1030" s="58" t="s">
        <v>185</v>
      </c>
      <c r="L1030" s="74">
        <v>8.4480000000000004</v>
      </c>
      <c r="M1030" s="85">
        <v>9</v>
      </c>
      <c r="N1030" s="74">
        <v>2.3029999999999999</v>
      </c>
      <c r="O1030">
        <v>2</v>
      </c>
      <c r="P1030" s="84">
        <v>1.72725</v>
      </c>
      <c r="Q1030" s="86">
        <v>21</v>
      </c>
      <c r="R1030" s="85">
        <v>21</v>
      </c>
      <c r="S1030" s="87">
        <v>980220</v>
      </c>
      <c r="T1030" s="1">
        <v>4</v>
      </c>
      <c r="U1030" s="88">
        <v>46677.142857142855</v>
      </c>
      <c r="V1030" s="59">
        <v>21.423762012609416</v>
      </c>
    </row>
    <row r="1031" spans="1:22">
      <c r="A1031" s="58">
        <v>1032</v>
      </c>
      <c r="B1031" s="58">
        <v>1032</v>
      </c>
      <c r="C1031" s="58" t="s">
        <v>1599</v>
      </c>
      <c r="D1031" s="58" t="s">
        <v>187</v>
      </c>
      <c r="E1031" s="58" t="s">
        <v>187</v>
      </c>
      <c r="F1031" s="58" t="s">
        <v>1600</v>
      </c>
      <c r="G1031" s="58" t="s">
        <v>1601</v>
      </c>
      <c r="H1031" s="58" t="s">
        <v>199</v>
      </c>
      <c r="I1031">
        <v>110000</v>
      </c>
      <c r="J1031">
        <v>110000</v>
      </c>
      <c r="K1031">
        <v>38000</v>
      </c>
      <c r="L1031" s="74">
        <v>3.3570000000000002</v>
      </c>
      <c r="M1031" s="85">
        <v>4</v>
      </c>
      <c r="N1031" s="74">
        <v>0.83899999999999997</v>
      </c>
      <c r="O1031">
        <v>2</v>
      </c>
      <c r="P1031" s="84">
        <v>0.62924999999999998</v>
      </c>
      <c r="Q1031" s="86">
        <v>8.4</v>
      </c>
      <c r="R1031" s="85">
        <v>8.4</v>
      </c>
      <c r="S1031" s="87">
        <v>1627270</v>
      </c>
      <c r="T1031" s="1">
        <v>7</v>
      </c>
      <c r="U1031" s="88">
        <v>193722.61904761905</v>
      </c>
      <c r="V1031" s="59">
        <v>5.162019824614231</v>
      </c>
    </row>
    <row r="1032" spans="1:22">
      <c r="A1032" s="89">
        <v>1033</v>
      </c>
      <c r="B1032" s="89">
        <v>1033</v>
      </c>
      <c r="C1032" s="89" t="s">
        <v>1602</v>
      </c>
      <c r="D1032" s="58" t="s">
        <v>182</v>
      </c>
      <c r="E1032" s="58" t="s">
        <v>182</v>
      </c>
      <c r="F1032" s="89" t="s">
        <v>873</v>
      </c>
      <c r="G1032" s="89" t="s">
        <v>874</v>
      </c>
      <c r="H1032" s="89" t="s">
        <v>179</v>
      </c>
      <c r="I1032" s="90">
        <v>38000</v>
      </c>
      <c r="J1032" s="90">
        <v>38000</v>
      </c>
      <c r="K1032" s="89" t="s">
        <v>185</v>
      </c>
      <c r="L1032" s="91">
        <v>2.7010000000000001</v>
      </c>
      <c r="M1032" s="92">
        <v>3</v>
      </c>
      <c r="N1032" s="91">
        <v>19.050999999999899</v>
      </c>
      <c r="O1032" s="90">
        <v>2</v>
      </c>
      <c r="P1032" s="92">
        <v>14.288249999999923</v>
      </c>
      <c r="Q1032" s="93">
        <v>176.4</v>
      </c>
      <c r="R1032" s="92">
        <v>176.4</v>
      </c>
      <c r="S1032" s="87">
        <v>4117400</v>
      </c>
      <c r="T1032" s="94">
        <v>12</v>
      </c>
      <c r="U1032" s="95">
        <v>23341.269841269841</v>
      </c>
      <c r="V1032" s="96">
        <v>42.842570554233255</v>
      </c>
    </row>
    <row r="1033" spans="1:22">
      <c r="A1033" s="58">
        <v>1034</v>
      </c>
      <c r="B1033" s="58">
        <v>1034</v>
      </c>
      <c r="C1033" s="58" t="s">
        <v>1603</v>
      </c>
      <c r="D1033" s="58" t="s">
        <v>182</v>
      </c>
      <c r="E1033" s="58" t="s">
        <v>182</v>
      </c>
      <c r="F1033" s="58" t="s">
        <v>873</v>
      </c>
      <c r="G1033" s="58" t="s">
        <v>874</v>
      </c>
      <c r="H1033" s="58" t="s">
        <v>179</v>
      </c>
      <c r="I1033">
        <v>38000</v>
      </c>
      <c r="J1033">
        <v>38000</v>
      </c>
      <c r="K1033" s="58" t="s">
        <v>185</v>
      </c>
      <c r="L1033" s="74">
        <v>4.5839999999999996</v>
      </c>
      <c r="M1033" s="85">
        <v>5</v>
      </c>
      <c r="N1033" s="74">
        <v>1.2509999999999999</v>
      </c>
      <c r="O1033">
        <v>2</v>
      </c>
      <c r="P1033" s="84">
        <v>0.93824999999999992</v>
      </c>
      <c r="Q1033" s="86">
        <v>8.4</v>
      </c>
      <c r="R1033" s="85">
        <v>8.4</v>
      </c>
      <c r="S1033" s="87">
        <v>699140</v>
      </c>
      <c r="T1033" s="1">
        <v>4</v>
      </c>
      <c r="U1033" s="88">
        <v>83230.952380952382</v>
      </c>
      <c r="V1033" s="59">
        <v>12.014760992075979</v>
      </c>
    </row>
    <row r="1034" spans="1:22">
      <c r="A1034" s="58">
        <v>1035</v>
      </c>
      <c r="B1034" s="58">
        <v>1035</v>
      </c>
      <c r="C1034" s="58" t="s">
        <v>1604</v>
      </c>
      <c r="D1034" s="58" t="s">
        <v>182</v>
      </c>
      <c r="E1034" s="58" t="s">
        <v>182</v>
      </c>
      <c r="F1034" s="58" t="s">
        <v>440</v>
      </c>
      <c r="G1034" s="58" t="s">
        <v>441</v>
      </c>
      <c r="H1034" s="58" t="s">
        <v>199</v>
      </c>
      <c r="I1034">
        <v>110000</v>
      </c>
      <c r="L1034" s="74">
        <v>4.45</v>
      </c>
      <c r="M1034" s="85">
        <v>5</v>
      </c>
      <c r="N1034" s="74">
        <v>1.6819999999999999</v>
      </c>
      <c r="O1034">
        <v>2</v>
      </c>
      <c r="P1034" s="84">
        <v>1.2614999999999998</v>
      </c>
      <c r="Q1034" s="86">
        <v>12.600000000000001</v>
      </c>
      <c r="R1034" s="85">
        <v>12.600000000000001</v>
      </c>
      <c r="S1034" s="87">
        <v>1679970</v>
      </c>
      <c r="T1034" s="1">
        <v>7</v>
      </c>
      <c r="U1034" s="88">
        <v>133330.95238095237</v>
      </c>
      <c r="V1034" s="59">
        <v>7.5001339309630541</v>
      </c>
    </row>
    <row r="1035" spans="1:22">
      <c r="A1035" s="89">
        <v>1036</v>
      </c>
      <c r="B1035" s="89">
        <v>1036</v>
      </c>
      <c r="C1035" s="89" t="s">
        <v>1605</v>
      </c>
      <c r="D1035" s="58" t="s">
        <v>182</v>
      </c>
      <c r="E1035" s="58" t="s">
        <v>182</v>
      </c>
      <c r="F1035" s="89" t="s">
        <v>440</v>
      </c>
      <c r="G1035" s="89" t="s">
        <v>441</v>
      </c>
      <c r="H1035" s="89" t="s">
        <v>199</v>
      </c>
      <c r="I1035" s="90">
        <v>110000</v>
      </c>
      <c r="J1035" s="89"/>
      <c r="K1035" s="89"/>
      <c r="L1035" s="91">
        <v>8.6669999999999998</v>
      </c>
      <c r="M1035" s="92">
        <v>9</v>
      </c>
      <c r="N1035" s="91">
        <v>22.649000000000001</v>
      </c>
      <c r="O1035" s="90">
        <v>2</v>
      </c>
      <c r="P1035" s="92">
        <v>16.986750000000001</v>
      </c>
      <c r="Q1035" s="93">
        <v>210</v>
      </c>
      <c r="R1035" s="92">
        <v>210</v>
      </c>
      <c r="S1035" s="87">
        <v>8678360</v>
      </c>
      <c r="T1035" s="94">
        <v>12</v>
      </c>
      <c r="U1035" s="95">
        <v>41325.523809523809</v>
      </c>
      <c r="V1035" s="96">
        <v>24.198120382192027</v>
      </c>
    </row>
    <row r="1036" spans="1:22">
      <c r="A1036" s="58">
        <v>1037</v>
      </c>
      <c r="B1036" s="58">
        <v>1037</v>
      </c>
      <c r="C1036" s="58" t="s">
        <v>1606</v>
      </c>
      <c r="D1036" s="58" t="s">
        <v>182</v>
      </c>
      <c r="E1036" s="58" t="s">
        <v>182</v>
      </c>
      <c r="F1036" s="58" t="s">
        <v>443</v>
      </c>
      <c r="G1036" s="58" t="s">
        <v>444</v>
      </c>
      <c r="H1036" s="58" t="s">
        <v>199</v>
      </c>
      <c r="I1036">
        <v>110000</v>
      </c>
      <c r="J1036" s="58" t="s">
        <v>185</v>
      </c>
      <c r="K1036">
        <v>110000</v>
      </c>
      <c r="L1036" s="74">
        <v>7.89</v>
      </c>
      <c r="M1036" s="85">
        <v>8</v>
      </c>
      <c r="N1036" s="74">
        <v>1.696</v>
      </c>
      <c r="O1036">
        <v>2</v>
      </c>
      <c r="P1036" s="84">
        <v>1.272</v>
      </c>
      <c r="Q1036" s="86">
        <v>12.600000000000001</v>
      </c>
      <c r="R1036" s="85">
        <v>12.600000000000001</v>
      </c>
      <c r="S1036" s="87">
        <v>1838070</v>
      </c>
      <c r="T1036" s="1">
        <v>7</v>
      </c>
      <c r="U1036" s="88">
        <v>145878.57142857142</v>
      </c>
      <c r="V1036" s="59">
        <v>6.8550164030749654</v>
      </c>
    </row>
    <row r="1037" spans="1:22">
      <c r="A1037" s="58">
        <v>1038</v>
      </c>
      <c r="B1037" s="58">
        <v>1038</v>
      </c>
      <c r="C1037" s="58" t="s">
        <v>1607</v>
      </c>
      <c r="D1037" s="58" t="s">
        <v>182</v>
      </c>
      <c r="E1037" s="58" t="s">
        <v>182</v>
      </c>
      <c r="F1037" s="58" t="s">
        <v>446</v>
      </c>
      <c r="G1037" s="58" t="s">
        <v>447</v>
      </c>
      <c r="H1037" s="58" t="s">
        <v>199</v>
      </c>
      <c r="I1037">
        <v>110000</v>
      </c>
      <c r="J1037">
        <v>33000</v>
      </c>
      <c r="K1037">
        <v>110000</v>
      </c>
      <c r="L1037" s="74">
        <v>3.5190000000000001</v>
      </c>
      <c r="M1037" s="85">
        <v>4</v>
      </c>
      <c r="N1037" s="74">
        <v>0.83399999999999996</v>
      </c>
      <c r="O1037">
        <v>2</v>
      </c>
      <c r="P1037" s="84">
        <v>0.62549999999999994</v>
      </c>
      <c r="Q1037" s="86">
        <v>8.4</v>
      </c>
      <c r="R1037" s="85">
        <v>8.4</v>
      </c>
      <c r="S1037" s="87">
        <v>1627270</v>
      </c>
      <c r="T1037" s="1">
        <v>7</v>
      </c>
      <c r="U1037" s="88">
        <v>193722.61904761905</v>
      </c>
      <c r="V1037" s="59">
        <v>5.162019824614231</v>
      </c>
    </row>
    <row r="1038" spans="1:22">
      <c r="A1038" s="89">
        <v>1039</v>
      </c>
      <c r="B1038" s="89">
        <v>1039</v>
      </c>
      <c r="C1038" s="89" t="s">
        <v>1608</v>
      </c>
      <c r="D1038" s="58" t="s">
        <v>182</v>
      </c>
      <c r="E1038" s="58" t="s">
        <v>182</v>
      </c>
      <c r="F1038" s="89" t="s">
        <v>443</v>
      </c>
      <c r="G1038" s="89" t="s">
        <v>444</v>
      </c>
      <c r="H1038" s="89" t="s">
        <v>199</v>
      </c>
      <c r="I1038" s="90">
        <v>110000</v>
      </c>
      <c r="J1038" s="89" t="s">
        <v>185</v>
      </c>
      <c r="K1038" s="90">
        <v>110000</v>
      </c>
      <c r="L1038" s="91">
        <v>2.589</v>
      </c>
      <c r="M1038" s="92">
        <v>3</v>
      </c>
      <c r="N1038" s="91">
        <v>25.739999999999899</v>
      </c>
      <c r="O1038" s="90">
        <v>2</v>
      </c>
      <c r="P1038" s="92">
        <v>19.304999999999925</v>
      </c>
      <c r="Q1038" s="93">
        <v>239.39999999999998</v>
      </c>
      <c r="R1038" s="92">
        <v>239.39999999999998</v>
      </c>
      <c r="S1038" s="87">
        <v>4117400</v>
      </c>
      <c r="T1038" s="94">
        <v>12</v>
      </c>
      <c r="U1038" s="95">
        <v>17198.830409356728</v>
      </c>
      <c r="V1038" s="96">
        <v>58.143488609316549</v>
      </c>
    </row>
    <row r="1039" spans="1:22">
      <c r="A1039" s="58">
        <v>1040</v>
      </c>
      <c r="B1039" s="58">
        <v>1040</v>
      </c>
      <c r="C1039" s="58" t="s">
        <v>1609</v>
      </c>
      <c r="D1039" s="58" t="s">
        <v>182</v>
      </c>
      <c r="E1039" s="58" t="s">
        <v>182</v>
      </c>
      <c r="F1039" s="58" t="s">
        <v>312</v>
      </c>
      <c r="G1039" s="58" t="s">
        <v>313</v>
      </c>
      <c r="H1039" s="58" t="s">
        <v>179</v>
      </c>
      <c r="I1039">
        <v>38000</v>
      </c>
      <c r="J1039">
        <v>38000</v>
      </c>
      <c r="K1039">
        <v>10000</v>
      </c>
      <c r="L1039" s="74">
        <v>3.3290000000000002</v>
      </c>
      <c r="M1039" s="85">
        <v>4</v>
      </c>
      <c r="N1039" s="74">
        <v>1.1970000000000001</v>
      </c>
      <c r="O1039">
        <v>2</v>
      </c>
      <c r="P1039" s="84">
        <v>0.89775000000000005</v>
      </c>
      <c r="Q1039" s="86">
        <v>8.4</v>
      </c>
      <c r="R1039" s="85">
        <v>8.4</v>
      </c>
      <c r="S1039" s="87">
        <v>628870</v>
      </c>
      <c r="T1039" s="1">
        <v>4</v>
      </c>
      <c r="U1039" s="88">
        <v>74865.476190476184</v>
      </c>
      <c r="V1039" s="59">
        <v>13.357291650102566</v>
      </c>
    </row>
    <row r="1040" spans="1:22">
      <c r="A1040" s="58">
        <v>1041</v>
      </c>
      <c r="B1040" s="58">
        <v>1041</v>
      </c>
      <c r="C1040" s="58" t="s">
        <v>1610</v>
      </c>
      <c r="D1040" s="58" t="s">
        <v>182</v>
      </c>
      <c r="E1040" s="58" t="s">
        <v>182</v>
      </c>
      <c r="F1040" s="58" t="s">
        <v>1611</v>
      </c>
      <c r="G1040" s="58" t="s">
        <v>1612</v>
      </c>
      <c r="H1040" s="58" t="s">
        <v>179</v>
      </c>
      <c r="I1040">
        <v>38000</v>
      </c>
      <c r="J1040">
        <v>38000</v>
      </c>
      <c r="K1040" s="58" t="s">
        <v>185</v>
      </c>
      <c r="L1040" s="74">
        <v>2.8460000000000001</v>
      </c>
      <c r="M1040" s="85">
        <v>3</v>
      </c>
      <c r="N1040" s="74">
        <v>1.075</v>
      </c>
      <c r="O1040">
        <v>2</v>
      </c>
      <c r="P1040" s="84">
        <v>0.80624999999999991</v>
      </c>
      <c r="Q1040" s="86">
        <v>8.4</v>
      </c>
      <c r="R1040" s="85">
        <v>8.4</v>
      </c>
      <c r="S1040" s="87">
        <v>558600</v>
      </c>
      <c r="T1040" s="1">
        <v>4</v>
      </c>
      <c r="U1040" s="88">
        <v>66500</v>
      </c>
      <c r="V1040" s="59">
        <v>15.037593984962406</v>
      </c>
    </row>
    <row r="1041" spans="1:22">
      <c r="A1041" s="58">
        <v>1042</v>
      </c>
      <c r="B1041" s="58">
        <v>1042</v>
      </c>
      <c r="C1041" s="58" t="s">
        <v>1613</v>
      </c>
      <c r="D1041" s="58" t="s">
        <v>182</v>
      </c>
      <c r="E1041" s="58" t="s">
        <v>182</v>
      </c>
      <c r="F1041" s="58" t="s">
        <v>1611</v>
      </c>
      <c r="G1041" s="58" t="s">
        <v>1612</v>
      </c>
      <c r="H1041" s="58" t="s">
        <v>179</v>
      </c>
      <c r="I1041">
        <v>38000</v>
      </c>
      <c r="J1041">
        <v>38000</v>
      </c>
      <c r="K1041" s="58" t="s">
        <v>185</v>
      </c>
      <c r="L1041" s="74">
        <v>6.2759999999999998</v>
      </c>
      <c r="M1041" s="85">
        <v>7</v>
      </c>
      <c r="N1041" s="74">
        <v>1.671</v>
      </c>
      <c r="O1041">
        <v>2</v>
      </c>
      <c r="P1041" s="84">
        <v>1.25325</v>
      </c>
      <c r="Q1041" s="86">
        <v>12.600000000000001</v>
      </c>
      <c r="R1041" s="85">
        <v>12.600000000000001</v>
      </c>
      <c r="S1041" s="87">
        <v>839680</v>
      </c>
      <c r="T1041" s="1">
        <v>4</v>
      </c>
      <c r="U1041" s="88">
        <v>66641.269841269837</v>
      </c>
      <c r="V1041" s="59">
        <v>15.005716463414636</v>
      </c>
    </row>
    <row r="1042" spans="1:22">
      <c r="A1042" s="58">
        <v>1043</v>
      </c>
      <c r="B1042" s="58">
        <v>1043</v>
      </c>
      <c r="C1042" s="58" t="s">
        <v>1614</v>
      </c>
      <c r="D1042" s="58" t="s">
        <v>182</v>
      </c>
      <c r="E1042" s="58" t="s">
        <v>182</v>
      </c>
      <c r="F1042" s="58" t="s">
        <v>446</v>
      </c>
      <c r="G1042" s="58" t="s">
        <v>447</v>
      </c>
      <c r="H1042" s="58" t="s">
        <v>199</v>
      </c>
      <c r="I1042">
        <v>110000</v>
      </c>
      <c r="J1042">
        <v>33000</v>
      </c>
      <c r="K1042">
        <v>110000</v>
      </c>
      <c r="L1042" s="74">
        <v>3.9609999999999999</v>
      </c>
      <c r="M1042" s="85">
        <v>4</v>
      </c>
      <c r="N1042" s="74">
        <v>1.133</v>
      </c>
      <c r="O1042">
        <v>2</v>
      </c>
      <c r="P1042" s="84">
        <v>0.84975000000000001</v>
      </c>
      <c r="Q1042" s="86">
        <v>8.4</v>
      </c>
      <c r="R1042" s="85">
        <v>8.4</v>
      </c>
      <c r="S1042" s="87">
        <v>1627270</v>
      </c>
      <c r="T1042" s="1">
        <v>7</v>
      </c>
      <c r="U1042" s="88">
        <v>193722.61904761905</v>
      </c>
      <c r="V1042" s="59">
        <v>5.162019824614231</v>
      </c>
    </row>
    <row r="1043" spans="1:22">
      <c r="A1043" s="58">
        <v>1044</v>
      </c>
      <c r="B1043" s="58">
        <v>1044</v>
      </c>
      <c r="C1043" s="58" t="s">
        <v>1615</v>
      </c>
      <c r="D1043" s="58" t="s">
        <v>182</v>
      </c>
      <c r="E1043" s="58" t="s">
        <v>182</v>
      </c>
      <c r="F1043" s="58" t="s">
        <v>312</v>
      </c>
      <c r="G1043" s="58" t="s">
        <v>313</v>
      </c>
      <c r="H1043" s="58" t="s">
        <v>179</v>
      </c>
      <c r="I1043">
        <v>38000</v>
      </c>
      <c r="J1043">
        <v>38000</v>
      </c>
      <c r="K1043">
        <v>10000</v>
      </c>
      <c r="L1043" s="74">
        <v>4.181</v>
      </c>
      <c r="M1043" s="85">
        <v>5</v>
      </c>
      <c r="N1043" s="74">
        <v>1.274</v>
      </c>
      <c r="O1043">
        <v>2</v>
      </c>
      <c r="P1043" s="84">
        <v>0.95550000000000002</v>
      </c>
      <c r="Q1043" s="86">
        <v>8.4</v>
      </c>
      <c r="R1043" s="85">
        <v>8.4</v>
      </c>
      <c r="S1043" s="87">
        <v>699140</v>
      </c>
      <c r="T1043" s="1">
        <v>4</v>
      </c>
      <c r="U1043" s="88">
        <v>83230.952380952382</v>
      </c>
      <c r="V1043" s="59">
        <v>12.014760992075979</v>
      </c>
    </row>
    <row r="1044" spans="1:22">
      <c r="A1044" s="58">
        <v>1045</v>
      </c>
      <c r="B1044" s="58">
        <v>1045</v>
      </c>
      <c r="C1044" s="58" t="s">
        <v>1616</v>
      </c>
      <c r="D1044" s="58" t="s">
        <v>182</v>
      </c>
      <c r="E1044" s="58" t="s">
        <v>182</v>
      </c>
      <c r="F1044" s="58" t="s">
        <v>312</v>
      </c>
      <c r="G1044" s="58" t="s">
        <v>313</v>
      </c>
      <c r="H1044" s="58" t="s">
        <v>179</v>
      </c>
      <c r="I1044">
        <v>38000</v>
      </c>
      <c r="J1044">
        <v>38000</v>
      </c>
      <c r="K1044">
        <v>10000</v>
      </c>
      <c r="L1044" s="74">
        <v>5.7380000000000004</v>
      </c>
      <c r="M1044" s="85">
        <v>6</v>
      </c>
      <c r="N1044" s="74">
        <v>1.018</v>
      </c>
      <c r="O1044">
        <v>2</v>
      </c>
      <c r="P1044" s="84">
        <v>0.76350000000000007</v>
      </c>
      <c r="Q1044" s="86">
        <v>8.4</v>
      </c>
      <c r="R1044" s="85">
        <v>8.4</v>
      </c>
      <c r="S1044" s="87">
        <v>769410</v>
      </c>
      <c r="T1044" s="1">
        <v>4</v>
      </c>
      <c r="U1044" s="88">
        <v>91596.428571428565</v>
      </c>
      <c r="V1044" s="59">
        <v>10.917456232697781</v>
      </c>
    </row>
    <row r="1045" spans="1:22">
      <c r="A1045" s="58">
        <v>1046</v>
      </c>
      <c r="B1045" s="58">
        <v>1046</v>
      </c>
      <c r="C1045" s="58" t="s">
        <v>1617</v>
      </c>
      <c r="D1045" s="58" t="s">
        <v>182</v>
      </c>
      <c r="E1045" s="58" t="s">
        <v>182</v>
      </c>
      <c r="F1045" s="58" t="s">
        <v>1618</v>
      </c>
      <c r="G1045" s="58" t="s">
        <v>1619</v>
      </c>
      <c r="H1045" s="58" t="s">
        <v>199</v>
      </c>
      <c r="I1045">
        <v>110000</v>
      </c>
      <c r="J1045" s="58" t="s">
        <v>185</v>
      </c>
      <c r="K1045">
        <v>110000</v>
      </c>
      <c r="L1045" s="74">
        <v>5.1109999999999998</v>
      </c>
      <c r="M1045" s="85">
        <v>6</v>
      </c>
      <c r="N1045" s="74">
        <v>0.55500000000000005</v>
      </c>
      <c r="O1045">
        <v>2</v>
      </c>
      <c r="P1045" s="84">
        <v>0.55500000000000005</v>
      </c>
      <c r="Q1045" s="86">
        <v>4.2</v>
      </c>
      <c r="R1045" s="85">
        <v>4.2</v>
      </c>
      <c r="S1045" s="87">
        <v>1732670</v>
      </c>
      <c r="T1045" s="1">
        <v>7</v>
      </c>
      <c r="U1045" s="88">
        <v>412540.47619047615</v>
      </c>
      <c r="V1045" s="59">
        <v>2.4240045709800482</v>
      </c>
    </row>
    <row r="1046" spans="1:22">
      <c r="A1046" s="58">
        <v>1047</v>
      </c>
      <c r="B1046" s="58">
        <v>1047</v>
      </c>
      <c r="C1046" s="58" t="s">
        <v>1620</v>
      </c>
      <c r="D1046" s="58" t="s">
        <v>182</v>
      </c>
      <c r="E1046" s="58" t="s">
        <v>182</v>
      </c>
      <c r="F1046" s="58" t="s">
        <v>891</v>
      </c>
      <c r="G1046" s="58" t="s">
        <v>892</v>
      </c>
      <c r="H1046" s="58" t="s">
        <v>199</v>
      </c>
      <c r="I1046">
        <v>110000</v>
      </c>
      <c r="J1046">
        <v>110000</v>
      </c>
      <c r="K1046">
        <v>38000</v>
      </c>
      <c r="L1046" s="74">
        <v>7.7969999999999997</v>
      </c>
      <c r="M1046" s="85">
        <v>8</v>
      </c>
      <c r="N1046" s="74">
        <v>3.9420000000000002</v>
      </c>
      <c r="O1046">
        <v>2</v>
      </c>
      <c r="P1046" s="84">
        <v>2.9565000000000001</v>
      </c>
      <c r="Q1046" s="86">
        <v>33.6</v>
      </c>
      <c r="R1046" s="85">
        <v>33.6</v>
      </c>
      <c r="S1046" s="87">
        <v>2843930</v>
      </c>
      <c r="T1046" s="1">
        <v>10</v>
      </c>
      <c r="U1046" s="88">
        <v>84640.773809523802</v>
      </c>
      <c r="V1046" s="59">
        <v>11.814636787825298</v>
      </c>
    </row>
    <row r="1047" spans="1:22">
      <c r="A1047" s="58">
        <v>1048</v>
      </c>
      <c r="B1047" s="58">
        <v>1048</v>
      </c>
      <c r="C1047" s="58" t="s">
        <v>1621</v>
      </c>
      <c r="D1047" s="58" t="s">
        <v>182</v>
      </c>
      <c r="E1047" s="58" t="s">
        <v>182</v>
      </c>
      <c r="F1047" s="58" t="s">
        <v>1611</v>
      </c>
      <c r="G1047" s="58" t="s">
        <v>1612</v>
      </c>
      <c r="H1047" s="58" t="s">
        <v>179</v>
      </c>
      <c r="I1047">
        <v>38000</v>
      </c>
      <c r="J1047">
        <v>38000</v>
      </c>
      <c r="K1047" s="58" t="s">
        <v>185</v>
      </c>
      <c r="L1047" s="74">
        <v>4.2149999999999999</v>
      </c>
      <c r="M1047" s="85">
        <v>5</v>
      </c>
      <c r="N1047" s="74">
        <v>1.224</v>
      </c>
      <c r="O1047">
        <v>2</v>
      </c>
      <c r="P1047" s="84">
        <v>0.91799999999999993</v>
      </c>
      <c r="Q1047" s="86">
        <v>8.4</v>
      </c>
      <c r="R1047" s="85">
        <v>8.4</v>
      </c>
      <c r="S1047" s="87">
        <v>699140</v>
      </c>
      <c r="T1047" s="1">
        <v>4</v>
      </c>
      <c r="U1047" s="88">
        <v>83230.952380952382</v>
      </c>
      <c r="V1047" s="59">
        <v>12.014760992075979</v>
      </c>
    </row>
    <row r="1048" spans="1:22">
      <c r="A1048" s="89">
        <v>1049</v>
      </c>
      <c r="B1048" s="89">
        <v>1049</v>
      </c>
      <c r="C1048" s="89" t="s">
        <v>1622</v>
      </c>
      <c r="D1048" s="58" t="s">
        <v>182</v>
      </c>
      <c r="E1048" s="58" t="s">
        <v>182</v>
      </c>
      <c r="F1048" s="89" t="s">
        <v>302</v>
      </c>
      <c r="G1048" s="89" t="s">
        <v>303</v>
      </c>
      <c r="H1048" s="89" t="s">
        <v>179</v>
      </c>
      <c r="I1048" s="90">
        <v>38000</v>
      </c>
      <c r="J1048" s="90">
        <v>38000</v>
      </c>
      <c r="K1048" s="89" t="s">
        <v>185</v>
      </c>
      <c r="L1048" s="91">
        <v>6.7569999999999997</v>
      </c>
      <c r="M1048" s="92">
        <v>7</v>
      </c>
      <c r="N1048" s="91">
        <v>7.7279999999999998</v>
      </c>
      <c r="O1048" s="90">
        <v>2</v>
      </c>
      <c r="P1048" s="92">
        <v>5.7959999999999994</v>
      </c>
      <c r="Q1048" s="93">
        <v>71.400000000000006</v>
      </c>
      <c r="R1048" s="92">
        <v>71.400000000000006</v>
      </c>
      <c r="S1048" s="87">
        <v>2394130</v>
      </c>
      <c r="T1048" s="94">
        <v>11</v>
      </c>
      <c r="U1048" s="95">
        <v>33531.232492997195</v>
      </c>
      <c r="V1048" s="96">
        <v>29.82294194550839</v>
      </c>
    </row>
    <row r="1049" spans="1:22">
      <c r="A1049" s="58">
        <v>1050</v>
      </c>
      <c r="B1049" s="58">
        <v>1050</v>
      </c>
      <c r="C1049" s="58" t="s">
        <v>1623</v>
      </c>
      <c r="D1049" s="58" t="s">
        <v>182</v>
      </c>
      <c r="E1049" s="58" t="s">
        <v>182</v>
      </c>
      <c r="F1049" s="58" t="s">
        <v>440</v>
      </c>
      <c r="G1049" s="58" t="s">
        <v>441</v>
      </c>
      <c r="H1049" s="58" t="s">
        <v>199</v>
      </c>
      <c r="I1049">
        <v>110000</v>
      </c>
      <c r="L1049" s="74">
        <v>4.0949999999999998</v>
      </c>
      <c r="M1049" s="85">
        <v>5</v>
      </c>
      <c r="N1049" s="74">
        <v>13.209</v>
      </c>
      <c r="O1049">
        <v>2</v>
      </c>
      <c r="P1049" s="84">
        <v>9.9067499999999988</v>
      </c>
      <c r="Q1049" s="86">
        <v>121.80000000000001</v>
      </c>
      <c r="R1049" s="85">
        <v>121.80000000000001</v>
      </c>
      <c r="S1049" s="87">
        <v>1972510</v>
      </c>
      <c r="T1049" s="1">
        <v>11</v>
      </c>
      <c r="U1049" s="88">
        <v>16194.663382594415</v>
      </c>
      <c r="V1049" s="59">
        <v>61.748736381564612</v>
      </c>
    </row>
    <row r="1050" spans="1:22">
      <c r="A1050" s="58">
        <v>1051</v>
      </c>
      <c r="B1050" s="58">
        <v>1051</v>
      </c>
      <c r="C1050" s="58" t="s">
        <v>1624</v>
      </c>
      <c r="D1050" s="58" t="s">
        <v>182</v>
      </c>
      <c r="E1050" s="58" t="s">
        <v>182</v>
      </c>
      <c r="F1050" s="58" t="s">
        <v>440</v>
      </c>
      <c r="G1050" s="58" t="s">
        <v>441</v>
      </c>
      <c r="H1050" s="58" t="s">
        <v>199</v>
      </c>
      <c r="I1050">
        <v>110000</v>
      </c>
      <c r="L1050" s="74">
        <v>7.2690000000000001</v>
      </c>
      <c r="M1050" s="85">
        <v>8</v>
      </c>
      <c r="N1050" s="74">
        <v>0.41899999999999998</v>
      </c>
      <c r="O1050">
        <v>2</v>
      </c>
      <c r="P1050" s="84">
        <v>0.41899999999999998</v>
      </c>
      <c r="Q1050" s="86">
        <v>4.2</v>
      </c>
      <c r="R1050" s="85">
        <v>4.2</v>
      </c>
      <c r="S1050" s="87">
        <v>1838070</v>
      </c>
      <c r="T1050" s="1">
        <v>7</v>
      </c>
      <c r="U1050" s="88">
        <v>437635.71428571426</v>
      </c>
      <c r="V1050" s="59">
        <v>2.2850054676916547</v>
      </c>
    </row>
    <row r="1051" spans="1:22">
      <c r="A1051" s="58">
        <v>1052</v>
      </c>
      <c r="B1051" s="58">
        <v>1052</v>
      </c>
      <c r="C1051" s="58" t="s">
        <v>1625</v>
      </c>
      <c r="D1051" s="58" t="s">
        <v>182</v>
      </c>
      <c r="E1051" s="58" t="s">
        <v>182</v>
      </c>
      <c r="F1051" s="58" t="s">
        <v>440</v>
      </c>
      <c r="G1051" s="58" t="s">
        <v>441</v>
      </c>
      <c r="H1051" s="58" t="s">
        <v>199</v>
      </c>
      <c r="I1051">
        <v>110000</v>
      </c>
      <c r="L1051" s="74">
        <v>10.045999999999999</v>
      </c>
      <c r="M1051" s="85">
        <v>11</v>
      </c>
      <c r="N1051" s="74">
        <v>0.154</v>
      </c>
      <c r="O1051">
        <v>2</v>
      </c>
      <c r="P1051" s="84">
        <v>0.154</v>
      </c>
      <c r="Q1051" s="86">
        <v>4.2</v>
      </c>
      <c r="R1051" s="85">
        <v>4.2</v>
      </c>
      <c r="S1051" s="87">
        <v>1996170</v>
      </c>
      <c r="T1051" s="1">
        <v>7</v>
      </c>
      <c r="U1051" s="88">
        <v>475278.57142857142</v>
      </c>
      <c r="V1051" s="59">
        <v>2.1040292159485414</v>
      </c>
    </row>
    <row r="1052" spans="1:22">
      <c r="A1052" s="58">
        <v>1053</v>
      </c>
      <c r="B1052" s="58">
        <v>1053</v>
      </c>
      <c r="C1052" s="58" t="s">
        <v>1626</v>
      </c>
      <c r="D1052" s="58" t="s">
        <v>234</v>
      </c>
      <c r="E1052" s="58" t="s">
        <v>234</v>
      </c>
      <c r="F1052" s="58" t="s">
        <v>524</v>
      </c>
      <c r="G1052" s="58" t="s">
        <v>525</v>
      </c>
      <c r="H1052" s="58" t="s">
        <v>179</v>
      </c>
      <c r="I1052">
        <v>38000</v>
      </c>
      <c r="L1052" s="74">
        <v>4.7809999999999997</v>
      </c>
      <c r="M1052" s="85">
        <v>5</v>
      </c>
      <c r="N1052" s="74">
        <v>0.47299999999999998</v>
      </c>
      <c r="O1052">
        <v>2</v>
      </c>
      <c r="P1052" s="84">
        <v>0.47299999999999998</v>
      </c>
      <c r="Q1052" s="86">
        <v>4.2</v>
      </c>
      <c r="R1052" s="85">
        <v>4.2</v>
      </c>
      <c r="S1052" s="87">
        <v>699140</v>
      </c>
      <c r="T1052" s="1">
        <v>4</v>
      </c>
      <c r="U1052" s="88">
        <v>166461.90476190476</v>
      </c>
      <c r="V1052" s="59">
        <v>6.0073804960379897</v>
      </c>
    </row>
    <row r="1053" spans="1:22">
      <c r="A1053" s="58">
        <v>1054</v>
      </c>
      <c r="B1053" s="58">
        <v>1054</v>
      </c>
      <c r="C1053" s="58" t="s">
        <v>1627</v>
      </c>
      <c r="D1053" s="58" t="s">
        <v>176</v>
      </c>
      <c r="E1053" s="58" t="s">
        <v>176</v>
      </c>
      <c r="F1053" s="58" t="s">
        <v>177</v>
      </c>
      <c r="G1053" s="58" t="s">
        <v>178</v>
      </c>
      <c r="H1053" s="58" t="s">
        <v>179</v>
      </c>
      <c r="I1053">
        <v>38000</v>
      </c>
      <c r="J1053">
        <v>38000</v>
      </c>
      <c r="K1053">
        <v>20000</v>
      </c>
      <c r="L1053" s="74">
        <v>4.9640000000000004</v>
      </c>
      <c r="M1053" s="85">
        <v>5</v>
      </c>
      <c r="N1053" s="74">
        <v>1.081</v>
      </c>
      <c r="O1053">
        <v>2</v>
      </c>
      <c r="P1053" s="84">
        <v>0.81074999999999997</v>
      </c>
      <c r="Q1053" s="86">
        <v>8.4</v>
      </c>
      <c r="R1053" s="85">
        <v>8.4</v>
      </c>
      <c r="S1053" s="87">
        <v>699140</v>
      </c>
      <c r="T1053" s="1">
        <v>4</v>
      </c>
      <c r="U1053" s="88">
        <v>83230.952380952382</v>
      </c>
      <c r="V1053" s="59">
        <v>12.014760992075979</v>
      </c>
    </row>
    <row r="1054" spans="1:22">
      <c r="A1054" s="58">
        <v>1055</v>
      </c>
      <c r="B1054" s="58">
        <v>1055</v>
      </c>
      <c r="C1054" s="58" t="s">
        <v>1628</v>
      </c>
      <c r="D1054" s="58" t="s">
        <v>215</v>
      </c>
      <c r="E1054" s="58" t="s">
        <v>215</v>
      </c>
      <c r="F1054" s="58" t="s">
        <v>763</v>
      </c>
      <c r="G1054" s="58" t="s">
        <v>764</v>
      </c>
      <c r="H1054" s="58" t="s">
        <v>199</v>
      </c>
      <c r="I1054">
        <v>110000</v>
      </c>
      <c r="J1054">
        <v>110000</v>
      </c>
      <c r="K1054">
        <v>38000</v>
      </c>
      <c r="L1054" s="74">
        <v>7.1550000000000002</v>
      </c>
      <c r="M1054" s="85">
        <v>8</v>
      </c>
      <c r="N1054" s="74">
        <v>0.42299999999999999</v>
      </c>
      <c r="O1054">
        <v>2</v>
      </c>
      <c r="P1054" s="84">
        <v>0.42299999999999999</v>
      </c>
      <c r="Q1054" s="86">
        <v>4.2</v>
      </c>
      <c r="R1054" s="85">
        <v>4.2</v>
      </c>
      <c r="S1054" s="87">
        <v>1838070</v>
      </c>
      <c r="T1054" s="1">
        <v>7</v>
      </c>
      <c r="U1054" s="88">
        <v>437635.71428571426</v>
      </c>
      <c r="V1054" s="59">
        <v>2.2850054676916547</v>
      </c>
    </row>
    <row r="1055" spans="1:22">
      <c r="A1055" s="58">
        <v>1056</v>
      </c>
      <c r="B1055" s="58">
        <v>1056</v>
      </c>
      <c r="C1055" s="58" t="s">
        <v>1629</v>
      </c>
      <c r="D1055" s="58" t="s">
        <v>450</v>
      </c>
      <c r="E1055" s="58" t="s">
        <v>450</v>
      </c>
      <c r="F1055" s="58" t="s">
        <v>1630</v>
      </c>
      <c r="G1055" s="58" t="s">
        <v>1631</v>
      </c>
      <c r="H1055" s="58" t="s">
        <v>179</v>
      </c>
      <c r="I1055">
        <v>38000</v>
      </c>
      <c r="J1055">
        <v>38000</v>
      </c>
      <c r="K1055" s="58" t="s">
        <v>185</v>
      </c>
      <c r="L1055" s="74">
        <v>9.327</v>
      </c>
      <c r="M1055" s="85">
        <v>10</v>
      </c>
      <c r="N1055" s="74">
        <v>1.7450000000000001</v>
      </c>
      <c r="O1055">
        <v>2</v>
      </c>
      <c r="P1055" s="84">
        <v>1.3087500000000001</v>
      </c>
      <c r="Q1055" s="86">
        <v>12.600000000000001</v>
      </c>
      <c r="R1055" s="85">
        <v>12.600000000000001</v>
      </c>
      <c r="S1055" s="87">
        <v>1469550</v>
      </c>
      <c r="T1055" s="1">
        <v>3</v>
      </c>
      <c r="U1055" s="88">
        <v>116630.95238095237</v>
      </c>
      <c r="V1055" s="59">
        <v>8.5740532816168233</v>
      </c>
    </row>
    <row r="1056" spans="1:22">
      <c r="A1056" s="89">
        <v>1057</v>
      </c>
      <c r="B1056" s="89">
        <v>1057</v>
      </c>
      <c r="C1056" s="89" t="s">
        <v>1632</v>
      </c>
      <c r="D1056" s="58" t="s">
        <v>410</v>
      </c>
      <c r="E1056" s="58" t="s">
        <v>450</v>
      </c>
      <c r="F1056" s="89" t="s">
        <v>451</v>
      </c>
      <c r="G1056" s="89" t="s">
        <v>452</v>
      </c>
      <c r="H1056" s="89" t="s">
        <v>179</v>
      </c>
      <c r="I1056" s="90">
        <v>38000</v>
      </c>
      <c r="J1056" s="90">
        <v>38000</v>
      </c>
      <c r="K1056" s="89" t="s">
        <v>185</v>
      </c>
      <c r="L1056" s="91">
        <v>8.6560000000000006</v>
      </c>
      <c r="M1056" s="92">
        <v>9</v>
      </c>
      <c r="N1056" s="91">
        <v>15.997</v>
      </c>
      <c r="O1056" s="90">
        <v>2</v>
      </c>
      <c r="P1056" s="92">
        <v>11.99775</v>
      </c>
      <c r="Q1056" s="93">
        <v>147</v>
      </c>
      <c r="R1056" s="92">
        <v>147</v>
      </c>
      <c r="S1056" s="87">
        <v>4339180</v>
      </c>
      <c r="T1056" s="94">
        <v>12</v>
      </c>
      <c r="U1056" s="95">
        <v>29518.231292517008</v>
      </c>
      <c r="V1056" s="96">
        <v>33.87736853506884</v>
      </c>
    </row>
    <row r="1057" spans="1:22">
      <c r="A1057" s="89">
        <v>1058</v>
      </c>
      <c r="B1057" s="89">
        <v>1058</v>
      </c>
      <c r="C1057" s="89" t="s">
        <v>1633</v>
      </c>
      <c r="D1057" s="58" t="s">
        <v>410</v>
      </c>
      <c r="E1057" s="58" t="s">
        <v>450</v>
      </c>
      <c r="F1057" s="89" t="s">
        <v>769</v>
      </c>
      <c r="G1057" s="89" t="s">
        <v>770</v>
      </c>
      <c r="H1057" s="89" t="s">
        <v>179</v>
      </c>
      <c r="I1057" s="90">
        <v>38000</v>
      </c>
      <c r="J1057" s="89" t="s">
        <v>185</v>
      </c>
      <c r="K1057" s="90">
        <v>38000</v>
      </c>
      <c r="L1057" s="91">
        <v>9.0540000000000003</v>
      </c>
      <c r="M1057" s="92">
        <v>10</v>
      </c>
      <c r="N1057" s="91">
        <v>14.646000000000001</v>
      </c>
      <c r="O1057" s="90">
        <v>2</v>
      </c>
      <c r="P1057" s="92">
        <v>10.984500000000001</v>
      </c>
      <c r="Q1057" s="93">
        <v>134.4</v>
      </c>
      <c r="R1057" s="92">
        <v>134.4</v>
      </c>
      <c r="S1057" s="87">
        <v>4719260</v>
      </c>
      <c r="T1057" s="94">
        <v>12</v>
      </c>
      <c r="U1057" s="95">
        <v>35113.541666666664</v>
      </c>
      <c r="V1057" s="96">
        <v>28.479041205612745</v>
      </c>
    </row>
    <row r="1058" spans="1:22">
      <c r="A1058" s="89">
        <v>1059</v>
      </c>
      <c r="B1058" s="89">
        <v>1059</v>
      </c>
      <c r="C1058" s="89" t="s">
        <v>1634</v>
      </c>
      <c r="D1058" s="58" t="s">
        <v>450</v>
      </c>
      <c r="E1058" s="58" t="s">
        <v>450</v>
      </c>
      <c r="F1058" s="89" t="s">
        <v>454</v>
      </c>
      <c r="G1058" s="89" t="s">
        <v>455</v>
      </c>
      <c r="H1058" s="89" t="s">
        <v>179</v>
      </c>
      <c r="I1058" s="90">
        <v>38000</v>
      </c>
      <c r="J1058" s="90">
        <v>38000</v>
      </c>
      <c r="K1058" s="90">
        <v>10000</v>
      </c>
      <c r="L1058" s="91">
        <v>9.2270000000000003</v>
      </c>
      <c r="M1058" s="92">
        <v>10</v>
      </c>
      <c r="N1058" s="91">
        <v>27.254000000000001</v>
      </c>
      <c r="O1058" s="90">
        <v>2</v>
      </c>
      <c r="P1058" s="92">
        <v>20.4405</v>
      </c>
      <c r="Q1058" s="93">
        <v>252</v>
      </c>
      <c r="R1058" s="92">
        <v>252</v>
      </c>
      <c r="S1058" s="87">
        <v>9438520</v>
      </c>
      <c r="T1058" s="94">
        <v>12</v>
      </c>
      <c r="U1058" s="95">
        <v>37454.444444444445</v>
      </c>
      <c r="V1058" s="96">
        <v>26.699101130261948</v>
      </c>
    </row>
    <row r="1059" spans="1:22">
      <c r="A1059" s="89">
        <v>1060</v>
      </c>
      <c r="B1059" s="89">
        <v>1060</v>
      </c>
      <c r="C1059" s="89" t="s">
        <v>1635</v>
      </c>
      <c r="D1059" s="58" t="s">
        <v>450</v>
      </c>
      <c r="E1059" s="58" t="s">
        <v>450</v>
      </c>
      <c r="F1059" s="89" t="s">
        <v>772</v>
      </c>
      <c r="G1059" s="89" t="s">
        <v>773</v>
      </c>
      <c r="H1059" s="89" t="s">
        <v>179</v>
      </c>
      <c r="I1059" s="90">
        <v>38000</v>
      </c>
      <c r="J1059" s="90">
        <v>38000</v>
      </c>
      <c r="K1059" s="89" t="s">
        <v>185</v>
      </c>
      <c r="L1059" s="91">
        <v>10.714</v>
      </c>
      <c r="M1059" s="92">
        <v>11</v>
      </c>
      <c r="N1059" s="91">
        <v>9.2379999999999995</v>
      </c>
      <c r="O1059" s="90">
        <v>2</v>
      </c>
      <c r="P1059" s="92">
        <v>6.9284999999999997</v>
      </c>
      <c r="Q1059" s="93">
        <v>84</v>
      </c>
      <c r="R1059" s="92">
        <v>84</v>
      </c>
      <c r="S1059" s="87">
        <v>3237370</v>
      </c>
      <c r="T1059" s="94">
        <v>11</v>
      </c>
      <c r="U1059" s="95">
        <v>38540.119047619046</v>
      </c>
      <c r="V1059" s="96">
        <v>25.946987832716061</v>
      </c>
    </row>
    <row r="1060" spans="1:22">
      <c r="A1060" s="58">
        <v>1061</v>
      </c>
      <c r="B1060" s="58">
        <v>1061</v>
      </c>
      <c r="C1060" s="58" t="s">
        <v>1636</v>
      </c>
      <c r="D1060" s="58" t="s">
        <v>450</v>
      </c>
      <c r="E1060" s="58" t="s">
        <v>450</v>
      </c>
      <c r="F1060" s="58" t="s">
        <v>457</v>
      </c>
      <c r="G1060" s="58" t="s">
        <v>458</v>
      </c>
      <c r="H1060" s="58" t="s">
        <v>199</v>
      </c>
      <c r="I1060">
        <v>110000</v>
      </c>
      <c r="J1060">
        <v>110000</v>
      </c>
      <c r="K1060">
        <v>38000</v>
      </c>
      <c r="L1060" s="74">
        <v>8.1890000000000001</v>
      </c>
      <c r="M1060" s="85">
        <v>9</v>
      </c>
      <c r="N1060" s="74">
        <v>2.0430000000000001</v>
      </c>
      <c r="O1060">
        <v>2</v>
      </c>
      <c r="P1060" s="84">
        <v>1.5322500000000001</v>
      </c>
      <c r="Q1060" s="86">
        <v>16.8</v>
      </c>
      <c r="R1060" s="85">
        <v>16.8</v>
      </c>
      <c r="S1060" s="87">
        <v>2227140</v>
      </c>
      <c r="T1060" s="1">
        <v>8</v>
      </c>
      <c r="U1060" s="88">
        <v>132567.85714285713</v>
      </c>
      <c r="V1060" s="59">
        <v>7.5433066623562057</v>
      </c>
    </row>
    <row r="1061" spans="1:22">
      <c r="A1061" s="58">
        <v>1062</v>
      </c>
      <c r="B1061" s="58">
        <v>1062</v>
      </c>
      <c r="C1061" s="58" t="s">
        <v>1637</v>
      </c>
      <c r="D1061" s="58" t="s">
        <v>450</v>
      </c>
      <c r="E1061" s="58" t="s">
        <v>450</v>
      </c>
      <c r="F1061" s="58" t="s">
        <v>1130</v>
      </c>
      <c r="G1061" s="58" t="s">
        <v>1131</v>
      </c>
      <c r="H1061" s="58" t="s">
        <v>179</v>
      </c>
      <c r="I1061">
        <v>38000</v>
      </c>
      <c r="J1061">
        <v>38000</v>
      </c>
      <c r="K1061" s="58" t="s">
        <v>185</v>
      </c>
      <c r="L1061" s="74">
        <v>4.0449999999999999</v>
      </c>
      <c r="M1061" s="85">
        <v>5</v>
      </c>
      <c r="N1061" s="74">
        <v>0.93799999999999994</v>
      </c>
      <c r="O1061">
        <v>2</v>
      </c>
      <c r="P1061" s="84">
        <v>0.70350000000000001</v>
      </c>
      <c r="Q1061" s="86">
        <v>8.4</v>
      </c>
      <c r="R1061" s="85">
        <v>8.4</v>
      </c>
      <c r="S1061" s="87">
        <v>699140</v>
      </c>
      <c r="T1061" s="1">
        <v>4</v>
      </c>
      <c r="U1061" s="88">
        <v>83230.952380952382</v>
      </c>
      <c r="V1061" s="59">
        <v>12.014760992075979</v>
      </c>
    </row>
    <row r="1062" spans="1:22">
      <c r="A1062" s="58">
        <v>1063</v>
      </c>
      <c r="B1062" s="58">
        <v>1063</v>
      </c>
      <c r="C1062" s="58" t="s">
        <v>1638</v>
      </c>
      <c r="D1062" s="58" t="s">
        <v>450</v>
      </c>
      <c r="E1062" s="58" t="s">
        <v>450</v>
      </c>
      <c r="F1062" s="58" t="s">
        <v>457</v>
      </c>
      <c r="G1062" s="58" t="s">
        <v>458</v>
      </c>
      <c r="H1062" s="58" t="s">
        <v>199</v>
      </c>
      <c r="I1062">
        <v>110000</v>
      </c>
      <c r="J1062">
        <v>110000</v>
      </c>
      <c r="K1062">
        <v>38000</v>
      </c>
      <c r="L1062" s="74">
        <v>5.5439999999999996</v>
      </c>
      <c r="M1062" s="85">
        <v>6</v>
      </c>
      <c r="N1062" s="74">
        <v>1.893</v>
      </c>
      <c r="O1062">
        <v>2</v>
      </c>
      <c r="P1062" s="84">
        <v>1.4197500000000001</v>
      </c>
      <c r="Q1062" s="86">
        <v>16.8</v>
      </c>
      <c r="R1062" s="85">
        <v>16.8</v>
      </c>
      <c r="S1062" s="87">
        <v>2016330</v>
      </c>
      <c r="T1062" s="1">
        <v>8</v>
      </c>
      <c r="U1062" s="88">
        <v>120019.64285714286</v>
      </c>
      <c r="V1062" s="59">
        <v>8.3319694692833011</v>
      </c>
    </row>
    <row r="1063" spans="1:22">
      <c r="A1063" s="58">
        <v>1064</v>
      </c>
      <c r="B1063" s="58">
        <v>1064</v>
      </c>
      <c r="C1063" s="58" t="s">
        <v>1639</v>
      </c>
      <c r="D1063" s="58" t="s">
        <v>215</v>
      </c>
      <c r="E1063" s="58" t="s">
        <v>775</v>
      </c>
      <c r="F1063" s="58" t="s">
        <v>776</v>
      </c>
      <c r="G1063" s="58" t="s">
        <v>777</v>
      </c>
      <c r="H1063" s="58" t="s">
        <v>179</v>
      </c>
      <c r="I1063">
        <v>38000</v>
      </c>
      <c r="J1063">
        <v>20000</v>
      </c>
      <c r="K1063">
        <v>38000</v>
      </c>
      <c r="L1063" s="74">
        <v>2.7690000000000001</v>
      </c>
      <c r="M1063" s="85">
        <v>3</v>
      </c>
      <c r="N1063" s="74">
        <v>3.6379999999999999</v>
      </c>
      <c r="O1063">
        <v>2</v>
      </c>
      <c r="P1063" s="84">
        <v>2.7284999999999999</v>
      </c>
      <c r="Q1063" s="86">
        <v>33.6</v>
      </c>
      <c r="R1063" s="85">
        <v>33.6</v>
      </c>
      <c r="S1063" s="87">
        <v>681570</v>
      </c>
      <c r="T1063" s="1">
        <v>6</v>
      </c>
      <c r="U1063" s="88">
        <v>20284.821428571428</v>
      </c>
      <c r="V1063" s="59">
        <v>49.297944451780445</v>
      </c>
    </row>
    <row r="1064" spans="1:22">
      <c r="A1064" s="89">
        <v>1065</v>
      </c>
      <c r="B1064" s="89">
        <v>1065</v>
      </c>
      <c r="C1064" s="89" t="s">
        <v>1640</v>
      </c>
      <c r="D1064" s="58" t="s">
        <v>775</v>
      </c>
      <c r="E1064" s="58" t="s">
        <v>775</v>
      </c>
      <c r="F1064" s="89" t="s">
        <v>776</v>
      </c>
      <c r="G1064" s="89" t="s">
        <v>777</v>
      </c>
      <c r="H1064" s="89" t="s">
        <v>179</v>
      </c>
      <c r="I1064" s="90">
        <v>38000</v>
      </c>
      <c r="J1064" s="90">
        <v>20000</v>
      </c>
      <c r="K1064" s="90">
        <v>38000</v>
      </c>
      <c r="L1064" s="91">
        <v>3.4129999999999998</v>
      </c>
      <c r="M1064" s="92">
        <v>4</v>
      </c>
      <c r="N1064" s="91">
        <v>5.6230000000000002</v>
      </c>
      <c r="O1064" s="90">
        <v>2</v>
      </c>
      <c r="P1064" s="92">
        <v>4.2172499999999999</v>
      </c>
      <c r="Q1064" s="93">
        <v>50.400000000000006</v>
      </c>
      <c r="R1064" s="92">
        <v>50.400000000000006</v>
      </c>
      <c r="S1064" s="87">
        <v>1761700</v>
      </c>
      <c r="T1064" s="94">
        <v>11</v>
      </c>
      <c r="U1064" s="95">
        <v>34954.365079365074</v>
      </c>
      <c r="V1064" s="96">
        <v>28.608730203780443</v>
      </c>
    </row>
    <row r="1065" spans="1:22">
      <c r="A1065" s="58">
        <v>1066</v>
      </c>
      <c r="B1065" s="58">
        <v>1066</v>
      </c>
      <c r="C1065" s="58" t="s">
        <v>1641</v>
      </c>
      <c r="D1065" s="58" t="s">
        <v>775</v>
      </c>
      <c r="E1065" s="58" t="s">
        <v>775</v>
      </c>
      <c r="F1065" s="58" t="s">
        <v>460</v>
      </c>
      <c r="G1065" s="58" t="s">
        <v>461</v>
      </c>
      <c r="H1065" s="58" t="s">
        <v>179</v>
      </c>
      <c r="I1065">
        <v>38000</v>
      </c>
      <c r="J1065">
        <v>38000</v>
      </c>
      <c r="K1065" s="58" t="s">
        <v>185</v>
      </c>
      <c r="L1065" s="74">
        <v>8.9969999999999999</v>
      </c>
      <c r="M1065" s="85">
        <v>9</v>
      </c>
      <c r="N1065" s="74">
        <v>0.98799999999999999</v>
      </c>
      <c r="O1065">
        <v>2</v>
      </c>
      <c r="P1065" s="84">
        <v>0.74099999999999999</v>
      </c>
      <c r="Q1065" s="86">
        <v>8.4</v>
      </c>
      <c r="R1065" s="85">
        <v>8.4</v>
      </c>
      <c r="S1065" s="87">
        <v>1379800</v>
      </c>
      <c r="T1065" s="1">
        <v>2</v>
      </c>
      <c r="U1065" s="88">
        <v>164261.90476190476</v>
      </c>
      <c r="V1065" s="59">
        <v>6.087838817219887</v>
      </c>
    </row>
    <row r="1066" spans="1:22">
      <c r="A1066" s="89">
        <v>1067</v>
      </c>
      <c r="B1066" s="89">
        <v>1067</v>
      </c>
      <c r="C1066" s="89" t="s">
        <v>1642</v>
      </c>
      <c r="D1066" s="58" t="s">
        <v>410</v>
      </c>
      <c r="E1066" s="58" t="s">
        <v>775</v>
      </c>
      <c r="F1066" s="89" t="s">
        <v>466</v>
      </c>
      <c r="G1066" s="89" t="s">
        <v>467</v>
      </c>
      <c r="H1066" s="89" t="s">
        <v>179</v>
      </c>
      <c r="I1066" s="90">
        <v>38000</v>
      </c>
      <c r="J1066" s="90">
        <v>38000</v>
      </c>
      <c r="K1066" s="89" t="s">
        <v>185</v>
      </c>
      <c r="L1066" s="91">
        <v>11.773999999999999</v>
      </c>
      <c r="M1066" s="92">
        <v>12</v>
      </c>
      <c r="N1066" s="91">
        <v>34.698</v>
      </c>
      <c r="O1066" s="90">
        <v>2</v>
      </c>
      <c r="P1066" s="92">
        <v>26.023499999999999</v>
      </c>
      <c r="Q1066" s="93">
        <v>323.40000000000003</v>
      </c>
      <c r="R1066" s="92">
        <v>323.40000000000003</v>
      </c>
      <c r="S1066" s="87">
        <v>9726200</v>
      </c>
      <c r="T1066" s="94">
        <v>13</v>
      </c>
      <c r="U1066" s="95">
        <v>30074.829931972785</v>
      </c>
      <c r="V1066" s="96">
        <v>33.250395838045698</v>
      </c>
    </row>
    <row r="1067" spans="1:22">
      <c r="A1067" s="89">
        <v>1068</v>
      </c>
      <c r="B1067" s="89">
        <v>1068</v>
      </c>
      <c r="C1067" s="89" t="s">
        <v>1643</v>
      </c>
      <c r="D1067" s="58" t="s">
        <v>215</v>
      </c>
      <c r="E1067" s="58" t="s">
        <v>215</v>
      </c>
      <c r="F1067" s="89" t="s">
        <v>1644</v>
      </c>
      <c r="G1067" s="89" t="s">
        <v>1645</v>
      </c>
      <c r="H1067" s="89" t="s">
        <v>179</v>
      </c>
      <c r="I1067" s="90">
        <v>38000</v>
      </c>
      <c r="J1067" s="90">
        <v>38000</v>
      </c>
      <c r="K1067" s="89" t="s">
        <v>185</v>
      </c>
      <c r="L1067" s="91">
        <v>5.6580000000000004</v>
      </c>
      <c r="M1067" s="92">
        <v>6</v>
      </c>
      <c r="N1067" s="91">
        <v>8.3439999999999905</v>
      </c>
      <c r="O1067" s="90">
        <v>2</v>
      </c>
      <c r="P1067" s="92">
        <v>6.2579999999999929</v>
      </c>
      <c r="Q1067" s="93">
        <v>75.600000000000009</v>
      </c>
      <c r="R1067" s="92">
        <v>75.600000000000009</v>
      </c>
      <c r="S1067" s="87">
        <v>2183320</v>
      </c>
      <c r="T1067" s="94">
        <v>11</v>
      </c>
      <c r="U1067" s="95">
        <v>28879.894179894178</v>
      </c>
      <c r="V1067" s="96">
        <v>34.62616565597348</v>
      </c>
    </row>
    <row r="1068" spans="1:22">
      <c r="A1068" s="89">
        <v>1069</v>
      </c>
      <c r="B1068" s="89">
        <v>1069</v>
      </c>
      <c r="C1068" s="89" t="s">
        <v>1646</v>
      </c>
      <c r="D1068" s="58" t="s">
        <v>380</v>
      </c>
      <c r="E1068" s="58" t="s">
        <v>384</v>
      </c>
      <c r="F1068" s="89" t="s">
        <v>469</v>
      </c>
      <c r="G1068" s="89" t="s">
        <v>470</v>
      </c>
      <c r="H1068" s="89" t="s">
        <v>179</v>
      </c>
      <c r="I1068" s="90">
        <v>38000</v>
      </c>
      <c r="J1068" s="90">
        <v>38000</v>
      </c>
      <c r="K1068" s="89" t="s">
        <v>185</v>
      </c>
      <c r="L1068" s="91">
        <v>10.1</v>
      </c>
      <c r="M1068" s="92">
        <v>11</v>
      </c>
      <c r="N1068" s="91">
        <v>8.8369999999999997</v>
      </c>
      <c r="O1068" s="90">
        <v>2</v>
      </c>
      <c r="P1068" s="92">
        <v>6.6277499999999998</v>
      </c>
      <c r="Q1068" s="93">
        <v>79.8</v>
      </c>
      <c r="R1068" s="92">
        <v>79.8</v>
      </c>
      <c r="S1068" s="87">
        <v>3237370</v>
      </c>
      <c r="T1068" s="94">
        <v>11</v>
      </c>
      <c r="U1068" s="95">
        <v>40568.546365914786</v>
      </c>
      <c r="V1068" s="96">
        <v>24.64963844108026</v>
      </c>
    </row>
    <row r="1069" spans="1:22">
      <c r="A1069" s="58">
        <v>1070</v>
      </c>
      <c r="B1069" s="58">
        <v>1070</v>
      </c>
      <c r="C1069" s="58" t="s">
        <v>1647</v>
      </c>
      <c r="D1069" s="58" t="s">
        <v>410</v>
      </c>
      <c r="E1069" s="58" t="s">
        <v>410</v>
      </c>
      <c r="F1069" s="58" t="s">
        <v>411</v>
      </c>
      <c r="G1069" s="58" t="s">
        <v>412</v>
      </c>
      <c r="H1069" s="58" t="s">
        <v>179</v>
      </c>
      <c r="I1069">
        <v>38000</v>
      </c>
      <c r="J1069">
        <v>38000</v>
      </c>
      <c r="K1069" s="58" t="s">
        <v>185</v>
      </c>
      <c r="L1069" s="74">
        <v>8.4190000000000005</v>
      </c>
      <c r="M1069" s="85">
        <v>9</v>
      </c>
      <c r="N1069" s="74">
        <v>1.49</v>
      </c>
      <c r="O1069">
        <v>2</v>
      </c>
      <c r="P1069" s="84">
        <v>1.1174999999999999</v>
      </c>
      <c r="Q1069" s="86">
        <v>12.600000000000001</v>
      </c>
      <c r="R1069" s="85">
        <v>12.600000000000001</v>
      </c>
      <c r="S1069" s="87">
        <v>1416850</v>
      </c>
      <c r="T1069" s="1">
        <v>3</v>
      </c>
      <c r="U1069" s="88">
        <v>112448.41269841269</v>
      </c>
      <c r="V1069" s="59">
        <v>8.8929667925327323</v>
      </c>
    </row>
    <row r="1070" spans="1:22">
      <c r="A1070" s="58">
        <v>1071</v>
      </c>
      <c r="B1070" s="58">
        <v>1071</v>
      </c>
      <c r="C1070" s="58" t="s">
        <v>1648</v>
      </c>
      <c r="D1070" s="58" t="s">
        <v>215</v>
      </c>
      <c r="E1070" s="58" t="s">
        <v>215</v>
      </c>
      <c r="F1070" s="58" t="s">
        <v>925</v>
      </c>
      <c r="G1070" s="58" t="s">
        <v>926</v>
      </c>
      <c r="H1070" s="58" t="s">
        <v>179</v>
      </c>
      <c r="I1070">
        <v>38000</v>
      </c>
      <c r="J1070">
        <v>38000</v>
      </c>
      <c r="K1070" s="58" t="s">
        <v>185</v>
      </c>
      <c r="L1070" s="74">
        <v>9.7439999999999998</v>
      </c>
      <c r="M1070" s="85">
        <v>10</v>
      </c>
      <c r="N1070" s="74">
        <v>0.92100000000000004</v>
      </c>
      <c r="O1070">
        <v>2</v>
      </c>
      <c r="P1070" s="84">
        <v>0.69074999999999998</v>
      </c>
      <c r="Q1070" s="86">
        <v>8.4</v>
      </c>
      <c r="R1070" s="85">
        <v>8.4</v>
      </c>
      <c r="S1070" s="87">
        <v>1432500</v>
      </c>
      <c r="T1070" s="1">
        <v>2</v>
      </c>
      <c r="U1070" s="88">
        <v>170535.71428571429</v>
      </c>
      <c r="V1070" s="59">
        <v>5.8638743455497382</v>
      </c>
    </row>
    <row r="1071" spans="1:22">
      <c r="A1071" s="58">
        <v>1072</v>
      </c>
      <c r="B1071" s="58">
        <v>1072</v>
      </c>
      <c r="C1071" s="58" t="s">
        <v>1649</v>
      </c>
      <c r="D1071" s="58" t="s">
        <v>489</v>
      </c>
      <c r="E1071" s="58" t="s">
        <v>489</v>
      </c>
      <c r="F1071" s="58" t="s">
        <v>1140</v>
      </c>
      <c r="G1071" s="58" t="s">
        <v>1141</v>
      </c>
      <c r="H1071" s="58" t="s">
        <v>179</v>
      </c>
      <c r="I1071">
        <v>38000</v>
      </c>
      <c r="J1071">
        <v>38000</v>
      </c>
      <c r="K1071" s="58" t="s">
        <v>185</v>
      </c>
      <c r="L1071" s="74">
        <v>9.1349999999999998</v>
      </c>
      <c r="M1071" s="85">
        <v>10</v>
      </c>
      <c r="N1071" s="74">
        <v>1.1930000000000001</v>
      </c>
      <c r="O1071">
        <v>2</v>
      </c>
      <c r="P1071" s="84">
        <v>0.89475000000000005</v>
      </c>
      <c r="Q1071" s="86">
        <v>8.4</v>
      </c>
      <c r="R1071" s="85">
        <v>8.4</v>
      </c>
      <c r="S1071" s="87">
        <v>1432500</v>
      </c>
      <c r="T1071" s="1">
        <v>2</v>
      </c>
      <c r="U1071" s="88">
        <v>170535.71428571429</v>
      </c>
      <c r="V1071" s="59">
        <v>5.8638743455497382</v>
      </c>
    </row>
    <row r="1072" spans="1:22">
      <c r="A1072" s="89">
        <v>1073</v>
      </c>
      <c r="B1072" s="89">
        <v>1073</v>
      </c>
      <c r="C1072" s="89" t="s">
        <v>1650</v>
      </c>
      <c r="D1072" s="58" t="s">
        <v>215</v>
      </c>
      <c r="E1072" s="58" t="s">
        <v>215</v>
      </c>
      <c r="F1072" s="89" t="s">
        <v>498</v>
      </c>
      <c r="G1072" s="89" t="s">
        <v>499</v>
      </c>
      <c r="H1072" s="89" t="s">
        <v>179</v>
      </c>
      <c r="I1072" s="90">
        <v>38000</v>
      </c>
      <c r="J1072" s="89" t="s">
        <v>185</v>
      </c>
      <c r="K1072" s="90">
        <v>38000</v>
      </c>
      <c r="L1072" s="91">
        <v>7.44</v>
      </c>
      <c r="M1072" s="92">
        <v>8</v>
      </c>
      <c r="N1072" s="91">
        <v>6.798</v>
      </c>
      <c r="O1072" s="90">
        <v>2</v>
      </c>
      <c r="P1072" s="92">
        <v>5.0984999999999996</v>
      </c>
      <c r="Q1072" s="93">
        <v>63</v>
      </c>
      <c r="R1072" s="92">
        <v>63</v>
      </c>
      <c r="S1072" s="87">
        <v>2604940</v>
      </c>
      <c r="T1072" s="94">
        <v>11</v>
      </c>
      <c r="U1072" s="95">
        <v>41348.253968253972</v>
      </c>
      <c r="V1072" s="96">
        <v>24.184818076424026</v>
      </c>
    </row>
    <row r="1073" spans="1:22">
      <c r="A1073" s="58">
        <v>1074</v>
      </c>
      <c r="B1073" s="58">
        <v>1074</v>
      </c>
      <c r="C1073" s="58" t="s">
        <v>1651</v>
      </c>
      <c r="D1073" s="58" t="s">
        <v>176</v>
      </c>
      <c r="E1073" s="58" t="s">
        <v>176</v>
      </c>
      <c r="F1073" s="58" t="s">
        <v>1013</v>
      </c>
      <c r="G1073" s="58" t="s">
        <v>1014</v>
      </c>
      <c r="H1073" s="58" t="s">
        <v>179</v>
      </c>
      <c r="I1073">
        <v>38000</v>
      </c>
      <c r="J1073">
        <v>38000</v>
      </c>
      <c r="K1073">
        <v>20000</v>
      </c>
      <c r="L1073" s="74">
        <v>7.1580000000000004</v>
      </c>
      <c r="M1073" s="85">
        <v>8</v>
      </c>
      <c r="N1073" s="74">
        <v>0.47</v>
      </c>
      <c r="O1073">
        <v>2</v>
      </c>
      <c r="P1073" s="84">
        <v>0.47</v>
      </c>
      <c r="Q1073" s="86">
        <v>4.2</v>
      </c>
      <c r="R1073" s="85">
        <v>4.2</v>
      </c>
      <c r="S1073" s="87">
        <v>909950</v>
      </c>
      <c r="T1073" s="1">
        <v>4</v>
      </c>
      <c r="U1073" s="88">
        <v>216654.76190476189</v>
      </c>
      <c r="V1073" s="59">
        <v>4.6156382218803227</v>
      </c>
    </row>
    <row r="1074" spans="1:22">
      <c r="A1074" s="58">
        <v>1075</v>
      </c>
      <c r="B1074" s="58">
        <v>1075</v>
      </c>
      <c r="C1074" s="58" t="s">
        <v>1652</v>
      </c>
      <c r="D1074" s="58" t="s">
        <v>176</v>
      </c>
      <c r="E1074" s="58" t="s">
        <v>176</v>
      </c>
      <c r="F1074" s="58" t="s">
        <v>1013</v>
      </c>
      <c r="G1074" s="58" t="s">
        <v>1014</v>
      </c>
      <c r="H1074" s="58" t="s">
        <v>179</v>
      </c>
      <c r="I1074">
        <v>38000</v>
      </c>
      <c r="J1074">
        <v>38000</v>
      </c>
      <c r="K1074">
        <v>20000</v>
      </c>
      <c r="L1074" s="74">
        <v>6.4359999999999999</v>
      </c>
      <c r="M1074" s="85">
        <v>7</v>
      </c>
      <c r="N1074" s="74">
        <v>0.55000000000000004</v>
      </c>
      <c r="O1074">
        <v>2</v>
      </c>
      <c r="P1074" s="84">
        <v>0.55000000000000004</v>
      </c>
      <c r="Q1074" s="86">
        <v>4.2</v>
      </c>
      <c r="R1074" s="85">
        <v>4.2</v>
      </c>
      <c r="S1074" s="87">
        <v>839680</v>
      </c>
      <c r="T1074" s="1">
        <v>4</v>
      </c>
      <c r="U1074" s="88">
        <v>199923.80952380953</v>
      </c>
      <c r="V1074" s="59">
        <v>5.0019054878048781</v>
      </c>
    </row>
    <row r="1075" spans="1:22">
      <c r="A1075" s="58">
        <v>1076</v>
      </c>
      <c r="B1075" s="58">
        <v>1076</v>
      </c>
      <c r="C1075" s="58" t="s">
        <v>1653</v>
      </c>
      <c r="D1075" s="58" t="s">
        <v>410</v>
      </c>
      <c r="E1075" s="58" t="s">
        <v>410</v>
      </c>
      <c r="F1075" s="58" t="s">
        <v>1654</v>
      </c>
      <c r="G1075" s="58" t="s">
        <v>1655</v>
      </c>
      <c r="H1075" s="58" t="s">
        <v>199</v>
      </c>
      <c r="I1075">
        <v>110000</v>
      </c>
      <c r="J1075">
        <v>110000</v>
      </c>
      <c r="K1075">
        <v>38000</v>
      </c>
      <c r="L1075" s="74">
        <v>8.2040000000000006</v>
      </c>
      <c r="M1075" s="85">
        <v>9</v>
      </c>
      <c r="N1075" s="74">
        <v>8.9309999999999903</v>
      </c>
      <c r="O1075">
        <v>2</v>
      </c>
      <c r="P1075" s="84">
        <v>6.6982499999999927</v>
      </c>
      <c r="Q1075" s="86">
        <v>79.8</v>
      </c>
      <c r="R1075" s="85">
        <v>79.8</v>
      </c>
      <c r="S1075" s="87">
        <v>2815750</v>
      </c>
      <c r="T1075" s="1">
        <v>11</v>
      </c>
      <c r="U1075" s="88">
        <v>35285.087719298244</v>
      </c>
      <c r="V1075" s="59">
        <v>28.340584213797388</v>
      </c>
    </row>
    <row r="1076" spans="1:22">
      <c r="A1076" s="58">
        <v>1077</v>
      </c>
      <c r="B1076" s="58">
        <v>1077</v>
      </c>
      <c r="C1076" s="58" t="s">
        <v>1656</v>
      </c>
      <c r="D1076" s="58" t="s">
        <v>207</v>
      </c>
      <c r="E1076" s="58" t="s">
        <v>207</v>
      </c>
      <c r="F1076" s="58" t="s">
        <v>219</v>
      </c>
      <c r="G1076" s="58" t="s">
        <v>220</v>
      </c>
      <c r="H1076" s="58" t="s">
        <v>199</v>
      </c>
      <c r="I1076">
        <v>110000</v>
      </c>
      <c r="J1076">
        <v>110000</v>
      </c>
      <c r="K1076">
        <v>38000</v>
      </c>
      <c r="L1076" s="74">
        <v>5.7610000000000001</v>
      </c>
      <c r="M1076" s="85">
        <v>6</v>
      </c>
      <c r="N1076" s="74">
        <v>0.36199999999999999</v>
      </c>
      <c r="O1076">
        <v>2</v>
      </c>
      <c r="P1076" s="84">
        <v>0.36199999999999999</v>
      </c>
      <c r="Q1076" s="86">
        <v>4.2</v>
      </c>
      <c r="R1076" s="85">
        <v>4.2</v>
      </c>
      <c r="S1076" s="87">
        <v>1732670</v>
      </c>
      <c r="T1076" s="1">
        <v>7</v>
      </c>
      <c r="U1076" s="88">
        <v>412540.47619047615</v>
      </c>
      <c r="V1076" s="59">
        <v>2.4240045709800482</v>
      </c>
    </row>
    <row r="1077" spans="1:22">
      <c r="A1077" s="89">
        <v>1078</v>
      </c>
      <c r="B1077" s="89">
        <v>1078</v>
      </c>
      <c r="C1077" s="89" t="s">
        <v>1657</v>
      </c>
      <c r="D1077" s="58" t="s">
        <v>197</v>
      </c>
      <c r="E1077" s="58" t="s">
        <v>197</v>
      </c>
      <c r="F1077" s="89" t="s">
        <v>299</v>
      </c>
      <c r="G1077" s="89" t="s">
        <v>300</v>
      </c>
      <c r="H1077" s="89" t="s">
        <v>179</v>
      </c>
      <c r="I1077" s="90">
        <v>38000</v>
      </c>
      <c r="J1077" s="90">
        <v>38000</v>
      </c>
      <c r="K1077" s="89" t="s">
        <v>185</v>
      </c>
      <c r="L1077" s="91">
        <v>17.052</v>
      </c>
      <c r="M1077" s="92">
        <v>18</v>
      </c>
      <c r="N1077" s="91">
        <v>6.7329999999999997</v>
      </c>
      <c r="O1077" s="90">
        <v>2</v>
      </c>
      <c r="P1077" s="92">
        <v>5.0497499999999995</v>
      </c>
      <c r="Q1077" s="93">
        <v>58.800000000000011</v>
      </c>
      <c r="R1077" s="92">
        <v>58.800000000000011</v>
      </c>
      <c r="S1077" s="87">
        <v>4713040</v>
      </c>
      <c r="T1077" s="94">
        <v>11</v>
      </c>
      <c r="U1077" s="95">
        <v>80153.741496598625</v>
      </c>
      <c r="V1077" s="96">
        <v>12.476023967545366</v>
      </c>
    </row>
    <row r="1078" spans="1:22">
      <c r="A1078" s="58">
        <v>1079</v>
      </c>
      <c r="B1078" s="58">
        <v>1079</v>
      </c>
      <c r="C1078" s="58" t="s">
        <v>1658</v>
      </c>
      <c r="D1078" s="58" t="s">
        <v>197</v>
      </c>
      <c r="E1078" s="58" t="s">
        <v>197</v>
      </c>
      <c r="F1078" s="58" t="s">
        <v>299</v>
      </c>
      <c r="G1078" s="58" t="s">
        <v>300</v>
      </c>
      <c r="H1078" s="58" t="s">
        <v>179</v>
      </c>
      <c r="I1078">
        <v>38000</v>
      </c>
      <c r="J1078">
        <v>38000</v>
      </c>
      <c r="K1078" s="58" t="s">
        <v>185</v>
      </c>
      <c r="L1078" s="74">
        <v>15.555999999999999</v>
      </c>
      <c r="M1078" s="85">
        <v>16</v>
      </c>
      <c r="N1078" s="74">
        <v>2.7490000000000001</v>
      </c>
      <c r="O1078">
        <v>2</v>
      </c>
      <c r="P1078" s="84">
        <v>2.06175</v>
      </c>
      <c r="Q1078" s="86">
        <v>25.200000000000003</v>
      </c>
      <c r="R1078" s="85">
        <v>25.200000000000003</v>
      </c>
      <c r="S1078" s="87">
        <v>1769070</v>
      </c>
      <c r="T1078" s="1">
        <v>5</v>
      </c>
      <c r="U1078" s="88">
        <v>70201.190476190473</v>
      </c>
      <c r="V1078" s="59">
        <v>14.244772677169362</v>
      </c>
    </row>
    <row r="1079" spans="1:22">
      <c r="A1079" s="58">
        <v>1080</v>
      </c>
      <c r="B1079" s="58">
        <v>1080</v>
      </c>
      <c r="C1079" s="58" t="s">
        <v>1659</v>
      </c>
      <c r="D1079" s="58" t="s">
        <v>215</v>
      </c>
      <c r="E1079" s="58" t="s">
        <v>215</v>
      </c>
      <c r="F1079" s="58" t="s">
        <v>713</v>
      </c>
      <c r="G1079" s="58" t="s">
        <v>714</v>
      </c>
      <c r="H1079" s="58" t="s">
        <v>199</v>
      </c>
      <c r="I1079">
        <v>110000</v>
      </c>
      <c r="J1079" s="58" t="s">
        <v>185</v>
      </c>
      <c r="K1079">
        <v>110000</v>
      </c>
      <c r="L1079" s="74">
        <v>10.289</v>
      </c>
      <c r="M1079" s="85">
        <v>11</v>
      </c>
      <c r="N1079" s="74">
        <v>1.232</v>
      </c>
      <c r="O1079">
        <v>2</v>
      </c>
      <c r="P1079" s="84">
        <v>0.92399999999999993</v>
      </c>
      <c r="Q1079" s="86">
        <v>8.4</v>
      </c>
      <c r="R1079" s="85">
        <v>8.4</v>
      </c>
      <c r="S1079" s="87">
        <v>1996170</v>
      </c>
      <c r="T1079" s="1">
        <v>7</v>
      </c>
      <c r="U1079" s="88">
        <v>237639.28571428571</v>
      </c>
      <c r="V1079" s="59">
        <v>4.2080584318970828</v>
      </c>
    </row>
    <row r="1080" spans="1:22">
      <c r="A1080" s="58">
        <v>1081</v>
      </c>
      <c r="B1080" s="58">
        <v>1081</v>
      </c>
      <c r="C1080" s="58" t="s">
        <v>1660</v>
      </c>
      <c r="D1080" s="58" t="s">
        <v>215</v>
      </c>
      <c r="E1080" s="58" t="s">
        <v>215</v>
      </c>
      <c r="F1080" s="58" t="s">
        <v>1661</v>
      </c>
      <c r="G1080" s="58" t="s">
        <v>1662</v>
      </c>
      <c r="H1080" s="58" t="s">
        <v>179</v>
      </c>
      <c r="I1080">
        <v>38000</v>
      </c>
      <c r="J1080">
        <v>38000</v>
      </c>
      <c r="K1080" s="58" t="s">
        <v>185</v>
      </c>
      <c r="L1080" s="74">
        <v>12.377000000000001</v>
      </c>
      <c r="M1080" s="85">
        <v>13</v>
      </c>
      <c r="N1080" s="74">
        <v>0.49</v>
      </c>
      <c r="O1080">
        <v>2</v>
      </c>
      <c r="P1080" s="84">
        <v>0.49</v>
      </c>
      <c r="Q1080" s="86">
        <v>4.2</v>
      </c>
      <c r="R1080" s="85">
        <v>4.2</v>
      </c>
      <c r="S1080" s="87">
        <v>1545240</v>
      </c>
      <c r="T1080" s="1">
        <v>1</v>
      </c>
      <c r="U1080" s="88">
        <v>367914.28571428568</v>
      </c>
      <c r="V1080" s="59">
        <v>2.7180243845616214</v>
      </c>
    </row>
    <row r="1081" spans="1:22">
      <c r="A1081" s="58">
        <v>1082</v>
      </c>
      <c r="B1081" s="58">
        <v>1082</v>
      </c>
      <c r="C1081" s="58" t="s">
        <v>1663</v>
      </c>
      <c r="D1081" s="58" t="s">
        <v>489</v>
      </c>
      <c r="E1081" s="58" t="s">
        <v>489</v>
      </c>
      <c r="F1081" s="58" t="s">
        <v>1664</v>
      </c>
      <c r="G1081" s="58" t="s">
        <v>1665</v>
      </c>
      <c r="H1081" s="58" t="s">
        <v>179</v>
      </c>
      <c r="I1081">
        <v>38000</v>
      </c>
      <c r="J1081">
        <v>38000</v>
      </c>
      <c r="K1081" s="58" t="s">
        <v>185</v>
      </c>
      <c r="L1081" s="74">
        <v>9.6890000000000001</v>
      </c>
      <c r="M1081" s="85">
        <v>10</v>
      </c>
      <c r="N1081" s="74">
        <v>2.129</v>
      </c>
      <c r="O1081">
        <v>2</v>
      </c>
      <c r="P1081" s="84">
        <v>1.5967500000000001</v>
      </c>
      <c r="Q1081" s="86">
        <v>16.8</v>
      </c>
      <c r="R1081" s="85">
        <v>16.8</v>
      </c>
      <c r="S1081" s="87">
        <v>1050490</v>
      </c>
      <c r="T1081" s="1">
        <v>4</v>
      </c>
      <c r="U1081" s="88">
        <v>62529.166666666664</v>
      </c>
      <c r="V1081" s="59">
        <v>15.992536816152462</v>
      </c>
    </row>
    <row r="1082" spans="1:22">
      <c r="A1082" s="58">
        <v>1083</v>
      </c>
      <c r="B1082" s="58">
        <v>1083</v>
      </c>
      <c r="C1082" s="58" t="s">
        <v>1666</v>
      </c>
      <c r="D1082" s="58" t="s">
        <v>207</v>
      </c>
      <c r="E1082" s="58" t="s">
        <v>207</v>
      </c>
      <c r="F1082" s="58" t="s">
        <v>705</v>
      </c>
      <c r="G1082" s="58" t="s">
        <v>706</v>
      </c>
      <c r="H1082" s="58" t="s">
        <v>179</v>
      </c>
      <c r="I1082">
        <v>38000</v>
      </c>
      <c r="J1082" s="58" t="s">
        <v>185</v>
      </c>
      <c r="K1082">
        <v>38000</v>
      </c>
      <c r="L1082" s="74">
        <v>5.5190000000000001</v>
      </c>
      <c r="M1082" s="85">
        <v>6</v>
      </c>
      <c r="N1082" s="74">
        <v>1.6279999999999999</v>
      </c>
      <c r="O1082">
        <v>2</v>
      </c>
      <c r="P1082" s="84">
        <v>1.2209999999999999</v>
      </c>
      <c r="Q1082" s="86">
        <v>12.600000000000001</v>
      </c>
      <c r="R1082" s="85">
        <v>12.600000000000001</v>
      </c>
      <c r="S1082" s="87">
        <v>769410</v>
      </c>
      <c r="T1082" s="1">
        <v>4</v>
      </c>
      <c r="U1082" s="88">
        <v>61064.28571428571</v>
      </c>
      <c r="V1082" s="59">
        <v>16.376184349046675</v>
      </c>
    </row>
    <row r="1083" spans="1:22">
      <c r="A1083" s="58">
        <v>1084</v>
      </c>
      <c r="B1083" s="58">
        <v>1084</v>
      </c>
      <c r="C1083" s="58" t="s">
        <v>1667</v>
      </c>
      <c r="D1083" s="58" t="s">
        <v>215</v>
      </c>
      <c r="E1083" s="58" t="s">
        <v>215</v>
      </c>
      <c r="F1083" s="58" t="s">
        <v>225</v>
      </c>
      <c r="G1083" s="58" t="s">
        <v>226</v>
      </c>
      <c r="H1083" s="58" t="s">
        <v>179</v>
      </c>
      <c r="I1083">
        <v>38000</v>
      </c>
      <c r="J1083">
        <v>38000</v>
      </c>
      <c r="K1083">
        <v>20000</v>
      </c>
      <c r="L1083" s="74">
        <v>3.63</v>
      </c>
      <c r="M1083" s="85">
        <v>4</v>
      </c>
      <c r="N1083" s="74">
        <v>1.1000000000000001</v>
      </c>
      <c r="O1083">
        <v>2</v>
      </c>
      <c r="P1083" s="84">
        <v>0.82500000000000007</v>
      </c>
      <c r="Q1083" s="86">
        <v>8.4</v>
      </c>
      <c r="R1083" s="85">
        <v>8.4</v>
      </c>
      <c r="S1083" s="87">
        <v>628870</v>
      </c>
      <c r="T1083" s="1">
        <v>4</v>
      </c>
      <c r="U1083" s="88">
        <v>74865.476190476184</v>
      </c>
      <c r="V1083" s="59">
        <v>13.357291650102566</v>
      </c>
    </row>
    <row r="1084" spans="1:22">
      <c r="A1084" s="58">
        <v>1085</v>
      </c>
      <c r="B1084" s="58">
        <v>1085</v>
      </c>
      <c r="C1084" s="58" t="s">
        <v>1668</v>
      </c>
      <c r="D1084" s="58" t="s">
        <v>215</v>
      </c>
      <c r="E1084" s="58" t="s">
        <v>215</v>
      </c>
      <c r="F1084" s="58" t="s">
        <v>225</v>
      </c>
      <c r="G1084" s="58" t="s">
        <v>226</v>
      </c>
      <c r="H1084" s="58" t="s">
        <v>179</v>
      </c>
      <c r="I1084">
        <v>38000</v>
      </c>
      <c r="J1084">
        <v>38000</v>
      </c>
      <c r="K1084">
        <v>20000</v>
      </c>
      <c r="L1084" s="74">
        <v>5.7169999999999996</v>
      </c>
      <c r="M1084" s="85">
        <v>6</v>
      </c>
      <c r="N1084" s="74">
        <v>0.57299999999999995</v>
      </c>
      <c r="O1084">
        <v>2</v>
      </c>
      <c r="P1084" s="84">
        <v>0.57299999999999995</v>
      </c>
      <c r="Q1084" s="86">
        <v>4.2</v>
      </c>
      <c r="R1084" s="85">
        <v>4.2</v>
      </c>
      <c r="S1084" s="87">
        <v>769410</v>
      </c>
      <c r="T1084" s="1">
        <v>4</v>
      </c>
      <c r="U1084" s="88">
        <v>183192.85714285713</v>
      </c>
      <c r="V1084" s="59">
        <v>5.4587281163488903</v>
      </c>
    </row>
    <row r="1085" spans="1:22">
      <c r="A1085" s="58">
        <v>1086</v>
      </c>
      <c r="B1085" s="58">
        <v>1086</v>
      </c>
      <c r="C1085" s="58" t="s">
        <v>1669</v>
      </c>
      <c r="D1085" s="58" t="s">
        <v>197</v>
      </c>
      <c r="E1085" s="58" t="s">
        <v>197</v>
      </c>
      <c r="F1085" s="58" t="s">
        <v>486</v>
      </c>
      <c r="G1085" s="58" t="s">
        <v>487</v>
      </c>
      <c r="H1085" s="58" t="s">
        <v>179</v>
      </c>
      <c r="I1085">
        <v>38000</v>
      </c>
      <c r="J1085">
        <v>38000</v>
      </c>
      <c r="K1085" s="58" t="s">
        <v>185</v>
      </c>
      <c r="L1085" s="74">
        <v>14.867000000000001</v>
      </c>
      <c r="M1085" s="85">
        <v>15</v>
      </c>
      <c r="N1085" s="74">
        <v>0.84</v>
      </c>
      <c r="O1085">
        <v>2</v>
      </c>
      <c r="P1085" s="84">
        <v>0.63</v>
      </c>
      <c r="Q1085" s="86">
        <v>8.4</v>
      </c>
      <c r="R1085" s="85">
        <v>8.4</v>
      </c>
      <c r="S1085" s="87">
        <v>1696000</v>
      </c>
      <c r="T1085" s="1">
        <v>2</v>
      </c>
      <c r="U1085" s="88">
        <v>201904.76190476189</v>
      </c>
      <c r="V1085" s="59">
        <v>4.9528301886792452</v>
      </c>
    </row>
    <row r="1086" spans="1:22">
      <c r="A1086" s="58">
        <v>1087</v>
      </c>
      <c r="B1086" s="58">
        <v>1087</v>
      </c>
      <c r="C1086" s="58" t="s">
        <v>1670</v>
      </c>
      <c r="D1086" s="58" t="s">
        <v>182</v>
      </c>
      <c r="E1086" s="58" t="s">
        <v>182</v>
      </c>
      <c r="F1086" s="58" t="s">
        <v>1671</v>
      </c>
      <c r="G1086" s="58" t="s">
        <v>1672</v>
      </c>
      <c r="H1086" s="58" t="s">
        <v>179</v>
      </c>
      <c r="I1086">
        <v>38000</v>
      </c>
      <c r="J1086">
        <v>38000</v>
      </c>
      <c r="K1086" s="58" t="s">
        <v>185</v>
      </c>
      <c r="L1086" s="74">
        <v>6.0090000000000003</v>
      </c>
      <c r="M1086" s="85">
        <v>7</v>
      </c>
      <c r="N1086" s="74">
        <v>0.54100000000000004</v>
      </c>
      <c r="O1086">
        <v>2</v>
      </c>
      <c r="P1086" s="84">
        <v>0.54100000000000004</v>
      </c>
      <c r="Q1086" s="86">
        <v>4.2</v>
      </c>
      <c r="R1086" s="85">
        <v>4.2</v>
      </c>
      <c r="S1086" s="87">
        <v>839680</v>
      </c>
      <c r="T1086" s="1">
        <v>4</v>
      </c>
      <c r="U1086" s="88">
        <v>199923.80952380953</v>
      </c>
      <c r="V1086" s="59">
        <v>5.0019054878048781</v>
      </c>
    </row>
    <row r="1087" spans="1:22">
      <c r="A1087" s="58">
        <v>1088</v>
      </c>
      <c r="B1087" s="58">
        <v>1088</v>
      </c>
      <c r="C1087" s="58" t="s">
        <v>1673</v>
      </c>
      <c r="D1087" s="58" t="s">
        <v>176</v>
      </c>
      <c r="E1087" s="58" t="s">
        <v>176</v>
      </c>
      <c r="F1087" s="58" t="s">
        <v>928</v>
      </c>
      <c r="G1087" s="58" t="s">
        <v>929</v>
      </c>
      <c r="H1087" s="58" t="s">
        <v>199</v>
      </c>
      <c r="I1087">
        <v>110000</v>
      </c>
      <c r="J1087">
        <v>110000</v>
      </c>
      <c r="K1087">
        <v>38000</v>
      </c>
      <c r="L1087" s="74">
        <v>5.9980000000000002</v>
      </c>
      <c r="M1087" s="85">
        <v>6</v>
      </c>
      <c r="N1087" s="74">
        <v>0.82599999999999996</v>
      </c>
      <c r="O1087">
        <v>2</v>
      </c>
      <c r="P1087" s="84">
        <v>0.61949999999999994</v>
      </c>
      <c r="Q1087" s="86">
        <v>8.4</v>
      </c>
      <c r="R1087" s="85">
        <v>8.4</v>
      </c>
      <c r="S1087" s="87">
        <v>1732670</v>
      </c>
      <c r="T1087" s="1">
        <v>7</v>
      </c>
      <c r="U1087" s="88">
        <v>206270.23809523808</v>
      </c>
      <c r="V1087" s="59">
        <v>4.8480091419600964</v>
      </c>
    </row>
    <row r="1088" spans="1:22">
      <c r="A1088" s="58">
        <v>1089</v>
      </c>
      <c r="B1088" s="58">
        <v>1089</v>
      </c>
      <c r="C1088" s="58" t="s">
        <v>1674</v>
      </c>
      <c r="D1088" s="58" t="s">
        <v>384</v>
      </c>
      <c r="E1088" s="58" t="s">
        <v>384</v>
      </c>
      <c r="F1088" s="58" t="s">
        <v>476</v>
      </c>
      <c r="G1088" s="58" t="s">
        <v>477</v>
      </c>
      <c r="H1088" s="58" t="s">
        <v>179</v>
      </c>
      <c r="I1088">
        <v>38000</v>
      </c>
      <c r="J1088">
        <v>20000</v>
      </c>
      <c r="K1088">
        <v>38000</v>
      </c>
      <c r="L1088" s="74">
        <v>7.37</v>
      </c>
      <c r="M1088" s="85">
        <v>8</v>
      </c>
      <c r="N1088" s="74">
        <v>0.57399999999999995</v>
      </c>
      <c r="O1088">
        <v>2</v>
      </c>
      <c r="P1088" s="84">
        <v>0.57399999999999995</v>
      </c>
      <c r="Q1088" s="86">
        <v>4.2</v>
      </c>
      <c r="R1088" s="85">
        <v>4.2</v>
      </c>
      <c r="S1088" s="87">
        <v>909950</v>
      </c>
      <c r="T1088" s="1">
        <v>4</v>
      </c>
      <c r="U1088" s="88">
        <v>216654.76190476189</v>
      </c>
      <c r="V1088" s="59">
        <v>4.6156382218803227</v>
      </c>
    </row>
    <row r="1089" spans="1:22">
      <c r="A1089" s="58">
        <v>1090</v>
      </c>
      <c r="B1089" s="58">
        <v>1090</v>
      </c>
      <c r="C1089" s="58" t="s">
        <v>1675</v>
      </c>
      <c r="D1089" s="58" t="s">
        <v>215</v>
      </c>
      <c r="E1089" s="58" t="s">
        <v>215</v>
      </c>
      <c r="F1089" s="58" t="s">
        <v>483</v>
      </c>
      <c r="G1089" s="58" t="s">
        <v>484</v>
      </c>
      <c r="H1089" s="58" t="s">
        <v>179</v>
      </c>
      <c r="I1089">
        <v>38000</v>
      </c>
      <c r="L1089" s="74">
        <v>6.4059999999999997</v>
      </c>
      <c r="M1089" s="85">
        <v>7</v>
      </c>
      <c r="N1089" s="74">
        <v>3.1640000000000001</v>
      </c>
      <c r="O1089">
        <v>2</v>
      </c>
      <c r="P1089" s="84">
        <v>2.3730000000000002</v>
      </c>
      <c r="Q1089" s="86">
        <v>29.400000000000006</v>
      </c>
      <c r="R1089" s="85">
        <v>29.400000000000006</v>
      </c>
      <c r="S1089" s="87">
        <v>969600</v>
      </c>
      <c r="T1089" s="1">
        <v>5</v>
      </c>
      <c r="U1089" s="88">
        <v>32979.591836734689</v>
      </c>
      <c r="V1089" s="59">
        <v>30.321782178217831</v>
      </c>
    </row>
    <row r="1090" spans="1:22">
      <c r="A1090" s="58">
        <v>1091</v>
      </c>
      <c r="B1090" s="58">
        <v>1091</v>
      </c>
      <c r="C1090" s="58" t="s">
        <v>1676</v>
      </c>
      <c r="D1090" s="58" t="s">
        <v>215</v>
      </c>
      <c r="E1090" s="58" t="s">
        <v>215</v>
      </c>
      <c r="F1090" s="58" t="s">
        <v>483</v>
      </c>
      <c r="G1090" s="58" t="s">
        <v>484</v>
      </c>
      <c r="H1090" s="58" t="s">
        <v>179</v>
      </c>
      <c r="I1090">
        <v>38000</v>
      </c>
      <c r="L1090" s="74">
        <v>5.3940000000000001</v>
      </c>
      <c r="M1090" s="85">
        <v>6</v>
      </c>
      <c r="N1090" s="74">
        <v>1.1539999999999999</v>
      </c>
      <c r="O1090">
        <v>2</v>
      </c>
      <c r="P1090" s="84">
        <v>0.86549999999999994</v>
      </c>
      <c r="Q1090" s="86">
        <v>8.4</v>
      </c>
      <c r="R1090" s="85">
        <v>8.4</v>
      </c>
      <c r="S1090" s="87">
        <v>769410</v>
      </c>
      <c r="T1090" s="1">
        <v>4</v>
      </c>
      <c r="U1090" s="88">
        <v>91596.428571428565</v>
      </c>
      <c r="V1090" s="59">
        <v>10.917456232697781</v>
      </c>
    </row>
    <row r="1091" spans="1:22">
      <c r="A1091" s="58">
        <v>1092</v>
      </c>
      <c r="B1091" s="58">
        <v>1092</v>
      </c>
      <c r="C1091" s="58" t="s">
        <v>1677</v>
      </c>
      <c r="D1091" s="58" t="s">
        <v>197</v>
      </c>
      <c r="E1091" s="58" t="s">
        <v>197</v>
      </c>
      <c r="F1091" s="58" t="s">
        <v>1548</v>
      </c>
      <c r="G1091" s="58" t="s">
        <v>1549</v>
      </c>
      <c r="H1091" s="58" t="s">
        <v>199</v>
      </c>
      <c r="I1091">
        <v>110000</v>
      </c>
      <c r="J1091" s="58" t="s">
        <v>185</v>
      </c>
      <c r="K1091">
        <v>110000</v>
      </c>
      <c r="L1091" s="74">
        <v>7.9409999999999998</v>
      </c>
      <c r="M1091" s="85">
        <v>8</v>
      </c>
      <c r="N1091" s="74">
        <v>0.66</v>
      </c>
      <c r="O1091">
        <v>2</v>
      </c>
      <c r="P1091" s="84">
        <v>0.495</v>
      </c>
      <c r="Q1091" s="86">
        <v>4.2</v>
      </c>
      <c r="R1091" s="85">
        <v>4.2</v>
      </c>
      <c r="S1091" s="87">
        <v>1838070</v>
      </c>
      <c r="T1091" s="1">
        <v>7</v>
      </c>
      <c r="U1091" s="88">
        <v>437635.71428571426</v>
      </c>
      <c r="V1091" s="59">
        <v>2.2850054676916547</v>
      </c>
    </row>
    <row r="1092" spans="1:22">
      <c r="A1092" s="58">
        <v>1093</v>
      </c>
      <c r="B1092" s="58">
        <v>1093</v>
      </c>
      <c r="C1092" s="58" t="s">
        <v>1678</v>
      </c>
      <c r="D1092" s="58" t="s">
        <v>197</v>
      </c>
      <c r="E1092" s="58" t="s">
        <v>197</v>
      </c>
      <c r="F1092" s="58" t="s">
        <v>486</v>
      </c>
      <c r="G1092" s="58" t="s">
        <v>487</v>
      </c>
      <c r="H1092" s="58" t="s">
        <v>179</v>
      </c>
      <c r="I1092">
        <v>38000</v>
      </c>
      <c r="J1092">
        <v>38000</v>
      </c>
      <c r="K1092" s="58" t="s">
        <v>185</v>
      </c>
      <c r="L1092" s="74">
        <v>10.93</v>
      </c>
      <c r="M1092" s="85">
        <v>11</v>
      </c>
      <c r="N1092" s="74">
        <v>2.7130000000000001</v>
      </c>
      <c r="O1092">
        <v>2</v>
      </c>
      <c r="P1092" s="84">
        <v>2.0347499999999998</v>
      </c>
      <c r="Q1092" s="86">
        <v>25.200000000000003</v>
      </c>
      <c r="R1092" s="85">
        <v>25.200000000000003</v>
      </c>
      <c r="S1092" s="87">
        <v>1324920</v>
      </c>
      <c r="T1092" s="1">
        <v>5</v>
      </c>
      <c r="U1092" s="88">
        <v>52576.190476190473</v>
      </c>
      <c r="V1092" s="59">
        <v>19.02001630287112</v>
      </c>
    </row>
    <row r="1093" spans="1:22">
      <c r="A1093" s="89">
        <v>1094</v>
      </c>
      <c r="B1093" s="89">
        <v>1094</v>
      </c>
      <c r="C1093" s="89" t="s">
        <v>1679</v>
      </c>
      <c r="D1093" s="58" t="s">
        <v>182</v>
      </c>
      <c r="E1093" s="58" t="s">
        <v>197</v>
      </c>
      <c r="F1093" s="89" t="s">
        <v>486</v>
      </c>
      <c r="G1093" s="89" t="s">
        <v>487</v>
      </c>
      <c r="H1093" s="89" t="s">
        <v>179</v>
      </c>
      <c r="I1093" s="90">
        <v>38000</v>
      </c>
      <c r="J1093" s="90">
        <v>38000</v>
      </c>
      <c r="K1093" s="89" t="s">
        <v>185</v>
      </c>
      <c r="L1093" s="91">
        <v>13.833</v>
      </c>
      <c r="M1093" s="92">
        <v>14</v>
      </c>
      <c r="N1093" s="91">
        <v>10.364000000000001</v>
      </c>
      <c r="O1093" s="90">
        <v>2</v>
      </c>
      <c r="P1093" s="92">
        <v>7.7730000000000006</v>
      </c>
      <c r="Q1093" s="93">
        <v>96.600000000000009</v>
      </c>
      <c r="R1093" s="92">
        <v>96.600000000000009</v>
      </c>
      <c r="S1093" s="87">
        <v>3869800</v>
      </c>
      <c r="T1093" s="94">
        <v>11</v>
      </c>
      <c r="U1093" s="95">
        <v>40060.041407867495</v>
      </c>
      <c r="V1093" s="96">
        <v>24.962530363326273</v>
      </c>
    </row>
    <row r="1094" spans="1:22">
      <c r="A1094" s="58">
        <v>1095</v>
      </c>
      <c r="B1094" s="58">
        <v>1095</v>
      </c>
      <c r="C1094" s="58" t="s">
        <v>1680</v>
      </c>
      <c r="D1094" s="58" t="s">
        <v>197</v>
      </c>
      <c r="E1094" s="58" t="s">
        <v>197</v>
      </c>
      <c r="F1094" s="58" t="s">
        <v>486</v>
      </c>
      <c r="G1094" s="58" t="s">
        <v>487</v>
      </c>
      <c r="H1094" s="58" t="s">
        <v>179</v>
      </c>
      <c r="I1094">
        <v>38000</v>
      </c>
      <c r="J1094">
        <v>38000</v>
      </c>
      <c r="K1094" s="58" t="s">
        <v>185</v>
      </c>
      <c r="L1094" s="74">
        <v>14.536</v>
      </c>
      <c r="M1094" s="85">
        <v>15</v>
      </c>
      <c r="N1094" s="74">
        <v>1.2569999999999999</v>
      </c>
      <c r="O1094">
        <v>2</v>
      </c>
      <c r="P1094" s="84">
        <v>0.94274999999999998</v>
      </c>
      <c r="Q1094" s="86">
        <v>8.4</v>
      </c>
      <c r="R1094" s="85">
        <v>8.4</v>
      </c>
      <c r="S1094" s="87">
        <v>1696000</v>
      </c>
      <c r="T1094" s="1">
        <v>2</v>
      </c>
      <c r="U1094" s="88">
        <v>201904.76190476189</v>
      </c>
      <c r="V1094" s="59">
        <v>4.9528301886792452</v>
      </c>
    </row>
    <row r="1095" spans="1:22">
      <c r="A1095" s="58">
        <v>1096</v>
      </c>
      <c r="B1095" s="58">
        <v>1096</v>
      </c>
      <c r="C1095" s="58" t="s">
        <v>1681</v>
      </c>
      <c r="D1095" s="58" t="s">
        <v>197</v>
      </c>
      <c r="E1095" s="58" t="s">
        <v>197</v>
      </c>
      <c r="F1095" s="58" t="s">
        <v>486</v>
      </c>
      <c r="G1095" s="58" t="s">
        <v>487</v>
      </c>
      <c r="H1095" s="58" t="s">
        <v>179</v>
      </c>
      <c r="I1095">
        <v>38000</v>
      </c>
      <c r="J1095">
        <v>38000</v>
      </c>
      <c r="K1095" s="58" t="s">
        <v>185</v>
      </c>
      <c r="L1095" s="74">
        <v>14.802</v>
      </c>
      <c r="M1095" s="85">
        <v>15</v>
      </c>
      <c r="N1095" s="74">
        <v>0.58799999999999997</v>
      </c>
      <c r="O1095">
        <v>2</v>
      </c>
      <c r="P1095" s="84">
        <v>0.58799999999999997</v>
      </c>
      <c r="Q1095" s="86">
        <v>4.2</v>
      </c>
      <c r="R1095" s="85">
        <v>4.2</v>
      </c>
      <c r="S1095" s="87">
        <v>1650640</v>
      </c>
      <c r="T1095" s="1">
        <v>1</v>
      </c>
      <c r="U1095" s="88">
        <v>393009.52380952379</v>
      </c>
      <c r="V1095" s="59">
        <v>2.5444676004458877</v>
      </c>
    </row>
    <row r="1096" spans="1:22">
      <c r="A1096" s="58">
        <v>1097</v>
      </c>
      <c r="B1096" s="58">
        <v>1097</v>
      </c>
      <c r="C1096" s="58" t="s">
        <v>1682</v>
      </c>
      <c r="D1096" s="58" t="s">
        <v>197</v>
      </c>
      <c r="E1096" s="58" t="s">
        <v>197</v>
      </c>
      <c r="F1096" s="58" t="s">
        <v>296</v>
      </c>
      <c r="G1096" s="58" t="s">
        <v>297</v>
      </c>
      <c r="H1096" s="58" t="s">
        <v>179</v>
      </c>
      <c r="I1096">
        <v>38000</v>
      </c>
      <c r="J1096">
        <v>38000</v>
      </c>
      <c r="K1096" s="58" t="s">
        <v>185</v>
      </c>
      <c r="L1096" s="74">
        <v>6.4379999999999997</v>
      </c>
      <c r="M1096" s="85">
        <v>7</v>
      </c>
      <c r="N1096" s="74">
        <v>0.95599999999999996</v>
      </c>
      <c r="O1096">
        <v>2</v>
      </c>
      <c r="P1096" s="84">
        <v>0.71699999999999997</v>
      </c>
      <c r="Q1096" s="86">
        <v>8.4</v>
      </c>
      <c r="R1096" s="85">
        <v>8.4</v>
      </c>
      <c r="S1096" s="87">
        <v>839680</v>
      </c>
      <c r="T1096" s="1">
        <v>4</v>
      </c>
      <c r="U1096" s="88">
        <v>99961.904761904763</v>
      </c>
      <c r="V1096" s="59">
        <v>10.003810975609756</v>
      </c>
    </row>
    <row r="1097" spans="1:22">
      <c r="A1097" s="58">
        <v>1098</v>
      </c>
      <c r="B1097" s="58">
        <v>1098</v>
      </c>
      <c r="C1097" s="58" t="s">
        <v>1683</v>
      </c>
      <c r="D1097" s="58" t="s">
        <v>215</v>
      </c>
      <c r="E1097" s="58" t="s">
        <v>215</v>
      </c>
      <c r="F1097" s="58" t="s">
        <v>406</v>
      </c>
      <c r="G1097" s="58" t="s">
        <v>407</v>
      </c>
      <c r="H1097" s="58" t="s">
        <v>179</v>
      </c>
      <c r="I1097">
        <v>38000</v>
      </c>
      <c r="J1097" s="58" t="s">
        <v>185</v>
      </c>
      <c r="K1097">
        <v>38000</v>
      </c>
      <c r="L1097" s="74">
        <v>4.4710000000000001</v>
      </c>
      <c r="M1097" s="85">
        <v>5</v>
      </c>
      <c r="N1097" s="74">
        <v>0.35</v>
      </c>
      <c r="O1097">
        <v>2</v>
      </c>
      <c r="P1097" s="84">
        <v>0.35</v>
      </c>
      <c r="Q1097" s="86">
        <v>4.2</v>
      </c>
      <c r="R1097" s="85">
        <v>4.2</v>
      </c>
      <c r="S1097" s="87">
        <v>699140</v>
      </c>
      <c r="T1097" s="1">
        <v>4</v>
      </c>
      <c r="U1097" s="88">
        <v>166461.90476190476</v>
      </c>
      <c r="V1097" s="59">
        <v>6.0073804960379897</v>
      </c>
    </row>
    <row r="1098" spans="1:22">
      <c r="A1098" s="58">
        <v>1099</v>
      </c>
      <c r="B1098" s="58">
        <v>1099</v>
      </c>
      <c r="C1098" s="58" t="s">
        <v>1684</v>
      </c>
      <c r="D1098" s="58" t="s">
        <v>176</v>
      </c>
      <c r="E1098" s="58" t="s">
        <v>176</v>
      </c>
      <c r="F1098" s="58" t="s">
        <v>257</v>
      </c>
      <c r="G1098" s="58" t="s">
        <v>258</v>
      </c>
      <c r="H1098" s="58" t="s">
        <v>179</v>
      </c>
      <c r="I1098">
        <v>38000</v>
      </c>
      <c r="J1098">
        <v>38000</v>
      </c>
      <c r="K1098">
        <v>20000</v>
      </c>
      <c r="L1098" s="74">
        <v>16.504999999999999</v>
      </c>
      <c r="M1098" s="85">
        <v>17</v>
      </c>
      <c r="N1098" s="74">
        <v>0.64800000000000002</v>
      </c>
      <c r="O1098">
        <v>2</v>
      </c>
      <c r="P1098" s="84">
        <v>0.48599999999999999</v>
      </c>
      <c r="Q1098" s="86">
        <v>4.2</v>
      </c>
      <c r="R1098" s="85">
        <v>4.2</v>
      </c>
      <c r="S1098" s="87">
        <v>1756040</v>
      </c>
      <c r="T1098" s="1">
        <v>1</v>
      </c>
      <c r="U1098" s="88">
        <v>418104.76190476189</v>
      </c>
      <c r="V1098" s="59">
        <v>2.3917450627548349</v>
      </c>
    </row>
    <row r="1099" spans="1:22">
      <c r="A1099" s="58">
        <v>1100</v>
      </c>
      <c r="B1099" s="58">
        <v>1100</v>
      </c>
      <c r="C1099" s="58" t="s">
        <v>1685</v>
      </c>
      <c r="D1099" s="58" t="s">
        <v>489</v>
      </c>
      <c r="E1099" s="58" t="s">
        <v>489</v>
      </c>
      <c r="F1099" s="58" t="s">
        <v>1161</v>
      </c>
      <c r="G1099" s="58" t="s">
        <v>1162</v>
      </c>
      <c r="H1099" s="58" t="s">
        <v>179</v>
      </c>
      <c r="I1099">
        <v>38000</v>
      </c>
      <c r="J1099">
        <v>38000</v>
      </c>
      <c r="K1099" s="58" t="s">
        <v>185</v>
      </c>
      <c r="L1099" s="74">
        <v>6.31</v>
      </c>
      <c r="M1099" s="85">
        <v>7</v>
      </c>
      <c r="N1099" s="74">
        <v>2.0139999999999998</v>
      </c>
      <c r="O1099">
        <v>2</v>
      </c>
      <c r="P1099" s="84">
        <v>1.5105</v>
      </c>
      <c r="Q1099" s="86">
        <v>16.8</v>
      </c>
      <c r="R1099" s="85">
        <v>16.8</v>
      </c>
      <c r="S1099" s="87">
        <v>839680</v>
      </c>
      <c r="T1099" s="1">
        <v>4</v>
      </c>
      <c r="U1099" s="88">
        <v>49980.952380952382</v>
      </c>
      <c r="V1099" s="59">
        <v>20.007621951219512</v>
      </c>
    </row>
    <row r="1100" spans="1:22">
      <c r="A1100" s="89">
        <v>1101</v>
      </c>
      <c r="B1100" s="89">
        <v>1101</v>
      </c>
      <c r="C1100" s="89" t="s">
        <v>1686</v>
      </c>
      <c r="D1100" s="58" t="s">
        <v>489</v>
      </c>
      <c r="E1100" s="58" t="s">
        <v>489</v>
      </c>
      <c r="F1100" s="89" t="s">
        <v>469</v>
      </c>
      <c r="G1100" s="89" t="s">
        <v>470</v>
      </c>
      <c r="H1100" s="89" t="s">
        <v>179</v>
      </c>
      <c r="I1100" s="90">
        <v>38000</v>
      </c>
      <c r="J1100" s="90">
        <v>38000</v>
      </c>
      <c r="K1100" s="89" t="s">
        <v>185</v>
      </c>
      <c r="L1100" s="91">
        <v>4.4630000000000001</v>
      </c>
      <c r="M1100" s="92">
        <v>5</v>
      </c>
      <c r="N1100" s="91">
        <v>6.2309999999999999</v>
      </c>
      <c r="O1100" s="90">
        <v>2</v>
      </c>
      <c r="P1100" s="92">
        <v>4.6732499999999995</v>
      </c>
      <c r="Q1100" s="93">
        <v>54.599999999999994</v>
      </c>
      <c r="R1100" s="92">
        <v>54.599999999999994</v>
      </c>
      <c r="S1100" s="87">
        <v>1972510</v>
      </c>
      <c r="T1100" s="94">
        <v>11</v>
      </c>
      <c r="U1100" s="95">
        <v>36126.556776556783</v>
      </c>
      <c r="V1100" s="96">
        <v>27.680468033115165</v>
      </c>
    </row>
    <row r="1101" spans="1:22">
      <c r="A1101" s="58">
        <v>1102</v>
      </c>
      <c r="B1101" s="58">
        <v>1102</v>
      </c>
      <c r="C1101" s="58" t="s">
        <v>1687</v>
      </c>
      <c r="D1101" s="58" t="s">
        <v>410</v>
      </c>
      <c r="E1101" s="58" t="s">
        <v>410</v>
      </c>
      <c r="F1101" s="58" t="s">
        <v>1143</v>
      </c>
      <c r="G1101" s="58" t="s">
        <v>1144</v>
      </c>
      <c r="H1101" s="58" t="s">
        <v>179</v>
      </c>
      <c r="I1101">
        <v>38000</v>
      </c>
      <c r="J1101" s="58" t="s">
        <v>185</v>
      </c>
      <c r="K1101">
        <v>38000</v>
      </c>
      <c r="L1101" s="74">
        <v>3.4529999999999998</v>
      </c>
      <c r="M1101" s="85">
        <v>4</v>
      </c>
      <c r="N1101" s="74">
        <v>1.8069999999999999</v>
      </c>
      <c r="O1101">
        <v>2</v>
      </c>
      <c r="P1101" s="84">
        <v>1.3552499999999998</v>
      </c>
      <c r="Q1101" s="86">
        <v>16.8</v>
      </c>
      <c r="R1101" s="85">
        <v>16.8</v>
      </c>
      <c r="S1101" s="87">
        <v>628870</v>
      </c>
      <c r="T1101" s="1">
        <v>4</v>
      </c>
      <c r="U1101" s="88">
        <v>37432.738095238092</v>
      </c>
      <c r="V1101" s="59">
        <v>26.714583300205131</v>
      </c>
    </row>
    <row r="1102" spans="1:22">
      <c r="A1102" s="58">
        <v>1103</v>
      </c>
      <c r="B1102" s="58">
        <v>1103</v>
      </c>
      <c r="C1102" s="58" t="s">
        <v>1688</v>
      </c>
      <c r="D1102" s="58" t="s">
        <v>207</v>
      </c>
      <c r="E1102" s="58" t="s">
        <v>207</v>
      </c>
      <c r="F1102" s="58" t="s">
        <v>491</v>
      </c>
      <c r="G1102" s="58" t="s">
        <v>492</v>
      </c>
      <c r="H1102" s="58" t="s">
        <v>179</v>
      </c>
      <c r="I1102">
        <v>38000</v>
      </c>
      <c r="J1102">
        <v>38000</v>
      </c>
      <c r="K1102" s="58" t="s">
        <v>185</v>
      </c>
      <c r="L1102" s="74">
        <v>3.6259999999999999</v>
      </c>
      <c r="M1102" s="85">
        <v>4</v>
      </c>
      <c r="N1102" s="74">
        <v>0.83</v>
      </c>
      <c r="O1102">
        <v>2</v>
      </c>
      <c r="P1102" s="84">
        <v>0.62249999999999994</v>
      </c>
      <c r="Q1102" s="86">
        <v>8.4</v>
      </c>
      <c r="R1102" s="85">
        <v>8.4</v>
      </c>
      <c r="S1102" s="87">
        <v>628870</v>
      </c>
      <c r="T1102" s="1">
        <v>4</v>
      </c>
      <c r="U1102" s="88">
        <v>74865.476190476184</v>
      </c>
      <c r="V1102" s="59">
        <v>13.357291650102566</v>
      </c>
    </row>
    <row r="1103" spans="1:22">
      <c r="A1103" s="89">
        <v>1104</v>
      </c>
      <c r="B1103" s="89">
        <v>1104</v>
      </c>
      <c r="C1103" s="89" t="s">
        <v>1689</v>
      </c>
      <c r="D1103" s="58" t="s">
        <v>197</v>
      </c>
      <c r="E1103" s="58" t="s">
        <v>197</v>
      </c>
      <c r="F1103" s="89" t="s">
        <v>494</v>
      </c>
      <c r="G1103" s="89" t="s">
        <v>495</v>
      </c>
      <c r="H1103" s="89" t="s">
        <v>179</v>
      </c>
      <c r="I1103" s="90">
        <v>38000</v>
      </c>
      <c r="J1103" s="90">
        <v>38000</v>
      </c>
      <c r="K1103" s="90">
        <v>10000</v>
      </c>
      <c r="L1103" s="91">
        <v>8.1340000000000003</v>
      </c>
      <c r="M1103" s="92">
        <v>9</v>
      </c>
      <c r="N1103" s="91">
        <v>11.769</v>
      </c>
      <c r="O1103" s="90">
        <v>2</v>
      </c>
      <c r="P1103" s="92">
        <v>8.8267500000000005</v>
      </c>
      <c r="Q1103" s="93">
        <v>109.19999999999999</v>
      </c>
      <c r="R1103" s="92">
        <v>109.19999999999999</v>
      </c>
      <c r="S1103" s="87">
        <v>2815750</v>
      </c>
      <c r="T1103" s="94">
        <v>11</v>
      </c>
      <c r="U1103" s="95">
        <v>25785.256410256414</v>
      </c>
      <c r="V1103" s="96">
        <v>38.781852082038526</v>
      </c>
    </row>
    <row r="1104" spans="1:22">
      <c r="A1104" s="58">
        <v>1105</v>
      </c>
      <c r="B1104" s="58">
        <v>1105</v>
      </c>
      <c r="C1104" s="58" t="s">
        <v>1690</v>
      </c>
      <c r="D1104" s="58" t="s">
        <v>176</v>
      </c>
      <c r="E1104" s="58" t="s">
        <v>176</v>
      </c>
      <c r="F1104" s="58" t="s">
        <v>262</v>
      </c>
      <c r="G1104" s="58" t="s">
        <v>263</v>
      </c>
      <c r="H1104" s="58" t="s">
        <v>179</v>
      </c>
      <c r="I1104">
        <v>38000</v>
      </c>
      <c r="J1104" s="58" t="s">
        <v>185</v>
      </c>
      <c r="K1104">
        <v>38000</v>
      </c>
      <c r="L1104" s="74">
        <v>19.151</v>
      </c>
      <c r="M1104" s="85">
        <v>20</v>
      </c>
      <c r="N1104" s="74">
        <v>0.57199999999999995</v>
      </c>
      <c r="O1104">
        <v>2</v>
      </c>
      <c r="P1104" s="84">
        <v>0.57199999999999995</v>
      </c>
      <c r="Q1104" s="86">
        <v>4.2</v>
      </c>
      <c r="R1104" s="85">
        <v>4.2</v>
      </c>
      <c r="S1104" s="87">
        <v>1914140</v>
      </c>
      <c r="T1104" s="1">
        <v>1</v>
      </c>
      <c r="U1104" s="88">
        <v>455747.61904761905</v>
      </c>
      <c r="V1104" s="59">
        <v>2.1941968717021743</v>
      </c>
    </row>
    <row r="1105" spans="1:22">
      <c r="A1105" s="58">
        <v>1106</v>
      </c>
      <c r="B1105" s="58">
        <v>1106</v>
      </c>
      <c r="C1105" s="58" t="s">
        <v>1691</v>
      </c>
      <c r="D1105" s="58" t="s">
        <v>207</v>
      </c>
      <c r="E1105" s="58" t="s">
        <v>207</v>
      </c>
      <c r="F1105" s="58" t="s">
        <v>705</v>
      </c>
      <c r="G1105" s="58" t="s">
        <v>706</v>
      </c>
      <c r="H1105" s="58" t="s">
        <v>179</v>
      </c>
      <c r="I1105">
        <v>38000</v>
      </c>
      <c r="J1105" s="58" t="s">
        <v>185</v>
      </c>
      <c r="K1105">
        <v>38000</v>
      </c>
      <c r="L1105" s="74">
        <v>5.2560000000000002</v>
      </c>
      <c r="M1105" s="85">
        <v>6</v>
      </c>
      <c r="N1105" s="74">
        <v>1.1499999999999999</v>
      </c>
      <c r="O1105">
        <v>2</v>
      </c>
      <c r="P1105" s="84">
        <v>0.86249999999999993</v>
      </c>
      <c r="Q1105" s="86">
        <v>8.4</v>
      </c>
      <c r="R1105" s="85">
        <v>8.4</v>
      </c>
      <c r="S1105" s="87">
        <v>769410</v>
      </c>
      <c r="T1105" s="1">
        <v>4</v>
      </c>
      <c r="U1105" s="88">
        <v>91596.428571428565</v>
      </c>
      <c r="V1105" s="59">
        <v>10.917456232697781</v>
      </c>
    </row>
    <row r="1106" spans="1:22">
      <c r="A1106" s="58">
        <v>1107</v>
      </c>
      <c r="B1106" s="58">
        <v>1107</v>
      </c>
      <c r="C1106" s="58" t="s">
        <v>1692</v>
      </c>
      <c r="D1106" s="58" t="s">
        <v>207</v>
      </c>
      <c r="E1106" s="58" t="s">
        <v>207</v>
      </c>
      <c r="F1106" s="58" t="s">
        <v>705</v>
      </c>
      <c r="G1106" s="58" t="s">
        <v>706</v>
      </c>
      <c r="H1106" s="58" t="s">
        <v>179</v>
      </c>
      <c r="I1106">
        <v>38000</v>
      </c>
      <c r="J1106" s="58" t="s">
        <v>185</v>
      </c>
      <c r="K1106">
        <v>38000</v>
      </c>
      <c r="L1106" s="74">
        <v>7.51</v>
      </c>
      <c r="M1106" s="85">
        <v>8</v>
      </c>
      <c r="N1106" s="74">
        <v>1.3440000000000001</v>
      </c>
      <c r="O1106">
        <v>2</v>
      </c>
      <c r="P1106" s="84">
        <v>1.008</v>
      </c>
      <c r="Q1106" s="86">
        <v>8.4</v>
      </c>
      <c r="R1106" s="85">
        <v>8.4</v>
      </c>
      <c r="S1106" s="87">
        <v>909950</v>
      </c>
      <c r="T1106" s="1">
        <v>4</v>
      </c>
      <c r="U1106" s="88">
        <v>108327.38095238095</v>
      </c>
      <c r="V1106" s="59">
        <v>9.2312764437606454</v>
      </c>
    </row>
    <row r="1107" spans="1:22">
      <c r="A1107" s="58">
        <v>1108</v>
      </c>
      <c r="B1107" s="58">
        <v>1108</v>
      </c>
      <c r="C1107" s="58" t="s">
        <v>1693</v>
      </c>
      <c r="D1107" s="58" t="s">
        <v>176</v>
      </c>
      <c r="E1107" s="58" t="s">
        <v>176</v>
      </c>
      <c r="F1107" s="58" t="s">
        <v>265</v>
      </c>
      <c r="G1107" s="58" t="s">
        <v>266</v>
      </c>
      <c r="H1107" s="58" t="s">
        <v>179</v>
      </c>
      <c r="I1107">
        <v>38000</v>
      </c>
      <c r="J1107">
        <v>38000</v>
      </c>
      <c r="K1107" s="58" t="s">
        <v>185</v>
      </c>
      <c r="L1107" s="74">
        <v>8.7579999999999991</v>
      </c>
      <c r="M1107" s="85">
        <v>9</v>
      </c>
      <c r="N1107" s="74">
        <v>0.80300000000000005</v>
      </c>
      <c r="O1107">
        <v>2</v>
      </c>
      <c r="P1107" s="84">
        <v>0.60225000000000006</v>
      </c>
      <c r="Q1107" s="86">
        <v>4.2</v>
      </c>
      <c r="R1107" s="85">
        <v>4.2</v>
      </c>
      <c r="S1107" s="87">
        <v>1334440</v>
      </c>
      <c r="T1107" s="1">
        <v>1</v>
      </c>
      <c r="U1107" s="88">
        <v>317723.80952380953</v>
      </c>
      <c r="V1107" s="59">
        <v>3.1473876682353645</v>
      </c>
    </row>
    <row r="1108" spans="1:22">
      <c r="A1108" s="58">
        <v>1109</v>
      </c>
      <c r="B1108" s="58">
        <v>1109</v>
      </c>
      <c r="C1108" s="58" t="s">
        <v>1694</v>
      </c>
      <c r="D1108" s="58" t="s">
        <v>215</v>
      </c>
      <c r="E1108" s="58" t="s">
        <v>215</v>
      </c>
      <c r="F1108" s="58" t="s">
        <v>1695</v>
      </c>
      <c r="G1108" s="58" t="s">
        <v>1696</v>
      </c>
      <c r="H1108" s="58" t="s">
        <v>199</v>
      </c>
      <c r="I1108">
        <v>110000</v>
      </c>
      <c r="L1108" s="74">
        <v>5.9290000000000003</v>
      </c>
      <c r="M1108" s="85">
        <v>6</v>
      </c>
      <c r="N1108" s="74">
        <v>0.97899999999999998</v>
      </c>
      <c r="O1108">
        <v>2</v>
      </c>
      <c r="P1108" s="84">
        <v>0.73424999999999996</v>
      </c>
      <c r="Q1108" s="86">
        <v>8.4</v>
      </c>
      <c r="R1108" s="85">
        <v>8.4</v>
      </c>
      <c r="S1108" s="87">
        <v>1732670</v>
      </c>
      <c r="T1108" s="1">
        <v>7</v>
      </c>
      <c r="U1108" s="88">
        <v>206270.23809523808</v>
      </c>
      <c r="V1108" s="59">
        <v>4.8480091419600964</v>
      </c>
    </row>
    <row r="1109" spans="1:22">
      <c r="A1109" s="58">
        <v>1110</v>
      </c>
      <c r="B1109" s="58">
        <v>1110</v>
      </c>
      <c r="C1109" s="58" t="s">
        <v>1697</v>
      </c>
      <c r="D1109" s="58" t="s">
        <v>1169</v>
      </c>
      <c r="E1109" s="58" t="s">
        <v>1169</v>
      </c>
      <c r="F1109" s="58" t="s">
        <v>1698</v>
      </c>
      <c r="G1109" s="58" t="s">
        <v>1699</v>
      </c>
      <c r="H1109" s="58" t="s">
        <v>199</v>
      </c>
      <c r="I1109">
        <v>110000</v>
      </c>
      <c r="J1109">
        <v>110000</v>
      </c>
      <c r="K1109">
        <v>38000</v>
      </c>
      <c r="L1109" s="74">
        <v>9.25</v>
      </c>
      <c r="M1109" s="85">
        <v>10</v>
      </c>
      <c r="N1109" s="74">
        <v>0.67</v>
      </c>
      <c r="O1109">
        <v>2</v>
      </c>
      <c r="P1109" s="84">
        <v>0.50250000000000006</v>
      </c>
      <c r="Q1109" s="86">
        <v>4.2</v>
      </c>
      <c r="R1109" s="85">
        <v>4.2</v>
      </c>
      <c r="S1109" s="87">
        <v>1943470</v>
      </c>
      <c r="T1109" s="1">
        <v>7</v>
      </c>
      <c r="U1109" s="88">
        <v>462730.95238095237</v>
      </c>
      <c r="V1109" s="59">
        <v>2.1610830113148132</v>
      </c>
    </row>
    <row r="1110" spans="1:22">
      <c r="A1110" s="58">
        <v>1111</v>
      </c>
      <c r="B1110" s="58">
        <v>1111</v>
      </c>
      <c r="C1110" s="58" t="s">
        <v>1700</v>
      </c>
      <c r="D1110" s="58" t="s">
        <v>410</v>
      </c>
      <c r="E1110" s="58" t="s">
        <v>410</v>
      </c>
      <c r="F1110" s="58" t="s">
        <v>1701</v>
      </c>
      <c r="G1110" s="58" t="s">
        <v>1702</v>
      </c>
      <c r="H1110" s="58" t="s">
        <v>179</v>
      </c>
      <c r="I1110">
        <v>38000</v>
      </c>
      <c r="J1110">
        <v>38000</v>
      </c>
      <c r="K1110" s="58" t="s">
        <v>185</v>
      </c>
      <c r="L1110" s="74">
        <v>8.1180000000000003</v>
      </c>
      <c r="M1110" s="85">
        <v>9</v>
      </c>
      <c r="N1110" s="74">
        <v>2.5350000000000001</v>
      </c>
      <c r="O1110">
        <v>2</v>
      </c>
      <c r="P1110" s="84">
        <v>1.9012500000000001</v>
      </c>
      <c r="Q1110" s="86">
        <v>21</v>
      </c>
      <c r="R1110" s="85">
        <v>21</v>
      </c>
      <c r="S1110" s="87">
        <v>980220</v>
      </c>
      <c r="T1110" s="1">
        <v>4</v>
      </c>
      <c r="U1110" s="88">
        <v>46677.142857142855</v>
      </c>
      <c r="V1110" s="59">
        <v>21.423762012609416</v>
      </c>
    </row>
    <row r="1111" spans="1:22">
      <c r="A1111" s="58">
        <v>1112</v>
      </c>
      <c r="B1111" s="58">
        <v>1112</v>
      </c>
      <c r="C1111" s="58" t="s">
        <v>1703</v>
      </c>
      <c r="D1111" s="58" t="s">
        <v>207</v>
      </c>
      <c r="E1111" s="58" t="s">
        <v>207</v>
      </c>
      <c r="F1111" s="58" t="s">
        <v>1704</v>
      </c>
      <c r="G1111" s="58" t="s">
        <v>1705</v>
      </c>
      <c r="H1111" s="58" t="s">
        <v>179</v>
      </c>
      <c r="I1111">
        <v>38000</v>
      </c>
      <c r="J1111">
        <v>38000</v>
      </c>
      <c r="K1111">
        <v>10000</v>
      </c>
      <c r="L1111" s="74">
        <v>7.08</v>
      </c>
      <c r="M1111" s="85">
        <v>8</v>
      </c>
      <c r="N1111" s="74">
        <v>1.0209999999999999</v>
      </c>
      <c r="O1111">
        <v>2</v>
      </c>
      <c r="P1111" s="84">
        <v>0.76574999999999993</v>
      </c>
      <c r="Q1111" s="86">
        <v>8.4</v>
      </c>
      <c r="R1111" s="85">
        <v>8.4</v>
      </c>
      <c r="S1111" s="87">
        <v>909950</v>
      </c>
      <c r="T1111" s="1">
        <v>4</v>
      </c>
      <c r="U1111" s="88">
        <v>108327.38095238095</v>
      </c>
      <c r="V1111" s="59">
        <v>9.2312764437606454</v>
      </c>
    </row>
    <row r="1112" spans="1:22">
      <c r="A1112" s="58">
        <v>1113</v>
      </c>
      <c r="B1112" s="58">
        <v>1113</v>
      </c>
      <c r="C1112" s="58" t="s">
        <v>1706</v>
      </c>
      <c r="D1112" s="58" t="s">
        <v>234</v>
      </c>
      <c r="E1112" s="58" t="s">
        <v>234</v>
      </c>
      <c r="F1112" s="58" t="s">
        <v>309</v>
      </c>
      <c r="G1112" s="58" t="s">
        <v>310</v>
      </c>
      <c r="H1112" s="58" t="s">
        <v>179</v>
      </c>
      <c r="I1112">
        <v>38000</v>
      </c>
      <c r="J1112">
        <v>38000</v>
      </c>
      <c r="K1112">
        <v>20000</v>
      </c>
      <c r="L1112" s="74">
        <v>11.398</v>
      </c>
      <c r="M1112" s="85">
        <v>12</v>
      </c>
      <c r="N1112" s="74">
        <v>1.42</v>
      </c>
      <c r="O1112">
        <v>2</v>
      </c>
      <c r="P1112" s="84">
        <v>1.0649999999999999</v>
      </c>
      <c r="Q1112" s="86">
        <v>12.600000000000001</v>
      </c>
      <c r="R1112" s="85">
        <v>12.600000000000001</v>
      </c>
      <c r="S1112" s="87">
        <v>1574950</v>
      </c>
      <c r="T1112" s="1">
        <v>3</v>
      </c>
      <c r="U1112" s="88">
        <v>124996.03174603173</v>
      </c>
      <c r="V1112" s="59">
        <v>8.00025397631671</v>
      </c>
    </row>
    <row r="1113" spans="1:22">
      <c r="A1113" s="58">
        <v>1114</v>
      </c>
      <c r="B1113" s="58">
        <v>1114</v>
      </c>
      <c r="C1113" s="58" t="s">
        <v>1707</v>
      </c>
      <c r="D1113" s="58" t="s">
        <v>215</v>
      </c>
      <c r="E1113" s="58" t="s">
        <v>215</v>
      </c>
      <c r="F1113" s="58" t="s">
        <v>763</v>
      </c>
      <c r="G1113" s="58" t="s">
        <v>764</v>
      </c>
      <c r="H1113" s="58" t="s">
        <v>199</v>
      </c>
      <c r="I1113">
        <v>110000</v>
      </c>
      <c r="J1113">
        <v>110000</v>
      </c>
      <c r="K1113">
        <v>38000</v>
      </c>
      <c r="L1113" s="74">
        <v>6.6239999999999997</v>
      </c>
      <c r="M1113" s="85">
        <v>7</v>
      </c>
      <c r="N1113" s="74">
        <v>1.0489999999999999</v>
      </c>
      <c r="O1113">
        <v>2</v>
      </c>
      <c r="P1113" s="84">
        <v>0.78674999999999995</v>
      </c>
      <c r="Q1113" s="86">
        <v>8.4</v>
      </c>
      <c r="R1113" s="85">
        <v>8.4</v>
      </c>
      <c r="S1113" s="87">
        <v>1785370</v>
      </c>
      <c r="T1113" s="1">
        <v>7</v>
      </c>
      <c r="U1113" s="88">
        <v>212544.0476190476</v>
      </c>
      <c r="V1113" s="59">
        <v>4.7049071060900545</v>
      </c>
    </row>
    <row r="1114" spans="1:22">
      <c r="A1114" s="58">
        <v>1115</v>
      </c>
      <c r="B1114" s="58">
        <v>1115</v>
      </c>
      <c r="C1114" s="58" t="s">
        <v>1708</v>
      </c>
      <c r="D1114" s="58" t="s">
        <v>187</v>
      </c>
      <c r="E1114" s="58" t="s">
        <v>187</v>
      </c>
      <c r="F1114" s="58" t="s">
        <v>1213</v>
      </c>
      <c r="G1114" s="58" t="s">
        <v>1214</v>
      </c>
      <c r="H1114" s="58" t="s">
        <v>199</v>
      </c>
      <c r="I1114">
        <v>110000</v>
      </c>
      <c r="J1114" s="58" t="s">
        <v>185</v>
      </c>
      <c r="K1114">
        <v>110000</v>
      </c>
      <c r="L1114" s="74">
        <v>8.2240000000000002</v>
      </c>
      <c r="M1114" s="85">
        <v>9</v>
      </c>
      <c r="N1114" s="74">
        <v>0.9</v>
      </c>
      <c r="O1114">
        <v>2</v>
      </c>
      <c r="P1114" s="84">
        <v>0.67500000000000004</v>
      </c>
      <c r="Q1114" s="86">
        <v>8.4</v>
      </c>
      <c r="R1114" s="85">
        <v>8.4</v>
      </c>
      <c r="S1114" s="87">
        <v>1890770</v>
      </c>
      <c r="T1114" s="1">
        <v>7</v>
      </c>
      <c r="U1114" s="88">
        <v>225091.66666666666</v>
      </c>
      <c r="V1114" s="59">
        <v>4.4426344822479731</v>
      </c>
    </row>
    <row r="1115" spans="1:22">
      <c r="A1115" s="58">
        <v>1116</v>
      </c>
      <c r="B1115" s="58">
        <v>1116</v>
      </c>
      <c r="C1115" s="58" t="s">
        <v>1709</v>
      </c>
      <c r="D1115" s="58" t="s">
        <v>197</v>
      </c>
      <c r="E1115" s="58" t="s">
        <v>197</v>
      </c>
      <c r="F1115" s="58" t="s">
        <v>1710</v>
      </c>
      <c r="G1115" s="58" t="s">
        <v>1711</v>
      </c>
      <c r="H1115" s="58" t="s">
        <v>179</v>
      </c>
      <c r="I1115">
        <v>38000</v>
      </c>
      <c r="J1115" s="58" t="s">
        <v>185</v>
      </c>
      <c r="K1115">
        <v>38000</v>
      </c>
      <c r="L1115" s="74">
        <v>3.823</v>
      </c>
      <c r="M1115" s="85">
        <v>4</v>
      </c>
      <c r="N1115" s="74">
        <v>0.77100000000000002</v>
      </c>
      <c r="O1115">
        <v>2</v>
      </c>
      <c r="P1115" s="84">
        <v>0.57825000000000004</v>
      </c>
      <c r="Q1115" s="86">
        <v>4.2</v>
      </c>
      <c r="R1115" s="85">
        <v>4.2</v>
      </c>
      <c r="S1115" s="87">
        <v>628870</v>
      </c>
      <c r="T1115" s="1">
        <v>4</v>
      </c>
      <c r="U1115" s="88">
        <v>149730.95238095237</v>
      </c>
      <c r="V1115" s="59">
        <v>6.6786458250512828</v>
      </c>
    </row>
    <row r="1116" spans="1:22">
      <c r="A1116" s="89">
        <v>1117</v>
      </c>
      <c r="B1116" s="89">
        <v>1117</v>
      </c>
      <c r="C1116" s="89" t="s">
        <v>1712</v>
      </c>
      <c r="D1116" s="58" t="s">
        <v>187</v>
      </c>
      <c r="E1116" s="58" t="s">
        <v>187</v>
      </c>
      <c r="F1116" s="89" t="s">
        <v>191</v>
      </c>
      <c r="G1116" s="89" t="s">
        <v>192</v>
      </c>
      <c r="H1116" s="89" t="s">
        <v>179</v>
      </c>
      <c r="I1116" s="90">
        <v>38000</v>
      </c>
      <c r="J1116" s="90">
        <v>38000</v>
      </c>
      <c r="K1116" s="89" t="s">
        <v>185</v>
      </c>
      <c r="L1116" s="91">
        <v>7.05</v>
      </c>
      <c r="M1116" s="92">
        <v>8</v>
      </c>
      <c r="N1116" s="91">
        <v>5.6580000000000004</v>
      </c>
      <c r="O1116" s="90">
        <v>2</v>
      </c>
      <c r="P1116" s="92">
        <v>4.2435</v>
      </c>
      <c r="Q1116" s="93">
        <v>50.400000000000006</v>
      </c>
      <c r="R1116" s="92">
        <v>50.400000000000006</v>
      </c>
      <c r="S1116" s="87">
        <v>2604940</v>
      </c>
      <c r="T1116" s="94">
        <v>11</v>
      </c>
      <c r="U1116" s="95">
        <v>51685.317460317456</v>
      </c>
      <c r="V1116" s="96">
        <v>19.347854461139224</v>
      </c>
    </row>
    <row r="1117" spans="1:22">
      <c r="A1117" s="58">
        <v>1118</v>
      </c>
      <c r="B1117" s="58">
        <v>1118</v>
      </c>
      <c r="C1117" s="58" t="s">
        <v>1713</v>
      </c>
      <c r="D1117" s="58" t="s">
        <v>187</v>
      </c>
      <c r="E1117" s="58" t="s">
        <v>187</v>
      </c>
      <c r="F1117" s="58" t="s">
        <v>228</v>
      </c>
      <c r="G1117" s="58" t="s">
        <v>229</v>
      </c>
      <c r="H1117" s="58" t="s">
        <v>179</v>
      </c>
      <c r="I1117">
        <v>38000</v>
      </c>
      <c r="J1117">
        <v>38000</v>
      </c>
      <c r="K1117" s="58" t="s">
        <v>185</v>
      </c>
      <c r="L1117" s="74">
        <v>6.3179999999999996</v>
      </c>
      <c r="M1117" s="85">
        <v>7</v>
      </c>
      <c r="N1117" s="74">
        <v>4.8090000000000002</v>
      </c>
      <c r="O1117">
        <v>2</v>
      </c>
      <c r="P1117" s="84">
        <v>3.6067499999999999</v>
      </c>
      <c r="Q1117" s="86">
        <v>42</v>
      </c>
      <c r="R1117" s="85">
        <v>42</v>
      </c>
      <c r="S1117" s="87">
        <v>1126610</v>
      </c>
      <c r="T1117" s="1">
        <v>6</v>
      </c>
      <c r="U1117" s="88">
        <v>26824.047619047618</v>
      </c>
      <c r="V1117" s="59">
        <v>37.279981537532954</v>
      </c>
    </row>
    <row r="1118" spans="1:22">
      <c r="A1118" s="58">
        <v>1119</v>
      </c>
      <c r="B1118" s="58">
        <v>1119</v>
      </c>
      <c r="C1118" s="58" t="s">
        <v>1714</v>
      </c>
      <c r="D1118" s="58" t="s">
        <v>187</v>
      </c>
      <c r="E1118" s="58" t="s">
        <v>187</v>
      </c>
      <c r="F1118" s="58" t="s">
        <v>228</v>
      </c>
      <c r="G1118" s="58" t="s">
        <v>229</v>
      </c>
      <c r="H1118" s="58" t="s">
        <v>179</v>
      </c>
      <c r="I1118">
        <v>38000</v>
      </c>
      <c r="J1118">
        <v>38000</v>
      </c>
      <c r="K1118" s="58" t="s">
        <v>185</v>
      </c>
      <c r="L1118" s="74">
        <v>8.6159999999999997</v>
      </c>
      <c r="M1118" s="85">
        <v>9</v>
      </c>
      <c r="N1118" s="74">
        <v>0.66700000000000004</v>
      </c>
      <c r="O1118">
        <v>2</v>
      </c>
      <c r="P1118" s="84">
        <v>0.50025000000000008</v>
      </c>
      <c r="Q1118" s="86">
        <v>4.2</v>
      </c>
      <c r="R1118" s="85">
        <v>4.2</v>
      </c>
      <c r="S1118" s="87">
        <v>1334440</v>
      </c>
      <c r="T1118" s="1">
        <v>1</v>
      </c>
      <c r="U1118" s="88">
        <v>317723.80952380953</v>
      </c>
      <c r="V1118" s="59">
        <v>3.1473876682353645</v>
      </c>
    </row>
    <row r="1119" spans="1:22">
      <c r="A1119" s="89">
        <v>1120</v>
      </c>
      <c r="B1119" s="89">
        <v>1120</v>
      </c>
      <c r="C1119" s="89" t="s">
        <v>1715</v>
      </c>
      <c r="D1119" s="58" t="s">
        <v>234</v>
      </c>
      <c r="E1119" s="58" t="s">
        <v>234</v>
      </c>
      <c r="F1119" s="89" t="s">
        <v>309</v>
      </c>
      <c r="G1119" s="89" t="s">
        <v>310</v>
      </c>
      <c r="H1119" s="89" t="s">
        <v>179</v>
      </c>
      <c r="I1119" s="90">
        <v>38000</v>
      </c>
      <c r="J1119" s="90">
        <v>38000</v>
      </c>
      <c r="K1119" s="90">
        <v>20000</v>
      </c>
      <c r="L1119" s="91">
        <v>8.84</v>
      </c>
      <c r="M1119" s="92">
        <v>9</v>
      </c>
      <c r="N1119" s="91">
        <v>7.3620000000000001</v>
      </c>
      <c r="O1119" s="90">
        <v>2</v>
      </c>
      <c r="P1119" s="92">
        <v>5.5214999999999996</v>
      </c>
      <c r="Q1119" s="93">
        <v>67.2</v>
      </c>
      <c r="R1119" s="92">
        <v>67.2</v>
      </c>
      <c r="S1119" s="87">
        <v>2815750</v>
      </c>
      <c r="T1119" s="94">
        <v>11</v>
      </c>
      <c r="U1119" s="95">
        <v>41901.041666666664</v>
      </c>
      <c r="V1119" s="96">
        <v>23.865755127408327</v>
      </c>
    </row>
    <row r="1120" spans="1:22">
      <c r="A1120" s="58">
        <v>1121</v>
      </c>
      <c r="B1120" s="58">
        <v>1121</v>
      </c>
      <c r="C1120" s="58" t="s">
        <v>1716</v>
      </c>
      <c r="D1120" s="58" t="s">
        <v>182</v>
      </c>
      <c r="E1120" s="58" t="s">
        <v>182</v>
      </c>
      <c r="F1120" s="58" t="s">
        <v>595</v>
      </c>
      <c r="G1120" s="58" t="s">
        <v>596</v>
      </c>
      <c r="H1120" s="58" t="s">
        <v>179</v>
      </c>
      <c r="I1120">
        <v>38000</v>
      </c>
      <c r="J1120">
        <v>38000</v>
      </c>
      <c r="K1120" s="58" t="s">
        <v>185</v>
      </c>
      <c r="L1120" s="74">
        <v>9.9760000000000009</v>
      </c>
      <c r="M1120" s="85">
        <v>10</v>
      </c>
      <c r="N1120" s="74">
        <v>0.55600000000000005</v>
      </c>
      <c r="O1120">
        <v>2</v>
      </c>
      <c r="P1120" s="84">
        <v>0.55600000000000005</v>
      </c>
      <c r="Q1120" s="86">
        <v>4.2</v>
      </c>
      <c r="R1120" s="85">
        <v>4.2</v>
      </c>
      <c r="S1120" s="87">
        <v>1387140</v>
      </c>
      <c r="T1120" s="1">
        <v>1</v>
      </c>
      <c r="U1120" s="88">
        <v>330271.42857142858</v>
      </c>
      <c r="V1120" s="59">
        <v>3.0278126216531858</v>
      </c>
    </row>
    <row r="1121" spans="1:22">
      <c r="A1121" s="58">
        <v>1122</v>
      </c>
      <c r="B1121" s="58">
        <v>1122</v>
      </c>
      <c r="C1121" s="58" t="s">
        <v>1717</v>
      </c>
      <c r="D1121" s="58" t="s">
        <v>234</v>
      </c>
      <c r="E1121" s="58" t="s">
        <v>234</v>
      </c>
      <c r="F1121" s="58" t="s">
        <v>337</v>
      </c>
      <c r="G1121" s="58" t="s">
        <v>338</v>
      </c>
      <c r="H1121" s="58" t="s">
        <v>179</v>
      </c>
      <c r="I1121">
        <v>38000</v>
      </c>
      <c r="J1121">
        <v>38000</v>
      </c>
      <c r="K1121" s="58" t="s">
        <v>185</v>
      </c>
      <c r="L1121" s="74">
        <v>10.066000000000001</v>
      </c>
      <c r="M1121" s="85">
        <v>11</v>
      </c>
      <c r="N1121" s="74">
        <v>2.484</v>
      </c>
      <c r="O1121">
        <v>2</v>
      </c>
      <c r="P1121" s="84">
        <v>1.863</v>
      </c>
      <c r="Q1121" s="86">
        <v>21</v>
      </c>
      <c r="R1121" s="85">
        <v>21</v>
      </c>
      <c r="S1121" s="87">
        <v>1120760</v>
      </c>
      <c r="T1121" s="1">
        <v>4</v>
      </c>
      <c r="U1121" s="88">
        <v>53369.523809523809</v>
      </c>
      <c r="V1121" s="59">
        <v>18.737285413469433</v>
      </c>
    </row>
    <row r="1122" spans="1:22">
      <c r="A1122" s="58">
        <v>1123</v>
      </c>
      <c r="B1122" s="58">
        <v>1123</v>
      </c>
      <c r="C1122" s="58" t="s">
        <v>1718</v>
      </c>
      <c r="D1122" s="58" t="s">
        <v>187</v>
      </c>
      <c r="E1122" s="58" t="s">
        <v>187</v>
      </c>
      <c r="F1122" s="58" t="s">
        <v>531</v>
      </c>
      <c r="G1122" s="58" t="s">
        <v>532</v>
      </c>
      <c r="H1122" s="58" t="s">
        <v>179</v>
      </c>
      <c r="I1122">
        <v>38000</v>
      </c>
      <c r="J1122">
        <v>38000</v>
      </c>
      <c r="K1122" s="58" t="s">
        <v>185</v>
      </c>
      <c r="L1122" s="74">
        <v>9.6829999999999998</v>
      </c>
      <c r="M1122" s="85">
        <v>10</v>
      </c>
      <c r="N1122" s="74">
        <v>0.41599999999999998</v>
      </c>
      <c r="O1122">
        <v>2</v>
      </c>
      <c r="P1122" s="84">
        <v>0.41599999999999998</v>
      </c>
      <c r="Q1122" s="86">
        <v>4.2</v>
      </c>
      <c r="R1122" s="85">
        <v>4.2</v>
      </c>
      <c r="S1122" s="87">
        <v>1387140</v>
      </c>
      <c r="T1122" s="1">
        <v>1</v>
      </c>
      <c r="U1122" s="88">
        <v>330271.42857142858</v>
      </c>
      <c r="V1122" s="59">
        <v>3.0278126216531858</v>
      </c>
    </row>
    <row r="1123" spans="1:22">
      <c r="A1123" s="58">
        <v>1124</v>
      </c>
      <c r="B1123" s="58">
        <v>1124</v>
      </c>
      <c r="C1123" s="58" t="s">
        <v>1719</v>
      </c>
      <c r="D1123" s="58" t="s">
        <v>234</v>
      </c>
      <c r="E1123" s="58" t="s">
        <v>234</v>
      </c>
      <c r="F1123" s="58" t="s">
        <v>341</v>
      </c>
      <c r="G1123" s="58" t="s">
        <v>342</v>
      </c>
      <c r="H1123" s="58" t="s">
        <v>199</v>
      </c>
      <c r="I1123">
        <v>110000</v>
      </c>
      <c r="J1123" s="58" t="s">
        <v>185</v>
      </c>
      <c r="K1123">
        <v>110000</v>
      </c>
      <c r="L1123" s="74">
        <v>9.218</v>
      </c>
      <c r="M1123" s="85">
        <v>10</v>
      </c>
      <c r="N1123" s="74">
        <v>1.607</v>
      </c>
      <c r="O1123">
        <v>2</v>
      </c>
      <c r="P1123" s="84">
        <v>1.2052499999999999</v>
      </c>
      <c r="Q1123" s="86">
        <v>12.600000000000001</v>
      </c>
      <c r="R1123" s="85">
        <v>12.600000000000001</v>
      </c>
      <c r="S1123" s="87">
        <v>1943470</v>
      </c>
      <c r="T1123" s="1">
        <v>7</v>
      </c>
      <c r="U1123" s="88">
        <v>154243.65079365077</v>
      </c>
      <c r="V1123" s="59">
        <v>6.4832490339444409</v>
      </c>
    </row>
    <row r="1124" spans="1:22">
      <c r="A1124" s="58">
        <v>1125</v>
      </c>
      <c r="B1124" s="58">
        <v>1125</v>
      </c>
      <c r="C1124" s="58" t="s">
        <v>1720</v>
      </c>
      <c r="D1124" s="58" t="s">
        <v>234</v>
      </c>
      <c r="E1124" s="58" t="s">
        <v>234</v>
      </c>
      <c r="F1124" s="58" t="s">
        <v>323</v>
      </c>
      <c r="G1124" s="58" t="s">
        <v>324</v>
      </c>
      <c r="H1124" s="58" t="s">
        <v>179</v>
      </c>
      <c r="I1124">
        <v>38000</v>
      </c>
      <c r="J1124">
        <v>38000</v>
      </c>
      <c r="K1124">
        <v>20000</v>
      </c>
      <c r="L1124" s="74">
        <v>5.3819999999999997</v>
      </c>
      <c r="M1124" s="85">
        <v>6</v>
      </c>
      <c r="N1124" s="74">
        <v>1.657</v>
      </c>
      <c r="O1124">
        <v>2</v>
      </c>
      <c r="P1124" s="84">
        <v>1.24275</v>
      </c>
      <c r="Q1124" s="86">
        <v>12.600000000000001</v>
      </c>
      <c r="R1124" s="85">
        <v>12.600000000000001</v>
      </c>
      <c r="S1124" s="87">
        <v>769410</v>
      </c>
      <c r="T1124" s="1">
        <v>4</v>
      </c>
      <c r="U1124" s="88">
        <v>61064.28571428571</v>
      </c>
      <c r="V1124" s="59">
        <v>16.376184349046675</v>
      </c>
    </row>
    <row r="1125" spans="1:22">
      <c r="A1125" s="58">
        <v>1126</v>
      </c>
      <c r="B1125" s="58">
        <v>1126</v>
      </c>
      <c r="C1125" s="58" t="s">
        <v>1721</v>
      </c>
      <c r="D1125" s="58" t="s">
        <v>234</v>
      </c>
      <c r="E1125" s="58" t="s">
        <v>234</v>
      </c>
      <c r="F1125" s="58" t="s">
        <v>341</v>
      </c>
      <c r="G1125" s="58" t="s">
        <v>342</v>
      </c>
      <c r="H1125" s="58" t="s">
        <v>199</v>
      </c>
      <c r="I1125">
        <v>110000</v>
      </c>
      <c r="J1125" s="58" t="s">
        <v>185</v>
      </c>
      <c r="K1125">
        <v>110000</v>
      </c>
      <c r="L1125" s="74">
        <v>9.8070000000000004</v>
      </c>
      <c r="M1125" s="85">
        <v>10</v>
      </c>
      <c r="N1125" s="74">
        <v>0.62</v>
      </c>
      <c r="O1125">
        <v>2</v>
      </c>
      <c r="P1125" s="84">
        <v>0.46499999999999997</v>
      </c>
      <c r="Q1125" s="86">
        <v>4.2</v>
      </c>
      <c r="R1125" s="85">
        <v>4.2</v>
      </c>
      <c r="S1125" s="87">
        <v>1943470</v>
      </c>
      <c r="T1125" s="1">
        <v>7</v>
      </c>
      <c r="U1125" s="88">
        <v>462730.95238095237</v>
      </c>
      <c r="V1125" s="59">
        <v>2.1610830113148132</v>
      </c>
    </row>
    <row r="1126" spans="1:22">
      <c r="A1126" s="58">
        <v>1127</v>
      </c>
      <c r="B1126" s="58">
        <v>1127</v>
      </c>
      <c r="C1126" s="58" t="s">
        <v>1722</v>
      </c>
      <c r="D1126" s="58" t="s">
        <v>351</v>
      </c>
      <c r="E1126" s="58" t="s">
        <v>351</v>
      </c>
      <c r="F1126" s="58" t="s">
        <v>514</v>
      </c>
      <c r="G1126" s="58" t="s">
        <v>515</v>
      </c>
      <c r="H1126" s="58" t="s">
        <v>179</v>
      </c>
      <c r="I1126">
        <v>38000</v>
      </c>
      <c r="J1126">
        <v>38000</v>
      </c>
      <c r="K1126">
        <v>20000</v>
      </c>
      <c r="L1126" s="74">
        <v>9.17</v>
      </c>
      <c r="M1126" s="85">
        <v>10</v>
      </c>
      <c r="N1126" s="74">
        <v>3.5640000000000001</v>
      </c>
      <c r="O1126">
        <v>2</v>
      </c>
      <c r="P1126" s="84">
        <v>2.673</v>
      </c>
      <c r="Q1126" s="86">
        <v>29.400000000000006</v>
      </c>
      <c r="R1126" s="85">
        <v>29.400000000000006</v>
      </c>
      <c r="S1126" s="87">
        <v>1236090</v>
      </c>
      <c r="T1126" s="1">
        <v>5</v>
      </c>
      <c r="U1126" s="88">
        <v>42043.8775510204</v>
      </c>
      <c r="V1126" s="59">
        <v>23.78467587311604</v>
      </c>
    </row>
    <row r="1127" spans="1:22">
      <c r="A1127" s="58">
        <v>1128</v>
      </c>
      <c r="B1127" s="58">
        <v>1128</v>
      </c>
      <c r="C1127" s="58" t="s">
        <v>1723</v>
      </c>
      <c r="D1127" s="58" t="s">
        <v>351</v>
      </c>
      <c r="E1127" s="58" t="s">
        <v>351</v>
      </c>
      <c r="F1127" s="58" t="s">
        <v>514</v>
      </c>
      <c r="G1127" s="58" t="s">
        <v>515</v>
      </c>
      <c r="H1127" s="58" t="s">
        <v>179</v>
      </c>
      <c r="I1127">
        <v>38000</v>
      </c>
      <c r="J1127">
        <v>38000</v>
      </c>
      <c r="K1127">
        <v>20000</v>
      </c>
      <c r="L1127" s="74">
        <v>2.84</v>
      </c>
      <c r="M1127" s="85">
        <v>3</v>
      </c>
      <c r="N1127" s="74">
        <v>2.34</v>
      </c>
      <c r="O1127">
        <v>2</v>
      </c>
      <c r="P1127" s="84">
        <v>1.7549999999999999</v>
      </c>
      <c r="Q1127" s="86">
        <v>21</v>
      </c>
      <c r="R1127" s="85">
        <v>21</v>
      </c>
      <c r="S1127" s="87">
        <v>558600</v>
      </c>
      <c r="T1127" s="1">
        <v>4</v>
      </c>
      <c r="U1127" s="88">
        <v>26600</v>
      </c>
      <c r="V1127" s="59">
        <v>37.593984962406012</v>
      </c>
    </row>
    <row r="1128" spans="1:22">
      <c r="A1128" s="58">
        <v>1129</v>
      </c>
      <c r="B1128" s="58">
        <v>1129</v>
      </c>
      <c r="C1128" s="58" t="s">
        <v>1724</v>
      </c>
      <c r="D1128" s="58" t="s">
        <v>234</v>
      </c>
      <c r="E1128" s="58" t="s">
        <v>234</v>
      </c>
      <c r="F1128" s="58" t="s">
        <v>595</v>
      </c>
      <c r="G1128" s="58" t="s">
        <v>596</v>
      </c>
      <c r="H1128" s="58" t="s">
        <v>179</v>
      </c>
      <c r="I1128">
        <v>38000</v>
      </c>
      <c r="J1128">
        <v>38000</v>
      </c>
      <c r="K1128" s="58" t="s">
        <v>185</v>
      </c>
      <c r="L1128" s="74">
        <v>11.439</v>
      </c>
      <c r="M1128" s="85">
        <v>12</v>
      </c>
      <c r="N1128" s="74">
        <v>0.47099999999999997</v>
      </c>
      <c r="O1128">
        <v>2</v>
      </c>
      <c r="P1128" s="84">
        <v>0.47099999999999997</v>
      </c>
      <c r="Q1128" s="86">
        <v>4.2</v>
      </c>
      <c r="R1128" s="85">
        <v>4.2</v>
      </c>
      <c r="S1128" s="87">
        <v>1492540</v>
      </c>
      <c r="T1128" s="1">
        <v>1</v>
      </c>
      <c r="U1128" s="88">
        <v>355366.66666666663</v>
      </c>
      <c r="V1128" s="59">
        <v>2.8139949348091173</v>
      </c>
    </row>
    <row r="1129" spans="1:22">
      <c r="A1129" s="58">
        <v>1130</v>
      </c>
      <c r="B1129" s="58">
        <v>1130</v>
      </c>
      <c r="C1129" s="58" t="s">
        <v>1725</v>
      </c>
      <c r="D1129" s="58" t="s">
        <v>234</v>
      </c>
      <c r="E1129" s="58" t="s">
        <v>234</v>
      </c>
      <c r="F1129" s="58" t="s">
        <v>938</v>
      </c>
      <c r="G1129" s="58" t="s">
        <v>939</v>
      </c>
      <c r="H1129" s="58" t="s">
        <v>179</v>
      </c>
      <c r="I1129">
        <v>38000</v>
      </c>
      <c r="J1129">
        <v>38000</v>
      </c>
      <c r="K1129" s="58" t="s">
        <v>185</v>
      </c>
      <c r="L1129" s="74">
        <v>10.177</v>
      </c>
      <c r="M1129" s="85">
        <v>11</v>
      </c>
      <c r="N1129" s="74">
        <v>0.77200000000000002</v>
      </c>
      <c r="O1129">
        <v>2</v>
      </c>
      <c r="P1129" s="84">
        <v>0.57899999999999996</v>
      </c>
      <c r="Q1129" s="86">
        <v>4.2</v>
      </c>
      <c r="R1129" s="85">
        <v>4.2</v>
      </c>
      <c r="S1129" s="87">
        <v>1439840</v>
      </c>
      <c r="T1129" s="1">
        <v>1</v>
      </c>
      <c r="U1129" s="88">
        <v>342819.04761904763</v>
      </c>
      <c r="V1129" s="59">
        <v>2.9169907767529724</v>
      </c>
    </row>
    <row r="1130" spans="1:22">
      <c r="A1130" s="58">
        <v>1131</v>
      </c>
      <c r="B1130" s="58">
        <v>1131</v>
      </c>
      <c r="C1130" s="58" t="s">
        <v>1726</v>
      </c>
      <c r="D1130" s="58" t="s">
        <v>346</v>
      </c>
      <c r="E1130" s="58" t="s">
        <v>346</v>
      </c>
      <c r="F1130" s="58" t="s">
        <v>517</v>
      </c>
      <c r="G1130" s="58" t="s">
        <v>518</v>
      </c>
      <c r="H1130" s="58" t="s">
        <v>179</v>
      </c>
      <c r="I1130">
        <v>38000</v>
      </c>
      <c r="J1130">
        <v>38000</v>
      </c>
      <c r="K1130">
        <v>10000</v>
      </c>
      <c r="L1130" s="74">
        <v>9.9749999999999996</v>
      </c>
      <c r="M1130" s="85">
        <v>10</v>
      </c>
      <c r="N1130" s="74">
        <v>1.502</v>
      </c>
      <c r="O1130">
        <v>2</v>
      </c>
      <c r="P1130" s="84">
        <v>1.1265000000000001</v>
      </c>
      <c r="Q1130" s="86">
        <v>12.600000000000001</v>
      </c>
      <c r="R1130" s="85">
        <v>12.600000000000001</v>
      </c>
      <c r="S1130" s="87">
        <v>1469550</v>
      </c>
      <c r="T1130" s="1">
        <v>3</v>
      </c>
      <c r="U1130" s="88">
        <v>116630.95238095237</v>
      </c>
      <c r="V1130" s="59">
        <v>8.5740532816168233</v>
      </c>
    </row>
    <row r="1131" spans="1:22">
      <c r="A1131" s="58">
        <v>1132</v>
      </c>
      <c r="B1131" s="58">
        <v>1132</v>
      </c>
      <c r="C1131" s="58" t="s">
        <v>1727</v>
      </c>
      <c r="D1131" s="58" t="s">
        <v>346</v>
      </c>
      <c r="E1131" s="58" t="s">
        <v>346</v>
      </c>
      <c r="F1131" s="58" t="s">
        <v>520</v>
      </c>
      <c r="G1131" s="58" t="s">
        <v>521</v>
      </c>
      <c r="H1131" s="58" t="s">
        <v>179</v>
      </c>
      <c r="I1131">
        <v>38000</v>
      </c>
      <c r="J1131">
        <v>38000</v>
      </c>
      <c r="K1131">
        <v>10000</v>
      </c>
      <c r="L1131" s="74">
        <v>8.0679999999999996</v>
      </c>
      <c r="M1131" s="85">
        <v>9</v>
      </c>
      <c r="N1131" s="74">
        <v>1.0609999999999999</v>
      </c>
      <c r="O1131">
        <v>2</v>
      </c>
      <c r="P1131" s="84">
        <v>0.79574999999999996</v>
      </c>
      <c r="Q1131" s="86">
        <v>8.4</v>
      </c>
      <c r="R1131" s="85">
        <v>8.4</v>
      </c>
      <c r="S1131" s="87">
        <v>1379800</v>
      </c>
      <c r="T1131" s="1">
        <v>2</v>
      </c>
      <c r="U1131" s="88">
        <v>164261.90476190476</v>
      </c>
      <c r="V1131" s="59">
        <v>6.087838817219887</v>
      </c>
    </row>
    <row r="1132" spans="1:22">
      <c r="A1132" s="58">
        <v>1133</v>
      </c>
      <c r="B1132" s="58">
        <v>1133</v>
      </c>
      <c r="C1132" s="58" t="s">
        <v>1728</v>
      </c>
      <c r="D1132" s="58" t="s">
        <v>234</v>
      </c>
      <c r="E1132" s="58" t="s">
        <v>234</v>
      </c>
      <c r="F1132" s="58" t="s">
        <v>524</v>
      </c>
      <c r="G1132" s="58" t="s">
        <v>525</v>
      </c>
      <c r="H1132" s="58" t="s">
        <v>179</v>
      </c>
      <c r="I1132">
        <v>38000</v>
      </c>
      <c r="L1132" s="74">
        <v>6.8049999999999997</v>
      </c>
      <c r="M1132" s="85">
        <v>7</v>
      </c>
      <c r="N1132" s="74">
        <v>1.252</v>
      </c>
      <c r="O1132">
        <v>2</v>
      </c>
      <c r="P1132" s="84">
        <v>0.93900000000000006</v>
      </c>
      <c r="Q1132" s="86">
        <v>8.4</v>
      </c>
      <c r="R1132" s="85">
        <v>8.4</v>
      </c>
      <c r="S1132" s="87">
        <v>839680</v>
      </c>
      <c r="T1132" s="1">
        <v>4</v>
      </c>
      <c r="U1132" s="88">
        <v>99961.904761904763</v>
      </c>
      <c r="V1132" s="59">
        <v>10.003810975609756</v>
      </c>
    </row>
    <row r="1133" spans="1:22">
      <c r="A1133" s="58">
        <v>1134</v>
      </c>
      <c r="B1133" s="58">
        <v>1134</v>
      </c>
      <c r="C1133" s="58" t="s">
        <v>1729</v>
      </c>
      <c r="D1133" s="58" t="s">
        <v>852</v>
      </c>
      <c r="E1133" s="58" t="s">
        <v>346</v>
      </c>
      <c r="F1133" s="58" t="s">
        <v>517</v>
      </c>
      <c r="G1133" s="58" t="s">
        <v>518</v>
      </c>
      <c r="H1133" s="58" t="s">
        <v>179</v>
      </c>
      <c r="I1133">
        <v>38000</v>
      </c>
      <c r="J1133">
        <v>38000</v>
      </c>
      <c r="K1133">
        <v>10000</v>
      </c>
      <c r="L1133" s="74">
        <v>4.7969999999999997</v>
      </c>
      <c r="M1133" s="85">
        <v>5</v>
      </c>
      <c r="N1133" s="74">
        <v>0.311</v>
      </c>
      <c r="O1133">
        <v>2</v>
      </c>
      <c r="P1133" s="84">
        <v>0.311</v>
      </c>
      <c r="Q1133" s="86">
        <v>4.2</v>
      </c>
      <c r="R1133" s="85">
        <v>4.2</v>
      </c>
      <c r="S1133" s="87">
        <v>699140</v>
      </c>
      <c r="T1133" s="1">
        <v>4</v>
      </c>
      <c r="U1133" s="88">
        <v>166461.90476190476</v>
      </c>
      <c r="V1133" s="59">
        <v>6.0073804960379897</v>
      </c>
    </row>
    <row r="1134" spans="1:22">
      <c r="A1134" s="89">
        <v>1135</v>
      </c>
      <c r="B1134" s="89">
        <v>1135</v>
      </c>
      <c r="C1134" s="89" t="s">
        <v>1730</v>
      </c>
      <c r="D1134" s="58" t="s">
        <v>346</v>
      </c>
      <c r="E1134" s="58" t="s">
        <v>351</v>
      </c>
      <c r="F1134" s="89" t="s">
        <v>352</v>
      </c>
      <c r="G1134" s="89" t="s">
        <v>353</v>
      </c>
      <c r="H1134" s="89" t="s">
        <v>179</v>
      </c>
      <c r="I1134" s="90">
        <v>38000</v>
      </c>
      <c r="J1134" s="90">
        <v>38000</v>
      </c>
      <c r="K1134" s="90">
        <v>10000</v>
      </c>
      <c r="L1134" s="91">
        <v>8.9369999999999994</v>
      </c>
      <c r="M1134" s="92">
        <v>9</v>
      </c>
      <c r="N1134" s="91">
        <v>8.0120000000000005</v>
      </c>
      <c r="O1134" s="90">
        <v>2</v>
      </c>
      <c r="P1134" s="92">
        <v>6.0090000000000003</v>
      </c>
      <c r="Q1134" s="93">
        <v>71.400000000000006</v>
      </c>
      <c r="R1134" s="92">
        <v>71.400000000000006</v>
      </c>
      <c r="S1134" s="87">
        <v>2815750</v>
      </c>
      <c r="T1134" s="94">
        <v>11</v>
      </c>
      <c r="U1134" s="95">
        <v>39436.274509803916</v>
      </c>
      <c r="V1134" s="96">
        <v>25.35736482287135</v>
      </c>
    </row>
    <row r="1135" spans="1:22">
      <c r="A1135" s="58">
        <v>1136</v>
      </c>
      <c r="B1135" s="58">
        <v>1136</v>
      </c>
      <c r="C1135" s="58" t="s">
        <v>1731</v>
      </c>
      <c r="D1135" s="58" t="s">
        <v>351</v>
      </c>
      <c r="E1135" s="58" t="s">
        <v>351</v>
      </c>
      <c r="F1135" s="58" t="s">
        <v>514</v>
      </c>
      <c r="G1135" s="58" t="s">
        <v>515</v>
      </c>
      <c r="H1135" s="58" t="s">
        <v>179</v>
      </c>
      <c r="I1135">
        <v>38000</v>
      </c>
      <c r="J1135">
        <v>38000</v>
      </c>
      <c r="K1135">
        <v>20000</v>
      </c>
      <c r="L1135" s="74">
        <v>4.1449999999999996</v>
      </c>
      <c r="M1135" s="85">
        <v>5</v>
      </c>
      <c r="N1135" s="74">
        <v>1.036</v>
      </c>
      <c r="O1135">
        <v>2</v>
      </c>
      <c r="P1135" s="84">
        <v>0.77700000000000002</v>
      </c>
      <c r="Q1135" s="86">
        <v>8.4</v>
      </c>
      <c r="R1135" s="85">
        <v>8.4</v>
      </c>
      <c r="S1135" s="87">
        <v>699140</v>
      </c>
      <c r="T1135" s="1">
        <v>4</v>
      </c>
      <c r="U1135" s="88">
        <v>83230.952380952382</v>
      </c>
      <c r="V1135" s="59">
        <v>12.014760992075979</v>
      </c>
    </row>
    <row r="1136" spans="1:22">
      <c r="A1136" s="58">
        <v>1137</v>
      </c>
      <c r="B1136" s="58">
        <v>1137</v>
      </c>
      <c r="C1136" s="58" t="s">
        <v>1732</v>
      </c>
      <c r="D1136" s="58" t="s">
        <v>346</v>
      </c>
      <c r="E1136" s="58" t="s">
        <v>346</v>
      </c>
      <c r="F1136" s="58" t="s">
        <v>1427</v>
      </c>
      <c r="G1136" s="58" t="s">
        <v>1428</v>
      </c>
      <c r="H1136" s="58" t="s">
        <v>199</v>
      </c>
      <c r="I1136">
        <v>110000</v>
      </c>
      <c r="J1136">
        <v>110000</v>
      </c>
      <c r="K1136">
        <v>38000</v>
      </c>
      <c r="L1136" s="74">
        <v>5.7859999999999996</v>
      </c>
      <c r="M1136" s="85">
        <v>6</v>
      </c>
      <c r="N1136" s="74">
        <v>2.0569999999999999</v>
      </c>
      <c r="O1136">
        <v>2</v>
      </c>
      <c r="P1136" s="84">
        <v>1.5427499999999998</v>
      </c>
      <c r="Q1136" s="86">
        <v>16.8</v>
      </c>
      <c r="R1136" s="85">
        <v>16.8</v>
      </c>
      <c r="S1136" s="87">
        <v>2016330</v>
      </c>
      <c r="T1136" s="1">
        <v>8</v>
      </c>
      <c r="U1136" s="88">
        <v>120019.64285714286</v>
      </c>
      <c r="V1136" s="59">
        <v>8.3319694692833011</v>
      </c>
    </row>
    <row r="1137" spans="1:22">
      <c r="A1137" s="58">
        <v>1138</v>
      </c>
      <c r="B1137" s="58">
        <v>1138</v>
      </c>
      <c r="C1137" s="58" t="s">
        <v>1733</v>
      </c>
      <c r="D1137" s="58" t="s">
        <v>234</v>
      </c>
      <c r="E1137" s="58" t="s">
        <v>234</v>
      </c>
      <c r="F1137" s="58" t="s">
        <v>1734</v>
      </c>
      <c r="G1137" s="58" t="s">
        <v>1735</v>
      </c>
      <c r="H1137" s="58" t="s">
        <v>179</v>
      </c>
      <c r="I1137">
        <v>38000</v>
      </c>
      <c r="J1137">
        <v>38000</v>
      </c>
      <c r="K1137" s="58" t="s">
        <v>185</v>
      </c>
      <c r="L1137" s="74">
        <v>3.5819999999999999</v>
      </c>
      <c r="M1137" s="85">
        <v>4</v>
      </c>
      <c r="N1137" s="74">
        <v>0.33900000000000002</v>
      </c>
      <c r="O1137">
        <v>2</v>
      </c>
      <c r="P1137" s="84">
        <v>0.33900000000000002</v>
      </c>
      <c r="Q1137" s="86">
        <v>4.2</v>
      </c>
      <c r="R1137" s="85">
        <v>4.2</v>
      </c>
      <c r="S1137" s="87">
        <v>628870</v>
      </c>
      <c r="T1137" s="1">
        <v>4</v>
      </c>
      <c r="U1137" s="88">
        <v>149730.95238095237</v>
      </c>
      <c r="V1137" s="59">
        <v>6.6786458250512828</v>
      </c>
    </row>
    <row r="1138" spans="1:22">
      <c r="A1138" s="58">
        <v>1139</v>
      </c>
      <c r="B1138" s="58">
        <v>1139</v>
      </c>
      <c r="C1138" s="58" t="s">
        <v>1736</v>
      </c>
      <c r="D1138" s="58" t="s">
        <v>182</v>
      </c>
      <c r="E1138" s="58" t="s">
        <v>182</v>
      </c>
      <c r="F1138" s="58" t="s">
        <v>971</v>
      </c>
      <c r="G1138" s="58" t="s">
        <v>972</v>
      </c>
      <c r="H1138" s="58" t="s">
        <v>199</v>
      </c>
      <c r="I1138">
        <v>110000</v>
      </c>
      <c r="J1138">
        <v>110000</v>
      </c>
      <c r="K1138">
        <v>38000</v>
      </c>
      <c r="L1138" s="74">
        <v>12.167</v>
      </c>
      <c r="M1138" s="85">
        <v>13</v>
      </c>
      <c r="N1138" s="74">
        <v>0.42599999999999999</v>
      </c>
      <c r="O1138">
        <v>2</v>
      </c>
      <c r="P1138" s="84">
        <v>0.42599999999999999</v>
      </c>
      <c r="Q1138" s="86">
        <v>4.2</v>
      </c>
      <c r="R1138" s="85">
        <v>4.2</v>
      </c>
      <c r="S1138" s="87">
        <v>2101570</v>
      </c>
      <c r="T1138" s="1">
        <v>7</v>
      </c>
      <c r="U1138" s="88">
        <v>500373.80952380953</v>
      </c>
      <c r="V1138" s="59">
        <v>1.9985058789381271</v>
      </c>
    </row>
    <row r="1139" spans="1:22">
      <c r="A1139" s="58">
        <v>1140</v>
      </c>
      <c r="B1139" s="58">
        <v>1140</v>
      </c>
      <c r="C1139" s="58" t="s">
        <v>1737</v>
      </c>
      <c r="D1139" s="58" t="s">
        <v>1190</v>
      </c>
      <c r="E1139" s="58" t="s">
        <v>1190</v>
      </c>
      <c r="F1139" s="58" t="s">
        <v>1191</v>
      </c>
      <c r="G1139" s="58" t="s">
        <v>1192</v>
      </c>
      <c r="H1139" s="58" t="s">
        <v>179</v>
      </c>
      <c r="I1139">
        <v>38000</v>
      </c>
      <c r="J1139">
        <v>38000</v>
      </c>
      <c r="K1139">
        <v>10000</v>
      </c>
      <c r="L1139" s="74">
        <v>8.0190000000000001</v>
      </c>
      <c r="M1139" s="85">
        <v>9</v>
      </c>
      <c r="N1139" s="74">
        <v>0.8</v>
      </c>
      <c r="O1139">
        <v>2</v>
      </c>
      <c r="P1139" s="84">
        <v>0.60000000000000009</v>
      </c>
      <c r="Q1139" s="86">
        <v>4.2</v>
      </c>
      <c r="R1139" s="85">
        <v>4.2</v>
      </c>
      <c r="S1139" s="87">
        <v>1334440</v>
      </c>
      <c r="T1139" s="1">
        <v>1</v>
      </c>
      <c r="U1139" s="88">
        <v>317723.80952380953</v>
      </c>
      <c r="V1139" s="59">
        <v>3.1473876682353645</v>
      </c>
    </row>
    <row r="1140" spans="1:22">
      <c r="A1140" s="58">
        <v>1141</v>
      </c>
      <c r="B1140" s="58">
        <v>1141</v>
      </c>
      <c r="C1140" s="58" t="s">
        <v>1738</v>
      </c>
      <c r="D1140" s="58" t="s">
        <v>182</v>
      </c>
      <c r="E1140" s="58" t="s">
        <v>182</v>
      </c>
      <c r="F1140" s="58" t="s">
        <v>949</v>
      </c>
      <c r="G1140" s="58" t="s">
        <v>950</v>
      </c>
      <c r="H1140" s="58" t="s">
        <v>179</v>
      </c>
      <c r="I1140">
        <v>38000</v>
      </c>
      <c r="J1140">
        <v>38000</v>
      </c>
      <c r="K1140">
        <v>20000</v>
      </c>
      <c r="L1140" s="74">
        <v>5.3769999999999998</v>
      </c>
      <c r="M1140" s="85">
        <v>6</v>
      </c>
      <c r="N1140" s="74">
        <v>1.208</v>
      </c>
      <c r="O1140">
        <v>2</v>
      </c>
      <c r="P1140" s="84">
        <v>0.90599999999999992</v>
      </c>
      <c r="Q1140" s="86">
        <v>8.4</v>
      </c>
      <c r="R1140" s="85">
        <v>8.4</v>
      </c>
      <c r="S1140" s="87">
        <v>769410</v>
      </c>
      <c r="T1140" s="1">
        <v>4</v>
      </c>
      <c r="U1140" s="88">
        <v>91596.428571428565</v>
      </c>
      <c r="V1140" s="59">
        <v>10.917456232697781</v>
      </c>
    </row>
    <row r="1141" spans="1:22">
      <c r="A1141" s="58">
        <v>1142</v>
      </c>
      <c r="B1141" s="58">
        <v>1142</v>
      </c>
      <c r="C1141" s="58" t="s">
        <v>1739</v>
      </c>
      <c r="D1141" s="58" t="s">
        <v>182</v>
      </c>
      <c r="E1141" s="58" t="s">
        <v>182</v>
      </c>
      <c r="F1141" s="58" t="s">
        <v>949</v>
      </c>
      <c r="G1141" s="58" t="s">
        <v>950</v>
      </c>
      <c r="H1141" s="58" t="s">
        <v>179</v>
      </c>
      <c r="I1141">
        <v>38000</v>
      </c>
      <c r="J1141">
        <v>38000</v>
      </c>
      <c r="K1141">
        <v>20000</v>
      </c>
      <c r="L1141" s="74">
        <v>8.7040000000000006</v>
      </c>
      <c r="M1141" s="85">
        <v>9</v>
      </c>
      <c r="N1141" s="74">
        <v>1.645</v>
      </c>
      <c r="O1141">
        <v>2</v>
      </c>
      <c r="P1141" s="84">
        <v>1.2337500000000001</v>
      </c>
      <c r="Q1141" s="86">
        <v>12.600000000000001</v>
      </c>
      <c r="R1141" s="85">
        <v>12.600000000000001</v>
      </c>
      <c r="S1141" s="87">
        <v>1416850</v>
      </c>
      <c r="T1141" s="1">
        <v>3</v>
      </c>
      <c r="U1141" s="88">
        <v>112448.41269841269</v>
      </c>
      <c r="V1141" s="59">
        <v>8.8929667925327323</v>
      </c>
    </row>
    <row r="1142" spans="1:22">
      <c r="A1142" s="58">
        <v>1143</v>
      </c>
      <c r="B1142" s="58">
        <v>1143</v>
      </c>
      <c r="C1142" s="58" t="s">
        <v>1740</v>
      </c>
      <c r="D1142" s="58" t="s">
        <v>182</v>
      </c>
      <c r="E1142" s="58" t="s">
        <v>182</v>
      </c>
      <c r="F1142" s="58" t="s">
        <v>956</v>
      </c>
      <c r="G1142" s="58" t="s">
        <v>957</v>
      </c>
      <c r="H1142" s="58" t="s">
        <v>179</v>
      </c>
      <c r="I1142">
        <v>38000</v>
      </c>
      <c r="J1142">
        <v>38000</v>
      </c>
      <c r="K1142" s="58" t="s">
        <v>185</v>
      </c>
      <c r="L1142" s="74">
        <v>8.0779999999999994</v>
      </c>
      <c r="M1142" s="85">
        <v>9</v>
      </c>
      <c r="N1142" s="74">
        <v>0.56200000000000006</v>
      </c>
      <c r="O1142">
        <v>2</v>
      </c>
      <c r="P1142" s="84">
        <v>0.56200000000000006</v>
      </c>
      <c r="Q1142" s="86">
        <v>4.2</v>
      </c>
      <c r="R1142" s="85">
        <v>4.2</v>
      </c>
      <c r="S1142" s="87">
        <v>1334440</v>
      </c>
      <c r="T1142" s="1">
        <v>1</v>
      </c>
      <c r="U1142" s="88">
        <v>317723.80952380953</v>
      </c>
      <c r="V1142" s="59">
        <v>3.1473876682353645</v>
      </c>
    </row>
    <row r="1143" spans="1:22">
      <c r="A1143" s="58">
        <v>1144</v>
      </c>
      <c r="B1143" s="58">
        <v>1144</v>
      </c>
      <c r="C1143" s="58" t="s">
        <v>1741</v>
      </c>
      <c r="D1143" s="58" t="s">
        <v>234</v>
      </c>
      <c r="E1143" s="58" t="s">
        <v>234</v>
      </c>
      <c r="F1143" s="58" t="s">
        <v>938</v>
      </c>
      <c r="G1143" s="58" t="s">
        <v>939</v>
      </c>
      <c r="H1143" s="58" t="s">
        <v>179</v>
      </c>
      <c r="I1143">
        <v>38000</v>
      </c>
      <c r="J1143">
        <v>38000</v>
      </c>
      <c r="K1143" s="58" t="s">
        <v>185</v>
      </c>
      <c r="L1143" s="74">
        <v>12.1</v>
      </c>
      <c r="M1143" s="85">
        <v>13</v>
      </c>
      <c r="N1143" s="74">
        <v>0.47499999999999998</v>
      </c>
      <c r="O1143">
        <v>2</v>
      </c>
      <c r="P1143" s="84">
        <v>0.47499999999999998</v>
      </c>
      <c r="Q1143" s="86">
        <v>4.2</v>
      </c>
      <c r="R1143" s="85">
        <v>4.2</v>
      </c>
      <c r="S1143" s="87">
        <v>1545240</v>
      </c>
      <c r="T1143" s="1">
        <v>1</v>
      </c>
      <c r="U1143" s="88">
        <v>367914.28571428568</v>
      </c>
      <c r="V1143" s="59">
        <v>2.7180243845616214</v>
      </c>
    </row>
    <row r="1144" spans="1:22">
      <c r="A1144" s="58">
        <v>1145</v>
      </c>
      <c r="B1144" s="58">
        <v>1145</v>
      </c>
      <c r="C1144" s="58" t="s">
        <v>1742</v>
      </c>
      <c r="D1144" s="58" t="s">
        <v>234</v>
      </c>
      <c r="E1144" s="58" t="s">
        <v>234</v>
      </c>
      <c r="F1144" s="58" t="s">
        <v>935</v>
      </c>
      <c r="G1144" s="58" t="s">
        <v>936</v>
      </c>
      <c r="H1144" s="58" t="s">
        <v>179</v>
      </c>
      <c r="I1144">
        <v>38000</v>
      </c>
      <c r="J1144">
        <v>38000</v>
      </c>
      <c r="K1144" s="58" t="s">
        <v>185</v>
      </c>
      <c r="L1144" s="74">
        <v>11.263999999999999</v>
      </c>
      <c r="M1144" s="85">
        <v>12</v>
      </c>
      <c r="N1144" s="74">
        <v>0.182</v>
      </c>
      <c r="O1144">
        <v>2</v>
      </c>
      <c r="P1144" s="84">
        <v>0.182</v>
      </c>
      <c r="Q1144" s="86">
        <v>4.2</v>
      </c>
      <c r="R1144" s="85">
        <v>4.2</v>
      </c>
      <c r="S1144" s="87">
        <v>1492540</v>
      </c>
      <c r="T1144" s="1">
        <v>1</v>
      </c>
      <c r="U1144" s="88">
        <v>355366.66666666663</v>
      </c>
      <c r="V1144" s="59">
        <v>2.8139949348091173</v>
      </c>
    </row>
    <row r="1145" spans="1:22">
      <c r="A1145" s="58">
        <v>1146</v>
      </c>
      <c r="B1145" s="58">
        <v>1146</v>
      </c>
      <c r="C1145" s="58" t="s">
        <v>1743</v>
      </c>
      <c r="D1145" s="58" t="s">
        <v>187</v>
      </c>
      <c r="E1145" s="58" t="s">
        <v>187</v>
      </c>
      <c r="F1145" s="58" t="s">
        <v>1744</v>
      </c>
      <c r="G1145" s="58" t="s">
        <v>1745</v>
      </c>
      <c r="H1145" s="58" t="s">
        <v>179</v>
      </c>
      <c r="I1145">
        <v>38000</v>
      </c>
      <c r="J1145">
        <v>38000</v>
      </c>
      <c r="K1145" s="58" t="s">
        <v>185</v>
      </c>
      <c r="L1145" s="74">
        <v>5.32</v>
      </c>
      <c r="M1145" s="85">
        <v>6</v>
      </c>
      <c r="N1145" s="74">
        <v>0.995</v>
      </c>
      <c r="O1145">
        <v>2</v>
      </c>
      <c r="P1145" s="84">
        <v>0.74624999999999997</v>
      </c>
      <c r="Q1145" s="86">
        <v>8.4</v>
      </c>
      <c r="R1145" s="85">
        <v>8.4</v>
      </c>
      <c r="S1145" s="87">
        <v>769410</v>
      </c>
      <c r="T1145" s="1">
        <v>4</v>
      </c>
      <c r="U1145" s="88">
        <v>91596.428571428565</v>
      </c>
      <c r="V1145" s="59">
        <v>10.917456232697781</v>
      </c>
    </row>
    <row r="1146" spans="1:22">
      <c r="A1146" s="58">
        <v>1147</v>
      </c>
      <c r="B1146" s="58">
        <v>1147</v>
      </c>
      <c r="C1146" s="58" t="s">
        <v>1746</v>
      </c>
      <c r="D1146" s="58" t="s">
        <v>187</v>
      </c>
      <c r="E1146" s="58" t="s">
        <v>187</v>
      </c>
      <c r="F1146" s="58" t="s">
        <v>415</v>
      </c>
      <c r="G1146" s="58" t="s">
        <v>416</v>
      </c>
      <c r="H1146" s="58" t="s">
        <v>179</v>
      </c>
      <c r="I1146">
        <v>38000</v>
      </c>
      <c r="J1146">
        <v>38000</v>
      </c>
      <c r="K1146" s="58" t="s">
        <v>185</v>
      </c>
      <c r="L1146" s="74">
        <v>3.4670000000000001</v>
      </c>
      <c r="M1146" s="85">
        <v>4</v>
      </c>
      <c r="N1146" s="74">
        <v>0.77500000000000002</v>
      </c>
      <c r="O1146">
        <v>2</v>
      </c>
      <c r="P1146" s="84">
        <v>0.58125000000000004</v>
      </c>
      <c r="Q1146" s="86">
        <v>4.2</v>
      </c>
      <c r="R1146" s="85">
        <v>4.2</v>
      </c>
      <c r="S1146" s="87">
        <v>628870</v>
      </c>
      <c r="T1146" s="1">
        <v>4</v>
      </c>
      <c r="U1146" s="88">
        <v>149730.95238095237</v>
      </c>
      <c r="V1146" s="59">
        <v>6.6786458250512828</v>
      </c>
    </row>
    <row r="1147" spans="1:22">
      <c r="A1147" s="58">
        <v>1148</v>
      </c>
      <c r="B1147" s="58">
        <v>1148</v>
      </c>
      <c r="C1147" s="58" t="s">
        <v>1747</v>
      </c>
      <c r="D1147" s="58" t="s">
        <v>187</v>
      </c>
      <c r="E1147" s="58" t="s">
        <v>187</v>
      </c>
      <c r="F1147" s="58" t="s">
        <v>1748</v>
      </c>
      <c r="G1147" s="58" t="s">
        <v>1749</v>
      </c>
      <c r="H1147" s="58" t="s">
        <v>179</v>
      </c>
      <c r="I1147">
        <v>38000</v>
      </c>
      <c r="J1147">
        <v>38000</v>
      </c>
      <c r="K1147" s="58" t="s">
        <v>185</v>
      </c>
      <c r="L1147" s="74">
        <v>6.0339999999999998</v>
      </c>
      <c r="M1147" s="85">
        <v>7</v>
      </c>
      <c r="N1147" s="74">
        <v>0.65</v>
      </c>
      <c r="O1147">
        <v>2</v>
      </c>
      <c r="P1147" s="84">
        <v>0.48750000000000004</v>
      </c>
      <c r="Q1147" s="86">
        <v>4.2</v>
      </c>
      <c r="R1147" s="85">
        <v>4.2</v>
      </c>
      <c r="S1147" s="87">
        <v>839680</v>
      </c>
      <c r="T1147" s="1">
        <v>4</v>
      </c>
      <c r="U1147" s="88">
        <v>199923.80952380953</v>
      </c>
      <c r="V1147" s="59">
        <v>5.0019054878048781</v>
      </c>
    </row>
    <row r="1148" spans="1:22">
      <c r="A1148" s="89">
        <v>1149</v>
      </c>
      <c r="B1148" s="89">
        <v>1149</v>
      </c>
      <c r="C1148" s="89" t="s">
        <v>1750</v>
      </c>
      <c r="D1148" s="58" t="s">
        <v>187</v>
      </c>
      <c r="E1148" s="58" t="s">
        <v>187</v>
      </c>
      <c r="F1148" s="89" t="s">
        <v>531</v>
      </c>
      <c r="G1148" s="89" t="s">
        <v>532</v>
      </c>
      <c r="H1148" s="89" t="s">
        <v>179</v>
      </c>
      <c r="I1148" s="90">
        <v>38000</v>
      </c>
      <c r="J1148" s="90">
        <v>38000</v>
      </c>
      <c r="K1148" s="89" t="s">
        <v>185</v>
      </c>
      <c r="L1148" s="91">
        <v>7.54</v>
      </c>
      <c r="M1148" s="92">
        <v>8</v>
      </c>
      <c r="N1148" s="91">
        <v>18.3799999999999</v>
      </c>
      <c r="O1148" s="90">
        <v>2</v>
      </c>
      <c r="P1148" s="92">
        <v>13.784999999999926</v>
      </c>
      <c r="Q1148" s="93">
        <v>168</v>
      </c>
      <c r="R1148" s="92">
        <v>168</v>
      </c>
      <c r="S1148" s="87">
        <v>3959100</v>
      </c>
      <c r="T1148" s="94">
        <v>12</v>
      </c>
      <c r="U1148" s="95">
        <v>23566.071428571428</v>
      </c>
      <c r="V1148" s="96">
        <v>42.43388648935364</v>
      </c>
    </row>
    <row r="1149" spans="1:22">
      <c r="A1149" s="58">
        <v>1150</v>
      </c>
      <c r="B1149" s="58">
        <v>1150</v>
      </c>
      <c r="C1149" s="58" t="s">
        <v>1751</v>
      </c>
      <c r="D1149" s="58" t="s">
        <v>187</v>
      </c>
      <c r="E1149" s="58" t="s">
        <v>187</v>
      </c>
      <c r="F1149" s="58" t="s">
        <v>374</v>
      </c>
      <c r="G1149" s="58" t="s">
        <v>375</v>
      </c>
      <c r="H1149" s="58" t="s">
        <v>179</v>
      </c>
      <c r="I1149">
        <v>38000</v>
      </c>
      <c r="J1149">
        <v>38000</v>
      </c>
      <c r="K1149">
        <v>20000</v>
      </c>
      <c r="L1149" s="74">
        <v>8.2799999999999994</v>
      </c>
      <c r="M1149" s="85">
        <v>9</v>
      </c>
      <c r="N1149" s="74">
        <v>0.22900000000000001</v>
      </c>
      <c r="O1149">
        <v>2</v>
      </c>
      <c r="P1149" s="84">
        <v>0.22900000000000001</v>
      </c>
      <c r="Q1149" s="86">
        <v>4.2</v>
      </c>
      <c r="R1149" s="85">
        <v>4.2</v>
      </c>
      <c r="S1149" s="87">
        <v>1334440</v>
      </c>
      <c r="T1149" s="1">
        <v>1</v>
      </c>
      <c r="U1149" s="88">
        <v>317723.80952380953</v>
      </c>
      <c r="V1149" s="59">
        <v>3.1473876682353645</v>
      </c>
    </row>
    <row r="1150" spans="1:22">
      <c r="A1150" s="58">
        <v>1151</v>
      </c>
      <c r="B1150" s="58">
        <v>1151</v>
      </c>
      <c r="C1150" s="58" t="s">
        <v>1752</v>
      </c>
      <c r="D1150" s="58" t="s">
        <v>187</v>
      </c>
      <c r="E1150" s="58" t="s">
        <v>187</v>
      </c>
      <c r="F1150" s="58" t="s">
        <v>191</v>
      </c>
      <c r="G1150" s="58" t="s">
        <v>192</v>
      </c>
      <c r="H1150" s="58" t="s">
        <v>179</v>
      </c>
      <c r="I1150">
        <v>38000</v>
      </c>
      <c r="J1150">
        <v>38000</v>
      </c>
      <c r="K1150" s="58" t="s">
        <v>185</v>
      </c>
      <c r="L1150" s="74">
        <v>3.879</v>
      </c>
      <c r="M1150" s="85">
        <v>4</v>
      </c>
      <c r="N1150" s="74">
        <v>0.76500000000000001</v>
      </c>
      <c r="O1150">
        <v>2</v>
      </c>
      <c r="P1150" s="84">
        <v>0.57374999999999998</v>
      </c>
      <c r="Q1150" s="86">
        <v>4.2</v>
      </c>
      <c r="R1150" s="85">
        <v>4.2</v>
      </c>
      <c r="S1150" s="87">
        <v>628870</v>
      </c>
      <c r="T1150" s="1">
        <v>4</v>
      </c>
      <c r="U1150" s="88">
        <v>149730.95238095237</v>
      </c>
      <c r="V1150" s="59">
        <v>6.6786458250512828</v>
      </c>
    </row>
    <row r="1151" spans="1:22">
      <c r="A1151" s="58">
        <v>1152</v>
      </c>
      <c r="B1151" s="58">
        <v>1152</v>
      </c>
      <c r="C1151" s="58" t="s">
        <v>1753</v>
      </c>
      <c r="D1151" s="58" t="s">
        <v>234</v>
      </c>
      <c r="E1151" s="58" t="s">
        <v>234</v>
      </c>
      <c r="F1151" s="58" t="s">
        <v>329</v>
      </c>
      <c r="G1151" s="58" t="s">
        <v>330</v>
      </c>
      <c r="H1151" s="58" t="s">
        <v>179</v>
      </c>
      <c r="I1151">
        <v>38000</v>
      </c>
      <c r="J1151">
        <v>38000</v>
      </c>
      <c r="K1151" s="58" t="s">
        <v>185</v>
      </c>
      <c r="L1151" s="74">
        <v>2.391</v>
      </c>
      <c r="M1151" s="85">
        <v>3</v>
      </c>
      <c r="N1151" s="74">
        <v>0.39900000000000002</v>
      </c>
      <c r="O1151">
        <v>2</v>
      </c>
      <c r="P1151" s="84">
        <v>0.39900000000000002</v>
      </c>
      <c r="Q1151" s="86">
        <v>4.2</v>
      </c>
      <c r="R1151" s="85">
        <v>4.2</v>
      </c>
      <c r="S1151" s="87">
        <v>558600</v>
      </c>
      <c r="T1151" s="1">
        <v>4</v>
      </c>
      <c r="U1151" s="88">
        <v>133000</v>
      </c>
      <c r="V1151" s="59">
        <v>7.518796992481203</v>
      </c>
    </row>
    <row r="1152" spans="1:22">
      <c r="A1152" s="58">
        <v>1153</v>
      </c>
      <c r="B1152" s="58">
        <v>1153</v>
      </c>
      <c r="C1152" s="58" t="s">
        <v>1754</v>
      </c>
      <c r="D1152" s="58" t="s">
        <v>234</v>
      </c>
      <c r="E1152" s="58" t="s">
        <v>234</v>
      </c>
      <c r="F1152" s="58" t="s">
        <v>323</v>
      </c>
      <c r="G1152" s="58" t="s">
        <v>324</v>
      </c>
      <c r="H1152" s="58" t="s">
        <v>179</v>
      </c>
      <c r="I1152">
        <v>38000</v>
      </c>
      <c r="J1152">
        <v>38000</v>
      </c>
      <c r="K1152">
        <v>20000</v>
      </c>
      <c r="L1152" s="74">
        <v>11.382</v>
      </c>
      <c r="M1152" s="85">
        <v>12</v>
      </c>
      <c r="N1152" s="74">
        <v>0.14799999999999999</v>
      </c>
      <c r="O1152">
        <v>2</v>
      </c>
      <c r="P1152" s="84">
        <v>0.14799999999999999</v>
      </c>
      <c r="Q1152" s="86">
        <v>4.2</v>
      </c>
      <c r="R1152" s="85">
        <v>4.2</v>
      </c>
      <c r="S1152" s="87">
        <v>1492540</v>
      </c>
      <c r="T1152" s="1">
        <v>1</v>
      </c>
      <c r="U1152" s="88">
        <v>355366.66666666663</v>
      </c>
      <c r="V1152" s="59">
        <v>2.8139949348091173</v>
      </c>
    </row>
    <row r="1153" spans="1:22">
      <c r="A1153" s="58">
        <v>1154</v>
      </c>
      <c r="B1153" s="58">
        <v>1154</v>
      </c>
      <c r="C1153" s="58" t="s">
        <v>1755</v>
      </c>
      <c r="D1153" s="58" t="s">
        <v>351</v>
      </c>
      <c r="E1153" s="58" t="s">
        <v>351</v>
      </c>
      <c r="F1153" s="58" t="s">
        <v>514</v>
      </c>
      <c r="G1153" s="58" t="s">
        <v>515</v>
      </c>
      <c r="H1153" s="58" t="s">
        <v>179</v>
      </c>
      <c r="I1153">
        <v>38000</v>
      </c>
      <c r="J1153">
        <v>38000</v>
      </c>
      <c r="K1153">
        <v>20000</v>
      </c>
      <c r="L1153" s="74">
        <v>13.336</v>
      </c>
      <c r="M1153" s="85">
        <v>14</v>
      </c>
      <c r="N1153" s="74">
        <v>0.14699999999999999</v>
      </c>
      <c r="O1153">
        <v>3</v>
      </c>
      <c r="P1153" s="84">
        <v>0.14699999999999999</v>
      </c>
      <c r="Q1153" s="86">
        <v>4.2</v>
      </c>
      <c r="R1153" s="85">
        <v>4.2</v>
      </c>
      <c r="S1153" s="87">
        <v>1597940</v>
      </c>
      <c r="T1153" s="1">
        <v>1</v>
      </c>
      <c r="U1153" s="88">
        <v>380461.90476190473</v>
      </c>
      <c r="V1153" s="59">
        <v>2.6283840444572388</v>
      </c>
    </row>
    <row r="1154" spans="1:22">
      <c r="A1154" s="58">
        <v>1155</v>
      </c>
      <c r="B1154" s="58">
        <v>1155</v>
      </c>
      <c r="C1154" s="58" t="s">
        <v>1756</v>
      </c>
      <c r="D1154" s="58" t="s">
        <v>207</v>
      </c>
      <c r="E1154" s="58" t="s">
        <v>207</v>
      </c>
      <c r="F1154" s="58" t="s">
        <v>212</v>
      </c>
      <c r="G1154" s="58" t="s">
        <v>213</v>
      </c>
      <c r="H1154" s="58" t="s">
        <v>179</v>
      </c>
      <c r="I1154">
        <v>38000</v>
      </c>
      <c r="J1154">
        <v>38000</v>
      </c>
      <c r="K1154" s="58" t="s">
        <v>185</v>
      </c>
      <c r="L1154" s="74">
        <v>1.5229999999999999</v>
      </c>
      <c r="M1154" s="85">
        <v>2</v>
      </c>
      <c r="N1154" s="74">
        <v>0.29899999999999999</v>
      </c>
      <c r="O1154">
        <v>3</v>
      </c>
      <c r="P1154" s="84">
        <v>0.29899999999999999</v>
      </c>
      <c r="Q1154" s="86">
        <v>4.2</v>
      </c>
      <c r="R1154" s="85">
        <v>4.2</v>
      </c>
      <c r="S1154" s="87">
        <v>488330</v>
      </c>
      <c r="T1154" s="1">
        <v>4</v>
      </c>
      <c r="U1154" s="88">
        <v>116269.04761904762</v>
      </c>
      <c r="V1154" s="59">
        <v>8.6007413019884087</v>
      </c>
    </row>
    <row r="1155" spans="1:22">
      <c r="A1155" s="58">
        <v>1156</v>
      </c>
      <c r="B1155" s="58">
        <v>1156</v>
      </c>
      <c r="C1155" s="58" t="s">
        <v>1757</v>
      </c>
      <c r="D1155" s="58" t="s">
        <v>384</v>
      </c>
      <c r="E1155" s="58" t="s">
        <v>384</v>
      </c>
      <c r="F1155" s="58" t="s">
        <v>1758</v>
      </c>
      <c r="G1155" s="58" t="s">
        <v>1759</v>
      </c>
      <c r="H1155" s="58" t="s">
        <v>179</v>
      </c>
      <c r="I1155">
        <v>38000</v>
      </c>
      <c r="J1155">
        <v>38000</v>
      </c>
      <c r="K1155" s="58" t="s">
        <v>185</v>
      </c>
      <c r="L1155" s="74">
        <v>6.3879999999999999</v>
      </c>
      <c r="M1155" s="85">
        <v>7</v>
      </c>
      <c r="N1155" s="74">
        <v>0.16500000000000001</v>
      </c>
      <c r="O1155">
        <v>3</v>
      </c>
      <c r="P1155" s="84">
        <v>0.16500000000000001</v>
      </c>
      <c r="Q1155" s="86">
        <v>4.2</v>
      </c>
      <c r="R1155" s="85">
        <v>4.2</v>
      </c>
      <c r="S1155" s="87">
        <v>839680</v>
      </c>
      <c r="T1155" s="1">
        <v>4</v>
      </c>
      <c r="U1155" s="88">
        <v>199923.80952380953</v>
      </c>
      <c r="V1155" s="59">
        <v>5.0019054878048781</v>
      </c>
    </row>
    <row r="1156" spans="1:22">
      <c r="A1156" s="58">
        <v>1158</v>
      </c>
      <c r="B1156" s="58">
        <v>1158</v>
      </c>
      <c r="C1156" s="58" t="s">
        <v>1760</v>
      </c>
      <c r="D1156" s="58" t="s">
        <v>176</v>
      </c>
      <c r="E1156" s="58" t="s">
        <v>176</v>
      </c>
      <c r="F1156" s="58" t="s">
        <v>262</v>
      </c>
      <c r="G1156" s="58" t="s">
        <v>263</v>
      </c>
      <c r="H1156" s="58" t="s">
        <v>179</v>
      </c>
      <c r="I1156">
        <v>38000</v>
      </c>
      <c r="J1156" s="58" t="s">
        <v>185</v>
      </c>
      <c r="K1156">
        <v>38000</v>
      </c>
      <c r="L1156" s="74">
        <v>8.0939999999999994</v>
      </c>
      <c r="M1156" s="85">
        <v>9</v>
      </c>
      <c r="N1156" s="74">
        <v>0.14599999999999999</v>
      </c>
      <c r="O1156">
        <v>3</v>
      </c>
      <c r="P1156" s="84">
        <v>0.14599999999999999</v>
      </c>
      <c r="Q1156" s="86">
        <v>4.2</v>
      </c>
      <c r="R1156" s="85">
        <v>4.2</v>
      </c>
      <c r="S1156" s="87">
        <v>1334440</v>
      </c>
      <c r="T1156" s="1">
        <v>1</v>
      </c>
      <c r="U1156" s="88">
        <v>317723.80952380953</v>
      </c>
      <c r="V1156" s="59">
        <v>3.1473876682353645</v>
      </c>
    </row>
    <row r="1157" spans="1:22">
      <c r="A1157" s="58">
        <v>1159</v>
      </c>
      <c r="B1157" s="58">
        <v>1159</v>
      </c>
      <c r="C1157" s="58" t="s">
        <v>1761</v>
      </c>
      <c r="D1157" s="58" t="s">
        <v>176</v>
      </c>
      <c r="E1157" s="58" t="s">
        <v>176</v>
      </c>
      <c r="F1157" s="58" t="s">
        <v>269</v>
      </c>
      <c r="G1157" s="58" t="s">
        <v>270</v>
      </c>
      <c r="H1157" s="58" t="s">
        <v>179</v>
      </c>
      <c r="I1157">
        <v>38000</v>
      </c>
      <c r="J1157">
        <v>38000</v>
      </c>
      <c r="K1157">
        <v>20000</v>
      </c>
      <c r="L1157" s="74">
        <v>7.1109999999999998</v>
      </c>
      <c r="M1157" s="85">
        <v>8</v>
      </c>
      <c r="N1157" s="74">
        <v>0.20200000000000001</v>
      </c>
      <c r="O1157">
        <v>3</v>
      </c>
      <c r="P1157" s="84">
        <v>0.20200000000000001</v>
      </c>
      <c r="Q1157" s="86">
        <v>4.2</v>
      </c>
      <c r="R1157" s="85">
        <v>4.2</v>
      </c>
      <c r="S1157" s="87">
        <v>909950</v>
      </c>
      <c r="T1157" s="1">
        <v>4</v>
      </c>
      <c r="U1157" s="88">
        <v>216654.76190476189</v>
      </c>
      <c r="V1157" s="59">
        <v>4.6156382218803227</v>
      </c>
    </row>
    <row r="1158" spans="1:22">
      <c r="A1158" s="58">
        <v>1160</v>
      </c>
      <c r="B1158" s="58">
        <v>1160</v>
      </c>
      <c r="C1158" s="58" t="s">
        <v>1762</v>
      </c>
      <c r="D1158" s="58" t="s">
        <v>176</v>
      </c>
      <c r="E1158" s="58" t="s">
        <v>176</v>
      </c>
      <c r="F1158" s="58" t="s">
        <v>290</v>
      </c>
      <c r="G1158" s="58" t="s">
        <v>291</v>
      </c>
      <c r="H1158" s="58" t="s">
        <v>179</v>
      </c>
      <c r="I1158">
        <v>38000</v>
      </c>
      <c r="J1158">
        <v>38000</v>
      </c>
      <c r="K1158">
        <v>20000</v>
      </c>
      <c r="L1158" s="74">
        <v>6.1829999999999998</v>
      </c>
      <c r="M1158" s="85">
        <v>7</v>
      </c>
      <c r="N1158" s="74">
        <v>0.10100000000000001</v>
      </c>
      <c r="O1158">
        <v>3</v>
      </c>
      <c r="P1158" s="84">
        <v>0.10100000000000001</v>
      </c>
      <c r="Q1158" s="86">
        <v>4.2</v>
      </c>
      <c r="R1158" s="85">
        <v>4.2</v>
      </c>
      <c r="S1158" s="87">
        <v>839680</v>
      </c>
      <c r="T1158" s="1">
        <v>4</v>
      </c>
      <c r="U1158" s="88">
        <v>199923.80952380953</v>
      </c>
      <c r="V1158" s="59">
        <v>5.0019054878048781</v>
      </c>
    </row>
    <row r="1159" spans="1:22">
      <c r="A1159" s="58">
        <v>1161</v>
      </c>
      <c r="B1159" s="58">
        <v>1161</v>
      </c>
      <c r="C1159" s="58" t="s">
        <v>1763</v>
      </c>
      <c r="D1159" s="58" t="s">
        <v>775</v>
      </c>
      <c r="E1159" s="58" t="s">
        <v>775</v>
      </c>
      <c r="F1159" s="58" t="s">
        <v>1764</v>
      </c>
      <c r="G1159" s="58" t="s">
        <v>1765</v>
      </c>
      <c r="H1159" s="58" t="s">
        <v>199</v>
      </c>
      <c r="I1159">
        <v>110000</v>
      </c>
      <c r="L1159" s="74">
        <v>7.1539999999999999</v>
      </c>
      <c r="M1159" s="85">
        <v>8</v>
      </c>
      <c r="N1159" s="74">
        <v>0.26700000000000002</v>
      </c>
      <c r="O1159">
        <v>3</v>
      </c>
      <c r="P1159" s="84">
        <v>0.26700000000000002</v>
      </c>
      <c r="Q1159" s="86">
        <v>4.2</v>
      </c>
      <c r="R1159" s="85">
        <v>4.2</v>
      </c>
      <c r="S1159" s="87">
        <v>1838070</v>
      </c>
      <c r="T1159" s="1">
        <v>7</v>
      </c>
      <c r="U1159" s="88">
        <v>437635.71428571426</v>
      </c>
      <c r="V1159" s="59">
        <v>2.2850054676916547</v>
      </c>
    </row>
    <row r="1160" spans="1:22">
      <c r="A1160" s="58">
        <v>1162</v>
      </c>
      <c r="B1160" s="58">
        <v>1162</v>
      </c>
      <c r="C1160" s="58" t="s">
        <v>1766</v>
      </c>
      <c r="D1160" s="58" t="s">
        <v>197</v>
      </c>
      <c r="E1160" s="58" t="s">
        <v>197</v>
      </c>
      <c r="F1160" s="58" t="s">
        <v>1767</v>
      </c>
      <c r="G1160" s="58" t="s">
        <v>1768</v>
      </c>
      <c r="H1160" s="58" t="s">
        <v>179</v>
      </c>
      <c r="I1160">
        <v>38000</v>
      </c>
      <c r="J1160">
        <v>38000</v>
      </c>
      <c r="K1160">
        <v>10000</v>
      </c>
      <c r="L1160" s="74">
        <v>7.1120000000000001</v>
      </c>
      <c r="M1160" s="85">
        <v>8</v>
      </c>
      <c r="N1160" s="74">
        <v>0.1</v>
      </c>
      <c r="O1160">
        <v>3</v>
      </c>
      <c r="P1160" s="84">
        <v>0.1</v>
      </c>
      <c r="Q1160" s="86">
        <v>4.2</v>
      </c>
      <c r="R1160" s="85">
        <v>4.2</v>
      </c>
      <c r="S1160" s="87">
        <v>909950</v>
      </c>
      <c r="T1160" s="1">
        <v>4</v>
      </c>
      <c r="U1160" s="88">
        <v>216654.76190476189</v>
      </c>
      <c r="V1160" s="59">
        <v>4.6156382218803227</v>
      </c>
    </row>
    <row r="1161" spans="1:22">
      <c r="A1161" s="58">
        <v>1163</v>
      </c>
      <c r="B1161" s="58">
        <v>1163</v>
      </c>
      <c r="C1161" s="58" t="s">
        <v>1769</v>
      </c>
      <c r="D1161" s="58" t="s">
        <v>197</v>
      </c>
      <c r="E1161" s="58" t="s">
        <v>197</v>
      </c>
      <c r="F1161" s="58" t="s">
        <v>1770</v>
      </c>
      <c r="G1161" s="58" t="s">
        <v>1771</v>
      </c>
      <c r="H1161" s="58" t="s">
        <v>179</v>
      </c>
      <c r="I1161">
        <v>38000</v>
      </c>
      <c r="J1161">
        <v>38000</v>
      </c>
      <c r="K1161">
        <v>10000</v>
      </c>
      <c r="L1161" s="74">
        <v>1.4670000000000001</v>
      </c>
      <c r="M1161" s="85">
        <v>2</v>
      </c>
      <c r="N1161" s="74">
        <v>0.11600000000000001</v>
      </c>
      <c r="O1161">
        <v>3</v>
      </c>
      <c r="P1161" s="84">
        <v>0.11600000000000001</v>
      </c>
      <c r="Q1161" s="86">
        <v>4.2</v>
      </c>
      <c r="R1161" s="85">
        <v>4.2</v>
      </c>
      <c r="S1161" s="87">
        <v>488330</v>
      </c>
      <c r="T1161" s="1">
        <v>4</v>
      </c>
      <c r="U1161" s="88">
        <v>116269.04761904762</v>
      </c>
      <c r="V1161" s="59">
        <v>8.6007413019884087</v>
      </c>
    </row>
    <row r="1162" spans="1:22">
      <c r="A1162" s="58">
        <v>1164</v>
      </c>
      <c r="B1162" s="58">
        <v>1164</v>
      </c>
      <c r="C1162" s="58" t="s">
        <v>1772</v>
      </c>
      <c r="D1162" s="58" t="s">
        <v>852</v>
      </c>
      <c r="E1162" s="58" t="s">
        <v>852</v>
      </c>
      <c r="F1162" s="58" t="s">
        <v>517</v>
      </c>
      <c r="G1162" s="58" t="s">
        <v>518</v>
      </c>
      <c r="H1162" s="58" t="s">
        <v>179</v>
      </c>
      <c r="I1162">
        <v>38000</v>
      </c>
      <c r="J1162">
        <v>38000</v>
      </c>
      <c r="K1162">
        <v>10000</v>
      </c>
      <c r="L1162" s="74">
        <v>8.3610000000000007</v>
      </c>
      <c r="M1162" s="85">
        <v>9</v>
      </c>
      <c r="N1162" s="74">
        <v>9.9000000000000005E-2</v>
      </c>
      <c r="O1162">
        <v>3</v>
      </c>
      <c r="P1162" s="84">
        <v>9.9000000000000005E-2</v>
      </c>
      <c r="Q1162" s="86">
        <v>4.2</v>
      </c>
      <c r="R1162" s="85">
        <v>4.2</v>
      </c>
      <c r="S1162" s="87">
        <v>1334440</v>
      </c>
      <c r="T1162" s="1">
        <v>1</v>
      </c>
      <c r="U1162" s="88">
        <v>317723.80952380953</v>
      </c>
      <c r="V1162" s="59">
        <v>3.1473876682353645</v>
      </c>
    </row>
    <row r="1163" spans="1:22">
      <c r="A1163" s="58">
        <v>1165</v>
      </c>
      <c r="B1163" s="58">
        <v>1165</v>
      </c>
      <c r="C1163" s="58" t="s">
        <v>1773</v>
      </c>
      <c r="D1163" s="58" t="s">
        <v>410</v>
      </c>
      <c r="E1163" s="58" t="s">
        <v>410</v>
      </c>
      <c r="F1163" s="58" t="s">
        <v>1774</v>
      </c>
      <c r="G1163" s="58" t="s">
        <v>1775</v>
      </c>
      <c r="H1163" s="58" t="s">
        <v>199</v>
      </c>
      <c r="I1163">
        <v>110000</v>
      </c>
      <c r="J1163">
        <v>110000</v>
      </c>
      <c r="K1163" s="58" t="s">
        <v>185</v>
      </c>
      <c r="L1163" s="74">
        <v>4.1050000000000004</v>
      </c>
      <c r="M1163" s="85">
        <v>5</v>
      </c>
      <c r="N1163" s="74">
        <v>0.20399999999999999</v>
      </c>
      <c r="O1163">
        <v>3</v>
      </c>
      <c r="P1163" s="84">
        <v>0.20399999999999999</v>
      </c>
      <c r="Q1163" s="86">
        <v>4.2</v>
      </c>
      <c r="R1163" s="85">
        <v>4.2</v>
      </c>
      <c r="S1163" s="87">
        <v>1679970</v>
      </c>
      <c r="T1163" s="1">
        <v>7</v>
      </c>
      <c r="U1163" s="88">
        <v>399992.8571428571</v>
      </c>
      <c r="V1163" s="59">
        <v>2.5000446436543511</v>
      </c>
    </row>
    <row r="1164" spans="1:22">
      <c r="A1164" s="58">
        <v>1166</v>
      </c>
      <c r="B1164" s="58">
        <v>1166</v>
      </c>
      <c r="C1164" s="58" t="s">
        <v>1776</v>
      </c>
      <c r="D1164" s="58" t="s">
        <v>489</v>
      </c>
      <c r="E1164" s="58" t="s">
        <v>489</v>
      </c>
      <c r="F1164" s="58" t="s">
        <v>1774</v>
      </c>
      <c r="G1164" s="58" t="s">
        <v>1775</v>
      </c>
      <c r="H1164" s="58" t="s">
        <v>199</v>
      </c>
      <c r="I1164">
        <v>110000</v>
      </c>
      <c r="J1164">
        <v>110000</v>
      </c>
      <c r="K1164" s="58" t="s">
        <v>185</v>
      </c>
      <c r="L1164" s="74">
        <v>4.5960000000000001</v>
      </c>
      <c r="M1164" s="85">
        <v>5</v>
      </c>
      <c r="N1164" s="74">
        <v>0.18099999999999999</v>
      </c>
      <c r="O1164">
        <v>3</v>
      </c>
      <c r="P1164" s="84">
        <v>0.18099999999999999</v>
      </c>
      <c r="Q1164" s="86">
        <v>4.2</v>
      </c>
      <c r="R1164" s="85">
        <v>4.2</v>
      </c>
      <c r="S1164" s="87">
        <v>1679970</v>
      </c>
      <c r="T1164" s="1">
        <v>7</v>
      </c>
      <c r="U1164" s="88">
        <v>399992.8571428571</v>
      </c>
      <c r="V1164" s="59">
        <v>2.5000446436543511</v>
      </c>
    </row>
    <row r="1165" spans="1:22">
      <c r="A1165" s="58">
        <v>1167</v>
      </c>
      <c r="B1165" s="58">
        <v>1167</v>
      </c>
      <c r="C1165" s="58" t="s">
        <v>1777</v>
      </c>
      <c r="D1165" s="58" t="s">
        <v>450</v>
      </c>
      <c r="E1165" s="58" t="s">
        <v>450</v>
      </c>
      <c r="F1165" s="58" t="s">
        <v>1140</v>
      </c>
      <c r="G1165" s="58" t="s">
        <v>1141</v>
      </c>
      <c r="H1165" s="58" t="s">
        <v>179</v>
      </c>
      <c r="I1165">
        <v>38000</v>
      </c>
      <c r="J1165">
        <v>38000</v>
      </c>
      <c r="K1165" s="58" t="s">
        <v>185</v>
      </c>
      <c r="L1165" s="74">
        <v>2.1859999999999999</v>
      </c>
      <c r="M1165" s="85">
        <v>3</v>
      </c>
      <c r="N1165" s="74">
        <v>0.22</v>
      </c>
      <c r="O1165">
        <v>3</v>
      </c>
      <c r="P1165" s="84">
        <v>0.22</v>
      </c>
      <c r="Q1165" s="86">
        <v>4.2</v>
      </c>
      <c r="R1165" s="85">
        <v>4.2</v>
      </c>
      <c r="S1165" s="87">
        <v>558600</v>
      </c>
      <c r="T1165" s="1">
        <v>4</v>
      </c>
      <c r="U1165" s="88">
        <v>133000</v>
      </c>
      <c r="V1165" s="59">
        <v>7.518796992481203</v>
      </c>
    </row>
    <row r="1166" spans="1:22">
      <c r="A1166" s="58">
        <v>1168</v>
      </c>
      <c r="B1166" s="58">
        <v>1168</v>
      </c>
      <c r="C1166" s="58" t="s">
        <v>1778</v>
      </c>
      <c r="D1166" s="58" t="s">
        <v>775</v>
      </c>
      <c r="E1166" s="58" t="s">
        <v>775</v>
      </c>
      <c r="F1166" s="58" t="s">
        <v>1779</v>
      </c>
      <c r="G1166" s="58" t="s">
        <v>1780</v>
      </c>
      <c r="H1166" s="58" t="s">
        <v>179</v>
      </c>
      <c r="I1166">
        <v>38000</v>
      </c>
      <c r="J1166">
        <v>38000</v>
      </c>
      <c r="K1166" s="58" t="s">
        <v>185</v>
      </c>
      <c r="L1166" s="74">
        <v>5.3310000000000004</v>
      </c>
      <c r="M1166" s="85">
        <v>6</v>
      </c>
      <c r="N1166" s="74">
        <v>0.35399999999999998</v>
      </c>
      <c r="O1166">
        <v>3</v>
      </c>
      <c r="P1166" s="84">
        <v>0.35399999999999998</v>
      </c>
      <c r="Q1166" s="86">
        <v>4.2</v>
      </c>
      <c r="R1166" s="85">
        <v>4.2</v>
      </c>
      <c r="S1166" s="87">
        <v>769410</v>
      </c>
      <c r="T1166" s="1">
        <v>4</v>
      </c>
      <c r="U1166" s="88">
        <v>183192.85714285713</v>
      </c>
      <c r="V1166" s="59">
        <v>5.4587281163488903</v>
      </c>
    </row>
    <row r="1167" spans="1:22">
      <c r="A1167" s="58">
        <v>1169</v>
      </c>
      <c r="B1167" s="58">
        <v>1169</v>
      </c>
      <c r="C1167" s="58" t="s">
        <v>1781</v>
      </c>
      <c r="D1167" s="58" t="s">
        <v>197</v>
      </c>
      <c r="E1167" s="58" t="s">
        <v>197</v>
      </c>
      <c r="F1167" s="58" t="s">
        <v>1543</v>
      </c>
      <c r="G1167" s="58" t="s">
        <v>1544</v>
      </c>
      <c r="H1167" s="58" t="s">
        <v>199</v>
      </c>
      <c r="I1167">
        <v>110000</v>
      </c>
      <c r="J1167" s="58" t="s">
        <v>185</v>
      </c>
      <c r="K1167">
        <v>110000</v>
      </c>
      <c r="L1167" s="74">
        <v>6.5780000000000003</v>
      </c>
      <c r="M1167" s="85">
        <v>7</v>
      </c>
      <c r="N1167" s="74">
        <v>0.13400000000000001</v>
      </c>
      <c r="O1167">
        <v>3</v>
      </c>
      <c r="P1167" s="84">
        <v>0.13400000000000001</v>
      </c>
      <c r="Q1167" s="86">
        <v>4.2</v>
      </c>
      <c r="R1167" s="85">
        <v>4.2</v>
      </c>
      <c r="S1167" s="87">
        <v>1785370</v>
      </c>
      <c r="T1167" s="1">
        <v>7</v>
      </c>
      <c r="U1167" s="88">
        <v>425088.09523809521</v>
      </c>
      <c r="V1167" s="59">
        <v>2.3524535530450272</v>
      </c>
    </row>
    <row r="1168" spans="1:22">
      <c r="A1168" s="58">
        <v>1170</v>
      </c>
      <c r="B1168" s="58">
        <v>1170</v>
      </c>
      <c r="C1168" s="58" t="s">
        <v>1782</v>
      </c>
      <c r="D1168" s="58" t="s">
        <v>197</v>
      </c>
      <c r="E1168" s="58" t="s">
        <v>197</v>
      </c>
      <c r="F1168" s="58" t="s">
        <v>1783</v>
      </c>
      <c r="G1168" s="58" t="s">
        <v>1784</v>
      </c>
      <c r="H1168" s="58" t="s">
        <v>179</v>
      </c>
      <c r="I1168">
        <v>38000</v>
      </c>
      <c r="J1168">
        <v>38000</v>
      </c>
      <c r="K1168">
        <v>10000</v>
      </c>
      <c r="L1168" s="74">
        <v>6.2960000000000003</v>
      </c>
      <c r="M1168" s="85">
        <v>7</v>
      </c>
      <c r="N1168" s="74">
        <v>9.6000000000000002E-2</v>
      </c>
      <c r="O1168">
        <v>3</v>
      </c>
      <c r="P1168" s="84">
        <v>9.6000000000000002E-2</v>
      </c>
      <c r="Q1168" s="86">
        <v>4.2</v>
      </c>
      <c r="R1168" s="85">
        <v>4.2</v>
      </c>
      <c r="S1168" s="87">
        <v>839680</v>
      </c>
      <c r="T1168" s="1">
        <v>4</v>
      </c>
      <c r="U1168" s="88">
        <v>199923.80952380953</v>
      </c>
      <c r="V1168" s="59">
        <v>5.0019054878048781</v>
      </c>
    </row>
    <row r="1169" spans="1:22">
      <c r="A1169" s="58">
        <v>1171</v>
      </c>
      <c r="B1169" s="58">
        <v>1171</v>
      </c>
      <c r="C1169" s="58" t="s">
        <v>1785</v>
      </c>
      <c r="D1169" s="58" t="s">
        <v>197</v>
      </c>
      <c r="E1169" s="58" t="s">
        <v>197</v>
      </c>
      <c r="F1169" s="58" t="s">
        <v>1786</v>
      </c>
      <c r="G1169" s="58" t="s">
        <v>1787</v>
      </c>
      <c r="H1169" s="58" t="s">
        <v>199</v>
      </c>
      <c r="I1169">
        <v>110000</v>
      </c>
      <c r="J1169">
        <v>110000</v>
      </c>
      <c r="K1169">
        <v>38000</v>
      </c>
      <c r="L1169" s="74">
        <v>10.651999999999999</v>
      </c>
      <c r="M1169" s="85">
        <v>11</v>
      </c>
      <c r="N1169" s="74">
        <v>0.113</v>
      </c>
      <c r="O1169">
        <v>3</v>
      </c>
      <c r="P1169" s="84">
        <v>0.113</v>
      </c>
      <c r="Q1169" s="86">
        <v>4.2</v>
      </c>
      <c r="R1169" s="85">
        <v>4.2</v>
      </c>
      <c r="S1169" s="87">
        <v>1996170</v>
      </c>
      <c r="T1169" s="1">
        <v>7</v>
      </c>
      <c r="U1169" s="88">
        <v>475278.57142857142</v>
      </c>
      <c r="V1169" s="59">
        <v>2.1040292159485414</v>
      </c>
    </row>
    <row r="1170" spans="1:22">
      <c r="A1170" s="58">
        <v>1172</v>
      </c>
      <c r="B1170" s="58">
        <v>1172</v>
      </c>
      <c r="C1170" s="58" t="s">
        <v>1788</v>
      </c>
      <c r="D1170" s="58" t="s">
        <v>197</v>
      </c>
      <c r="E1170" s="58" t="s">
        <v>197</v>
      </c>
      <c r="F1170" s="58" t="s">
        <v>1701</v>
      </c>
      <c r="G1170" s="58" t="s">
        <v>1702</v>
      </c>
      <c r="H1170" s="58" t="s">
        <v>179</v>
      </c>
      <c r="I1170">
        <v>38000</v>
      </c>
      <c r="J1170">
        <v>38000</v>
      </c>
      <c r="K1170" s="58" t="s">
        <v>185</v>
      </c>
      <c r="L1170" s="74">
        <v>7.4349999999999996</v>
      </c>
      <c r="M1170" s="85">
        <v>8</v>
      </c>
      <c r="N1170" s="74">
        <v>0.20699999999999999</v>
      </c>
      <c r="O1170">
        <v>3</v>
      </c>
      <c r="P1170" s="84">
        <v>0.20699999999999999</v>
      </c>
      <c r="Q1170" s="86">
        <v>4.2</v>
      </c>
      <c r="R1170" s="85">
        <v>4.2</v>
      </c>
      <c r="S1170" s="87">
        <v>909950</v>
      </c>
      <c r="T1170" s="1">
        <v>4</v>
      </c>
      <c r="U1170" s="88">
        <v>216654.76190476189</v>
      </c>
      <c r="V1170" s="59">
        <v>4.6156382218803227</v>
      </c>
    </row>
    <row r="1171" spans="1:22">
      <c r="A1171" s="58">
        <v>1173</v>
      </c>
      <c r="B1171" s="58">
        <v>1173</v>
      </c>
      <c r="C1171" s="58" t="s">
        <v>1789</v>
      </c>
      <c r="D1171" s="58" t="s">
        <v>182</v>
      </c>
      <c r="E1171" s="58" t="s">
        <v>182</v>
      </c>
      <c r="F1171" s="58" t="s">
        <v>1790</v>
      </c>
      <c r="G1171" s="58" t="s">
        <v>1791</v>
      </c>
      <c r="H1171" s="58" t="s">
        <v>179</v>
      </c>
      <c r="I1171">
        <v>38000</v>
      </c>
      <c r="J1171">
        <v>38000</v>
      </c>
      <c r="K1171" s="58" t="s">
        <v>185</v>
      </c>
      <c r="L1171" s="74">
        <v>6.1879999999999997</v>
      </c>
      <c r="M1171" s="85">
        <v>7</v>
      </c>
      <c r="N1171" s="74">
        <v>0.30599999999999999</v>
      </c>
      <c r="O1171">
        <v>3</v>
      </c>
      <c r="P1171" s="84">
        <v>0.30599999999999999</v>
      </c>
      <c r="Q1171" s="86">
        <v>4.2</v>
      </c>
      <c r="R1171" s="85">
        <v>4.2</v>
      </c>
      <c r="S1171" s="87">
        <v>839680</v>
      </c>
      <c r="T1171" s="1">
        <v>4</v>
      </c>
      <c r="U1171" s="88">
        <v>199923.80952380953</v>
      </c>
      <c r="V1171" s="59">
        <v>5.0019054878048781</v>
      </c>
    </row>
    <row r="1172" spans="1:22">
      <c r="A1172" s="58">
        <v>1174</v>
      </c>
      <c r="B1172" s="58">
        <v>1174</v>
      </c>
      <c r="C1172" s="58" t="s">
        <v>1792</v>
      </c>
      <c r="D1172" s="58" t="s">
        <v>852</v>
      </c>
      <c r="E1172" s="58" t="s">
        <v>852</v>
      </c>
      <c r="F1172" s="58" t="s">
        <v>1793</v>
      </c>
      <c r="G1172" s="58" t="s">
        <v>1794</v>
      </c>
      <c r="H1172" s="58" t="s">
        <v>179</v>
      </c>
      <c r="I1172">
        <v>38000</v>
      </c>
      <c r="J1172">
        <v>38000</v>
      </c>
      <c r="K1172">
        <v>10000</v>
      </c>
      <c r="L1172" s="74">
        <v>4.33</v>
      </c>
      <c r="M1172" s="85">
        <v>5</v>
      </c>
      <c r="N1172" s="74">
        <v>0.113</v>
      </c>
      <c r="O1172">
        <v>3</v>
      </c>
      <c r="P1172" s="84">
        <v>0.113</v>
      </c>
      <c r="Q1172" s="86">
        <v>4.2</v>
      </c>
      <c r="R1172" s="85">
        <v>4.2</v>
      </c>
      <c r="S1172" s="87">
        <v>699140</v>
      </c>
      <c r="T1172" s="1">
        <v>4</v>
      </c>
      <c r="U1172" s="88">
        <v>166461.90476190476</v>
      </c>
      <c r="V1172" s="59">
        <v>6.0073804960379897</v>
      </c>
    </row>
    <row r="1173" spans="1:22">
      <c r="A1173" s="58">
        <v>1175</v>
      </c>
      <c r="B1173" s="58">
        <v>1175</v>
      </c>
      <c r="C1173" s="58" t="s">
        <v>1795</v>
      </c>
      <c r="D1173" s="58" t="s">
        <v>182</v>
      </c>
      <c r="E1173" s="58" t="s">
        <v>182</v>
      </c>
      <c r="F1173" s="58" t="s">
        <v>1796</v>
      </c>
      <c r="G1173" s="58" t="s">
        <v>1797</v>
      </c>
      <c r="H1173" s="58" t="s">
        <v>199</v>
      </c>
      <c r="I1173">
        <v>110000</v>
      </c>
      <c r="J1173" s="58" t="s">
        <v>185</v>
      </c>
      <c r="K1173">
        <v>110000</v>
      </c>
      <c r="L1173" s="74">
        <v>4.2030000000000003</v>
      </c>
      <c r="M1173" s="85">
        <v>5</v>
      </c>
      <c r="N1173" s="74">
        <v>0.10299999999999999</v>
      </c>
      <c r="O1173">
        <v>3</v>
      </c>
      <c r="P1173" s="84">
        <v>0.10299999999999999</v>
      </c>
      <c r="Q1173" s="86">
        <v>4.2</v>
      </c>
      <c r="R1173" s="85">
        <v>4.2</v>
      </c>
      <c r="S1173" s="87">
        <v>1679970</v>
      </c>
      <c r="T1173" s="1">
        <v>7</v>
      </c>
      <c r="U1173" s="88">
        <v>399992.8571428571</v>
      </c>
      <c r="V1173" s="59">
        <v>2.5000446436543511</v>
      </c>
    </row>
    <row r="1174" spans="1:22">
      <c r="A1174" s="58">
        <v>1176</v>
      </c>
      <c r="B1174" s="58">
        <v>1176</v>
      </c>
      <c r="C1174" s="58" t="s">
        <v>1798</v>
      </c>
      <c r="D1174" s="58" t="s">
        <v>882</v>
      </c>
      <c r="E1174" s="58" t="s">
        <v>882</v>
      </c>
      <c r="F1174" s="58" t="s">
        <v>1796</v>
      </c>
      <c r="G1174" s="58" t="s">
        <v>1797</v>
      </c>
      <c r="H1174" s="58" t="s">
        <v>199</v>
      </c>
      <c r="I1174">
        <v>110000</v>
      </c>
      <c r="J1174" s="58" t="s">
        <v>185</v>
      </c>
      <c r="K1174">
        <v>110000</v>
      </c>
      <c r="L1174" s="74">
        <v>4.1680000000000001</v>
      </c>
      <c r="M1174" s="85">
        <v>5</v>
      </c>
      <c r="N1174" s="74">
        <v>0.14799999999999999</v>
      </c>
      <c r="O1174">
        <v>3</v>
      </c>
      <c r="P1174" s="84">
        <v>0.14799999999999999</v>
      </c>
      <c r="Q1174" s="86">
        <v>4.2</v>
      </c>
      <c r="R1174" s="85">
        <v>4.2</v>
      </c>
      <c r="S1174" s="87">
        <v>1679970</v>
      </c>
      <c r="T1174" s="1">
        <v>7</v>
      </c>
      <c r="U1174" s="88">
        <v>399992.8571428571</v>
      </c>
      <c r="V1174" s="59">
        <v>2.5000446436543511</v>
      </c>
    </row>
    <row r="1175" spans="1:22">
      <c r="A1175" s="58">
        <v>1177</v>
      </c>
      <c r="B1175" s="58">
        <v>1177</v>
      </c>
      <c r="C1175" s="58" t="s">
        <v>1799</v>
      </c>
      <c r="D1175" s="58" t="s">
        <v>852</v>
      </c>
      <c r="E1175" s="58" t="s">
        <v>852</v>
      </c>
      <c r="F1175" s="58" t="s">
        <v>1796</v>
      </c>
      <c r="G1175" s="58" t="s">
        <v>1797</v>
      </c>
      <c r="H1175" s="58" t="s">
        <v>199</v>
      </c>
      <c r="I1175">
        <v>110000</v>
      </c>
      <c r="J1175" s="58" t="s">
        <v>185</v>
      </c>
      <c r="K1175">
        <v>110000</v>
      </c>
      <c r="L1175" s="74">
        <v>1.9790000000000001</v>
      </c>
      <c r="M1175" s="85">
        <v>2</v>
      </c>
      <c r="N1175" s="74">
        <v>0.121</v>
      </c>
      <c r="O1175">
        <v>3</v>
      </c>
      <c r="P1175" s="84">
        <v>0.121</v>
      </c>
      <c r="Q1175" s="86">
        <v>4.2</v>
      </c>
      <c r="R1175" s="85">
        <v>4.2</v>
      </c>
      <c r="S1175" s="87">
        <v>1340080</v>
      </c>
      <c r="T1175" s="1">
        <v>11</v>
      </c>
      <c r="U1175" s="88">
        <v>319066.66666666663</v>
      </c>
      <c r="V1175" s="59">
        <v>3.134141245298788</v>
      </c>
    </row>
    <row r="1176" spans="1:22">
      <c r="A1176" s="58">
        <v>1178</v>
      </c>
      <c r="B1176" s="58">
        <v>1178</v>
      </c>
      <c r="C1176" s="58" t="s">
        <v>1800</v>
      </c>
      <c r="D1176" s="58" t="s">
        <v>882</v>
      </c>
      <c r="E1176" s="58" t="s">
        <v>882</v>
      </c>
      <c r="F1176" s="58" t="s">
        <v>1796</v>
      </c>
      <c r="G1176" s="58" t="s">
        <v>1797</v>
      </c>
      <c r="H1176" s="58" t="s">
        <v>199</v>
      </c>
      <c r="I1176">
        <v>110000</v>
      </c>
      <c r="J1176" s="58" t="s">
        <v>185</v>
      </c>
      <c r="K1176">
        <v>110000</v>
      </c>
      <c r="L1176" s="74">
        <v>3.8740000000000001</v>
      </c>
      <c r="M1176" s="85">
        <v>4</v>
      </c>
      <c r="N1176" s="74">
        <v>0.33300000000000002</v>
      </c>
      <c r="O1176">
        <v>3</v>
      </c>
      <c r="P1176" s="84">
        <v>0.33300000000000002</v>
      </c>
      <c r="Q1176" s="86">
        <v>4.2</v>
      </c>
      <c r="R1176" s="85">
        <v>4.2</v>
      </c>
      <c r="S1176" s="87">
        <v>1627270</v>
      </c>
      <c r="T1176" s="1">
        <v>7</v>
      </c>
      <c r="U1176" s="88">
        <v>387445.23809523811</v>
      </c>
      <c r="V1176" s="59">
        <v>2.5810099123071155</v>
      </c>
    </row>
    <row r="1177" spans="1:22">
      <c r="A1177" s="58">
        <v>1179</v>
      </c>
      <c r="B1177" s="58">
        <v>1179</v>
      </c>
      <c r="C1177" s="58" t="s">
        <v>1801</v>
      </c>
      <c r="D1177" s="58" t="s">
        <v>882</v>
      </c>
      <c r="E1177" s="58" t="s">
        <v>882</v>
      </c>
      <c r="F1177" s="58" t="s">
        <v>1796</v>
      </c>
      <c r="G1177" s="58" t="s">
        <v>1797</v>
      </c>
      <c r="H1177" s="58" t="s">
        <v>199</v>
      </c>
      <c r="I1177">
        <v>110000</v>
      </c>
      <c r="J1177" s="58" t="s">
        <v>185</v>
      </c>
      <c r="K1177">
        <v>110000</v>
      </c>
      <c r="L1177" s="74">
        <v>10.09</v>
      </c>
      <c r="M1177" s="85">
        <v>11</v>
      </c>
      <c r="N1177" s="74">
        <v>0.14599999999999999</v>
      </c>
      <c r="O1177">
        <v>3</v>
      </c>
      <c r="P1177" s="84">
        <v>0.14599999999999999</v>
      </c>
      <c r="Q1177" s="86">
        <v>4.2</v>
      </c>
      <c r="R1177" s="85">
        <v>4.2</v>
      </c>
      <c r="S1177" s="87">
        <v>1996170</v>
      </c>
      <c r="T1177" s="1">
        <v>7</v>
      </c>
      <c r="U1177" s="88">
        <v>475278.57142857142</v>
      </c>
      <c r="V1177" s="59">
        <v>2.1040292159485414</v>
      </c>
    </row>
    <row r="1178" spans="1:22">
      <c r="A1178" s="58">
        <v>1180</v>
      </c>
      <c r="B1178" s="58">
        <v>1180</v>
      </c>
      <c r="C1178" s="58" t="s">
        <v>1802</v>
      </c>
      <c r="D1178" s="58" t="s">
        <v>536</v>
      </c>
      <c r="E1178" s="58" t="s">
        <v>536</v>
      </c>
      <c r="F1178" s="58" t="s">
        <v>1803</v>
      </c>
      <c r="G1178" s="58" t="s">
        <v>1804</v>
      </c>
      <c r="H1178" s="58" t="s">
        <v>179</v>
      </c>
      <c r="I1178">
        <v>38000</v>
      </c>
      <c r="J1178">
        <v>38000</v>
      </c>
      <c r="K1178" s="58" t="s">
        <v>185</v>
      </c>
      <c r="L1178" s="74">
        <v>4.2279999999999998</v>
      </c>
      <c r="M1178" s="85">
        <v>5</v>
      </c>
      <c r="N1178" s="74">
        <v>0.11</v>
      </c>
      <c r="O1178">
        <v>3</v>
      </c>
      <c r="P1178" s="84">
        <v>0.11</v>
      </c>
      <c r="Q1178" s="86">
        <v>4.2</v>
      </c>
      <c r="R1178" s="85">
        <v>4.2</v>
      </c>
      <c r="S1178" s="87">
        <v>699140</v>
      </c>
      <c r="T1178" s="1">
        <v>4</v>
      </c>
      <c r="U1178" s="88">
        <v>166461.90476190476</v>
      </c>
      <c r="V1178" s="59">
        <v>6.0073804960379897</v>
      </c>
    </row>
    <row r="1179" spans="1:22">
      <c r="A1179" s="58">
        <v>1181</v>
      </c>
      <c r="B1179" s="58">
        <v>1181</v>
      </c>
      <c r="C1179" s="58" t="s">
        <v>1805</v>
      </c>
      <c r="D1179" s="58" t="s">
        <v>1806</v>
      </c>
      <c r="E1179" s="58" t="s">
        <v>1806</v>
      </c>
      <c r="F1179" s="58" t="s">
        <v>1807</v>
      </c>
      <c r="G1179" s="58" t="s">
        <v>1808</v>
      </c>
      <c r="H1179" s="58" t="s">
        <v>179</v>
      </c>
      <c r="I1179">
        <v>38000</v>
      </c>
      <c r="J1179">
        <v>38000</v>
      </c>
      <c r="K1179" s="58" t="s">
        <v>185</v>
      </c>
      <c r="L1179" s="74">
        <v>4.431</v>
      </c>
      <c r="M1179" s="85">
        <v>5</v>
      </c>
      <c r="N1179" s="74">
        <v>0.11700000000000001</v>
      </c>
      <c r="O1179">
        <v>3</v>
      </c>
      <c r="P1179" s="84">
        <v>0.11700000000000001</v>
      </c>
      <c r="Q1179" s="86">
        <v>4.2</v>
      </c>
      <c r="R1179" s="85">
        <v>4.2</v>
      </c>
      <c r="S1179" s="87">
        <v>699140</v>
      </c>
      <c r="T1179" s="1">
        <v>4</v>
      </c>
      <c r="U1179" s="88">
        <v>166461.90476190476</v>
      </c>
      <c r="V1179" s="59">
        <v>6.0073804960379897</v>
      </c>
    </row>
    <row r="1180" spans="1:22">
      <c r="A1180" s="58">
        <v>1182</v>
      </c>
      <c r="B1180" s="58">
        <v>1182</v>
      </c>
      <c r="C1180" s="58" t="s">
        <v>1809</v>
      </c>
      <c r="D1180" s="58" t="s">
        <v>882</v>
      </c>
      <c r="E1180" s="58" t="s">
        <v>882</v>
      </c>
      <c r="F1180" s="58" t="s">
        <v>1149</v>
      </c>
      <c r="G1180" s="58" t="s">
        <v>1150</v>
      </c>
      <c r="H1180" s="58" t="s">
        <v>179</v>
      </c>
      <c r="I1180">
        <v>38000</v>
      </c>
      <c r="J1180">
        <v>38000</v>
      </c>
      <c r="K1180" s="58" t="s">
        <v>185</v>
      </c>
      <c r="L1180" s="74">
        <v>3.3980000000000001</v>
      </c>
      <c r="M1180" s="85">
        <v>4</v>
      </c>
      <c r="N1180" s="74">
        <v>9.7000000000000003E-2</v>
      </c>
      <c r="O1180">
        <v>3</v>
      </c>
      <c r="P1180" s="84">
        <v>9.7000000000000003E-2</v>
      </c>
      <c r="Q1180" s="86">
        <v>4.2</v>
      </c>
      <c r="R1180" s="85">
        <v>4.2</v>
      </c>
      <c r="S1180" s="87">
        <v>628870</v>
      </c>
      <c r="T1180" s="1">
        <v>4</v>
      </c>
      <c r="U1180" s="88">
        <v>149730.95238095237</v>
      </c>
      <c r="V1180" s="59">
        <v>6.6786458250512828</v>
      </c>
    </row>
    <row r="1181" spans="1:22">
      <c r="A1181" s="58">
        <v>1183</v>
      </c>
      <c r="B1181" s="58">
        <v>1183</v>
      </c>
      <c r="C1181" s="58" t="s">
        <v>1810</v>
      </c>
      <c r="D1181" s="58" t="s">
        <v>1811</v>
      </c>
      <c r="E1181" s="58" t="s">
        <v>882</v>
      </c>
      <c r="F1181" s="58" t="s">
        <v>1812</v>
      </c>
      <c r="G1181" s="58" t="s">
        <v>1813</v>
      </c>
      <c r="H1181" s="58" t="s">
        <v>179</v>
      </c>
      <c r="I1181">
        <v>38000</v>
      </c>
      <c r="J1181">
        <v>38000</v>
      </c>
      <c r="K1181" s="58" t="s">
        <v>185</v>
      </c>
      <c r="L1181" s="74">
        <v>2.3159999999999998</v>
      </c>
      <c r="M1181" s="85">
        <v>3</v>
      </c>
      <c r="N1181" s="74">
        <v>0.121</v>
      </c>
      <c r="O1181">
        <v>3</v>
      </c>
      <c r="P1181" s="84">
        <v>0.121</v>
      </c>
      <c r="Q1181" s="86">
        <v>4.2</v>
      </c>
      <c r="R1181" s="85">
        <v>4.2</v>
      </c>
      <c r="S1181" s="87">
        <v>558600</v>
      </c>
      <c r="T1181" s="1">
        <v>4</v>
      </c>
      <c r="U1181" s="88">
        <v>133000</v>
      </c>
      <c r="V1181" s="59">
        <v>7.518796992481203</v>
      </c>
    </row>
    <row r="1182" spans="1:22">
      <c r="A1182" s="58">
        <v>1184</v>
      </c>
      <c r="B1182" s="58">
        <v>1184</v>
      </c>
      <c r="C1182" s="58" t="s">
        <v>1814</v>
      </c>
      <c r="D1182" s="58" t="s">
        <v>1811</v>
      </c>
      <c r="E1182" s="58" t="s">
        <v>1811</v>
      </c>
      <c r="F1182" s="58" t="s">
        <v>1815</v>
      </c>
      <c r="G1182" s="58" t="s">
        <v>1816</v>
      </c>
      <c r="H1182" s="58" t="s">
        <v>199</v>
      </c>
      <c r="I1182">
        <v>110000</v>
      </c>
      <c r="J1182">
        <v>110000</v>
      </c>
      <c r="K1182">
        <v>38000</v>
      </c>
      <c r="L1182" s="74">
        <v>6.1529999999999996</v>
      </c>
      <c r="M1182" s="85">
        <v>7</v>
      </c>
      <c r="N1182" s="74">
        <v>0.24399999999999999</v>
      </c>
      <c r="O1182">
        <v>3</v>
      </c>
      <c r="P1182" s="84">
        <v>0.24399999999999999</v>
      </c>
      <c r="Q1182" s="86">
        <v>4.2</v>
      </c>
      <c r="R1182" s="85">
        <v>4.2</v>
      </c>
      <c r="S1182" s="87">
        <v>1785370</v>
      </c>
      <c r="T1182" s="1">
        <v>7</v>
      </c>
      <c r="U1182" s="88">
        <v>425088.09523809521</v>
      </c>
      <c r="V1182" s="59">
        <v>2.3524535530450272</v>
      </c>
    </row>
    <row r="1183" spans="1:22">
      <c r="A1183" s="58">
        <v>1185</v>
      </c>
      <c r="B1183" s="58">
        <v>1185</v>
      </c>
      <c r="C1183" s="58" t="s">
        <v>1817</v>
      </c>
      <c r="D1183" s="58" t="s">
        <v>882</v>
      </c>
      <c r="E1183" s="58" t="s">
        <v>882</v>
      </c>
      <c r="F1183" s="58" t="s">
        <v>1812</v>
      </c>
      <c r="G1183" s="58" t="s">
        <v>1813</v>
      </c>
      <c r="H1183" s="58" t="s">
        <v>179</v>
      </c>
      <c r="I1183">
        <v>38000</v>
      </c>
      <c r="J1183">
        <v>38000</v>
      </c>
      <c r="K1183" s="58" t="s">
        <v>185</v>
      </c>
      <c r="L1183" s="74">
        <v>4.141</v>
      </c>
      <c r="M1183" s="85">
        <v>5</v>
      </c>
      <c r="N1183" s="74">
        <v>0.27400000000000002</v>
      </c>
      <c r="O1183">
        <v>3</v>
      </c>
      <c r="P1183" s="84">
        <v>0.27400000000000002</v>
      </c>
      <c r="Q1183" s="86">
        <v>4.2</v>
      </c>
      <c r="R1183" s="85">
        <v>4.2</v>
      </c>
      <c r="S1183" s="87">
        <v>699140</v>
      </c>
      <c r="T1183" s="1">
        <v>4</v>
      </c>
      <c r="U1183" s="88">
        <v>166461.90476190476</v>
      </c>
      <c r="V1183" s="59">
        <v>6.0073804960379897</v>
      </c>
    </row>
    <row r="1184" spans="1:22">
      <c r="A1184" s="58">
        <v>1186</v>
      </c>
      <c r="B1184" s="58">
        <v>1186</v>
      </c>
      <c r="C1184" s="58" t="s">
        <v>1818</v>
      </c>
      <c r="D1184" s="58" t="s">
        <v>882</v>
      </c>
      <c r="E1184" s="58" t="s">
        <v>882</v>
      </c>
      <c r="F1184" s="58" t="s">
        <v>1819</v>
      </c>
      <c r="G1184" s="58" t="s">
        <v>1820</v>
      </c>
      <c r="H1184" s="58" t="s">
        <v>199</v>
      </c>
      <c r="I1184">
        <v>110000</v>
      </c>
      <c r="J1184">
        <v>20000</v>
      </c>
      <c r="K1184">
        <v>110000</v>
      </c>
      <c r="L1184" s="74">
        <v>2.3290000000000002</v>
      </c>
      <c r="M1184" s="85">
        <v>3</v>
      </c>
      <c r="N1184" s="74">
        <v>0.246</v>
      </c>
      <c r="O1184">
        <v>3</v>
      </c>
      <c r="P1184" s="84">
        <v>0.246</v>
      </c>
      <c r="Q1184" s="86">
        <v>4.2</v>
      </c>
      <c r="R1184" s="85">
        <v>4.2</v>
      </c>
      <c r="S1184" s="87">
        <v>1574570</v>
      </c>
      <c r="T1184" s="1">
        <v>7</v>
      </c>
      <c r="U1184" s="88">
        <v>374897.61904761905</v>
      </c>
      <c r="V1184" s="59">
        <v>2.6673949078161021</v>
      </c>
    </row>
    <row r="1185" spans="1:22">
      <c r="A1185" s="58">
        <v>1187</v>
      </c>
      <c r="B1185" s="58">
        <v>1187</v>
      </c>
      <c r="C1185" s="58" t="s">
        <v>1821</v>
      </c>
      <c r="D1185" s="58" t="s">
        <v>882</v>
      </c>
      <c r="E1185" s="58" t="s">
        <v>882</v>
      </c>
      <c r="F1185" s="58" t="s">
        <v>1822</v>
      </c>
      <c r="G1185" s="58" t="s">
        <v>1823</v>
      </c>
      <c r="H1185" s="58" t="s">
        <v>199</v>
      </c>
      <c r="I1185">
        <v>110000</v>
      </c>
      <c r="L1185" s="74">
        <v>4.3440000000000003</v>
      </c>
      <c r="M1185" s="85">
        <v>5</v>
      </c>
      <c r="N1185" s="74">
        <v>0.23</v>
      </c>
      <c r="O1185">
        <v>3</v>
      </c>
      <c r="P1185" s="84">
        <v>0.23</v>
      </c>
      <c r="Q1185" s="86">
        <v>4.2</v>
      </c>
      <c r="R1185" s="85">
        <v>4.2</v>
      </c>
      <c r="S1185" s="87">
        <v>1679970</v>
      </c>
      <c r="T1185" s="1">
        <v>7</v>
      </c>
      <c r="U1185" s="88">
        <v>399992.8571428571</v>
      </c>
      <c r="V1185" s="59">
        <v>2.5000446436543511</v>
      </c>
    </row>
    <row r="1186" spans="1:22">
      <c r="A1186" s="58">
        <v>1188</v>
      </c>
      <c r="B1186" s="58">
        <v>1188</v>
      </c>
      <c r="C1186" s="58" t="s">
        <v>1824</v>
      </c>
      <c r="D1186" s="58" t="s">
        <v>882</v>
      </c>
      <c r="E1186" s="58" t="s">
        <v>882</v>
      </c>
      <c r="F1186" s="58" t="s">
        <v>1822</v>
      </c>
      <c r="G1186" s="58" t="s">
        <v>1823</v>
      </c>
      <c r="H1186" s="58" t="s">
        <v>199</v>
      </c>
      <c r="I1186">
        <v>110000</v>
      </c>
      <c r="L1186" s="74">
        <v>4.8920000000000003</v>
      </c>
      <c r="M1186" s="85">
        <v>5</v>
      </c>
      <c r="N1186" s="74">
        <v>0.249</v>
      </c>
      <c r="O1186">
        <v>3</v>
      </c>
      <c r="P1186" s="84">
        <v>0.249</v>
      </c>
      <c r="Q1186" s="86">
        <v>4.2</v>
      </c>
      <c r="R1186" s="85">
        <v>4.2</v>
      </c>
      <c r="S1186" s="87">
        <v>1679970</v>
      </c>
      <c r="T1186" s="1">
        <v>7</v>
      </c>
      <c r="U1186" s="88">
        <v>399992.8571428571</v>
      </c>
      <c r="V1186" s="59">
        <v>2.5000446436543511</v>
      </c>
    </row>
    <row r="1187" spans="1:22">
      <c r="A1187" s="58">
        <v>1189</v>
      </c>
      <c r="B1187" s="58">
        <v>1189</v>
      </c>
      <c r="C1187" s="58" t="s">
        <v>1825</v>
      </c>
      <c r="D1187" s="58" t="s">
        <v>882</v>
      </c>
      <c r="E1187" s="58" t="s">
        <v>882</v>
      </c>
      <c r="F1187" s="58" t="s">
        <v>1819</v>
      </c>
      <c r="G1187" s="58" t="s">
        <v>1820</v>
      </c>
      <c r="H1187" s="58" t="s">
        <v>199</v>
      </c>
      <c r="I1187">
        <v>110000</v>
      </c>
      <c r="J1187">
        <v>20000</v>
      </c>
      <c r="K1187">
        <v>110000</v>
      </c>
      <c r="L1187" s="74">
        <v>5.5679999999999996</v>
      </c>
      <c r="M1187" s="85">
        <v>6</v>
      </c>
      <c r="N1187" s="74">
        <v>0.129</v>
      </c>
      <c r="O1187">
        <v>3</v>
      </c>
      <c r="P1187" s="84">
        <v>0.129</v>
      </c>
      <c r="Q1187" s="86">
        <v>4.2</v>
      </c>
      <c r="R1187" s="85">
        <v>4.2</v>
      </c>
      <c r="S1187" s="87">
        <v>1732670</v>
      </c>
      <c r="T1187" s="1">
        <v>7</v>
      </c>
      <c r="U1187" s="88">
        <v>412540.47619047615</v>
      </c>
      <c r="V1187" s="59">
        <v>2.4240045709800482</v>
      </c>
    </row>
    <row r="1188" spans="1:22">
      <c r="A1188" s="58">
        <v>1190</v>
      </c>
      <c r="B1188" s="58">
        <v>1190</v>
      </c>
      <c r="C1188" s="58" t="s">
        <v>1826</v>
      </c>
      <c r="D1188" s="58" t="s">
        <v>410</v>
      </c>
      <c r="E1188" s="58" t="s">
        <v>410</v>
      </c>
      <c r="F1188" s="58" t="s">
        <v>1827</v>
      </c>
      <c r="G1188" s="58" t="s">
        <v>1828</v>
      </c>
      <c r="H1188" s="58" t="s">
        <v>199</v>
      </c>
      <c r="I1188">
        <v>110000</v>
      </c>
      <c r="J1188">
        <v>110000</v>
      </c>
      <c r="K1188">
        <v>38000</v>
      </c>
      <c r="L1188" s="74">
        <v>1.101</v>
      </c>
      <c r="M1188" s="85">
        <v>2</v>
      </c>
      <c r="N1188" s="74">
        <v>0.22500000000000001</v>
      </c>
      <c r="O1188">
        <v>3</v>
      </c>
      <c r="P1188" s="84">
        <v>0.22500000000000001</v>
      </c>
      <c r="Q1188" s="86">
        <v>4.2</v>
      </c>
      <c r="R1188" s="85">
        <v>4.2</v>
      </c>
      <c r="S1188" s="87">
        <v>1340080</v>
      </c>
      <c r="T1188" s="1">
        <v>11</v>
      </c>
      <c r="U1188" s="88">
        <v>319066.66666666663</v>
      </c>
      <c r="V1188" s="59">
        <v>3.134141245298788</v>
      </c>
    </row>
    <row r="1189" spans="1:22">
      <c r="A1189" s="58">
        <v>1191</v>
      </c>
      <c r="B1189" s="58">
        <v>1191</v>
      </c>
      <c r="C1189" s="58" t="s">
        <v>1829</v>
      </c>
      <c r="D1189" s="58" t="s">
        <v>1811</v>
      </c>
      <c r="E1189" s="58" t="s">
        <v>536</v>
      </c>
      <c r="F1189" s="58" t="s">
        <v>1830</v>
      </c>
      <c r="G1189" s="58" t="s">
        <v>1831</v>
      </c>
      <c r="H1189" s="58" t="s">
        <v>199</v>
      </c>
      <c r="I1189">
        <v>110000</v>
      </c>
      <c r="J1189">
        <v>110000</v>
      </c>
      <c r="K1189">
        <v>20000</v>
      </c>
      <c r="L1189" s="74">
        <v>1.976</v>
      </c>
      <c r="M1189" s="85">
        <v>2</v>
      </c>
      <c r="N1189" s="74">
        <v>0.121</v>
      </c>
      <c r="O1189">
        <v>3</v>
      </c>
      <c r="P1189" s="84">
        <v>0.121</v>
      </c>
      <c r="Q1189" s="86">
        <v>4.2</v>
      </c>
      <c r="R1189" s="85">
        <v>4.2</v>
      </c>
      <c r="S1189" s="87">
        <v>1340080</v>
      </c>
      <c r="T1189" s="1">
        <v>11</v>
      </c>
      <c r="U1189" s="88">
        <v>319066.66666666663</v>
      </c>
      <c r="V1189" s="59">
        <v>3.134141245298788</v>
      </c>
    </row>
    <row r="1190" spans="1:22">
      <c r="A1190" s="58">
        <v>1192</v>
      </c>
      <c r="B1190" s="58">
        <v>1192</v>
      </c>
      <c r="C1190" s="58" t="s">
        <v>1832</v>
      </c>
      <c r="D1190" s="58" t="s">
        <v>536</v>
      </c>
      <c r="E1190" s="58" t="s">
        <v>536</v>
      </c>
      <c r="F1190" s="58" t="s">
        <v>1803</v>
      </c>
      <c r="G1190" s="58" t="s">
        <v>1804</v>
      </c>
      <c r="H1190" s="58" t="s">
        <v>179</v>
      </c>
      <c r="I1190">
        <v>38000</v>
      </c>
      <c r="J1190">
        <v>38000</v>
      </c>
      <c r="K1190" s="58" t="s">
        <v>185</v>
      </c>
      <c r="L1190" s="74">
        <v>5.4880000000000004</v>
      </c>
      <c r="M1190" s="85">
        <v>6</v>
      </c>
      <c r="N1190" s="74">
        <v>0.20200000000000001</v>
      </c>
      <c r="O1190">
        <v>3</v>
      </c>
      <c r="P1190" s="84">
        <v>0.20200000000000001</v>
      </c>
      <c r="Q1190" s="86">
        <v>4.2</v>
      </c>
      <c r="R1190" s="85">
        <v>4.2</v>
      </c>
      <c r="S1190" s="87">
        <v>769410</v>
      </c>
      <c r="T1190" s="1">
        <v>4</v>
      </c>
      <c r="U1190" s="88">
        <v>183192.85714285713</v>
      </c>
      <c r="V1190" s="59">
        <v>5.4587281163488903</v>
      </c>
    </row>
    <row r="1191" spans="1:22">
      <c r="A1191" s="58">
        <v>1193</v>
      </c>
      <c r="B1191" s="58">
        <v>1193</v>
      </c>
      <c r="C1191" s="58" t="s">
        <v>1833</v>
      </c>
      <c r="D1191" s="58" t="s">
        <v>253</v>
      </c>
      <c r="E1191" s="58" t="s">
        <v>253</v>
      </c>
      <c r="F1191" s="58" t="s">
        <v>1834</v>
      </c>
      <c r="G1191" s="58" t="s">
        <v>1835</v>
      </c>
      <c r="H1191" s="58" t="s">
        <v>179</v>
      </c>
      <c r="I1191">
        <v>38000</v>
      </c>
      <c r="J1191">
        <v>38000</v>
      </c>
      <c r="K1191" s="58" t="s">
        <v>185</v>
      </c>
      <c r="L1191" s="74">
        <v>3.0619999999999998</v>
      </c>
      <c r="M1191" s="85">
        <v>4</v>
      </c>
      <c r="N1191" s="74">
        <v>0.40400000000000003</v>
      </c>
      <c r="O1191">
        <v>3</v>
      </c>
      <c r="P1191" s="84">
        <v>0.40400000000000003</v>
      </c>
      <c r="Q1191" s="86">
        <v>4.2</v>
      </c>
      <c r="R1191" s="85">
        <v>4.2</v>
      </c>
      <c r="S1191" s="87">
        <v>628870</v>
      </c>
      <c r="T1191" s="1">
        <v>4</v>
      </c>
      <c r="U1191" s="88">
        <v>149730.95238095237</v>
      </c>
      <c r="V1191" s="59">
        <v>6.6786458250512828</v>
      </c>
    </row>
    <row r="1192" spans="1:22">
      <c r="A1192" s="58">
        <v>1194</v>
      </c>
      <c r="B1192" s="58">
        <v>1194</v>
      </c>
      <c r="C1192" s="58" t="s">
        <v>1836</v>
      </c>
      <c r="D1192" s="58" t="s">
        <v>187</v>
      </c>
      <c r="E1192" s="58" t="s">
        <v>187</v>
      </c>
      <c r="F1192" s="58" t="s">
        <v>1469</v>
      </c>
      <c r="G1192" s="58" t="s">
        <v>1470</v>
      </c>
      <c r="H1192" s="58" t="s">
        <v>179</v>
      </c>
      <c r="I1192">
        <v>38000</v>
      </c>
      <c r="J1192">
        <v>38000</v>
      </c>
      <c r="K1192">
        <v>20000</v>
      </c>
      <c r="L1192" s="74">
        <v>5.141</v>
      </c>
      <c r="M1192" s="85">
        <v>6</v>
      </c>
      <c r="N1192" s="74">
        <v>0.18099999999999999</v>
      </c>
      <c r="O1192">
        <v>3</v>
      </c>
      <c r="P1192" s="84">
        <v>0.18099999999999999</v>
      </c>
      <c r="Q1192" s="86">
        <v>4.2</v>
      </c>
      <c r="R1192" s="85">
        <v>4.2</v>
      </c>
      <c r="S1192" s="87">
        <v>769410</v>
      </c>
      <c r="T1192" s="1">
        <v>4</v>
      </c>
      <c r="U1192" s="88">
        <v>183192.85714285713</v>
      </c>
      <c r="V1192" s="59">
        <v>5.4587281163488903</v>
      </c>
    </row>
    <row r="1193" spans="1:22">
      <c r="A1193" s="58">
        <v>1195</v>
      </c>
      <c r="B1193" s="58">
        <v>1195</v>
      </c>
      <c r="C1193" s="58" t="s">
        <v>1837</v>
      </c>
      <c r="D1193" s="58" t="s">
        <v>187</v>
      </c>
      <c r="E1193" s="58" t="s">
        <v>187</v>
      </c>
      <c r="F1193" s="58" t="s">
        <v>377</v>
      </c>
      <c r="H1193" s="58" t="s">
        <v>179</v>
      </c>
      <c r="I1193">
        <v>38000</v>
      </c>
      <c r="L1193" s="74">
        <v>9.3140000000000001</v>
      </c>
      <c r="M1193" s="85">
        <v>10</v>
      </c>
      <c r="N1193" s="74">
        <v>0.125</v>
      </c>
      <c r="O1193">
        <v>3</v>
      </c>
      <c r="P1193" s="84">
        <v>0.125</v>
      </c>
      <c r="Q1193" s="86">
        <v>4.2</v>
      </c>
      <c r="R1193" s="85">
        <v>4.2</v>
      </c>
      <c r="S1193" s="87">
        <v>1387140</v>
      </c>
      <c r="T1193" s="1">
        <v>1</v>
      </c>
      <c r="U1193" s="88">
        <v>330271.42857142858</v>
      </c>
      <c r="V1193" s="59">
        <v>3.0278126216531858</v>
      </c>
    </row>
    <row r="1194" spans="1:22">
      <c r="A1194" s="58">
        <v>1196</v>
      </c>
      <c r="B1194" s="58">
        <v>1196</v>
      </c>
      <c r="C1194" s="58" t="s">
        <v>1838</v>
      </c>
      <c r="D1194" s="58" t="s">
        <v>182</v>
      </c>
      <c r="E1194" s="58" t="s">
        <v>182</v>
      </c>
      <c r="F1194" s="58" t="s">
        <v>1839</v>
      </c>
      <c r="G1194" s="58" t="s">
        <v>1840</v>
      </c>
      <c r="H1194" s="58" t="s">
        <v>179</v>
      </c>
      <c r="I1194">
        <v>38000</v>
      </c>
      <c r="J1194">
        <v>38000</v>
      </c>
      <c r="K1194" s="58" t="s">
        <v>185</v>
      </c>
      <c r="L1194" s="74">
        <v>6.6639999999999997</v>
      </c>
      <c r="M1194" s="85">
        <v>7</v>
      </c>
      <c r="N1194" s="74">
        <v>0.222</v>
      </c>
      <c r="O1194">
        <v>3</v>
      </c>
      <c r="P1194" s="84">
        <v>0.222</v>
      </c>
      <c r="Q1194" s="86">
        <v>4.2</v>
      </c>
      <c r="R1194" s="85">
        <v>4.2</v>
      </c>
      <c r="S1194" s="87">
        <v>839680</v>
      </c>
      <c r="T1194" s="1">
        <v>4</v>
      </c>
      <c r="U1194" s="88">
        <v>199923.80952380953</v>
      </c>
      <c r="V1194" s="59">
        <v>5.0019054878048781</v>
      </c>
    </row>
    <row r="1195" spans="1:22">
      <c r="A1195" s="58">
        <v>1197</v>
      </c>
      <c r="B1195" s="58">
        <v>1197</v>
      </c>
      <c r="C1195" s="58" t="s">
        <v>1841</v>
      </c>
      <c r="D1195" s="58" t="s">
        <v>1190</v>
      </c>
      <c r="E1195" s="58" t="s">
        <v>1190</v>
      </c>
      <c r="F1195" s="58" t="s">
        <v>1842</v>
      </c>
      <c r="G1195" s="58" t="s">
        <v>1843</v>
      </c>
      <c r="H1195" s="58" t="s">
        <v>199</v>
      </c>
      <c r="I1195">
        <v>110000</v>
      </c>
      <c r="J1195">
        <v>110000</v>
      </c>
      <c r="K1195">
        <v>38000</v>
      </c>
      <c r="L1195" s="74">
        <v>5.6150000000000002</v>
      </c>
      <c r="M1195" s="85">
        <v>6</v>
      </c>
      <c r="N1195" s="74">
        <v>0.19600000000000001</v>
      </c>
      <c r="O1195">
        <v>3</v>
      </c>
      <c r="P1195" s="84">
        <v>0.19600000000000001</v>
      </c>
      <c r="Q1195" s="86">
        <v>4.2</v>
      </c>
      <c r="R1195" s="85">
        <v>4.2</v>
      </c>
      <c r="S1195" s="87">
        <v>1732670</v>
      </c>
      <c r="T1195" s="1">
        <v>7</v>
      </c>
      <c r="U1195" s="88">
        <v>412540.47619047615</v>
      </c>
      <c r="V1195" s="59">
        <v>2.4240045709800482</v>
      </c>
    </row>
    <row r="1196" spans="1:22">
      <c r="A1196" s="58">
        <v>1198</v>
      </c>
      <c r="B1196" s="58">
        <v>1198</v>
      </c>
      <c r="C1196" s="58" t="s">
        <v>1844</v>
      </c>
      <c r="D1196" s="58" t="s">
        <v>346</v>
      </c>
      <c r="E1196" s="58" t="s">
        <v>346</v>
      </c>
      <c r="F1196" s="58" t="s">
        <v>941</v>
      </c>
      <c r="G1196" s="58" t="s">
        <v>942</v>
      </c>
      <c r="H1196" s="58" t="s">
        <v>179</v>
      </c>
      <c r="I1196">
        <v>38000</v>
      </c>
      <c r="J1196">
        <v>38000</v>
      </c>
      <c r="K1196">
        <v>10000</v>
      </c>
      <c r="L1196" s="74">
        <v>2.3490000000000002</v>
      </c>
      <c r="M1196" s="85">
        <v>3</v>
      </c>
      <c r="N1196" s="74">
        <v>0.13400000000000001</v>
      </c>
      <c r="O1196">
        <v>3</v>
      </c>
      <c r="P1196" s="84">
        <v>0.13400000000000001</v>
      </c>
      <c r="Q1196" s="86">
        <v>4.2</v>
      </c>
      <c r="R1196" s="85">
        <v>4.2</v>
      </c>
      <c r="S1196" s="87">
        <v>558600</v>
      </c>
      <c r="T1196" s="1">
        <v>4</v>
      </c>
      <c r="U1196" s="88">
        <v>133000</v>
      </c>
      <c r="V1196" s="59">
        <v>7.518796992481203</v>
      </c>
    </row>
    <row r="1197" spans="1:22">
      <c r="A1197" s="58">
        <v>1199</v>
      </c>
      <c r="B1197" s="58">
        <v>1199</v>
      </c>
      <c r="C1197" s="58" t="s">
        <v>1845</v>
      </c>
      <c r="D1197" s="58" t="s">
        <v>176</v>
      </c>
      <c r="E1197" s="58" t="s">
        <v>176</v>
      </c>
      <c r="F1197" s="58" t="s">
        <v>262</v>
      </c>
      <c r="G1197" s="58" t="s">
        <v>263</v>
      </c>
      <c r="H1197" s="58" t="s">
        <v>179</v>
      </c>
      <c r="I1197">
        <v>38000</v>
      </c>
      <c r="J1197" s="58" t="s">
        <v>185</v>
      </c>
      <c r="K1197">
        <v>38000</v>
      </c>
      <c r="L1197" s="74">
        <v>7.1840000000000002</v>
      </c>
      <c r="M1197" s="85">
        <v>8</v>
      </c>
      <c r="N1197" s="74">
        <v>0.14199999999999999</v>
      </c>
      <c r="O1197">
        <v>3</v>
      </c>
      <c r="P1197" s="84">
        <v>0.14199999999999999</v>
      </c>
      <c r="Q1197" s="86">
        <v>4.2</v>
      </c>
      <c r="R1197" s="85">
        <v>4.2</v>
      </c>
      <c r="S1197" s="87">
        <v>909950</v>
      </c>
      <c r="T1197" s="1">
        <v>4</v>
      </c>
      <c r="U1197" s="88">
        <v>216654.76190476189</v>
      </c>
      <c r="V1197" s="59">
        <v>4.6156382218803227</v>
      </c>
    </row>
    <row r="1198" spans="1:22">
      <c r="A1198" s="58">
        <v>1200</v>
      </c>
      <c r="B1198" s="58">
        <v>1200</v>
      </c>
      <c r="C1198" s="58" t="s">
        <v>1846</v>
      </c>
      <c r="D1198" s="58" t="s">
        <v>176</v>
      </c>
      <c r="E1198" s="58" t="s">
        <v>176</v>
      </c>
      <c r="F1198" s="58" t="s">
        <v>262</v>
      </c>
      <c r="G1198" s="58" t="s">
        <v>263</v>
      </c>
      <c r="H1198" s="58" t="s">
        <v>179</v>
      </c>
      <c r="I1198">
        <v>38000</v>
      </c>
      <c r="J1198" s="58" t="s">
        <v>185</v>
      </c>
      <c r="K1198">
        <v>38000</v>
      </c>
      <c r="L1198" s="74">
        <v>7.0819999999999999</v>
      </c>
      <c r="M1198" s="85">
        <v>8</v>
      </c>
      <c r="N1198" s="74">
        <v>0.14499999999999999</v>
      </c>
      <c r="O1198">
        <v>3</v>
      </c>
      <c r="P1198" s="84">
        <v>0.14499999999999999</v>
      </c>
      <c r="Q1198" s="86">
        <v>4.2</v>
      </c>
      <c r="R1198" s="85">
        <v>4.2</v>
      </c>
      <c r="S1198" s="87">
        <v>909950</v>
      </c>
      <c r="T1198" s="1">
        <v>4</v>
      </c>
      <c r="U1198" s="88">
        <v>216654.76190476189</v>
      </c>
      <c r="V1198" s="59">
        <v>4.6156382218803227</v>
      </c>
    </row>
    <row r="1199" spans="1:22">
      <c r="A1199" s="58">
        <v>1201</v>
      </c>
      <c r="B1199" s="58">
        <v>1201</v>
      </c>
      <c r="C1199" s="58" t="s">
        <v>1847</v>
      </c>
      <c r="D1199" s="58" t="s">
        <v>450</v>
      </c>
      <c r="E1199" s="58" t="s">
        <v>450</v>
      </c>
      <c r="F1199" s="58" t="s">
        <v>782</v>
      </c>
      <c r="G1199" s="58" t="s">
        <v>783</v>
      </c>
      <c r="H1199" s="58" t="s">
        <v>199</v>
      </c>
      <c r="I1199">
        <v>110000</v>
      </c>
      <c r="J1199">
        <v>110000</v>
      </c>
      <c r="K1199">
        <v>38000</v>
      </c>
      <c r="L1199" s="74">
        <v>3.2589999999999999</v>
      </c>
      <c r="M1199" s="85">
        <v>4</v>
      </c>
      <c r="N1199" s="74">
        <v>0.26200000000000001</v>
      </c>
      <c r="O1199">
        <v>3</v>
      </c>
      <c r="P1199" s="84">
        <v>0.26200000000000001</v>
      </c>
      <c r="Q1199" s="86">
        <v>4.2</v>
      </c>
      <c r="R1199" s="85">
        <v>4.2</v>
      </c>
      <c r="S1199" s="87">
        <v>1627270</v>
      </c>
      <c r="T1199" s="1">
        <v>7</v>
      </c>
      <c r="U1199" s="88">
        <v>387445.23809523811</v>
      </c>
      <c r="V1199" s="59">
        <v>2.5810099123071155</v>
      </c>
    </row>
    <row r="1200" spans="1:22">
      <c r="A1200" s="58">
        <v>1202</v>
      </c>
      <c r="B1200" s="58">
        <v>1202</v>
      </c>
      <c r="C1200" s="58" t="s">
        <v>1848</v>
      </c>
      <c r="D1200" s="58" t="s">
        <v>410</v>
      </c>
      <c r="E1200" s="58" t="s">
        <v>410</v>
      </c>
      <c r="F1200" s="58" t="s">
        <v>863</v>
      </c>
      <c r="G1200" s="58" t="s">
        <v>864</v>
      </c>
      <c r="H1200" s="58" t="s">
        <v>179</v>
      </c>
      <c r="I1200">
        <v>38000</v>
      </c>
      <c r="J1200">
        <v>38000</v>
      </c>
      <c r="K1200" s="58" t="s">
        <v>185</v>
      </c>
      <c r="L1200" s="74">
        <v>5.0419999999999998</v>
      </c>
      <c r="M1200" s="85">
        <v>6</v>
      </c>
      <c r="N1200" s="74">
        <v>0.193</v>
      </c>
      <c r="O1200">
        <v>3</v>
      </c>
      <c r="P1200" s="84">
        <v>0.193</v>
      </c>
      <c r="Q1200" s="86">
        <v>4.2</v>
      </c>
      <c r="R1200" s="85">
        <v>4.2</v>
      </c>
      <c r="S1200" s="87">
        <v>769410</v>
      </c>
      <c r="T1200" s="1">
        <v>4</v>
      </c>
      <c r="U1200" s="88">
        <v>183192.85714285713</v>
      </c>
      <c r="V1200" s="59">
        <v>5.4587281163488903</v>
      </c>
    </row>
    <row r="1201" spans="1:22">
      <c r="A1201" s="58">
        <v>1203</v>
      </c>
      <c r="B1201" s="58">
        <v>1203</v>
      </c>
      <c r="C1201" s="58" t="s">
        <v>1849</v>
      </c>
      <c r="D1201" s="58" t="s">
        <v>882</v>
      </c>
      <c r="E1201" s="58" t="s">
        <v>882</v>
      </c>
      <c r="F1201" s="58" t="s">
        <v>1850</v>
      </c>
      <c r="G1201" s="58" t="s">
        <v>1851</v>
      </c>
      <c r="H1201" s="58" t="s">
        <v>199</v>
      </c>
      <c r="I1201">
        <v>110000</v>
      </c>
      <c r="J1201">
        <v>110000</v>
      </c>
      <c r="K1201">
        <v>38000</v>
      </c>
      <c r="L1201" s="74">
        <v>2.9510000000000001</v>
      </c>
      <c r="M1201" s="85">
        <v>3</v>
      </c>
      <c r="N1201" s="74">
        <v>0.29199999999999998</v>
      </c>
      <c r="O1201">
        <v>3</v>
      </c>
      <c r="P1201" s="84">
        <v>0.29199999999999998</v>
      </c>
      <c r="Q1201" s="86">
        <v>4.2</v>
      </c>
      <c r="R1201" s="85">
        <v>4.2</v>
      </c>
      <c r="S1201" s="87">
        <v>1574570</v>
      </c>
      <c r="T1201" s="1">
        <v>7</v>
      </c>
      <c r="U1201" s="88">
        <v>374897.61904761905</v>
      </c>
      <c r="V1201" s="59">
        <v>2.6673949078161021</v>
      </c>
    </row>
    <row r="1202" spans="1:22">
      <c r="A1202" s="58">
        <v>1204</v>
      </c>
      <c r="B1202" s="58">
        <v>1204</v>
      </c>
      <c r="C1202" s="58" t="s">
        <v>1852</v>
      </c>
      <c r="D1202" s="58" t="s">
        <v>882</v>
      </c>
      <c r="E1202" s="58" t="s">
        <v>882</v>
      </c>
      <c r="F1202" s="58" t="s">
        <v>1850</v>
      </c>
      <c r="G1202" s="58" t="s">
        <v>1851</v>
      </c>
      <c r="H1202" s="58" t="s">
        <v>199</v>
      </c>
      <c r="I1202">
        <v>110000</v>
      </c>
      <c r="J1202">
        <v>110000</v>
      </c>
      <c r="K1202">
        <v>38000</v>
      </c>
      <c r="L1202" s="74">
        <v>3.8010000000000002</v>
      </c>
      <c r="M1202" s="85">
        <v>4</v>
      </c>
      <c r="N1202" s="74">
        <v>0.20300000000000001</v>
      </c>
      <c r="O1202">
        <v>3</v>
      </c>
      <c r="P1202" s="84">
        <v>0.20300000000000001</v>
      </c>
      <c r="Q1202" s="86">
        <v>4.2</v>
      </c>
      <c r="R1202" s="85">
        <v>4.2</v>
      </c>
      <c r="S1202" s="87">
        <v>1627270</v>
      </c>
      <c r="T1202" s="1">
        <v>7</v>
      </c>
      <c r="U1202" s="88">
        <v>387445.23809523811</v>
      </c>
      <c r="V1202" s="59">
        <v>2.5810099123071155</v>
      </c>
    </row>
    <row r="1203" spans="1:22">
      <c r="A1203" s="58">
        <v>1205</v>
      </c>
      <c r="B1203" s="58">
        <v>1205</v>
      </c>
      <c r="C1203" s="58" t="s">
        <v>1853</v>
      </c>
      <c r="D1203" s="58" t="s">
        <v>1190</v>
      </c>
      <c r="E1203" s="58" t="s">
        <v>1190</v>
      </c>
      <c r="F1203" s="58" t="s">
        <v>1854</v>
      </c>
      <c r="G1203" s="58" t="s">
        <v>1855</v>
      </c>
      <c r="H1203" s="58" t="s">
        <v>179</v>
      </c>
      <c r="I1203">
        <v>38000</v>
      </c>
      <c r="J1203">
        <v>38000</v>
      </c>
      <c r="K1203">
        <v>10000</v>
      </c>
      <c r="L1203" s="74">
        <v>5.3460000000000001</v>
      </c>
      <c r="M1203" s="85">
        <v>6</v>
      </c>
      <c r="N1203" s="74">
        <v>9.0999999999999998E-2</v>
      </c>
      <c r="O1203">
        <v>3</v>
      </c>
      <c r="P1203" s="84">
        <v>9.0999999999999998E-2</v>
      </c>
      <c r="Q1203" s="86">
        <v>4.2</v>
      </c>
      <c r="R1203" s="85">
        <v>4.2</v>
      </c>
      <c r="S1203" s="87">
        <v>769410</v>
      </c>
      <c r="T1203" s="1">
        <v>4</v>
      </c>
      <c r="U1203" s="88">
        <v>183192.85714285713</v>
      </c>
      <c r="V1203" s="59">
        <v>5.4587281163488903</v>
      </c>
    </row>
    <row r="1204" spans="1:22">
      <c r="A1204" s="58">
        <v>1206</v>
      </c>
      <c r="B1204" s="58">
        <v>1206</v>
      </c>
      <c r="C1204" s="58" t="s">
        <v>1856</v>
      </c>
      <c r="D1204" s="58" t="s">
        <v>197</v>
      </c>
      <c r="E1204" s="58" t="s">
        <v>197</v>
      </c>
      <c r="F1204" s="58" t="s">
        <v>1783</v>
      </c>
      <c r="G1204" s="58" t="s">
        <v>1784</v>
      </c>
      <c r="H1204" s="58" t="s">
        <v>179</v>
      </c>
      <c r="I1204">
        <v>38000</v>
      </c>
      <c r="J1204">
        <v>38000</v>
      </c>
      <c r="K1204">
        <v>10000</v>
      </c>
      <c r="L1204" s="74">
        <v>12.035</v>
      </c>
      <c r="M1204" s="85">
        <v>13</v>
      </c>
      <c r="N1204" s="74">
        <v>0.113</v>
      </c>
      <c r="O1204">
        <v>3</v>
      </c>
      <c r="P1204" s="84">
        <v>0.113</v>
      </c>
      <c r="Q1204" s="86">
        <v>4.2</v>
      </c>
      <c r="R1204" s="85">
        <v>4.2</v>
      </c>
      <c r="S1204" s="87">
        <v>1545240</v>
      </c>
      <c r="T1204" s="1">
        <v>1</v>
      </c>
      <c r="U1204" s="88">
        <v>367914.28571428568</v>
      </c>
      <c r="V1204" s="59">
        <v>2.7180243845616214</v>
      </c>
    </row>
    <row r="1205" spans="1:22">
      <c r="A1205" s="58">
        <v>1207</v>
      </c>
      <c r="B1205" s="58">
        <v>1207</v>
      </c>
      <c r="C1205" s="58" t="s">
        <v>1857</v>
      </c>
      <c r="D1205" s="58" t="s">
        <v>197</v>
      </c>
      <c r="E1205" s="58" t="s">
        <v>197</v>
      </c>
      <c r="F1205" s="58" t="s">
        <v>1783</v>
      </c>
      <c r="G1205" s="58" t="s">
        <v>1784</v>
      </c>
      <c r="H1205" s="58" t="s">
        <v>179</v>
      </c>
      <c r="I1205">
        <v>38000</v>
      </c>
      <c r="J1205">
        <v>38000</v>
      </c>
      <c r="K1205">
        <v>10000</v>
      </c>
      <c r="L1205" s="74">
        <v>5.2350000000000003</v>
      </c>
      <c r="M1205" s="85">
        <v>6</v>
      </c>
      <c r="N1205" s="74">
        <v>0.36599999999999999</v>
      </c>
      <c r="O1205">
        <v>3</v>
      </c>
      <c r="P1205" s="84">
        <v>0.36599999999999999</v>
      </c>
      <c r="Q1205" s="86">
        <v>4.2</v>
      </c>
      <c r="R1205" s="85">
        <v>4.2</v>
      </c>
      <c r="S1205" s="87">
        <v>769410</v>
      </c>
      <c r="T1205" s="1">
        <v>4</v>
      </c>
      <c r="U1205" s="88">
        <v>183192.85714285713</v>
      </c>
      <c r="V1205" s="59">
        <v>5.4587281163488903</v>
      </c>
    </row>
    <row r="1206" spans="1:22">
      <c r="A1206" s="58">
        <v>1208</v>
      </c>
      <c r="B1206" s="58">
        <v>1208</v>
      </c>
      <c r="C1206" s="58" t="s">
        <v>1858</v>
      </c>
      <c r="D1206" s="58" t="s">
        <v>1811</v>
      </c>
      <c r="E1206" s="58" t="s">
        <v>1811</v>
      </c>
      <c r="F1206" s="58" t="s">
        <v>1698</v>
      </c>
      <c r="G1206" s="58" t="s">
        <v>1699</v>
      </c>
      <c r="H1206" s="58" t="s">
        <v>199</v>
      </c>
      <c r="I1206">
        <v>110000</v>
      </c>
      <c r="J1206">
        <v>110000</v>
      </c>
      <c r="K1206">
        <v>38000</v>
      </c>
      <c r="L1206" s="74">
        <v>5.5049999999999999</v>
      </c>
      <c r="M1206" s="85">
        <v>6</v>
      </c>
      <c r="N1206" s="74">
        <v>0.113</v>
      </c>
      <c r="O1206">
        <v>3</v>
      </c>
      <c r="P1206" s="84">
        <v>0.113</v>
      </c>
      <c r="Q1206" s="86">
        <v>4.2</v>
      </c>
      <c r="R1206" s="85">
        <v>4.2</v>
      </c>
      <c r="S1206" s="87">
        <v>1732670</v>
      </c>
      <c r="T1206" s="1">
        <v>7</v>
      </c>
      <c r="U1206" s="88">
        <v>412540.47619047615</v>
      </c>
      <c r="V1206" s="59">
        <v>2.4240045709800482</v>
      </c>
    </row>
    <row r="1207" spans="1:22">
      <c r="A1207" s="58">
        <v>1209</v>
      </c>
      <c r="B1207" s="58">
        <v>1209</v>
      </c>
      <c r="C1207" s="58" t="s">
        <v>1859</v>
      </c>
      <c r="D1207" s="58" t="s">
        <v>1811</v>
      </c>
      <c r="E1207" s="58" t="s">
        <v>1811</v>
      </c>
      <c r="F1207" s="58" t="s">
        <v>1698</v>
      </c>
      <c r="G1207" s="58" t="s">
        <v>1699</v>
      </c>
      <c r="H1207" s="58" t="s">
        <v>199</v>
      </c>
      <c r="I1207">
        <v>110000</v>
      </c>
      <c r="J1207">
        <v>110000</v>
      </c>
      <c r="K1207">
        <v>38000</v>
      </c>
      <c r="L1207" s="74">
        <v>5.41</v>
      </c>
      <c r="M1207" s="85">
        <v>6</v>
      </c>
      <c r="N1207" s="74">
        <v>0.223</v>
      </c>
      <c r="O1207">
        <v>3</v>
      </c>
      <c r="P1207" s="84">
        <v>0.223</v>
      </c>
      <c r="Q1207" s="86">
        <v>4.2</v>
      </c>
      <c r="R1207" s="85">
        <v>4.2</v>
      </c>
      <c r="S1207" s="87">
        <v>1732670</v>
      </c>
      <c r="T1207" s="1">
        <v>7</v>
      </c>
      <c r="U1207" s="88">
        <v>412540.47619047615</v>
      </c>
      <c r="V1207" s="59">
        <v>2.4240045709800482</v>
      </c>
    </row>
    <row r="1208" spans="1:22">
      <c r="A1208" s="58">
        <v>1210</v>
      </c>
      <c r="B1208" s="58">
        <v>1210</v>
      </c>
      <c r="C1208" s="58" t="s">
        <v>1860</v>
      </c>
      <c r="D1208" s="58" t="s">
        <v>450</v>
      </c>
      <c r="E1208" s="58" t="s">
        <v>450</v>
      </c>
      <c r="F1208" s="58" t="s">
        <v>931</v>
      </c>
      <c r="G1208" s="58" t="s">
        <v>932</v>
      </c>
      <c r="H1208" s="58" t="s">
        <v>199</v>
      </c>
      <c r="I1208">
        <v>110000</v>
      </c>
      <c r="J1208">
        <v>20000</v>
      </c>
      <c r="K1208">
        <v>110000</v>
      </c>
      <c r="L1208" s="74">
        <v>6.67</v>
      </c>
      <c r="M1208" s="85">
        <v>7</v>
      </c>
      <c r="N1208" s="74">
        <v>0.1</v>
      </c>
      <c r="O1208">
        <v>3</v>
      </c>
      <c r="P1208" s="84">
        <v>0.1</v>
      </c>
      <c r="Q1208" s="86">
        <v>4.2</v>
      </c>
      <c r="R1208" s="85">
        <v>4.2</v>
      </c>
      <c r="S1208" s="87">
        <v>1785370</v>
      </c>
      <c r="T1208" s="1">
        <v>7</v>
      </c>
      <c r="U1208" s="88">
        <v>425088.09523809521</v>
      </c>
      <c r="V1208" s="59">
        <v>2.3524535530450272</v>
      </c>
    </row>
    <row r="1209" spans="1:22">
      <c r="A1209" s="58">
        <v>1211</v>
      </c>
      <c r="B1209" s="58">
        <v>1211</v>
      </c>
      <c r="C1209" s="58" t="s">
        <v>1861</v>
      </c>
      <c r="D1209" s="58" t="s">
        <v>489</v>
      </c>
      <c r="E1209" s="58" t="s">
        <v>489</v>
      </c>
      <c r="F1209" s="58" t="s">
        <v>1862</v>
      </c>
      <c r="G1209" s="58" t="s">
        <v>1863</v>
      </c>
      <c r="H1209" s="58" t="s">
        <v>179</v>
      </c>
      <c r="I1209">
        <v>38000</v>
      </c>
      <c r="J1209">
        <v>38000</v>
      </c>
      <c r="K1209" s="58" t="s">
        <v>185</v>
      </c>
      <c r="L1209" s="74">
        <v>3.3940000000000001</v>
      </c>
      <c r="M1209" s="85">
        <v>4</v>
      </c>
      <c r="N1209" s="74">
        <v>0.28799999999999998</v>
      </c>
      <c r="O1209">
        <v>3</v>
      </c>
      <c r="P1209" s="84">
        <v>0.28799999999999998</v>
      </c>
      <c r="Q1209" s="86">
        <v>4.2</v>
      </c>
      <c r="R1209" s="85">
        <v>4.2</v>
      </c>
      <c r="S1209" s="87">
        <v>628870</v>
      </c>
      <c r="T1209" s="1">
        <v>4</v>
      </c>
      <c r="U1209" s="88">
        <v>149730.95238095237</v>
      </c>
      <c r="V1209" s="59">
        <v>6.6786458250512828</v>
      </c>
    </row>
    <row r="1210" spans="1:22">
      <c r="A1210" s="58">
        <v>1212</v>
      </c>
      <c r="B1210" s="58">
        <v>1212</v>
      </c>
      <c r="C1210" s="58" t="s">
        <v>1864</v>
      </c>
      <c r="D1210" s="58" t="s">
        <v>1169</v>
      </c>
      <c r="E1210" s="58" t="s">
        <v>1169</v>
      </c>
      <c r="F1210" s="58" t="s">
        <v>1170</v>
      </c>
      <c r="G1210" s="58" t="s">
        <v>1171</v>
      </c>
      <c r="H1210" s="58" t="s">
        <v>179</v>
      </c>
      <c r="I1210">
        <v>38000</v>
      </c>
      <c r="J1210">
        <v>38000</v>
      </c>
      <c r="K1210" s="58" t="s">
        <v>185</v>
      </c>
      <c r="L1210" s="74">
        <v>7.8639999999999999</v>
      </c>
      <c r="M1210" s="85">
        <v>8</v>
      </c>
      <c r="N1210" s="74">
        <v>0.32600000000000001</v>
      </c>
      <c r="O1210">
        <v>3</v>
      </c>
      <c r="P1210" s="84">
        <v>0.32600000000000001</v>
      </c>
      <c r="Q1210" s="86">
        <v>4.2</v>
      </c>
      <c r="R1210" s="85">
        <v>4.2</v>
      </c>
      <c r="S1210" s="87">
        <v>909950</v>
      </c>
      <c r="T1210" s="1">
        <v>4</v>
      </c>
      <c r="U1210" s="88">
        <v>216654.76190476189</v>
      </c>
      <c r="V1210" s="59">
        <v>4.6156382218803227</v>
      </c>
    </row>
    <row r="1211" spans="1:22">
      <c r="A1211" s="58">
        <v>1213</v>
      </c>
      <c r="B1211" s="58">
        <v>1213</v>
      </c>
      <c r="C1211" s="58" t="s">
        <v>1865</v>
      </c>
      <c r="D1211" s="58" t="s">
        <v>410</v>
      </c>
      <c r="E1211" s="58" t="s">
        <v>410</v>
      </c>
      <c r="F1211" s="58" t="s">
        <v>1866</v>
      </c>
      <c r="G1211" s="58" t="s">
        <v>1867</v>
      </c>
      <c r="H1211" s="58" t="s">
        <v>179</v>
      </c>
      <c r="I1211">
        <v>38000</v>
      </c>
      <c r="J1211">
        <v>38000</v>
      </c>
      <c r="K1211" s="58" t="s">
        <v>185</v>
      </c>
      <c r="L1211" s="74">
        <v>13.053000000000001</v>
      </c>
      <c r="M1211" s="85">
        <v>14</v>
      </c>
      <c r="N1211" s="74">
        <v>0.31</v>
      </c>
      <c r="O1211">
        <v>3</v>
      </c>
      <c r="P1211" s="84">
        <v>0.31</v>
      </c>
      <c r="Q1211" s="86">
        <v>4.2</v>
      </c>
      <c r="R1211" s="85">
        <v>4.2</v>
      </c>
      <c r="S1211" s="87">
        <v>1597940</v>
      </c>
      <c r="T1211" s="1">
        <v>1</v>
      </c>
      <c r="U1211" s="88">
        <v>380461.90476190473</v>
      </c>
      <c r="V1211" s="59">
        <v>2.6283840444572388</v>
      </c>
    </row>
    <row r="1212" spans="1:22">
      <c r="A1212" s="58">
        <v>1214</v>
      </c>
      <c r="B1212" s="58">
        <v>1214</v>
      </c>
      <c r="C1212" s="58" t="s">
        <v>1868</v>
      </c>
      <c r="D1212" s="58" t="s">
        <v>410</v>
      </c>
      <c r="E1212" s="58" t="s">
        <v>410</v>
      </c>
      <c r="F1212" s="58" t="s">
        <v>1869</v>
      </c>
      <c r="G1212" s="58" t="s">
        <v>1870</v>
      </c>
      <c r="H1212" s="58" t="s">
        <v>179</v>
      </c>
      <c r="I1212">
        <v>38000</v>
      </c>
      <c r="J1212">
        <v>38000</v>
      </c>
      <c r="K1212" s="58" t="s">
        <v>185</v>
      </c>
      <c r="L1212" s="74">
        <v>16.259</v>
      </c>
      <c r="M1212" s="85">
        <v>17</v>
      </c>
      <c r="N1212" s="74">
        <v>0.114</v>
      </c>
      <c r="O1212">
        <v>3</v>
      </c>
      <c r="P1212" s="84">
        <v>0.114</v>
      </c>
      <c r="Q1212" s="86">
        <v>4.2</v>
      </c>
      <c r="R1212" s="85">
        <v>4.2</v>
      </c>
      <c r="S1212" s="87">
        <v>1756040</v>
      </c>
      <c r="T1212" s="1">
        <v>1</v>
      </c>
      <c r="U1212" s="88">
        <v>418104.76190476189</v>
      </c>
      <c r="V1212" s="59">
        <v>2.3917450627548349</v>
      </c>
    </row>
    <row r="1213" spans="1:22">
      <c r="A1213" s="58">
        <v>1215</v>
      </c>
      <c r="B1213" s="58">
        <v>1215</v>
      </c>
      <c r="C1213" s="58" t="s">
        <v>1871</v>
      </c>
      <c r="D1213" s="58" t="s">
        <v>197</v>
      </c>
      <c r="E1213" s="58" t="s">
        <v>197</v>
      </c>
      <c r="F1213" s="58" t="s">
        <v>486</v>
      </c>
      <c r="G1213" s="58" t="s">
        <v>487</v>
      </c>
      <c r="H1213" s="58" t="s">
        <v>179</v>
      </c>
      <c r="I1213">
        <v>38000</v>
      </c>
      <c r="J1213">
        <v>38000</v>
      </c>
      <c r="K1213" s="58" t="s">
        <v>185</v>
      </c>
      <c r="L1213" s="74">
        <v>11.444000000000001</v>
      </c>
      <c r="M1213" s="85">
        <v>12</v>
      </c>
      <c r="N1213" s="74">
        <v>0.372</v>
      </c>
      <c r="O1213">
        <v>3</v>
      </c>
      <c r="P1213" s="84">
        <v>0.372</v>
      </c>
      <c r="Q1213" s="86">
        <v>4.2</v>
      </c>
      <c r="R1213" s="85">
        <v>4.2</v>
      </c>
      <c r="S1213" s="87">
        <v>1492540</v>
      </c>
      <c r="T1213" s="1">
        <v>1</v>
      </c>
      <c r="U1213" s="88">
        <v>355366.66666666663</v>
      </c>
      <c r="V1213" s="59">
        <v>2.8139949348091173</v>
      </c>
    </row>
    <row r="1214" spans="1:22">
      <c r="A1214" s="58">
        <v>1216</v>
      </c>
      <c r="B1214" s="58">
        <v>1216</v>
      </c>
      <c r="C1214" s="58" t="s">
        <v>1872</v>
      </c>
      <c r="D1214" s="58" t="s">
        <v>410</v>
      </c>
      <c r="E1214" s="58" t="s">
        <v>410</v>
      </c>
      <c r="F1214" s="58" t="s">
        <v>1869</v>
      </c>
      <c r="G1214" s="58" t="s">
        <v>1870</v>
      </c>
      <c r="H1214" s="58" t="s">
        <v>179</v>
      </c>
      <c r="I1214">
        <v>38000</v>
      </c>
      <c r="J1214">
        <v>38000</v>
      </c>
      <c r="K1214" s="58" t="s">
        <v>185</v>
      </c>
      <c r="L1214" s="74">
        <v>10.840999999999999</v>
      </c>
      <c r="M1214" s="85">
        <v>11</v>
      </c>
      <c r="N1214" s="74">
        <v>0.12</v>
      </c>
      <c r="O1214">
        <v>3</v>
      </c>
      <c r="P1214" s="84">
        <v>0.12</v>
      </c>
      <c r="Q1214" s="86">
        <v>4.2</v>
      </c>
      <c r="R1214" s="85">
        <v>4.2</v>
      </c>
      <c r="S1214" s="87">
        <v>1439840</v>
      </c>
      <c r="T1214" s="1">
        <v>1</v>
      </c>
      <c r="U1214" s="88">
        <v>342819.04761904763</v>
      </c>
      <c r="V1214" s="59">
        <v>2.9169907767529724</v>
      </c>
    </row>
    <row r="1215" spans="1:22">
      <c r="A1215" s="58">
        <v>1217</v>
      </c>
      <c r="B1215" s="58">
        <v>1217</v>
      </c>
      <c r="C1215" s="58" t="s">
        <v>1873</v>
      </c>
      <c r="D1215" s="58" t="s">
        <v>1811</v>
      </c>
      <c r="E1215" s="58" t="s">
        <v>1811</v>
      </c>
      <c r="F1215" s="58" t="s">
        <v>1815</v>
      </c>
      <c r="G1215" s="58" t="s">
        <v>1816</v>
      </c>
      <c r="H1215" s="58" t="s">
        <v>199</v>
      </c>
      <c r="I1215">
        <v>110000</v>
      </c>
      <c r="J1215">
        <v>110000</v>
      </c>
      <c r="K1215">
        <v>38000</v>
      </c>
      <c r="L1215" s="74">
        <v>4.4370000000000003</v>
      </c>
      <c r="M1215" s="85">
        <v>5</v>
      </c>
      <c r="N1215" s="74">
        <v>0.11899999999999999</v>
      </c>
      <c r="O1215">
        <v>3</v>
      </c>
      <c r="P1215" s="84">
        <v>0.11899999999999999</v>
      </c>
      <c r="Q1215" s="86">
        <v>4.2</v>
      </c>
      <c r="R1215" s="85">
        <v>4.2</v>
      </c>
      <c r="S1215" s="87">
        <v>1679970</v>
      </c>
      <c r="T1215" s="1">
        <v>7</v>
      </c>
      <c r="U1215" s="88">
        <v>399992.8571428571</v>
      </c>
      <c r="V1215" s="59">
        <v>2.5000446436543511</v>
      </c>
    </row>
    <row r="1216" spans="1:22">
      <c r="A1216" s="58">
        <v>1218</v>
      </c>
      <c r="B1216" s="58">
        <v>1218</v>
      </c>
      <c r="C1216" s="58" t="s">
        <v>1874</v>
      </c>
      <c r="D1216" s="58" t="s">
        <v>1811</v>
      </c>
      <c r="E1216" s="58" t="s">
        <v>1811</v>
      </c>
      <c r="F1216" s="58" t="s">
        <v>1815</v>
      </c>
      <c r="G1216" s="58" t="s">
        <v>1816</v>
      </c>
      <c r="H1216" s="58" t="s">
        <v>199</v>
      </c>
      <c r="I1216">
        <v>110000</v>
      </c>
      <c r="J1216">
        <v>110000</v>
      </c>
      <c r="K1216">
        <v>38000</v>
      </c>
      <c r="L1216" s="74">
        <v>2.9780000000000002</v>
      </c>
      <c r="M1216" s="85">
        <v>3</v>
      </c>
      <c r="N1216" s="74">
        <v>0.16400000000000001</v>
      </c>
      <c r="O1216">
        <v>3</v>
      </c>
      <c r="P1216" s="84">
        <v>0.16400000000000001</v>
      </c>
      <c r="Q1216" s="86">
        <v>4.2</v>
      </c>
      <c r="R1216" s="85">
        <v>4.2</v>
      </c>
      <c r="S1216" s="87">
        <v>1574570</v>
      </c>
      <c r="T1216" s="1">
        <v>7</v>
      </c>
      <c r="U1216" s="88">
        <v>374897.61904761905</v>
      </c>
      <c r="V1216" s="59">
        <v>2.6673949078161021</v>
      </c>
    </row>
    <row r="1217" spans="1:22">
      <c r="A1217" s="58">
        <v>1219</v>
      </c>
      <c r="B1217" s="58">
        <v>1219</v>
      </c>
      <c r="C1217" s="58" t="s">
        <v>1875</v>
      </c>
      <c r="D1217" s="58" t="s">
        <v>182</v>
      </c>
      <c r="E1217" s="58" t="s">
        <v>182</v>
      </c>
      <c r="F1217" s="58" t="s">
        <v>1876</v>
      </c>
      <c r="G1217" s="58" t="s">
        <v>1877</v>
      </c>
      <c r="H1217" s="58" t="s">
        <v>179</v>
      </c>
      <c r="I1217">
        <v>38000</v>
      </c>
      <c r="J1217">
        <v>38000</v>
      </c>
      <c r="K1217">
        <v>20000</v>
      </c>
      <c r="L1217" s="74">
        <v>10.488</v>
      </c>
      <c r="M1217" s="85">
        <v>11</v>
      </c>
      <c r="N1217" s="74">
        <v>9.1999999999999998E-2</v>
      </c>
      <c r="O1217">
        <v>3</v>
      </c>
      <c r="P1217" s="84">
        <v>9.1999999999999998E-2</v>
      </c>
      <c r="Q1217" s="86">
        <v>4.2</v>
      </c>
      <c r="R1217" s="85">
        <v>4.2</v>
      </c>
      <c r="S1217" s="87">
        <v>1439840</v>
      </c>
      <c r="T1217" s="1">
        <v>1</v>
      </c>
      <c r="U1217" s="88">
        <v>342819.04761904763</v>
      </c>
      <c r="V1217" s="59">
        <v>2.9169907767529724</v>
      </c>
    </row>
    <row r="1218" spans="1:22">
      <c r="A1218" s="58">
        <v>1220</v>
      </c>
      <c r="B1218" s="58">
        <v>1220</v>
      </c>
      <c r="C1218" s="58" t="s">
        <v>1878</v>
      </c>
      <c r="D1218" s="58" t="s">
        <v>410</v>
      </c>
      <c r="E1218" s="58" t="s">
        <v>410</v>
      </c>
      <c r="F1218" s="58" t="s">
        <v>1879</v>
      </c>
      <c r="G1218" s="58" t="s">
        <v>1880</v>
      </c>
      <c r="H1218" s="58" t="s">
        <v>199</v>
      </c>
      <c r="I1218">
        <v>110000</v>
      </c>
      <c r="J1218">
        <v>110000</v>
      </c>
      <c r="K1218">
        <v>38000</v>
      </c>
      <c r="L1218" s="74">
        <v>6.45</v>
      </c>
      <c r="M1218" s="85">
        <v>7</v>
      </c>
      <c r="N1218" s="74">
        <v>0.23799999999999999</v>
      </c>
      <c r="O1218">
        <v>3</v>
      </c>
      <c r="P1218" s="84">
        <v>0.23799999999999999</v>
      </c>
      <c r="Q1218" s="86">
        <v>4.2</v>
      </c>
      <c r="R1218" s="85">
        <v>4.2</v>
      </c>
      <c r="S1218" s="87">
        <v>1785370</v>
      </c>
      <c r="T1218" s="1">
        <v>7</v>
      </c>
      <c r="U1218" s="88">
        <v>425088.09523809521</v>
      </c>
      <c r="V1218" s="59">
        <v>2.3524535530450272</v>
      </c>
    </row>
    <row r="1219" spans="1:22">
      <c r="A1219" s="58">
        <v>1221</v>
      </c>
      <c r="B1219" s="58">
        <v>1221</v>
      </c>
      <c r="C1219" s="58" t="s">
        <v>1881</v>
      </c>
      <c r="D1219" s="58" t="s">
        <v>1169</v>
      </c>
      <c r="E1219" s="58" t="s">
        <v>1169</v>
      </c>
      <c r="F1219" s="58" t="s">
        <v>869</v>
      </c>
      <c r="G1219" s="58" t="s">
        <v>870</v>
      </c>
      <c r="H1219" s="58" t="s">
        <v>179</v>
      </c>
      <c r="I1219">
        <v>38000</v>
      </c>
      <c r="J1219">
        <v>38000</v>
      </c>
      <c r="K1219" s="58" t="s">
        <v>185</v>
      </c>
      <c r="L1219" s="74">
        <v>8.5299999999999994</v>
      </c>
      <c r="M1219" s="85">
        <v>9</v>
      </c>
      <c r="N1219" s="74">
        <v>0.123</v>
      </c>
      <c r="O1219">
        <v>3</v>
      </c>
      <c r="P1219" s="84">
        <v>0.123</v>
      </c>
      <c r="Q1219" s="86">
        <v>4.2</v>
      </c>
      <c r="R1219" s="85">
        <v>4.2</v>
      </c>
      <c r="S1219" s="87">
        <v>1334440</v>
      </c>
      <c r="T1219" s="1">
        <v>1</v>
      </c>
      <c r="U1219" s="88">
        <v>317723.80952380953</v>
      </c>
      <c r="V1219" s="59">
        <v>3.1473876682353645</v>
      </c>
    </row>
    <row r="1220" spans="1:22">
      <c r="A1220" s="58">
        <v>1222</v>
      </c>
      <c r="B1220" s="58">
        <v>1222</v>
      </c>
      <c r="C1220" s="58" t="s">
        <v>1882</v>
      </c>
      <c r="D1220" s="58" t="s">
        <v>1169</v>
      </c>
      <c r="E1220" s="58" t="s">
        <v>1169</v>
      </c>
      <c r="F1220" s="58" t="s">
        <v>869</v>
      </c>
      <c r="G1220" s="58" t="s">
        <v>870</v>
      </c>
      <c r="H1220" s="58" t="s">
        <v>179</v>
      </c>
      <c r="I1220">
        <v>38000</v>
      </c>
      <c r="J1220">
        <v>38000</v>
      </c>
      <c r="K1220" s="58" t="s">
        <v>185</v>
      </c>
      <c r="L1220" s="74">
        <v>8.2159999999999993</v>
      </c>
      <c r="M1220" s="85">
        <v>9</v>
      </c>
      <c r="N1220" s="74">
        <v>9.2999999999999999E-2</v>
      </c>
      <c r="O1220">
        <v>3</v>
      </c>
      <c r="P1220" s="84">
        <v>9.2999999999999999E-2</v>
      </c>
      <c r="Q1220" s="86">
        <v>4.2</v>
      </c>
      <c r="R1220" s="85">
        <v>4.2</v>
      </c>
      <c r="S1220" s="87">
        <v>1334440</v>
      </c>
      <c r="T1220" s="1">
        <v>1</v>
      </c>
      <c r="U1220" s="88">
        <v>317723.80952380953</v>
      </c>
      <c r="V1220" s="59">
        <v>3.1473876682353645</v>
      </c>
    </row>
    <row r="1221" spans="1:22">
      <c r="A1221" s="58">
        <v>1223</v>
      </c>
      <c r="B1221" s="58">
        <v>1223</v>
      </c>
      <c r="C1221" s="58" t="s">
        <v>1883</v>
      </c>
      <c r="D1221" s="58" t="s">
        <v>1169</v>
      </c>
      <c r="E1221" s="58" t="s">
        <v>1169</v>
      </c>
      <c r="F1221" s="58" t="s">
        <v>1884</v>
      </c>
      <c r="G1221" s="58" t="s">
        <v>1885</v>
      </c>
      <c r="H1221" s="58" t="s">
        <v>179</v>
      </c>
      <c r="I1221">
        <v>38000</v>
      </c>
      <c r="J1221">
        <v>38000</v>
      </c>
      <c r="K1221" s="58" t="s">
        <v>185</v>
      </c>
      <c r="L1221" s="74">
        <v>8.5289999999999999</v>
      </c>
      <c r="M1221" s="85">
        <v>9</v>
      </c>
      <c r="N1221" s="74">
        <v>0.40500000000000003</v>
      </c>
      <c r="O1221">
        <v>3</v>
      </c>
      <c r="P1221" s="84">
        <v>0.40500000000000003</v>
      </c>
      <c r="Q1221" s="86">
        <v>4.2</v>
      </c>
      <c r="R1221" s="85">
        <v>4.2</v>
      </c>
      <c r="S1221" s="87">
        <v>1334440</v>
      </c>
      <c r="T1221" s="1">
        <v>1</v>
      </c>
      <c r="U1221" s="88">
        <v>317723.80952380953</v>
      </c>
      <c r="V1221" s="59">
        <v>3.1473876682353645</v>
      </c>
    </row>
    <row r="1222" spans="1:22">
      <c r="A1222" s="58">
        <v>1224</v>
      </c>
      <c r="B1222" s="58">
        <v>1224</v>
      </c>
      <c r="C1222" s="58" t="s">
        <v>1886</v>
      </c>
      <c r="D1222" s="58" t="s">
        <v>197</v>
      </c>
      <c r="E1222" s="58" t="s">
        <v>197</v>
      </c>
      <c r="F1222" s="58" t="s">
        <v>1783</v>
      </c>
      <c r="G1222" s="58" t="s">
        <v>1784</v>
      </c>
      <c r="H1222" s="58" t="s">
        <v>179</v>
      </c>
      <c r="I1222">
        <v>38000</v>
      </c>
      <c r="J1222">
        <v>38000</v>
      </c>
      <c r="K1222">
        <v>10000</v>
      </c>
      <c r="L1222" s="74">
        <v>11.773</v>
      </c>
      <c r="M1222" s="85">
        <v>12</v>
      </c>
      <c r="N1222" s="74">
        <v>0.2</v>
      </c>
      <c r="O1222">
        <v>3</v>
      </c>
      <c r="P1222" s="84">
        <v>0.2</v>
      </c>
      <c r="Q1222" s="86">
        <v>4.2</v>
      </c>
      <c r="R1222" s="85">
        <v>4.2</v>
      </c>
      <c r="S1222" s="87">
        <v>1492540</v>
      </c>
      <c r="T1222" s="1">
        <v>1</v>
      </c>
      <c r="U1222" s="88">
        <v>355366.66666666663</v>
      </c>
      <c r="V1222" s="59">
        <v>2.8139949348091173</v>
      </c>
    </row>
    <row r="1223" spans="1:22">
      <c r="A1223" s="58">
        <v>1225</v>
      </c>
      <c r="B1223" s="58">
        <v>1225</v>
      </c>
      <c r="C1223" s="58" t="s">
        <v>1887</v>
      </c>
      <c r="D1223" s="58" t="s">
        <v>182</v>
      </c>
      <c r="E1223" s="58" t="s">
        <v>182</v>
      </c>
      <c r="F1223" s="58" t="s">
        <v>486</v>
      </c>
      <c r="G1223" s="58" t="s">
        <v>487</v>
      </c>
      <c r="H1223" s="58" t="s">
        <v>179</v>
      </c>
      <c r="I1223">
        <v>38000</v>
      </c>
      <c r="J1223">
        <v>38000</v>
      </c>
      <c r="K1223" s="58" t="s">
        <v>185</v>
      </c>
      <c r="L1223" s="74">
        <v>4.1139999999999999</v>
      </c>
      <c r="M1223" s="85">
        <v>5</v>
      </c>
      <c r="N1223" s="74">
        <v>0.18</v>
      </c>
      <c r="O1223">
        <v>3</v>
      </c>
      <c r="P1223" s="84">
        <v>0.18</v>
      </c>
      <c r="Q1223" s="86">
        <v>4.2</v>
      </c>
      <c r="R1223" s="85">
        <v>4.2</v>
      </c>
      <c r="S1223" s="87">
        <v>699140</v>
      </c>
      <c r="T1223" s="1">
        <v>4</v>
      </c>
      <c r="U1223" s="88">
        <v>166461.90476190476</v>
      </c>
      <c r="V1223" s="59">
        <v>6.0073804960379897</v>
      </c>
    </row>
    <row r="1224" spans="1:22">
      <c r="A1224" s="58">
        <v>1226</v>
      </c>
      <c r="B1224" s="58">
        <v>1226</v>
      </c>
      <c r="C1224" s="58" t="s">
        <v>1888</v>
      </c>
      <c r="D1224" s="58" t="s">
        <v>882</v>
      </c>
      <c r="E1224" s="58" t="s">
        <v>882</v>
      </c>
      <c r="F1224" s="58" t="s">
        <v>1889</v>
      </c>
      <c r="G1224" s="58" t="s">
        <v>1890</v>
      </c>
      <c r="H1224" s="58" t="s">
        <v>179</v>
      </c>
      <c r="I1224">
        <v>38000</v>
      </c>
      <c r="J1224">
        <v>38000</v>
      </c>
      <c r="K1224" s="58" t="s">
        <v>185</v>
      </c>
      <c r="L1224" s="74">
        <v>10.558999999999999</v>
      </c>
      <c r="M1224" s="85">
        <v>11</v>
      </c>
      <c r="N1224" s="74">
        <v>0.157</v>
      </c>
      <c r="O1224">
        <v>3</v>
      </c>
      <c r="P1224" s="84">
        <v>0.157</v>
      </c>
      <c r="Q1224" s="86">
        <v>4.2</v>
      </c>
      <c r="R1224" s="85">
        <v>4.2</v>
      </c>
      <c r="S1224" s="87">
        <v>1439840</v>
      </c>
      <c r="T1224" s="1">
        <v>1</v>
      </c>
      <c r="U1224" s="88">
        <v>342819.04761904763</v>
      </c>
      <c r="V1224" s="59">
        <v>2.9169907767529724</v>
      </c>
    </row>
    <row r="1225" spans="1:22">
      <c r="A1225" s="58">
        <v>1227</v>
      </c>
      <c r="B1225" s="58">
        <v>1227</v>
      </c>
      <c r="C1225" s="58" t="s">
        <v>1891</v>
      </c>
      <c r="D1225" s="58" t="s">
        <v>882</v>
      </c>
      <c r="E1225" s="58" t="s">
        <v>882</v>
      </c>
      <c r="F1225" s="58" t="s">
        <v>1889</v>
      </c>
      <c r="G1225" s="58" t="s">
        <v>1890</v>
      </c>
      <c r="H1225" s="58" t="s">
        <v>179</v>
      </c>
      <c r="I1225">
        <v>38000</v>
      </c>
      <c r="J1225">
        <v>38000</v>
      </c>
      <c r="K1225" s="58" t="s">
        <v>185</v>
      </c>
      <c r="L1225" s="74">
        <v>10.69</v>
      </c>
      <c r="M1225" s="85">
        <v>11</v>
      </c>
      <c r="N1225" s="74">
        <v>0.13500000000000001</v>
      </c>
      <c r="O1225">
        <v>3</v>
      </c>
      <c r="P1225" s="84">
        <v>0.13500000000000001</v>
      </c>
      <c r="Q1225" s="86">
        <v>4.2</v>
      </c>
      <c r="R1225" s="85">
        <v>4.2</v>
      </c>
      <c r="S1225" s="87">
        <v>1439840</v>
      </c>
      <c r="T1225" s="1">
        <v>1</v>
      </c>
      <c r="U1225" s="88">
        <v>342819.04761904763</v>
      </c>
      <c r="V1225" s="59">
        <v>2.9169907767529724</v>
      </c>
    </row>
    <row r="1226" spans="1:22">
      <c r="A1226" s="58">
        <v>1228</v>
      </c>
      <c r="B1226" s="58">
        <v>1228</v>
      </c>
      <c r="C1226" s="58" t="s">
        <v>1892</v>
      </c>
      <c r="D1226" s="58" t="s">
        <v>182</v>
      </c>
      <c r="E1226" s="58" t="s">
        <v>182</v>
      </c>
      <c r="F1226" s="58" t="s">
        <v>1893</v>
      </c>
      <c r="G1226" s="58" t="s">
        <v>1894</v>
      </c>
      <c r="H1226" s="58" t="s">
        <v>179</v>
      </c>
      <c r="I1226">
        <v>38000</v>
      </c>
      <c r="J1226">
        <v>38000</v>
      </c>
      <c r="K1226" s="58" t="s">
        <v>185</v>
      </c>
      <c r="L1226" s="74">
        <v>15.999000000000001</v>
      </c>
      <c r="M1226" s="85">
        <v>16</v>
      </c>
      <c r="N1226" s="74">
        <v>0.14199999999999999</v>
      </c>
      <c r="O1226">
        <v>3</v>
      </c>
      <c r="P1226" s="84">
        <v>0.14199999999999999</v>
      </c>
      <c r="Q1226" s="86">
        <v>4.2</v>
      </c>
      <c r="R1226" s="85">
        <v>4.2</v>
      </c>
      <c r="S1226" s="87">
        <v>1703340</v>
      </c>
      <c r="T1226" s="1">
        <v>1</v>
      </c>
      <c r="U1226" s="88">
        <v>405557.14285714284</v>
      </c>
      <c r="V1226" s="59">
        <v>2.4657437739969708</v>
      </c>
    </row>
    <row r="1227" spans="1:22">
      <c r="A1227" s="58">
        <v>1229</v>
      </c>
      <c r="B1227" s="58">
        <v>1229</v>
      </c>
      <c r="C1227" s="58" t="s">
        <v>1895</v>
      </c>
      <c r="D1227" s="58" t="s">
        <v>182</v>
      </c>
      <c r="E1227" s="58" t="s">
        <v>182</v>
      </c>
      <c r="F1227" s="58" t="s">
        <v>1893</v>
      </c>
      <c r="G1227" s="58" t="s">
        <v>1894</v>
      </c>
      <c r="H1227" s="58" t="s">
        <v>179</v>
      </c>
      <c r="I1227">
        <v>38000</v>
      </c>
      <c r="J1227">
        <v>38000</v>
      </c>
      <c r="K1227" s="58" t="s">
        <v>185</v>
      </c>
      <c r="L1227" s="74">
        <v>15.183999999999999</v>
      </c>
      <c r="M1227" s="85">
        <v>16</v>
      </c>
      <c r="N1227" s="74">
        <v>0.161</v>
      </c>
      <c r="O1227">
        <v>3</v>
      </c>
      <c r="P1227" s="84">
        <v>0.161</v>
      </c>
      <c r="Q1227" s="86">
        <v>4.2</v>
      </c>
      <c r="R1227" s="85">
        <v>4.2</v>
      </c>
      <c r="S1227" s="87">
        <v>1703340</v>
      </c>
      <c r="T1227" s="1">
        <v>1</v>
      </c>
      <c r="U1227" s="88">
        <v>405557.14285714284</v>
      </c>
      <c r="V1227" s="59">
        <v>2.4657437739969708</v>
      </c>
    </row>
    <row r="1228" spans="1:22">
      <c r="A1228" s="58">
        <v>1230</v>
      </c>
      <c r="B1228" s="58">
        <v>1230</v>
      </c>
      <c r="C1228" s="58" t="s">
        <v>1896</v>
      </c>
      <c r="D1228" s="58" t="s">
        <v>775</v>
      </c>
      <c r="E1228" s="58" t="s">
        <v>775</v>
      </c>
      <c r="F1228" s="58" t="s">
        <v>1897</v>
      </c>
      <c r="G1228" s="58" t="s">
        <v>1898</v>
      </c>
      <c r="H1228" s="58" t="s">
        <v>179</v>
      </c>
      <c r="I1228">
        <v>38000</v>
      </c>
      <c r="J1228">
        <v>38000</v>
      </c>
      <c r="K1228">
        <v>10000</v>
      </c>
      <c r="L1228" s="74">
        <v>6.4489999999999998</v>
      </c>
      <c r="M1228" s="85">
        <v>7</v>
      </c>
      <c r="N1228" s="74">
        <v>0.43</v>
      </c>
      <c r="O1228">
        <v>3</v>
      </c>
      <c r="P1228" s="84">
        <v>0.43</v>
      </c>
      <c r="Q1228" s="86">
        <v>4.2</v>
      </c>
      <c r="R1228" s="85">
        <v>4.2</v>
      </c>
      <c r="S1228" s="87">
        <v>839680</v>
      </c>
      <c r="T1228" s="1">
        <v>4</v>
      </c>
      <c r="U1228" s="88">
        <v>199923.80952380953</v>
      </c>
      <c r="V1228" s="59">
        <v>5.0019054878048781</v>
      </c>
    </row>
    <row r="1229" spans="1:22">
      <c r="A1229" s="58">
        <v>1231</v>
      </c>
      <c r="B1229" s="58">
        <v>1231</v>
      </c>
      <c r="C1229" s="58" t="s">
        <v>1899</v>
      </c>
      <c r="D1229" s="58" t="s">
        <v>852</v>
      </c>
      <c r="E1229" s="58" t="s">
        <v>852</v>
      </c>
      <c r="F1229" s="58" t="s">
        <v>1796</v>
      </c>
      <c r="G1229" s="58" t="s">
        <v>1797</v>
      </c>
      <c r="H1229" s="58" t="s">
        <v>199</v>
      </c>
      <c r="I1229">
        <v>110000</v>
      </c>
      <c r="J1229" s="58" t="s">
        <v>185</v>
      </c>
      <c r="K1229">
        <v>110000</v>
      </c>
      <c r="L1229" s="74">
        <v>6.415</v>
      </c>
      <c r="M1229" s="85">
        <v>7</v>
      </c>
      <c r="N1229" s="74">
        <v>0.112</v>
      </c>
      <c r="O1229">
        <v>3</v>
      </c>
      <c r="P1229" s="84">
        <v>0.112</v>
      </c>
      <c r="Q1229" s="86">
        <v>4.2</v>
      </c>
      <c r="R1229" s="85">
        <v>4.2</v>
      </c>
      <c r="S1229" s="87">
        <v>1785370</v>
      </c>
      <c r="T1229" s="1">
        <v>7</v>
      </c>
      <c r="U1229" s="88">
        <v>425088.09523809521</v>
      </c>
      <c r="V1229" s="59">
        <v>2.3524535530450272</v>
      </c>
    </row>
    <row r="1230" spans="1:22">
      <c r="A1230" s="58">
        <v>1232</v>
      </c>
      <c r="B1230" s="58">
        <v>1232</v>
      </c>
      <c r="C1230" s="58" t="s">
        <v>1900</v>
      </c>
      <c r="D1230" s="58" t="s">
        <v>410</v>
      </c>
      <c r="E1230" s="58" t="s">
        <v>410</v>
      </c>
      <c r="F1230" s="58" t="s">
        <v>411</v>
      </c>
      <c r="G1230" s="58" t="s">
        <v>412</v>
      </c>
      <c r="H1230" s="58" t="s">
        <v>179</v>
      </c>
      <c r="I1230">
        <v>38000</v>
      </c>
      <c r="J1230">
        <v>38000</v>
      </c>
      <c r="K1230" s="58" t="s">
        <v>185</v>
      </c>
      <c r="L1230" s="74">
        <v>6.234</v>
      </c>
      <c r="M1230" s="85">
        <v>7</v>
      </c>
      <c r="N1230" s="74">
        <v>0.248</v>
      </c>
      <c r="O1230">
        <v>3</v>
      </c>
      <c r="P1230" s="84">
        <v>0.248</v>
      </c>
      <c r="Q1230" s="86">
        <v>4.2</v>
      </c>
      <c r="R1230" s="85">
        <v>4.2</v>
      </c>
      <c r="S1230" s="87">
        <v>839680</v>
      </c>
      <c r="T1230" s="1">
        <v>4</v>
      </c>
      <c r="U1230" s="88">
        <v>199923.80952380953</v>
      </c>
      <c r="V1230" s="59">
        <v>5.0019054878048781</v>
      </c>
    </row>
    <row r="1231" spans="1:22">
      <c r="A1231" s="58">
        <v>1233</v>
      </c>
      <c r="B1231" s="58">
        <v>1233</v>
      </c>
      <c r="C1231" s="58" t="s">
        <v>1901</v>
      </c>
      <c r="D1231" s="58" t="s">
        <v>882</v>
      </c>
      <c r="E1231" s="58" t="s">
        <v>882</v>
      </c>
      <c r="F1231" s="58" t="s">
        <v>1149</v>
      </c>
      <c r="G1231" s="58" t="s">
        <v>1150</v>
      </c>
      <c r="H1231" s="58" t="s">
        <v>179</v>
      </c>
      <c r="I1231">
        <v>38000</v>
      </c>
      <c r="J1231">
        <v>38000</v>
      </c>
      <c r="K1231" s="58" t="s">
        <v>185</v>
      </c>
      <c r="L1231" s="74">
        <v>6.0540000000000003</v>
      </c>
      <c r="M1231" s="85">
        <v>7</v>
      </c>
      <c r="N1231" s="74">
        <v>0.109</v>
      </c>
      <c r="O1231">
        <v>3</v>
      </c>
      <c r="P1231" s="84">
        <v>0.109</v>
      </c>
      <c r="Q1231" s="86">
        <v>4.2</v>
      </c>
      <c r="R1231" s="85">
        <v>4.2</v>
      </c>
      <c r="S1231" s="87">
        <v>839680</v>
      </c>
      <c r="T1231" s="1">
        <v>4</v>
      </c>
      <c r="U1231" s="88">
        <v>199923.80952380953</v>
      </c>
      <c r="V1231" s="59">
        <v>5.0019054878048781</v>
      </c>
    </row>
    <row r="1232" spans="1:22">
      <c r="A1232" s="58">
        <v>1234</v>
      </c>
      <c r="B1232" s="58">
        <v>1234</v>
      </c>
      <c r="C1232" s="58" t="s">
        <v>1902</v>
      </c>
      <c r="D1232" s="58" t="s">
        <v>182</v>
      </c>
      <c r="E1232" s="58" t="s">
        <v>182</v>
      </c>
      <c r="F1232" s="58" t="s">
        <v>1903</v>
      </c>
      <c r="G1232" s="58" t="s">
        <v>1904</v>
      </c>
      <c r="H1232" s="58" t="s">
        <v>179</v>
      </c>
      <c r="I1232">
        <v>38000</v>
      </c>
      <c r="J1232">
        <v>38000</v>
      </c>
      <c r="K1232" s="58" t="s">
        <v>185</v>
      </c>
      <c r="L1232" s="74">
        <v>2.8</v>
      </c>
      <c r="M1232" s="85">
        <v>3</v>
      </c>
      <c r="N1232" s="74">
        <v>9.6000000000000002E-2</v>
      </c>
      <c r="O1232">
        <v>3</v>
      </c>
      <c r="P1232" s="84">
        <v>9.6000000000000002E-2</v>
      </c>
      <c r="Q1232" s="86">
        <v>4.2</v>
      </c>
      <c r="R1232" s="85">
        <v>4.2</v>
      </c>
      <c r="S1232" s="87">
        <v>558600</v>
      </c>
      <c r="T1232" s="1">
        <v>4</v>
      </c>
      <c r="U1232" s="88">
        <v>133000</v>
      </c>
      <c r="V1232" s="59">
        <v>7.518796992481203</v>
      </c>
    </row>
    <row r="1233" spans="1:22">
      <c r="A1233" s="58">
        <v>1235</v>
      </c>
      <c r="B1233" s="58">
        <v>1235</v>
      </c>
      <c r="C1233" s="58" t="s">
        <v>1905</v>
      </c>
      <c r="D1233" s="58" t="s">
        <v>1190</v>
      </c>
      <c r="E1233" s="58" t="s">
        <v>1190</v>
      </c>
      <c r="F1233" s="58" t="s">
        <v>1906</v>
      </c>
      <c r="G1233" s="58" t="s">
        <v>1907</v>
      </c>
      <c r="H1233" s="58" t="s">
        <v>179</v>
      </c>
      <c r="I1233">
        <v>38000</v>
      </c>
      <c r="J1233">
        <v>38000</v>
      </c>
      <c r="K1233">
        <v>10000</v>
      </c>
      <c r="L1233" s="74">
        <v>4.8410000000000002</v>
      </c>
      <c r="M1233" s="85">
        <v>5</v>
      </c>
      <c r="N1233" s="74">
        <v>0.19800000000000001</v>
      </c>
      <c r="O1233">
        <v>3</v>
      </c>
      <c r="P1233" s="84">
        <v>0.19800000000000001</v>
      </c>
      <c r="Q1233" s="86">
        <v>4.2</v>
      </c>
      <c r="R1233" s="85">
        <v>4.2</v>
      </c>
      <c r="S1233" s="87">
        <v>699140</v>
      </c>
      <c r="T1233" s="1">
        <v>4</v>
      </c>
      <c r="U1233" s="88">
        <v>166461.90476190476</v>
      </c>
      <c r="V1233" s="59">
        <v>6.0073804960379897</v>
      </c>
    </row>
    <row r="1234" spans="1:22">
      <c r="A1234" s="58">
        <v>1236</v>
      </c>
      <c r="B1234" s="58">
        <v>1236</v>
      </c>
      <c r="C1234" s="58" t="s">
        <v>1908</v>
      </c>
      <c r="D1234" s="58" t="s">
        <v>852</v>
      </c>
      <c r="E1234" s="58" t="s">
        <v>852</v>
      </c>
      <c r="F1234" s="58" t="s">
        <v>1876</v>
      </c>
      <c r="G1234" s="58" t="s">
        <v>1877</v>
      </c>
      <c r="H1234" s="58" t="s">
        <v>179</v>
      </c>
      <c r="I1234">
        <v>38000</v>
      </c>
      <c r="J1234">
        <v>38000</v>
      </c>
      <c r="K1234">
        <v>20000</v>
      </c>
      <c r="L1234" s="74">
        <v>6.0179999999999998</v>
      </c>
      <c r="M1234" s="85">
        <v>7</v>
      </c>
      <c r="N1234" s="74">
        <v>0.30499999999999999</v>
      </c>
      <c r="O1234">
        <v>3</v>
      </c>
      <c r="P1234" s="84">
        <v>0.30499999999999999</v>
      </c>
      <c r="Q1234" s="86">
        <v>4.2</v>
      </c>
      <c r="R1234" s="85">
        <v>4.2</v>
      </c>
      <c r="S1234" s="87">
        <v>839680</v>
      </c>
      <c r="T1234" s="1">
        <v>4</v>
      </c>
      <c r="U1234" s="88">
        <v>199923.80952380953</v>
      </c>
      <c r="V1234" s="59">
        <v>5.0019054878048781</v>
      </c>
    </row>
    <row r="1235" spans="1:22">
      <c r="A1235" s="58">
        <v>1237</v>
      </c>
      <c r="B1235" s="58">
        <v>1237</v>
      </c>
      <c r="C1235" s="58" t="s">
        <v>1909</v>
      </c>
      <c r="D1235" s="58" t="s">
        <v>176</v>
      </c>
      <c r="E1235" s="58" t="s">
        <v>176</v>
      </c>
      <c r="F1235" s="58" t="s">
        <v>257</v>
      </c>
      <c r="G1235" s="58" t="s">
        <v>258</v>
      </c>
      <c r="H1235" s="58" t="s">
        <v>179</v>
      </c>
      <c r="I1235">
        <v>38000</v>
      </c>
      <c r="J1235">
        <v>38000</v>
      </c>
      <c r="K1235">
        <v>20000</v>
      </c>
      <c r="L1235" s="74">
        <v>11.618</v>
      </c>
      <c r="M1235" s="85">
        <v>12</v>
      </c>
      <c r="N1235" s="74">
        <v>9.7000000000000003E-2</v>
      </c>
      <c r="O1235">
        <v>3</v>
      </c>
      <c r="P1235" s="84">
        <v>9.7000000000000003E-2</v>
      </c>
      <c r="Q1235" s="86">
        <v>4.2</v>
      </c>
      <c r="R1235" s="85">
        <v>4.2</v>
      </c>
      <c r="S1235" s="87">
        <v>1492540</v>
      </c>
      <c r="T1235" s="1">
        <v>1</v>
      </c>
      <c r="U1235" s="88">
        <v>355366.66666666663</v>
      </c>
      <c r="V1235" s="59">
        <v>2.8139949348091173</v>
      </c>
    </row>
    <row r="1236" spans="1:22">
      <c r="A1236" s="58">
        <v>1238</v>
      </c>
      <c r="B1236" s="58">
        <v>1238</v>
      </c>
      <c r="C1236" s="58" t="s">
        <v>1910</v>
      </c>
      <c r="D1236" s="58" t="s">
        <v>215</v>
      </c>
      <c r="E1236" s="58" t="s">
        <v>215</v>
      </c>
      <c r="F1236" s="58" t="s">
        <v>1695</v>
      </c>
      <c r="G1236" s="58" t="s">
        <v>1696</v>
      </c>
      <c r="H1236" s="58" t="s">
        <v>199</v>
      </c>
      <c r="I1236">
        <v>110000</v>
      </c>
      <c r="L1236" s="74">
        <v>2.048</v>
      </c>
      <c r="M1236" s="85">
        <v>3</v>
      </c>
      <c r="N1236" s="74">
        <v>0.13</v>
      </c>
      <c r="O1236">
        <v>3</v>
      </c>
      <c r="P1236" s="84">
        <v>0.13</v>
      </c>
      <c r="Q1236" s="86">
        <v>4.2</v>
      </c>
      <c r="R1236" s="85">
        <v>4.2</v>
      </c>
      <c r="S1236" s="87">
        <v>1574570</v>
      </c>
      <c r="T1236" s="1">
        <v>7</v>
      </c>
      <c r="U1236" s="88">
        <v>374897.61904761905</v>
      </c>
      <c r="V1236" s="59">
        <v>2.6673949078161021</v>
      </c>
    </row>
    <row r="1237" spans="1:22">
      <c r="A1237" s="58">
        <v>1239</v>
      </c>
      <c r="B1237" s="58">
        <v>1239</v>
      </c>
      <c r="C1237" s="58" t="s">
        <v>1911</v>
      </c>
      <c r="D1237" s="58" t="s">
        <v>197</v>
      </c>
      <c r="E1237" s="58" t="s">
        <v>197</v>
      </c>
      <c r="F1237" s="58" t="s">
        <v>1912</v>
      </c>
      <c r="G1237" s="58" t="s">
        <v>1913</v>
      </c>
      <c r="H1237" s="58" t="s">
        <v>179</v>
      </c>
      <c r="I1237">
        <v>38000</v>
      </c>
      <c r="L1237" s="74">
        <v>6.5359999999999996</v>
      </c>
      <c r="M1237" s="85">
        <v>7</v>
      </c>
      <c r="N1237" s="74">
        <v>0.221</v>
      </c>
      <c r="O1237">
        <v>3</v>
      </c>
      <c r="P1237" s="84">
        <v>0.221</v>
      </c>
      <c r="Q1237" s="86">
        <v>4.2</v>
      </c>
      <c r="R1237" s="85">
        <v>4.2</v>
      </c>
      <c r="S1237" s="87">
        <v>839680</v>
      </c>
      <c r="T1237" s="1">
        <v>4</v>
      </c>
      <c r="U1237" s="88">
        <v>199923.80952380953</v>
      </c>
      <c r="V1237" s="59">
        <v>5.0019054878048781</v>
      </c>
    </row>
    <row r="1238" spans="1:22">
      <c r="A1238" s="58">
        <v>1240</v>
      </c>
      <c r="B1238" s="58">
        <v>1240</v>
      </c>
      <c r="C1238" s="58" t="s">
        <v>1914</v>
      </c>
      <c r="D1238" s="58" t="s">
        <v>182</v>
      </c>
      <c r="E1238" s="58" t="s">
        <v>182</v>
      </c>
      <c r="F1238" s="58" t="s">
        <v>1790</v>
      </c>
      <c r="G1238" s="58" t="s">
        <v>1791</v>
      </c>
      <c r="H1238" s="58" t="s">
        <v>179</v>
      </c>
      <c r="I1238">
        <v>38000</v>
      </c>
      <c r="J1238">
        <v>38000</v>
      </c>
      <c r="K1238" s="58" t="s">
        <v>185</v>
      </c>
      <c r="L1238" s="74">
        <v>8.5609999999999999</v>
      </c>
      <c r="M1238" s="85">
        <v>9</v>
      </c>
      <c r="N1238" s="74">
        <v>0.156</v>
      </c>
      <c r="O1238">
        <v>3</v>
      </c>
      <c r="P1238" s="84">
        <v>0.156</v>
      </c>
      <c r="Q1238" s="86">
        <v>4.2</v>
      </c>
      <c r="R1238" s="85">
        <v>4.2</v>
      </c>
      <c r="S1238" s="87">
        <v>1334440</v>
      </c>
      <c r="T1238" s="1">
        <v>1</v>
      </c>
      <c r="U1238" s="88">
        <v>317723.80952380953</v>
      </c>
      <c r="V1238" s="59">
        <v>3.1473876682353645</v>
      </c>
    </row>
    <row r="1239" spans="1:22">
      <c r="A1239" s="58">
        <v>1241</v>
      </c>
      <c r="B1239" s="58">
        <v>1241</v>
      </c>
      <c r="C1239" s="58" t="s">
        <v>1915</v>
      </c>
      <c r="D1239" s="58" t="s">
        <v>176</v>
      </c>
      <c r="E1239" s="58" t="s">
        <v>176</v>
      </c>
      <c r="F1239" s="58" t="s">
        <v>257</v>
      </c>
      <c r="G1239" s="58" t="s">
        <v>258</v>
      </c>
      <c r="H1239" s="58" t="s">
        <v>179</v>
      </c>
      <c r="I1239">
        <v>38000</v>
      </c>
      <c r="J1239">
        <v>38000</v>
      </c>
      <c r="K1239">
        <v>20000</v>
      </c>
      <c r="L1239" s="74">
        <v>9.8949999999999996</v>
      </c>
      <c r="M1239" s="85">
        <v>10</v>
      </c>
      <c r="N1239" s="74">
        <v>0.23499999999999999</v>
      </c>
      <c r="O1239">
        <v>3</v>
      </c>
      <c r="P1239" s="84">
        <v>0.23499999999999999</v>
      </c>
      <c r="Q1239" s="86">
        <v>4.2</v>
      </c>
      <c r="R1239" s="85">
        <v>4.2</v>
      </c>
      <c r="S1239" s="87">
        <v>1387140</v>
      </c>
      <c r="T1239" s="1">
        <v>1</v>
      </c>
      <c r="U1239" s="88">
        <v>330271.42857142858</v>
      </c>
      <c r="V1239" s="59">
        <v>3.0278126216531858</v>
      </c>
    </row>
    <row r="1240" spans="1:22">
      <c r="A1240" s="58">
        <v>1242</v>
      </c>
      <c r="B1240" s="58">
        <v>1242</v>
      </c>
      <c r="C1240" s="58" t="s">
        <v>1916</v>
      </c>
      <c r="D1240" s="58" t="s">
        <v>215</v>
      </c>
      <c r="E1240" s="58" t="s">
        <v>215</v>
      </c>
      <c r="F1240" s="58" t="s">
        <v>1917</v>
      </c>
      <c r="G1240" s="58" t="s">
        <v>1918</v>
      </c>
      <c r="H1240" s="58" t="s">
        <v>179</v>
      </c>
      <c r="I1240">
        <v>38000</v>
      </c>
      <c r="J1240">
        <v>38000</v>
      </c>
      <c r="K1240" s="58" t="s">
        <v>185</v>
      </c>
      <c r="L1240" s="74">
        <v>4.74</v>
      </c>
      <c r="M1240" s="85">
        <v>5</v>
      </c>
      <c r="N1240" s="74">
        <v>0.11700000000000001</v>
      </c>
      <c r="O1240">
        <v>3</v>
      </c>
      <c r="P1240" s="84">
        <v>0.11700000000000001</v>
      </c>
      <c r="Q1240" s="86">
        <v>4.2</v>
      </c>
      <c r="R1240" s="85">
        <v>4.2</v>
      </c>
      <c r="S1240" s="87">
        <v>699140</v>
      </c>
      <c r="T1240" s="1">
        <v>4</v>
      </c>
      <c r="U1240" s="88">
        <v>166461.90476190476</v>
      </c>
      <c r="V1240" s="59">
        <v>6.0073804960379897</v>
      </c>
    </row>
    <row r="1241" spans="1:22">
      <c r="A1241" s="58">
        <v>1243</v>
      </c>
      <c r="B1241" s="58">
        <v>1243</v>
      </c>
      <c r="C1241" s="58" t="s">
        <v>1919</v>
      </c>
      <c r="D1241" s="58" t="s">
        <v>489</v>
      </c>
      <c r="E1241" s="58" t="s">
        <v>489</v>
      </c>
      <c r="F1241" s="58" t="s">
        <v>1862</v>
      </c>
      <c r="G1241" s="58" t="s">
        <v>1863</v>
      </c>
      <c r="H1241" s="58" t="s">
        <v>179</v>
      </c>
      <c r="I1241">
        <v>38000</v>
      </c>
      <c r="J1241">
        <v>38000</v>
      </c>
      <c r="K1241" s="58" t="s">
        <v>185</v>
      </c>
      <c r="L1241" s="74">
        <v>7.899</v>
      </c>
      <c r="M1241" s="85">
        <v>8</v>
      </c>
      <c r="N1241" s="74">
        <v>0.35599999999999998</v>
      </c>
      <c r="O1241">
        <v>3</v>
      </c>
      <c r="P1241" s="84">
        <v>0.35599999999999998</v>
      </c>
      <c r="Q1241" s="86">
        <v>4.2</v>
      </c>
      <c r="R1241" s="85">
        <v>4.2</v>
      </c>
      <c r="S1241" s="87">
        <v>909950</v>
      </c>
      <c r="T1241" s="1">
        <v>4</v>
      </c>
      <c r="U1241" s="88">
        <v>216654.76190476189</v>
      </c>
      <c r="V1241" s="59">
        <v>4.6156382218803227</v>
      </c>
    </row>
    <row r="1242" spans="1:22">
      <c r="A1242" s="58">
        <v>1244</v>
      </c>
      <c r="B1242" s="58">
        <v>1244</v>
      </c>
      <c r="C1242" s="58" t="s">
        <v>1920</v>
      </c>
      <c r="D1242" s="58" t="s">
        <v>882</v>
      </c>
      <c r="E1242" s="58" t="s">
        <v>882</v>
      </c>
      <c r="F1242" s="58" t="s">
        <v>1921</v>
      </c>
      <c r="G1242" s="58" t="s">
        <v>1922</v>
      </c>
      <c r="H1242" s="58" t="s">
        <v>179</v>
      </c>
      <c r="I1242">
        <v>38000</v>
      </c>
      <c r="J1242">
        <v>38000</v>
      </c>
      <c r="K1242" s="58" t="s">
        <v>185</v>
      </c>
      <c r="L1242" s="74">
        <v>6.0250000000000004</v>
      </c>
      <c r="M1242" s="85">
        <v>7</v>
      </c>
      <c r="N1242" s="74">
        <v>0.14399999999999999</v>
      </c>
      <c r="O1242">
        <v>3</v>
      </c>
      <c r="P1242" s="84">
        <v>0.14399999999999999</v>
      </c>
      <c r="Q1242" s="86">
        <v>4.2</v>
      </c>
      <c r="R1242" s="85">
        <v>4.2</v>
      </c>
      <c r="S1242" s="87">
        <v>839680</v>
      </c>
      <c r="T1242" s="1">
        <v>4</v>
      </c>
      <c r="U1242" s="88">
        <v>199923.80952380953</v>
      </c>
      <c r="V1242" s="59">
        <v>5.0019054878048781</v>
      </c>
    </row>
    <row r="1243" spans="1:22">
      <c r="A1243" s="58">
        <v>1245</v>
      </c>
      <c r="B1243" s="58">
        <v>1245</v>
      </c>
      <c r="C1243" s="58" t="s">
        <v>1923</v>
      </c>
      <c r="D1243" s="58" t="s">
        <v>410</v>
      </c>
      <c r="E1243" s="58" t="s">
        <v>410</v>
      </c>
      <c r="F1243" s="58" t="s">
        <v>1862</v>
      </c>
      <c r="G1243" s="58" t="s">
        <v>1863</v>
      </c>
      <c r="H1243" s="58" t="s">
        <v>179</v>
      </c>
      <c r="I1243">
        <v>38000</v>
      </c>
      <c r="J1243">
        <v>38000</v>
      </c>
      <c r="K1243" s="58" t="s">
        <v>185</v>
      </c>
      <c r="L1243" s="74">
        <v>10.028</v>
      </c>
      <c r="M1243" s="85">
        <v>11</v>
      </c>
      <c r="N1243" s="74">
        <v>0.184</v>
      </c>
      <c r="O1243">
        <v>3</v>
      </c>
      <c r="P1243" s="84">
        <v>0.184</v>
      </c>
      <c r="Q1243" s="86">
        <v>4.2</v>
      </c>
      <c r="R1243" s="85">
        <v>4.2</v>
      </c>
      <c r="S1243" s="87">
        <v>1439840</v>
      </c>
      <c r="T1243" s="1">
        <v>1</v>
      </c>
      <c r="U1243" s="88">
        <v>342819.04761904763</v>
      </c>
      <c r="V1243" s="59">
        <v>2.9169907767529724</v>
      </c>
    </row>
    <row r="1244" spans="1:22">
      <c r="A1244" s="58">
        <v>1246</v>
      </c>
      <c r="B1244" s="58">
        <v>1246</v>
      </c>
      <c r="C1244" s="58" t="s">
        <v>1924</v>
      </c>
      <c r="D1244" s="58" t="s">
        <v>882</v>
      </c>
      <c r="E1244" s="58" t="s">
        <v>882</v>
      </c>
      <c r="F1244" s="58" t="s">
        <v>1925</v>
      </c>
      <c r="G1244" s="58" t="s">
        <v>1926</v>
      </c>
      <c r="H1244" s="58" t="s">
        <v>179</v>
      </c>
      <c r="I1244">
        <v>38000</v>
      </c>
      <c r="J1244">
        <v>38000</v>
      </c>
      <c r="K1244" s="58" t="s">
        <v>185</v>
      </c>
      <c r="L1244" s="74">
        <v>4.6639999999999997</v>
      </c>
      <c r="M1244" s="85">
        <v>5</v>
      </c>
      <c r="N1244" s="74">
        <v>0.255</v>
      </c>
      <c r="O1244">
        <v>3</v>
      </c>
      <c r="P1244" s="84">
        <v>0.255</v>
      </c>
      <c r="Q1244" s="86">
        <v>4.2</v>
      </c>
      <c r="R1244" s="85">
        <v>4.2</v>
      </c>
      <c r="S1244" s="87">
        <v>699140</v>
      </c>
      <c r="T1244" s="1">
        <v>4</v>
      </c>
      <c r="U1244" s="88">
        <v>166461.90476190476</v>
      </c>
      <c r="V1244" s="59">
        <v>6.0073804960379897</v>
      </c>
    </row>
    <row r="1245" spans="1:22">
      <c r="A1245" s="58">
        <v>1247</v>
      </c>
      <c r="B1245" s="58">
        <v>1247</v>
      </c>
      <c r="C1245" s="58" t="s">
        <v>1927</v>
      </c>
      <c r="D1245" s="58" t="s">
        <v>215</v>
      </c>
      <c r="E1245" s="58" t="s">
        <v>215</v>
      </c>
      <c r="F1245" s="58" t="s">
        <v>1928</v>
      </c>
      <c r="G1245" s="58" t="s">
        <v>1929</v>
      </c>
      <c r="H1245" s="58" t="s">
        <v>179</v>
      </c>
      <c r="I1245">
        <v>38000</v>
      </c>
      <c r="J1245">
        <v>38000</v>
      </c>
      <c r="K1245" s="58" t="s">
        <v>185</v>
      </c>
      <c r="L1245" s="74">
        <v>5.3529999999999998</v>
      </c>
      <c r="M1245" s="85">
        <v>6</v>
      </c>
      <c r="N1245" s="74">
        <v>0.113</v>
      </c>
      <c r="O1245">
        <v>3</v>
      </c>
      <c r="P1245" s="84">
        <v>0.113</v>
      </c>
      <c r="Q1245" s="86">
        <v>4.2</v>
      </c>
      <c r="R1245" s="85">
        <v>4.2</v>
      </c>
      <c r="S1245" s="87">
        <v>769410</v>
      </c>
      <c r="T1245" s="1">
        <v>4</v>
      </c>
      <c r="U1245" s="88">
        <v>183192.85714285713</v>
      </c>
      <c r="V1245" s="59">
        <v>5.4587281163488903</v>
      </c>
    </row>
    <row r="1246" spans="1:22">
      <c r="A1246" s="58">
        <v>1248</v>
      </c>
      <c r="B1246" s="58">
        <v>1248</v>
      </c>
      <c r="C1246" s="58" t="s">
        <v>1930</v>
      </c>
      <c r="D1246" s="58" t="s">
        <v>215</v>
      </c>
      <c r="E1246" s="58" t="s">
        <v>215</v>
      </c>
      <c r="F1246" s="58" t="s">
        <v>1644</v>
      </c>
      <c r="G1246" s="58" t="s">
        <v>1645</v>
      </c>
      <c r="H1246" s="58" t="s">
        <v>179</v>
      </c>
      <c r="I1246">
        <v>38000</v>
      </c>
      <c r="J1246">
        <v>38000</v>
      </c>
      <c r="K1246" s="58" t="s">
        <v>185</v>
      </c>
      <c r="L1246" s="74">
        <v>9.3249999999999993</v>
      </c>
      <c r="M1246" s="85">
        <v>10</v>
      </c>
      <c r="N1246" s="74">
        <v>0.221</v>
      </c>
      <c r="O1246">
        <v>3</v>
      </c>
      <c r="P1246" s="84">
        <v>0.221</v>
      </c>
      <c r="Q1246" s="86">
        <v>4.2</v>
      </c>
      <c r="R1246" s="85">
        <v>4.2</v>
      </c>
      <c r="S1246" s="87">
        <v>1387140</v>
      </c>
      <c r="T1246" s="1">
        <v>1</v>
      </c>
      <c r="U1246" s="88">
        <v>330271.42857142858</v>
      </c>
      <c r="V1246" s="59">
        <v>3.0278126216531858</v>
      </c>
    </row>
    <row r="1247" spans="1:22">
      <c r="A1247" s="58">
        <v>1249</v>
      </c>
      <c r="B1247" s="58">
        <v>1249</v>
      </c>
      <c r="C1247" s="58" t="s">
        <v>1931</v>
      </c>
      <c r="D1247" s="58" t="s">
        <v>410</v>
      </c>
      <c r="E1247" s="58" t="s">
        <v>1169</v>
      </c>
      <c r="F1247" s="58" t="s">
        <v>1932</v>
      </c>
      <c r="G1247" s="58" t="s">
        <v>1711</v>
      </c>
      <c r="H1247" s="58" t="s">
        <v>179</v>
      </c>
      <c r="I1247">
        <v>38000</v>
      </c>
      <c r="J1247" s="58" t="s">
        <v>185</v>
      </c>
      <c r="K1247">
        <v>38000</v>
      </c>
      <c r="L1247" s="74">
        <v>6.79</v>
      </c>
      <c r="M1247" s="85">
        <v>7</v>
      </c>
      <c r="N1247" s="74">
        <v>0.154</v>
      </c>
      <c r="O1247">
        <v>3</v>
      </c>
      <c r="P1247" s="84">
        <v>0.154</v>
      </c>
      <c r="Q1247" s="86">
        <v>4.2</v>
      </c>
      <c r="R1247" s="85">
        <v>4.2</v>
      </c>
      <c r="S1247" s="87">
        <v>839680</v>
      </c>
      <c r="T1247" s="1">
        <v>4</v>
      </c>
      <c r="U1247" s="88">
        <v>199923.80952380953</v>
      </c>
      <c r="V1247" s="59">
        <v>5.0019054878048781</v>
      </c>
    </row>
    <row r="1248" spans="1:22">
      <c r="A1248" s="58">
        <v>1250</v>
      </c>
      <c r="B1248" s="58">
        <v>1250</v>
      </c>
      <c r="C1248" s="58" t="s">
        <v>1933</v>
      </c>
      <c r="D1248" s="58" t="s">
        <v>207</v>
      </c>
      <c r="E1248" s="58" t="s">
        <v>207</v>
      </c>
      <c r="F1248" s="58" t="s">
        <v>705</v>
      </c>
      <c r="G1248" s="58" t="s">
        <v>706</v>
      </c>
      <c r="H1248" s="58" t="s">
        <v>179</v>
      </c>
      <c r="I1248">
        <v>38000</v>
      </c>
      <c r="J1248" s="58" t="s">
        <v>185</v>
      </c>
      <c r="K1248">
        <v>38000</v>
      </c>
      <c r="L1248" s="74">
        <v>3.0569999999999999</v>
      </c>
      <c r="M1248" s="85">
        <v>4</v>
      </c>
      <c r="N1248" s="74">
        <v>0.20100000000000001</v>
      </c>
      <c r="O1248">
        <v>3</v>
      </c>
      <c r="P1248" s="84">
        <v>0.20100000000000001</v>
      </c>
      <c r="Q1248" s="86">
        <v>4.2</v>
      </c>
      <c r="R1248" s="85">
        <v>4.2</v>
      </c>
      <c r="S1248" s="87">
        <v>628870</v>
      </c>
      <c r="T1248" s="1">
        <v>4</v>
      </c>
      <c r="U1248" s="88">
        <v>149730.95238095237</v>
      </c>
      <c r="V1248" s="59">
        <v>6.6786458250512828</v>
      </c>
    </row>
    <row r="1249" spans="1:22">
      <c r="A1249" s="58">
        <v>1251</v>
      </c>
      <c r="B1249" s="58">
        <v>1251</v>
      </c>
      <c r="C1249" s="58" t="s">
        <v>1934</v>
      </c>
      <c r="D1249" s="58" t="s">
        <v>882</v>
      </c>
      <c r="E1249" s="58" t="s">
        <v>882</v>
      </c>
      <c r="F1249" s="58" t="s">
        <v>1935</v>
      </c>
      <c r="G1249" s="58" t="s">
        <v>1936</v>
      </c>
      <c r="H1249" s="58" t="s">
        <v>179</v>
      </c>
      <c r="I1249">
        <v>38000</v>
      </c>
      <c r="J1249">
        <v>38000</v>
      </c>
      <c r="K1249" s="58" t="s">
        <v>185</v>
      </c>
      <c r="L1249" s="74">
        <v>2.0329999999999999</v>
      </c>
      <c r="M1249" s="85">
        <v>3</v>
      </c>
      <c r="N1249" s="74">
        <v>0.125</v>
      </c>
      <c r="O1249">
        <v>3</v>
      </c>
      <c r="P1249" s="84">
        <v>0.125</v>
      </c>
      <c r="Q1249" s="86">
        <v>4.2</v>
      </c>
      <c r="R1249" s="85">
        <v>4.2</v>
      </c>
      <c r="S1249" s="87">
        <v>558600</v>
      </c>
      <c r="T1249" s="1">
        <v>4</v>
      </c>
      <c r="U1249" s="88">
        <v>133000</v>
      </c>
      <c r="V1249" s="59">
        <v>7.518796992481203</v>
      </c>
    </row>
    <row r="1250" spans="1:22">
      <c r="A1250" s="58">
        <v>1252</v>
      </c>
      <c r="B1250" s="58">
        <v>1252</v>
      </c>
      <c r="C1250" s="58" t="s">
        <v>1937</v>
      </c>
      <c r="D1250" s="58" t="s">
        <v>1811</v>
      </c>
      <c r="E1250" s="58" t="s">
        <v>1811</v>
      </c>
      <c r="F1250" s="58" t="s">
        <v>1830</v>
      </c>
      <c r="G1250" s="58" t="s">
        <v>1831</v>
      </c>
      <c r="H1250" s="58" t="s">
        <v>199</v>
      </c>
      <c r="I1250">
        <v>110000</v>
      </c>
      <c r="J1250">
        <v>110000</v>
      </c>
      <c r="K1250">
        <v>20000</v>
      </c>
      <c r="L1250" s="74">
        <v>2.7989999999999999</v>
      </c>
      <c r="M1250" s="85">
        <v>3</v>
      </c>
      <c r="N1250" s="74">
        <v>0.20899999999999999</v>
      </c>
      <c r="O1250">
        <v>3</v>
      </c>
      <c r="P1250" s="84">
        <v>0.20899999999999999</v>
      </c>
      <c r="Q1250" s="86">
        <v>4.2</v>
      </c>
      <c r="R1250" s="85">
        <v>4.2</v>
      </c>
      <c r="S1250" s="87">
        <v>1574570</v>
      </c>
      <c r="T1250" s="1">
        <v>7</v>
      </c>
      <c r="U1250" s="88">
        <v>374897.61904761905</v>
      </c>
      <c r="V1250" s="59">
        <v>2.6673949078161021</v>
      </c>
    </row>
    <row r="1251" spans="1:22">
      <c r="A1251" s="58">
        <v>1253</v>
      </c>
      <c r="B1251" s="58">
        <v>1253</v>
      </c>
      <c r="C1251" s="58" t="s">
        <v>1938</v>
      </c>
      <c r="D1251" s="58" t="s">
        <v>1169</v>
      </c>
      <c r="E1251" s="58" t="s">
        <v>1169</v>
      </c>
      <c r="F1251" s="58" t="s">
        <v>1939</v>
      </c>
      <c r="G1251" s="58" t="s">
        <v>1940</v>
      </c>
      <c r="H1251" s="58" t="s">
        <v>179</v>
      </c>
      <c r="I1251">
        <v>38000</v>
      </c>
      <c r="J1251">
        <v>38000</v>
      </c>
      <c r="K1251" s="58" t="s">
        <v>185</v>
      </c>
      <c r="L1251" s="74">
        <v>8.6020000000000003</v>
      </c>
      <c r="M1251" s="85">
        <v>9</v>
      </c>
      <c r="N1251" s="74">
        <v>0.115</v>
      </c>
      <c r="O1251">
        <v>3</v>
      </c>
      <c r="P1251" s="84">
        <v>0.115</v>
      </c>
      <c r="Q1251" s="86">
        <v>4.2</v>
      </c>
      <c r="R1251" s="85">
        <v>4.2</v>
      </c>
      <c r="S1251" s="87">
        <v>1334440</v>
      </c>
      <c r="T1251" s="1">
        <v>1</v>
      </c>
      <c r="U1251" s="88">
        <v>317723.80952380953</v>
      </c>
      <c r="V1251" s="59">
        <v>3.1473876682353645</v>
      </c>
    </row>
    <row r="1252" spans="1:22">
      <c r="A1252" s="58">
        <v>1254</v>
      </c>
      <c r="B1252" s="58">
        <v>1254</v>
      </c>
      <c r="C1252" s="58" t="s">
        <v>1941</v>
      </c>
      <c r="D1252" s="58" t="s">
        <v>1169</v>
      </c>
      <c r="E1252" s="58" t="s">
        <v>1169</v>
      </c>
      <c r="F1252" s="58" t="s">
        <v>1698</v>
      </c>
      <c r="G1252" s="58" t="s">
        <v>1699</v>
      </c>
      <c r="H1252" s="58" t="s">
        <v>199</v>
      </c>
      <c r="I1252">
        <v>110000</v>
      </c>
      <c r="J1252">
        <v>110000</v>
      </c>
      <c r="K1252">
        <v>38000</v>
      </c>
      <c r="L1252" s="74">
        <v>8.048</v>
      </c>
      <c r="M1252" s="85">
        <v>9</v>
      </c>
      <c r="N1252" s="74">
        <v>0.32500000000000001</v>
      </c>
      <c r="O1252">
        <v>3</v>
      </c>
      <c r="P1252" s="84">
        <v>0.32500000000000001</v>
      </c>
      <c r="Q1252" s="86">
        <v>4.2</v>
      </c>
      <c r="R1252" s="85">
        <v>4.2</v>
      </c>
      <c r="S1252" s="87">
        <v>1890770</v>
      </c>
      <c r="T1252" s="1">
        <v>7</v>
      </c>
      <c r="U1252" s="88">
        <v>450183.33333333331</v>
      </c>
      <c r="V1252" s="59">
        <v>2.2213172411239865</v>
      </c>
    </row>
    <row r="1253" spans="1:22">
      <c r="A1253" s="58">
        <v>1255</v>
      </c>
      <c r="B1253" s="58">
        <v>1255</v>
      </c>
      <c r="C1253" s="58" t="s">
        <v>1942</v>
      </c>
      <c r="D1253" s="58" t="s">
        <v>882</v>
      </c>
      <c r="E1253" s="58" t="s">
        <v>882</v>
      </c>
      <c r="F1253" s="58" t="s">
        <v>1889</v>
      </c>
      <c r="G1253" s="58" t="s">
        <v>1890</v>
      </c>
      <c r="H1253" s="58" t="s">
        <v>179</v>
      </c>
      <c r="I1253">
        <v>38000</v>
      </c>
      <c r="J1253">
        <v>38000</v>
      </c>
      <c r="K1253" s="58" t="s">
        <v>185</v>
      </c>
      <c r="L1253" s="74">
        <v>13.115</v>
      </c>
      <c r="M1253" s="85">
        <v>14</v>
      </c>
      <c r="N1253" s="74">
        <v>0.19500000000000001</v>
      </c>
      <c r="O1253">
        <v>3</v>
      </c>
      <c r="P1253" s="84">
        <v>0.19500000000000001</v>
      </c>
      <c r="Q1253" s="86">
        <v>4.2</v>
      </c>
      <c r="R1253" s="85">
        <v>4.2</v>
      </c>
      <c r="S1253" s="87">
        <v>1597940</v>
      </c>
      <c r="T1253" s="1">
        <v>1</v>
      </c>
      <c r="U1253" s="88">
        <v>380461.90476190473</v>
      </c>
      <c r="V1253" s="59">
        <v>2.6283840444572388</v>
      </c>
    </row>
    <row r="1254" spans="1:22">
      <c r="A1254" s="58">
        <v>1256</v>
      </c>
      <c r="B1254" s="58">
        <v>1256</v>
      </c>
      <c r="C1254" s="58" t="s">
        <v>1943</v>
      </c>
      <c r="D1254" s="58" t="s">
        <v>882</v>
      </c>
      <c r="E1254" s="58" t="s">
        <v>1169</v>
      </c>
      <c r="F1254" s="58" t="s">
        <v>1944</v>
      </c>
      <c r="G1254" s="58" t="s">
        <v>1945</v>
      </c>
      <c r="H1254" s="58" t="s">
        <v>179</v>
      </c>
      <c r="I1254">
        <v>38000</v>
      </c>
      <c r="J1254">
        <v>38000</v>
      </c>
      <c r="K1254">
        <v>20000</v>
      </c>
      <c r="L1254" s="74">
        <v>12.321999999999999</v>
      </c>
      <c r="M1254" s="85">
        <v>13</v>
      </c>
      <c r="N1254" s="74">
        <v>0.183</v>
      </c>
      <c r="O1254">
        <v>3</v>
      </c>
      <c r="P1254" s="84">
        <v>0.183</v>
      </c>
      <c r="Q1254" s="86">
        <v>4.2</v>
      </c>
      <c r="R1254" s="85">
        <v>4.2</v>
      </c>
      <c r="S1254" s="87">
        <v>1545240</v>
      </c>
      <c r="T1254" s="1">
        <v>1</v>
      </c>
      <c r="U1254" s="88">
        <v>367914.28571428568</v>
      </c>
      <c r="V1254" s="59">
        <v>2.7180243845616214</v>
      </c>
    </row>
    <row r="1255" spans="1:22">
      <c r="A1255" s="58">
        <v>1257</v>
      </c>
      <c r="B1255" s="58">
        <v>1257</v>
      </c>
      <c r="C1255" s="58" t="s">
        <v>1946</v>
      </c>
      <c r="D1255" s="58" t="s">
        <v>182</v>
      </c>
      <c r="E1255" s="58" t="s">
        <v>182</v>
      </c>
      <c r="F1255" s="58" t="s">
        <v>1876</v>
      </c>
      <c r="G1255" s="58" t="s">
        <v>1877</v>
      </c>
      <c r="H1255" s="58" t="s">
        <v>179</v>
      </c>
      <c r="I1255">
        <v>38000</v>
      </c>
      <c r="J1255">
        <v>38000</v>
      </c>
      <c r="K1255">
        <v>20000</v>
      </c>
      <c r="L1255" s="74">
        <v>6.69</v>
      </c>
      <c r="M1255" s="85">
        <v>7</v>
      </c>
      <c r="N1255" s="74">
        <v>0.26200000000000001</v>
      </c>
      <c r="O1255">
        <v>3</v>
      </c>
      <c r="P1255" s="84">
        <v>0.26200000000000001</v>
      </c>
      <c r="Q1255" s="86">
        <v>4.2</v>
      </c>
      <c r="R1255" s="85">
        <v>4.2</v>
      </c>
      <c r="S1255" s="87">
        <v>839680</v>
      </c>
      <c r="T1255" s="1">
        <v>4</v>
      </c>
      <c r="U1255" s="88">
        <v>199923.80952380953</v>
      </c>
      <c r="V1255" s="59">
        <v>5.0019054878048781</v>
      </c>
    </row>
    <row r="1256" spans="1:22">
      <c r="A1256" s="58">
        <v>1258</v>
      </c>
      <c r="B1256" s="58">
        <v>1258</v>
      </c>
      <c r="C1256" s="58" t="s">
        <v>1947</v>
      </c>
      <c r="D1256" s="58" t="s">
        <v>197</v>
      </c>
      <c r="E1256" s="58" t="s">
        <v>197</v>
      </c>
      <c r="F1256" s="58" t="s">
        <v>1912</v>
      </c>
      <c r="G1256" s="58" t="s">
        <v>1913</v>
      </c>
      <c r="H1256" s="58" t="s">
        <v>179</v>
      </c>
      <c r="I1256">
        <v>38000</v>
      </c>
      <c r="L1256" s="74">
        <v>4.4400000000000004</v>
      </c>
      <c r="M1256" s="85">
        <v>5</v>
      </c>
      <c r="N1256" s="74">
        <v>0.32600000000000001</v>
      </c>
      <c r="O1256">
        <v>3</v>
      </c>
      <c r="P1256" s="84">
        <v>0.32600000000000001</v>
      </c>
      <c r="Q1256" s="86">
        <v>4.2</v>
      </c>
      <c r="R1256" s="85">
        <v>4.2</v>
      </c>
      <c r="S1256" s="87">
        <v>699140</v>
      </c>
      <c r="T1256" s="1">
        <v>4</v>
      </c>
      <c r="U1256" s="88">
        <v>166461.90476190476</v>
      </c>
      <c r="V1256" s="59">
        <v>6.0073804960379897</v>
      </c>
    </row>
    <row r="1257" spans="1:22">
      <c r="A1257" s="58">
        <v>1259</v>
      </c>
      <c r="B1257" s="58">
        <v>1259</v>
      </c>
      <c r="C1257" s="58" t="s">
        <v>1948</v>
      </c>
      <c r="D1257" s="58" t="s">
        <v>207</v>
      </c>
      <c r="E1257" s="58" t="s">
        <v>207</v>
      </c>
      <c r="F1257" s="58" t="s">
        <v>705</v>
      </c>
      <c r="G1257" s="58" t="s">
        <v>706</v>
      </c>
      <c r="H1257" s="58" t="s">
        <v>179</v>
      </c>
      <c r="I1257">
        <v>38000</v>
      </c>
      <c r="J1257" s="58" t="s">
        <v>185</v>
      </c>
      <c r="K1257">
        <v>38000</v>
      </c>
      <c r="L1257" s="74">
        <v>8.2560000000000002</v>
      </c>
      <c r="M1257" s="85">
        <v>9</v>
      </c>
      <c r="N1257" s="74">
        <v>0.108</v>
      </c>
      <c r="O1257">
        <v>3</v>
      </c>
      <c r="P1257" s="84">
        <v>0.108</v>
      </c>
      <c r="Q1257" s="86">
        <v>4.2</v>
      </c>
      <c r="R1257" s="85">
        <v>4.2</v>
      </c>
      <c r="S1257" s="87">
        <v>1334440</v>
      </c>
      <c r="T1257" s="1">
        <v>1</v>
      </c>
      <c r="U1257" s="88">
        <v>317723.80952380953</v>
      </c>
      <c r="V1257" s="59">
        <v>3.1473876682353645</v>
      </c>
    </row>
    <row r="1258" spans="1:22">
      <c r="A1258" s="58">
        <v>1260</v>
      </c>
      <c r="B1258" s="58">
        <v>1260</v>
      </c>
      <c r="C1258" s="58" t="s">
        <v>1949</v>
      </c>
      <c r="D1258" s="58" t="s">
        <v>1811</v>
      </c>
      <c r="E1258" s="58" t="s">
        <v>1169</v>
      </c>
      <c r="F1258" s="58" t="s">
        <v>1935</v>
      </c>
      <c r="G1258" s="58" t="s">
        <v>1936</v>
      </c>
      <c r="H1258" s="58" t="s">
        <v>179</v>
      </c>
      <c r="I1258">
        <v>38000</v>
      </c>
      <c r="J1258">
        <v>38000</v>
      </c>
      <c r="K1258" s="58" t="s">
        <v>185</v>
      </c>
      <c r="L1258" s="74">
        <v>9.83</v>
      </c>
      <c r="M1258" s="85">
        <v>10</v>
      </c>
      <c r="N1258" s="74">
        <v>0.122</v>
      </c>
      <c r="O1258">
        <v>3</v>
      </c>
      <c r="P1258" s="84">
        <v>0.122</v>
      </c>
      <c r="Q1258" s="86">
        <v>4.2</v>
      </c>
      <c r="R1258" s="85">
        <v>4.2</v>
      </c>
      <c r="S1258" s="87">
        <v>1387140</v>
      </c>
      <c r="T1258" s="1">
        <v>1</v>
      </c>
      <c r="U1258" s="88">
        <v>330271.42857142858</v>
      </c>
      <c r="V1258" s="59">
        <v>3.0278126216531858</v>
      </c>
    </row>
    <row r="1259" spans="1:22">
      <c r="A1259" s="58">
        <v>1261</v>
      </c>
      <c r="B1259" s="58">
        <v>1261</v>
      </c>
      <c r="C1259" s="58" t="s">
        <v>1950</v>
      </c>
      <c r="D1259" s="58" t="s">
        <v>882</v>
      </c>
      <c r="E1259" s="58" t="s">
        <v>882</v>
      </c>
      <c r="F1259" s="58" t="s">
        <v>1944</v>
      </c>
      <c r="G1259" s="58" t="s">
        <v>1945</v>
      </c>
      <c r="H1259" s="58" t="s">
        <v>179</v>
      </c>
      <c r="I1259">
        <v>38000</v>
      </c>
      <c r="J1259">
        <v>38000</v>
      </c>
      <c r="K1259">
        <v>20000</v>
      </c>
      <c r="L1259" s="74">
        <v>7.4630000000000001</v>
      </c>
      <c r="M1259" s="85">
        <v>8</v>
      </c>
      <c r="N1259" s="74">
        <v>0.14899999999999999</v>
      </c>
      <c r="O1259">
        <v>3</v>
      </c>
      <c r="P1259" s="84">
        <v>0.14899999999999999</v>
      </c>
      <c r="Q1259" s="86">
        <v>4.2</v>
      </c>
      <c r="R1259" s="85">
        <v>4.2</v>
      </c>
      <c r="S1259" s="87">
        <v>909950</v>
      </c>
      <c r="T1259" s="1">
        <v>4</v>
      </c>
      <c r="U1259" s="88">
        <v>216654.76190476189</v>
      </c>
      <c r="V1259" s="59">
        <v>4.6156382218803227</v>
      </c>
    </row>
    <row r="1260" spans="1:22">
      <c r="A1260" s="58">
        <v>1262</v>
      </c>
      <c r="B1260" s="58">
        <v>1262</v>
      </c>
      <c r="C1260" s="58" t="s">
        <v>1951</v>
      </c>
      <c r="D1260" s="58" t="s">
        <v>215</v>
      </c>
      <c r="E1260" s="58" t="s">
        <v>215</v>
      </c>
      <c r="F1260" s="58" t="s">
        <v>1952</v>
      </c>
      <c r="G1260" s="58" t="s">
        <v>1953</v>
      </c>
      <c r="H1260" s="58" t="s">
        <v>179</v>
      </c>
      <c r="I1260">
        <v>38000</v>
      </c>
      <c r="J1260">
        <v>38000</v>
      </c>
      <c r="K1260" s="58" t="s">
        <v>185</v>
      </c>
      <c r="L1260" s="74">
        <v>6.6879999999999997</v>
      </c>
      <c r="M1260" s="85">
        <v>7</v>
      </c>
      <c r="N1260" s="74">
        <v>0.12</v>
      </c>
      <c r="O1260">
        <v>3</v>
      </c>
      <c r="P1260" s="84">
        <v>0.12</v>
      </c>
      <c r="Q1260" s="86">
        <v>4.2</v>
      </c>
      <c r="R1260" s="85">
        <v>4.2</v>
      </c>
      <c r="S1260" s="87">
        <v>839680</v>
      </c>
      <c r="T1260" s="1">
        <v>4</v>
      </c>
      <c r="U1260" s="88">
        <v>199923.80952380953</v>
      </c>
      <c r="V1260" s="59">
        <v>5.0019054878048781</v>
      </c>
    </row>
    <row r="1261" spans="1:22">
      <c r="A1261" s="58">
        <v>1263</v>
      </c>
      <c r="B1261" s="58">
        <v>1263</v>
      </c>
      <c r="C1261" s="58" t="s">
        <v>1954</v>
      </c>
      <c r="D1261" s="58" t="s">
        <v>207</v>
      </c>
      <c r="E1261" s="58" t="s">
        <v>207</v>
      </c>
      <c r="F1261" s="58" t="s">
        <v>1955</v>
      </c>
      <c r="H1261" s="58" t="s">
        <v>199</v>
      </c>
      <c r="I1261">
        <v>110000</v>
      </c>
      <c r="J1261">
        <v>110000</v>
      </c>
      <c r="K1261" s="58" t="s">
        <v>185</v>
      </c>
      <c r="L1261" s="74">
        <v>2.2650000000000001</v>
      </c>
      <c r="M1261" s="85">
        <v>3</v>
      </c>
      <c r="N1261" s="74">
        <v>0.14899999999999999</v>
      </c>
      <c r="O1261">
        <v>3</v>
      </c>
      <c r="P1261" s="84">
        <v>0.14899999999999999</v>
      </c>
      <c r="Q1261" s="86">
        <v>4.2</v>
      </c>
      <c r="R1261" s="85">
        <v>4.2</v>
      </c>
      <c r="S1261" s="87">
        <v>1574570</v>
      </c>
      <c r="T1261" s="1">
        <v>7</v>
      </c>
      <c r="U1261" s="88">
        <v>374897.61904761905</v>
      </c>
      <c r="V1261" s="59">
        <v>2.6673949078161021</v>
      </c>
    </row>
    <row r="1262" spans="1:22">
      <c r="A1262" s="58">
        <v>1264</v>
      </c>
      <c r="B1262" s="58">
        <v>1264</v>
      </c>
      <c r="C1262" s="58" t="s">
        <v>1956</v>
      </c>
      <c r="D1262" s="58" t="s">
        <v>410</v>
      </c>
      <c r="E1262" s="58" t="s">
        <v>410</v>
      </c>
      <c r="F1262" s="58" t="s">
        <v>1869</v>
      </c>
      <c r="G1262" s="58" t="s">
        <v>1870</v>
      </c>
      <c r="H1262" s="58" t="s">
        <v>179</v>
      </c>
      <c r="I1262">
        <v>38000</v>
      </c>
      <c r="J1262">
        <v>38000</v>
      </c>
      <c r="K1262" s="58" t="s">
        <v>185</v>
      </c>
      <c r="L1262" s="74">
        <v>12.48</v>
      </c>
      <c r="M1262" s="85">
        <v>13</v>
      </c>
      <c r="N1262" s="74">
        <v>0.11700000000000001</v>
      </c>
      <c r="O1262">
        <v>3</v>
      </c>
      <c r="P1262" s="84">
        <v>0.11700000000000001</v>
      </c>
      <c r="Q1262" s="86">
        <v>4.2</v>
      </c>
      <c r="R1262" s="85">
        <v>4.2</v>
      </c>
      <c r="S1262" s="87">
        <v>1545240</v>
      </c>
      <c r="T1262" s="1">
        <v>1</v>
      </c>
      <c r="U1262" s="88">
        <v>367914.28571428568</v>
      </c>
      <c r="V1262" s="59">
        <v>2.7180243845616214</v>
      </c>
    </row>
    <row r="1263" spans="1:22">
      <c r="A1263" s="58">
        <v>1265</v>
      </c>
      <c r="B1263" s="58">
        <v>1265</v>
      </c>
      <c r="C1263" s="58" t="s">
        <v>1957</v>
      </c>
      <c r="D1263" s="58" t="s">
        <v>182</v>
      </c>
      <c r="E1263" s="58" t="s">
        <v>182</v>
      </c>
      <c r="F1263" s="58" t="s">
        <v>1839</v>
      </c>
      <c r="G1263" s="58" t="s">
        <v>1840</v>
      </c>
      <c r="H1263" s="58" t="s">
        <v>179</v>
      </c>
      <c r="I1263">
        <v>38000</v>
      </c>
      <c r="J1263">
        <v>38000</v>
      </c>
      <c r="K1263" s="58" t="s">
        <v>185</v>
      </c>
      <c r="L1263" s="74">
        <v>12.942</v>
      </c>
      <c r="M1263" s="85">
        <v>13</v>
      </c>
      <c r="N1263" s="74">
        <v>0.125</v>
      </c>
      <c r="O1263">
        <v>3</v>
      </c>
      <c r="P1263" s="84">
        <v>0.125</v>
      </c>
      <c r="Q1263" s="86">
        <v>4.2</v>
      </c>
      <c r="R1263" s="85">
        <v>4.2</v>
      </c>
      <c r="S1263" s="87">
        <v>1545240</v>
      </c>
      <c r="T1263" s="1">
        <v>1</v>
      </c>
      <c r="U1263" s="88">
        <v>367914.28571428568</v>
      </c>
      <c r="V1263" s="59">
        <v>2.7180243845616214</v>
      </c>
    </row>
    <row r="1264" spans="1:22">
      <c r="A1264" s="58">
        <v>1266</v>
      </c>
      <c r="B1264" s="58">
        <v>1266</v>
      </c>
      <c r="C1264" s="58" t="s">
        <v>1958</v>
      </c>
      <c r="D1264" s="58" t="s">
        <v>410</v>
      </c>
      <c r="E1264" s="58" t="s">
        <v>410</v>
      </c>
      <c r="F1264" s="58" t="s">
        <v>1866</v>
      </c>
      <c r="G1264" s="58" t="s">
        <v>1867</v>
      </c>
      <c r="H1264" s="58" t="s">
        <v>179</v>
      </c>
      <c r="I1264">
        <v>38000</v>
      </c>
      <c r="J1264">
        <v>38000</v>
      </c>
      <c r="K1264" s="58" t="s">
        <v>185</v>
      </c>
      <c r="L1264" s="74">
        <v>14.285</v>
      </c>
      <c r="M1264" s="85">
        <v>15</v>
      </c>
      <c r="N1264" s="74">
        <v>9.5000000000000001E-2</v>
      </c>
      <c r="O1264">
        <v>3</v>
      </c>
      <c r="P1264" s="84">
        <v>9.5000000000000001E-2</v>
      </c>
      <c r="Q1264" s="86">
        <v>4.2</v>
      </c>
      <c r="R1264" s="85">
        <v>4.2</v>
      </c>
      <c r="S1264" s="87">
        <v>1650640</v>
      </c>
      <c r="T1264" s="1">
        <v>1</v>
      </c>
      <c r="U1264" s="88">
        <v>393009.52380952379</v>
      </c>
      <c r="V1264" s="59">
        <v>2.5444676004458877</v>
      </c>
    </row>
    <row r="1265" spans="1:22">
      <c r="A1265" s="58">
        <v>1267</v>
      </c>
      <c r="B1265" s="58">
        <v>1267</v>
      </c>
      <c r="C1265" s="58" t="s">
        <v>1959</v>
      </c>
      <c r="D1265" s="58" t="s">
        <v>882</v>
      </c>
      <c r="E1265" s="58" t="s">
        <v>882</v>
      </c>
      <c r="F1265" s="58" t="s">
        <v>1925</v>
      </c>
      <c r="G1265" s="58" t="s">
        <v>1926</v>
      </c>
      <c r="H1265" s="58" t="s">
        <v>179</v>
      </c>
      <c r="I1265">
        <v>38000</v>
      </c>
      <c r="J1265">
        <v>38000</v>
      </c>
      <c r="K1265" s="58" t="s">
        <v>185</v>
      </c>
      <c r="L1265" s="74">
        <v>2.286</v>
      </c>
      <c r="M1265" s="85">
        <v>3</v>
      </c>
      <c r="N1265" s="74">
        <v>0.25</v>
      </c>
      <c r="O1265">
        <v>3</v>
      </c>
      <c r="P1265" s="84">
        <v>0.25</v>
      </c>
      <c r="Q1265" s="86">
        <v>4.2</v>
      </c>
      <c r="R1265" s="85">
        <v>4.2</v>
      </c>
      <c r="S1265" s="87">
        <v>558600</v>
      </c>
      <c r="T1265" s="1">
        <v>4</v>
      </c>
      <c r="U1265" s="88">
        <v>133000</v>
      </c>
      <c r="V1265" s="59">
        <v>7.518796992481203</v>
      </c>
    </row>
    <row r="1266" spans="1:22">
      <c r="A1266" s="58">
        <v>1268</v>
      </c>
      <c r="B1266" s="58">
        <v>1268</v>
      </c>
      <c r="C1266" s="58" t="s">
        <v>1960</v>
      </c>
      <c r="D1266" s="58" t="s">
        <v>410</v>
      </c>
      <c r="E1266" s="58" t="s">
        <v>410</v>
      </c>
      <c r="F1266" s="58" t="s">
        <v>1113</v>
      </c>
      <c r="G1266" s="58" t="s">
        <v>1114</v>
      </c>
      <c r="H1266" s="58" t="s">
        <v>179</v>
      </c>
      <c r="I1266">
        <v>38000</v>
      </c>
      <c r="J1266">
        <v>38000</v>
      </c>
      <c r="K1266">
        <v>10000</v>
      </c>
      <c r="L1266" s="74">
        <v>2.6509999999999998</v>
      </c>
      <c r="M1266" s="85">
        <v>3</v>
      </c>
      <c r="N1266" s="74">
        <v>0.26100000000000001</v>
      </c>
      <c r="O1266">
        <v>3</v>
      </c>
      <c r="P1266" s="84">
        <v>0.26100000000000001</v>
      </c>
      <c r="Q1266" s="86">
        <v>4.2</v>
      </c>
      <c r="R1266" s="85">
        <v>4.2</v>
      </c>
      <c r="S1266" s="87">
        <v>558600</v>
      </c>
      <c r="T1266" s="1">
        <v>4</v>
      </c>
      <c r="U1266" s="88">
        <v>133000</v>
      </c>
      <c r="V1266" s="59">
        <v>7.518796992481203</v>
      </c>
    </row>
    <row r="1267" spans="1:22">
      <c r="A1267" s="58">
        <v>1269</v>
      </c>
      <c r="B1267" s="58">
        <v>1269</v>
      </c>
      <c r="C1267" s="58" t="s">
        <v>1961</v>
      </c>
      <c r="D1267" s="58" t="s">
        <v>1169</v>
      </c>
      <c r="E1267" s="58" t="s">
        <v>1169</v>
      </c>
      <c r="F1267" s="58" t="s">
        <v>869</v>
      </c>
      <c r="G1267" s="58" t="s">
        <v>870</v>
      </c>
      <c r="H1267" s="58" t="s">
        <v>179</v>
      </c>
      <c r="I1267">
        <v>38000</v>
      </c>
      <c r="J1267">
        <v>38000</v>
      </c>
      <c r="K1267" s="58" t="s">
        <v>185</v>
      </c>
      <c r="L1267" s="74">
        <v>10.305999999999999</v>
      </c>
      <c r="M1267" s="85">
        <v>11</v>
      </c>
      <c r="N1267" s="74">
        <v>0.26300000000000001</v>
      </c>
      <c r="O1267">
        <v>3</v>
      </c>
      <c r="P1267" s="84">
        <v>0.26300000000000001</v>
      </c>
      <c r="Q1267" s="86">
        <v>4.2</v>
      </c>
      <c r="R1267" s="85">
        <v>4.2</v>
      </c>
      <c r="S1267" s="87">
        <v>1439840</v>
      </c>
      <c r="T1267" s="1">
        <v>1</v>
      </c>
      <c r="U1267" s="88">
        <v>342819.04761904763</v>
      </c>
      <c r="V1267" s="59">
        <v>2.9169907767529724</v>
      </c>
    </row>
    <row r="1268" spans="1:22">
      <c r="A1268" s="58">
        <v>1270</v>
      </c>
      <c r="B1268" s="58">
        <v>1270</v>
      </c>
      <c r="C1268" s="58" t="s">
        <v>1962</v>
      </c>
      <c r="D1268" s="58" t="s">
        <v>882</v>
      </c>
      <c r="E1268" s="58" t="s">
        <v>882</v>
      </c>
      <c r="F1268" s="58" t="s">
        <v>1921</v>
      </c>
      <c r="G1268" s="58" t="s">
        <v>1922</v>
      </c>
      <c r="H1268" s="58" t="s">
        <v>179</v>
      </c>
      <c r="I1268">
        <v>38000</v>
      </c>
      <c r="J1268">
        <v>38000</v>
      </c>
      <c r="K1268" s="58" t="s">
        <v>185</v>
      </c>
      <c r="L1268" s="74">
        <v>8.2040000000000006</v>
      </c>
      <c r="M1268" s="85">
        <v>9</v>
      </c>
      <c r="N1268" s="74">
        <v>0.23799999999999999</v>
      </c>
      <c r="O1268">
        <v>3</v>
      </c>
      <c r="P1268" s="84">
        <v>0.23799999999999999</v>
      </c>
      <c r="Q1268" s="86">
        <v>4.2</v>
      </c>
      <c r="R1268" s="85">
        <v>4.2</v>
      </c>
      <c r="S1268" s="87">
        <v>1334440</v>
      </c>
      <c r="T1268" s="1">
        <v>1</v>
      </c>
      <c r="U1268" s="88">
        <v>317723.80952380953</v>
      </c>
      <c r="V1268" s="59">
        <v>3.1473876682353645</v>
      </c>
    </row>
    <row r="1269" spans="1:22">
      <c r="A1269" s="58">
        <v>1271</v>
      </c>
      <c r="B1269" s="58">
        <v>1271</v>
      </c>
      <c r="C1269" s="58" t="s">
        <v>1963</v>
      </c>
      <c r="D1269" s="58" t="s">
        <v>852</v>
      </c>
      <c r="E1269" s="58" t="s">
        <v>852</v>
      </c>
      <c r="F1269" s="58" t="s">
        <v>1964</v>
      </c>
      <c r="G1269" s="58" t="s">
        <v>1965</v>
      </c>
      <c r="H1269" s="58" t="s">
        <v>179</v>
      </c>
      <c r="I1269">
        <v>38000</v>
      </c>
      <c r="J1269">
        <v>38000</v>
      </c>
      <c r="K1269" s="58" t="s">
        <v>185</v>
      </c>
      <c r="L1269" s="74">
        <v>2.976</v>
      </c>
      <c r="M1269" s="85">
        <v>3</v>
      </c>
      <c r="N1269" s="74">
        <v>0.17499999999999999</v>
      </c>
      <c r="O1269">
        <v>3</v>
      </c>
      <c r="P1269" s="84">
        <v>0.17499999999999999</v>
      </c>
      <c r="Q1269" s="86">
        <v>4.2</v>
      </c>
      <c r="R1269" s="85">
        <v>4.2</v>
      </c>
      <c r="S1269" s="87">
        <v>558600</v>
      </c>
      <c r="T1269" s="1">
        <v>4</v>
      </c>
      <c r="U1269" s="88">
        <v>133000</v>
      </c>
      <c r="V1269" s="59">
        <v>7.518796992481203</v>
      </c>
    </row>
    <row r="1270" spans="1:22">
      <c r="A1270" s="58">
        <v>1272</v>
      </c>
      <c r="B1270" s="58">
        <v>1272</v>
      </c>
      <c r="C1270" s="58" t="s">
        <v>1966</v>
      </c>
      <c r="D1270" s="58" t="s">
        <v>1190</v>
      </c>
      <c r="E1270" s="58" t="s">
        <v>1190</v>
      </c>
      <c r="F1270" s="58" t="s">
        <v>1967</v>
      </c>
      <c r="G1270" s="58" t="s">
        <v>1968</v>
      </c>
      <c r="H1270" s="58" t="s">
        <v>199</v>
      </c>
      <c r="I1270">
        <v>110000</v>
      </c>
      <c r="J1270">
        <v>110000</v>
      </c>
      <c r="K1270">
        <v>38000</v>
      </c>
      <c r="L1270" s="74">
        <v>11.121</v>
      </c>
      <c r="M1270" s="85">
        <v>12</v>
      </c>
      <c r="N1270" s="74">
        <v>0.19900000000000001</v>
      </c>
      <c r="O1270">
        <v>3</v>
      </c>
      <c r="P1270" s="84">
        <v>0.19900000000000001</v>
      </c>
      <c r="Q1270" s="86">
        <v>4.2</v>
      </c>
      <c r="R1270" s="85">
        <v>4.2</v>
      </c>
      <c r="S1270" s="87">
        <v>2048870</v>
      </c>
      <c r="T1270" s="1">
        <v>7</v>
      </c>
      <c r="U1270" s="88">
        <v>487826.19047619047</v>
      </c>
      <c r="V1270" s="59">
        <v>2.0499104384367968</v>
      </c>
    </row>
    <row r="1271" spans="1:22">
      <c r="A1271" s="58">
        <v>1273</v>
      </c>
      <c r="B1271" s="58">
        <v>1273</v>
      </c>
      <c r="C1271" s="58" t="s">
        <v>1969</v>
      </c>
      <c r="D1271" s="58" t="s">
        <v>384</v>
      </c>
      <c r="E1271" s="58" t="s">
        <v>384</v>
      </c>
      <c r="F1271" s="58" t="s">
        <v>1104</v>
      </c>
      <c r="G1271" s="58" t="s">
        <v>1105</v>
      </c>
      <c r="H1271" s="58" t="s">
        <v>179</v>
      </c>
      <c r="I1271">
        <v>38000</v>
      </c>
      <c r="J1271">
        <v>38000</v>
      </c>
      <c r="K1271" s="58" t="s">
        <v>185</v>
      </c>
      <c r="L1271" s="74">
        <v>5.3390000000000004</v>
      </c>
      <c r="M1271" s="85">
        <v>6</v>
      </c>
      <c r="N1271" s="74">
        <v>0.151</v>
      </c>
      <c r="O1271">
        <v>3</v>
      </c>
      <c r="P1271" s="84">
        <v>0.151</v>
      </c>
      <c r="Q1271" s="86">
        <v>4.2</v>
      </c>
      <c r="R1271" s="85">
        <v>4.2</v>
      </c>
      <c r="S1271" s="87">
        <v>769410</v>
      </c>
      <c r="T1271" s="1">
        <v>4</v>
      </c>
      <c r="U1271" s="88">
        <v>183192.85714285713</v>
      </c>
      <c r="V1271" s="59">
        <v>5.4587281163488903</v>
      </c>
    </row>
    <row r="1272" spans="1:22">
      <c r="A1272" s="58">
        <v>1274</v>
      </c>
      <c r="B1272" s="58">
        <v>1274</v>
      </c>
      <c r="C1272" s="58" t="s">
        <v>1970</v>
      </c>
      <c r="D1272" s="58" t="s">
        <v>775</v>
      </c>
      <c r="E1272" s="58" t="s">
        <v>775</v>
      </c>
      <c r="F1272" s="58" t="s">
        <v>1897</v>
      </c>
      <c r="G1272" s="58" t="s">
        <v>1898</v>
      </c>
      <c r="H1272" s="58" t="s">
        <v>179</v>
      </c>
      <c r="I1272">
        <v>38000</v>
      </c>
      <c r="J1272">
        <v>38000</v>
      </c>
      <c r="K1272">
        <v>10000</v>
      </c>
      <c r="L1272" s="74">
        <v>13.118</v>
      </c>
      <c r="M1272" s="85">
        <v>14</v>
      </c>
      <c r="N1272" s="74">
        <v>0.154</v>
      </c>
      <c r="O1272">
        <v>3</v>
      </c>
      <c r="P1272" s="84">
        <v>0.154</v>
      </c>
      <c r="Q1272" s="86">
        <v>4.2</v>
      </c>
      <c r="R1272" s="85">
        <v>4.2</v>
      </c>
      <c r="S1272" s="87">
        <v>1597940</v>
      </c>
      <c r="T1272" s="1">
        <v>1</v>
      </c>
      <c r="U1272" s="88">
        <v>380461.90476190473</v>
      </c>
      <c r="V1272" s="59">
        <v>2.6283840444572388</v>
      </c>
    </row>
    <row r="1273" spans="1:22">
      <c r="A1273" s="58">
        <v>1275</v>
      </c>
      <c r="B1273" s="58">
        <v>1275</v>
      </c>
      <c r="C1273" s="58" t="s">
        <v>1971</v>
      </c>
      <c r="D1273" s="58" t="s">
        <v>852</v>
      </c>
      <c r="E1273" s="58" t="s">
        <v>852</v>
      </c>
      <c r="F1273" s="58" t="s">
        <v>1876</v>
      </c>
      <c r="G1273" s="58" t="s">
        <v>1877</v>
      </c>
      <c r="H1273" s="58" t="s">
        <v>179</v>
      </c>
      <c r="I1273">
        <v>38000</v>
      </c>
      <c r="J1273">
        <v>38000</v>
      </c>
      <c r="K1273">
        <v>20000</v>
      </c>
      <c r="L1273" s="74">
        <v>3.8769999999999998</v>
      </c>
      <c r="M1273" s="85">
        <v>4</v>
      </c>
      <c r="N1273" s="74">
        <v>0.14799999999999999</v>
      </c>
      <c r="O1273">
        <v>3</v>
      </c>
      <c r="P1273" s="84">
        <v>0.14799999999999999</v>
      </c>
      <c r="Q1273" s="86">
        <v>4.2</v>
      </c>
      <c r="R1273" s="85">
        <v>4.2</v>
      </c>
      <c r="S1273" s="87">
        <v>628870</v>
      </c>
      <c r="T1273" s="1">
        <v>4</v>
      </c>
      <c r="U1273" s="88">
        <v>149730.95238095237</v>
      </c>
      <c r="V1273" s="59">
        <v>6.6786458250512828</v>
      </c>
    </row>
    <row r="1274" spans="1:22">
      <c r="A1274" s="58">
        <v>1276</v>
      </c>
      <c r="B1274" s="58">
        <v>1276</v>
      </c>
      <c r="C1274" s="58" t="s">
        <v>1972</v>
      </c>
      <c r="D1274" s="58" t="s">
        <v>1169</v>
      </c>
      <c r="E1274" s="58" t="s">
        <v>1169</v>
      </c>
      <c r="F1274" s="58" t="s">
        <v>1973</v>
      </c>
      <c r="G1274" s="58" t="s">
        <v>1974</v>
      </c>
      <c r="H1274" s="58" t="s">
        <v>199</v>
      </c>
      <c r="I1274">
        <v>110000</v>
      </c>
      <c r="J1274">
        <v>110000</v>
      </c>
      <c r="K1274">
        <v>38000</v>
      </c>
      <c r="L1274" s="74">
        <v>8.6460000000000008</v>
      </c>
      <c r="M1274" s="85">
        <v>9</v>
      </c>
      <c r="N1274" s="74">
        <v>0.29199999999999998</v>
      </c>
      <c r="O1274">
        <v>3</v>
      </c>
      <c r="P1274" s="84">
        <v>0.29199999999999998</v>
      </c>
      <c r="Q1274" s="86">
        <v>4.2</v>
      </c>
      <c r="R1274" s="85">
        <v>4.2</v>
      </c>
      <c r="S1274" s="87">
        <v>1890770</v>
      </c>
      <c r="T1274" s="1">
        <v>7</v>
      </c>
      <c r="U1274" s="88">
        <v>450183.33333333331</v>
      </c>
      <c r="V1274" s="59">
        <v>2.2213172411239865</v>
      </c>
    </row>
    <row r="1275" spans="1:22">
      <c r="A1275" s="58">
        <v>1277</v>
      </c>
      <c r="B1275" s="58">
        <v>1277</v>
      </c>
      <c r="C1275" s="58" t="s">
        <v>1975</v>
      </c>
      <c r="D1275" s="58" t="s">
        <v>1169</v>
      </c>
      <c r="E1275" s="58" t="s">
        <v>1169</v>
      </c>
      <c r="F1275" s="58" t="s">
        <v>1976</v>
      </c>
      <c r="G1275" s="58" t="s">
        <v>1977</v>
      </c>
      <c r="H1275" s="58" t="s">
        <v>179</v>
      </c>
      <c r="I1275">
        <v>38000</v>
      </c>
      <c r="J1275">
        <v>38000</v>
      </c>
      <c r="K1275" s="58" t="s">
        <v>185</v>
      </c>
      <c r="L1275" s="74">
        <v>6.6109999999999998</v>
      </c>
      <c r="M1275" s="85">
        <v>7</v>
      </c>
      <c r="N1275" s="74">
        <v>0.109</v>
      </c>
      <c r="O1275">
        <v>3</v>
      </c>
      <c r="P1275" s="84">
        <v>0.109</v>
      </c>
      <c r="Q1275" s="86">
        <v>4.2</v>
      </c>
      <c r="R1275" s="85">
        <v>4.2</v>
      </c>
      <c r="S1275" s="87">
        <v>839680</v>
      </c>
      <c r="T1275" s="1">
        <v>4</v>
      </c>
      <c r="U1275" s="88">
        <v>199923.80952380953</v>
      </c>
      <c r="V1275" s="59">
        <v>5.0019054878048781</v>
      </c>
    </row>
    <row r="1276" spans="1:22">
      <c r="A1276" s="58">
        <v>1278</v>
      </c>
      <c r="B1276" s="58">
        <v>1278</v>
      </c>
      <c r="C1276" s="58" t="s">
        <v>1978</v>
      </c>
      <c r="D1276" s="58" t="s">
        <v>882</v>
      </c>
      <c r="E1276" s="58" t="s">
        <v>882</v>
      </c>
      <c r="F1276" s="58" t="s">
        <v>1149</v>
      </c>
      <c r="G1276" s="58" t="s">
        <v>1150</v>
      </c>
      <c r="H1276" s="58" t="s">
        <v>179</v>
      </c>
      <c r="I1276">
        <v>38000</v>
      </c>
      <c r="J1276">
        <v>38000</v>
      </c>
      <c r="K1276" s="58" t="s">
        <v>185</v>
      </c>
      <c r="L1276" s="74">
        <v>4.984</v>
      </c>
      <c r="M1276" s="85">
        <v>5</v>
      </c>
      <c r="N1276" s="74">
        <v>0.32</v>
      </c>
      <c r="O1276">
        <v>3</v>
      </c>
      <c r="P1276" s="84">
        <v>0.32</v>
      </c>
      <c r="Q1276" s="86">
        <v>4.2</v>
      </c>
      <c r="R1276" s="85">
        <v>4.2</v>
      </c>
      <c r="S1276" s="87">
        <v>699140</v>
      </c>
      <c r="T1276" s="1">
        <v>4</v>
      </c>
      <c r="U1276" s="88">
        <v>166461.90476190476</v>
      </c>
      <c r="V1276" s="59">
        <v>6.0073804960379897</v>
      </c>
    </row>
    <row r="1277" spans="1:22">
      <c r="A1277" s="58">
        <v>1279</v>
      </c>
      <c r="B1277" s="58">
        <v>1279</v>
      </c>
      <c r="C1277" s="58" t="s">
        <v>1979</v>
      </c>
      <c r="D1277" s="58" t="s">
        <v>882</v>
      </c>
      <c r="E1277" s="58" t="s">
        <v>882</v>
      </c>
      <c r="F1277" s="58" t="s">
        <v>1980</v>
      </c>
      <c r="G1277" s="58" t="s">
        <v>1981</v>
      </c>
      <c r="H1277" s="58" t="s">
        <v>179</v>
      </c>
      <c r="I1277">
        <v>38000</v>
      </c>
      <c r="J1277">
        <v>38000</v>
      </c>
      <c r="K1277" s="58" t="s">
        <v>185</v>
      </c>
      <c r="L1277" s="74">
        <v>7.7389999999999999</v>
      </c>
      <c r="M1277" s="85">
        <v>8</v>
      </c>
      <c r="N1277" s="74">
        <v>0.161</v>
      </c>
      <c r="O1277">
        <v>3</v>
      </c>
      <c r="P1277" s="84">
        <v>0.161</v>
      </c>
      <c r="Q1277" s="86">
        <v>4.2</v>
      </c>
      <c r="R1277" s="85">
        <v>4.2</v>
      </c>
      <c r="S1277" s="87">
        <v>909950</v>
      </c>
      <c r="T1277" s="1">
        <v>4</v>
      </c>
      <c r="U1277" s="88">
        <v>216654.76190476189</v>
      </c>
      <c r="V1277" s="59">
        <v>4.6156382218803227</v>
      </c>
    </row>
    <row r="1278" spans="1:22">
      <c r="A1278" s="58">
        <v>1280</v>
      </c>
      <c r="B1278" s="58">
        <v>1280</v>
      </c>
      <c r="C1278" s="58" t="s">
        <v>1982</v>
      </c>
      <c r="D1278" s="58" t="s">
        <v>176</v>
      </c>
      <c r="E1278" s="58" t="s">
        <v>176</v>
      </c>
      <c r="F1278" s="58" t="s">
        <v>265</v>
      </c>
      <c r="G1278" s="58" t="s">
        <v>266</v>
      </c>
      <c r="H1278" s="58" t="s">
        <v>179</v>
      </c>
      <c r="I1278">
        <v>38000</v>
      </c>
      <c r="J1278">
        <v>38000</v>
      </c>
      <c r="K1278" s="58" t="s">
        <v>185</v>
      </c>
      <c r="L1278" s="74">
        <v>4.0529999999999999</v>
      </c>
      <c r="M1278" s="85">
        <v>5</v>
      </c>
      <c r="N1278" s="74">
        <v>0.11</v>
      </c>
      <c r="O1278">
        <v>3</v>
      </c>
      <c r="P1278" s="84">
        <v>0.11</v>
      </c>
      <c r="Q1278" s="86">
        <v>4.2</v>
      </c>
      <c r="R1278" s="85">
        <v>4.2</v>
      </c>
      <c r="S1278" s="87">
        <v>699140</v>
      </c>
      <c r="T1278" s="1">
        <v>4</v>
      </c>
      <c r="U1278" s="88">
        <v>166461.90476190476</v>
      </c>
      <c r="V1278" s="59">
        <v>6.0073804960379897</v>
      </c>
    </row>
    <row r="1279" spans="1:22">
      <c r="A1279" s="58">
        <v>1281</v>
      </c>
      <c r="B1279" s="58">
        <v>1281</v>
      </c>
      <c r="C1279" s="58" t="s">
        <v>1983</v>
      </c>
      <c r="D1279" s="58" t="s">
        <v>380</v>
      </c>
      <c r="E1279" s="58" t="s">
        <v>380</v>
      </c>
      <c r="F1279" s="58" t="s">
        <v>1146</v>
      </c>
      <c r="G1279" s="58" t="s">
        <v>1147</v>
      </c>
      <c r="H1279" s="58" t="s">
        <v>179</v>
      </c>
      <c r="I1279">
        <v>38000</v>
      </c>
      <c r="J1279" s="58" t="s">
        <v>185</v>
      </c>
      <c r="K1279">
        <v>38000</v>
      </c>
      <c r="L1279" s="74">
        <v>6.399</v>
      </c>
      <c r="M1279" s="85">
        <v>7</v>
      </c>
      <c r="N1279" s="74">
        <v>0.17</v>
      </c>
      <c r="O1279">
        <v>3</v>
      </c>
      <c r="P1279" s="84">
        <v>0.17</v>
      </c>
      <c r="Q1279" s="86">
        <v>4.2</v>
      </c>
      <c r="R1279" s="85">
        <v>4.2</v>
      </c>
      <c r="S1279" s="87">
        <v>839680</v>
      </c>
      <c r="T1279" s="1">
        <v>4</v>
      </c>
      <c r="U1279" s="88">
        <v>199923.80952380953</v>
      </c>
      <c r="V1279" s="59">
        <v>5.0019054878048781</v>
      </c>
    </row>
    <row r="1280" spans="1:22">
      <c r="A1280" s="58">
        <v>1282</v>
      </c>
      <c r="B1280" s="58">
        <v>1282</v>
      </c>
      <c r="C1280" s="58" t="s">
        <v>1984</v>
      </c>
      <c r="D1280" s="58" t="s">
        <v>197</v>
      </c>
      <c r="E1280" s="58" t="s">
        <v>197</v>
      </c>
      <c r="F1280" s="58" t="s">
        <v>494</v>
      </c>
      <c r="G1280" s="58" t="s">
        <v>495</v>
      </c>
      <c r="H1280" s="58" t="s">
        <v>179</v>
      </c>
      <c r="I1280">
        <v>38000</v>
      </c>
      <c r="J1280">
        <v>38000</v>
      </c>
      <c r="K1280">
        <v>10000</v>
      </c>
      <c r="L1280" s="74">
        <v>5.0430000000000001</v>
      </c>
      <c r="M1280" s="85">
        <v>6</v>
      </c>
      <c r="N1280" s="74">
        <v>0.16200000000000001</v>
      </c>
      <c r="O1280">
        <v>3</v>
      </c>
      <c r="P1280" s="84">
        <v>0.16200000000000001</v>
      </c>
      <c r="Q1280" s="86">
        <v>4.2</v>
      </c>
      <c r="R1280" s="85">
        <v>4.2</v>
      </c>
      <c r="S1280" s="87">
        <v>769410</v>
      </c>
      <c r="T1280" s="1">
        <v>4</v>
      </c>
      <c r="U1280" s="88">
        <v>183192.85714285713</v>
      </c>
      <c r="V1280" s="59">
        <v>5.4587281163488903</v>
      </c>
    </row>
    <row r="1281" spans="1:22">
      <c r="A1281" s="58">
        <v>1283</v>
      </c>
      <c r="B1281" s="58">
        <v>1283</v>
      </c>
      <c r="C1281" s="58" t="s">
        <v>1985</v>
      </c>
      <c r="D1281" s="58" t="s">
        <v>1169</v>
      </c>
      <c r="E1281" s="58" t="s">
        <v>1169</v>
      </c>
      <c r="F1281" s="58" t="s">
        <v>1935</v>
      </c>
      <c r="G1281" s="58" t="s">
        <v>1936</v>
      </c>
      <c r="H1281" s="58" t="s">
        <v>179</v>
      </c>
      <c r="I1281">
        <v>38000</v>
      </c>
      <c r="J1281">
        <v>38000</v>
      </c>
      <c r="K1281" s="58" t="s">
        <v>185</v>
      </c>
      <c r="L1281" s="74">
        <v>11.711</v>
      </c>
      <c r="M1281" s="85">
        <v>12</v>
      </c>
      <c r="N1281" s="74">
        <v>0.23499999999999999</v>
      </c>
      <c r="O1281">
        <v>3</v>
      </c>
      <c r="P1281" s="84">
        <v>0.23499999999999999</v>
      </c>
      <c r="Q1281" s="86">
        <v>4.2</v>
      </c>
      <c r="R1281" s="85">
        <v>4.2</v>
      </c>
      <c r="S1281" s="87">
        <v>1492540</v>
      </c>
      <c r="T1281" s="1">
        <v>1</v>
      </c>
      <c r="U1281" s="88">
        <v>355366.66666666663</v>
      </c>
      <c r="V1281" s="59">
        <v>2.8139949348091173</v>
      </c>
    </row>
    <row r="1282" spans="1:22">
      <c r="A1282" s="58">
        <v>1284</v>
      </c>
      <c r="B1282" s="58">
        <v>1284</v>
      </c>
      <c r="C1282" s="58" t="s">
        <v>1986</v>
      </c>
      <c r="D1282" s="58" t="s">
        <v>215</v>
      </c>
      <c r="E1282" s="58" t="s">
        <v>775</v>
      </c>
      <c r="F1282" s="58" t="s">
        <v>1987</v>
      </c>
      <c r="G1282" s="58" t="s">
        <v>1988</v>
      </c>
      <c r="H1282" s="58" t="s">
        <v>179</v>
      </c>
      <c r="I1282">
        <v>38000</v>
      </c>
      <c r="J1282">
        <v>38000</v>
      </c>
      <c r="K1282" s="58" t="s">
        <v>185</v>
      </c>
      <c r="L1282" s="74">
        <v>1.659</v>
      </c>
      <c r="M1282" s="85">
        <v>2</v>
      </c>
      <c r="N1282" s="74">
        <v>0.109</v>
      </c>
      <c r="O1282">
        <v>3</v>
      </c>
      <c r="P1282" s="84">
        <v>0.109</v>
      </c>
      <c r="Q1282" s="86">
        <v>4.2</v>
      </c>
      <c r="R1282" s="85">
        <v>4.2</v>
      </c>
      <c r="S1282" s="87">
        <v>488330</v>
      </c>
      <c r="T1282" s="1">
        <v>4</v>
      </c>
      <c r="U1282" s="88">
        <v>116269.04761904762</v>
      </c>
      <c r="V1282" s="59">
        <v>8.6007413019884087</v>
      </c>
    </row>
    <row r="1283" spans="1:22">
      <c r="A1283" s="58">
        <v>1285</v>
      </c>
      <c r="B1283" s="58">
        <v>1285</v>
      </c>
      <c r="C1283" s="58" t="s">
        <v>1989</v>
      </c>
      <c r="D1283" s="58" t="s">
        <v>450</v>
      </c>
      <c r="E1283" s="58" t="s">
        <v>1169</v>
      </c>
      <c r="F1283" s="58" t="s">
        <v>883</v>
      </c>
      <c r="G1283" s="58" t="s">
        <v>884</v>
      </c>
      <c r="H1283" s="58" t="s">
        <v>179</v>
      </c>
      <c r="I1283">
        <v>38000</v>
      </c>
      <c r="J1283">
        <v>20000</v>
      </c>
      <c r="K1283">
        <v>38000</v>
      </c>
      <c r="L1283" s="74">
        <v>3.5720000000000001</v>
      </c>
      <c r="M1283" s="85">
        <v>4</v>
      </c>
      <c r="N1283" s="74">
        <v>0.121</v>
      </c>
      <c r="O1283">
        <v>3</v>
      </c>
      <c r="P1283" s="84">
        <v>0.121</v>
      </c>
      <c r="Q1283" s="86">
        <v>4.2</v>
      </c>
      <c r="R1283" s="85">
        <v>4.2</v>
      </c>
      <c r="S1283" s="87">
        <v>628870</v>
      </c>
      <c r="T1283" s="1">
        <v>4</v>
      </c>
      <c r="U1283" s="88">
        <v>149730.95238095237</v>
      </c>
      <c r="V1283" s="59">
        <v>6.6786458250512828</v>
      </c>
    </row>
    <row r="1284" spans="1:22">
      <c r="A1284" s="58">
        <v>1286</v>
      </c>
      <c r="B1284" s="58">
        <v>1286</v>
      </c>
      <c r="C1284" s="58" t="s">
        <v>1990</v>
      </c>
      <c r="D1284" s="58" t="s">
        <v>1169</v>
      </c>
      <c r="E1284" s="58" t="s">
        <v>1169</v>
      </c>
      <c r="F1284" s="58" t="s">
        <v>1976</v>
      </c>
      <c r="G1284" s="58" t="s">
        <v>1977</v>
      </c>
      <c r="H1284" s="58" t="s">
        <v>179</v>
      </c>
      <c r="I1284">
        <v>38000</v>
      </c>
      <c r="J1284">
        <v>38000</v>
      </c>
      <c r="K1284" s="58" t="s">
        <v>185</v>
      </c>
      <c r="L1284" s="74">
        <v>8.9949999999999992</v>
      </c>
      <c r="M1284" s="85">
        <v>9</v>
      </c>
      <c r="N1284" s="74">
        <v>0.156</v>
      </c>
      <c r="O1284">
        <v>3</v>
      </c>
      <c r="P1284" s="84">
        <v>0.156</v>
      </c>
      <c r="Q1284" s="86">
        <v>4.2</v>
      </c>
      <c r="R1284" s="85">
        <v>4.2</v>
      </c>
      <c r="S1284" s="87">
        <v>1334440</v>
      </c>
      <c r="T1284" s="1">
        <v>1</v>
      </c>
      <c r="U1284" s="88">
        <v>317723.80952380953</v>
      </c>
      <c r="V1284" s="59">
        <v>3.1473876682353645</v>
      </c>
    </row>
    <row r="1285" spans="1:22">
      <c r="A1285" s="58">
        <v>1287</v>
      </c>
      <c r="B1285" s="58">
        <v>1287</v>
      </c>
      <c r="C1285" s="58" t="s">
        <v>1991</v>
      </c>
      <c r="D1285" s="58" t="s">
        <v>215</v>
      </c>
      <c r="E1285" s="58" t="s">
        <v>215</v>
      </c>
      <c r="F1285" s="58" t="s">
        <v>1661</v>
      </c>
      <c r="G1285" s="58" t="s">
        <v>1662</v>
      </c>
      <c r="H1285" s="58" t="s">
        <v>179</v>
      </c>
      <c r="I1285">
        <v>38000</v>
      </c>
      <c r="J1285">
        <v>38000</v>
      </c>
      <c r="K1285" s="58" t="s">
        <v>185</v>
      </c>
      <c r="L1285" s="74">
        <v>10.297000000000001</v>
      </c>
      <c r="M1285" s="85">
        <v>11</v>
      </c>
      <c r="N1285" s="74">
        <v>0.11</v>
      </c>
      <c r="O1285">
        <v>3</v>
      </c>
      <c r="P1285" s="84">
        <v>0.11</v>
      </c>
      <c r="Q1285" s="86">
        <v>4.2</v>
      </c>
      <c r="R1285" s="85">
        <v>4.2</v>
      </c>
      <c r="S1285" s="87">
        <v>1439840</v>
      </c>
      <c r="T1285" s="1">
        <v>1</v>
      </c>
      <c r="U1285" s="88">
        <v>342819.04761904763</v>
      </c>
      <c r="V1285" s="59">
        <v>2.9169907767529724</v>
      </c>
    </row>
    <row r="1286" spans="1:22">
      <c r="A1286" s="58">
        <v>1288</v>
      </c>
      <c r="B1286" s="58">
        <v>1288</v>
      </c>
      <c r="C1286" s="58" t="s">
        <v>1992</v>
      </c>
      <c r="D1286" s="58" t="s">
        <v>410</v>
      </c>
      <c r="E1286" s="58" t="s">
        <v>410</v>
      </c>
      <c r="F1286" s="58" t="s">
        <v>1993</v>
      </c>
      <c r="G1286" s="58" t="s">
        <v>1994</v>
      </c>
      <c r="H1286" s="58" t="s">
        <v>179</v>
      </c>
      <c r="I1286">
        <v>38000</v>
      </c>
      <c r="J1286">
        <v>38000</v>
      </c>
      <c r="K1286" s="58" t="s">
        <v>185</v>
      </c>
      <c r="L1286" s="74">
        <v>8.4779999999999998</v>
      </c>
      <c r="M1286" s="85">
        <v>9</v>
      </c>
      <c r="N1286" s="74">
        <v>0.20200000000000001</v>
      </c>
      <c r="O1286">
        <v>3</v>
      </c>
      <c r="P1286" s="84">
        <v>0.20200000000000001</v>
      </c>
      <c r="Q1286" s="86">
        <v>4.2</v>
      </c>
      <c r="R1286" s="85">
        <v>4.2</v>
      </c>
      <c r="S1286" s="87">
        <v>1334440</v>
      </c>
      <c r="T1286" s="1">
        <v>1</v>
      </c>
      <c r="U1286" s="88">
        <v>317723.80952380953</v>
      </c>
      <c r="V1286" s="59">
        <v>3.1473876682353645</v>
      </c>
    </row>
    <row r="1287" spans="1:22">
      <c r="A1287" s="58">
        <v>1289</v>
      </c>
      <c r="B1287" s="58">
        <v>1289</v>
      </c>
      <c r="C1287" s="58" t="s">
        <v>1995</v>
      </c>
      <c r="D1287" s="58" t="s">
        <v>410</v>
      </c>
      <c r="E1287" s="58" t="s">
        <v>410</v>
      </c>
      <c r="F1287" s="58" t="s">
        <v>1996</v>
      </c>
      <c r="G1287" s="58" t="s">
        <v>1997</v>
      </c>
      <c r="H1287" s="58" t="s">
        <v>179</v>
      </c>
      <c r="I1287">
        <v>38000</v>
      </c>
      <c r="J1287">
        <v>38000</v>
      </c>
      <c r="K1287" s="58" t="s">
        <v>185</v>
      </c>
      <c r="L1287" s="74">
        <v>10.170999999999999</v>
      </c>
      <c r="M1287" s="85">
        <v>11</v>
      </c>
      <c r="N1287" s="74">
        <v>9.6000000000000002E-2</v>
      </c>
      <c r="O1287">
        <v>3</v>
      </c>
      <c r="P1287" s="84">
        <v>9.6000000000000002E-2</v>
      </c>
      <c r="Q1287" s="86">
        <v>4.2</v>
      </c>
      <c r="R1287" s="85">
        <v>4.2</v>
      </c>
      <c r="S1287" s="87">
        <v>1439840</v>
      </c>
      <c r="T1287" s="1">
        <v>1</v>
      </c>
      <c r="U1287" s="88">
        <v>342819.04761904763</v>
      </c>
      <c r="V1287" s="59">
        <v>2.9169907767529724</v>
      </c>
    </row>
    <row r="1288" spans="1:22">
      <c r="A1288" s="58">
        <v>1290</v>
      </c>
      <c r="B1288" s="58">
        <v>1290</v>
      </c>
      <c r="C1288" s="58" t="s">
        <v>1998</v>
      </c>
      <c r="D1288" s="58" t="s">
        <v>489</v>
      </c>
      <c r="E1288" s="58" t="s">
        <v>489</v>
      </c>
      <c r="F1288" s="58" t="s">
        <v>1161</v>
      </c>
      <c r="G1288" s="58" t="s">
        <v>1162</v>
      </c>
      <c r="H1288" s="58" t="s">
        <v>179</v>
      </c>
      <c r="I1288">
        <v>38000</v>
      </c>
      <c r="J1288">
        <v>38000</v>
      </c>
      <c r="K1288" s="58" t="s">
        <v>185</v>
      </c>
      <c r="L1288" s="74">
        <v>8.8919999999999995</v>
      </c>
      <c r="M1288" s="85">
        <v>9</v>
      </c>
      <c r="N1288" s="74">
        <v>0.251</v>
      </c>
      <c r="O1288">
        <v>3</v>
      </c>
      <c r="P1288" s="84">
        <v>0.251</v>
      </c>
      <c r="Q1288" s="86">
        <v>4.2</v>
      </c>
      <c r="R1288" s="85">
        <v>4.2</v>
      </c>
      <c r="S1288" s="87">
        <v>1334440</v>
      </c>
      <c r="T1288" s="1">
        <v>1</v>
      </c>
      <c r="U1288" s="88">
        <v>317723.80952380953</v>
      </c>
      <c r="V1288" s="59">
        <v>3.1473876682353645</v>
      </c>
    </row>
    <row r="1289" spans="1:22">
      <c r="A1289" s="58">
        <v>1291</v>
      </c>
      <c r="B1289" s="58">
        <v>1291</v>
      </c>
      <c r="C1289" s="58" t="s">
        <v>1999</v>
      </c>
      <c r="D1289" s="58" t="s">
        <v>1169</v>
      </c>
      <c r="E1289" s="58" t="s">
        <v>1169</v>
      </c>
      <c r="F1289" s="58" t="s">
        <v>1170</v>
      </c>
      <c r="G1289" s="58" t="s">
        <v>1171</v>
      </c>
      <c r="H1289" s="58" t="s">
        <v>179</v>
      </c>
      <c r="I1289">
        <v>38000</v>
      </c>
      <c r="J1289">
        <v>38000</v>
      </c>
      <c r="K1289" s="58" t="s">
        <v>185</v>
      </c>
      <c r="L1289" s="74">
        <v>10.951000000000001</v>
      </c>
      <c r="M1289" s="85">
        <v>11</v>
      </c>
      <c r="N1289" s="74">
        <v>0.13500000000000001</v>
      </c>
      <c r="O1289">
        <v>3</v>
      </c>
      <c r="P1289" s="84">
        <v>0.13500000000000001</v>
      </c>
      <c r="Q1289" s="86">
        <v>4.2</v>
      </c>
      <c r="R1289" s="85">
        <v>4.2</v>
      </c>
      <c r="S1289" s="87">
        <v>1439840</v>
      </c>
      <c r="T1289" s="1">
        <v>1</v>
      </c>
      <c r="U1289" s="88">
        <v>342819.04761904763</v>
      </c>
      <c r="V1289" s="59">
        <v>2.9169907767529724</v>
      </c>
    </row>
    <row r="1290" spans="1:22">
      <c r="A1290" s="58">
        <v>1292</v>
      </c>
      <c r="B1290" s="58">
        <v>1292</v>
      </c>
      <c r="C1290" s="58" t="s">
        <v>2000</v>
      </c>
      <c r="D1290" s="58" t="s">
        <v>410</v>
      </c>
      <c r="E1290" s="58" t="s">
        <v>410</v>
      </c>
      <c r="F1290" s="58" t="s">
        <v>1879</v>
      </c>
      <c r="G1290" s="58" t="s">
        <v>1880</v>
      </c>
      <c r="H1290" s="58" t="s">
        <v>199</v>
      </c>
      <c r="I1290">
        <v>110000</v>
      </c>
      <c r="J1290">
        <v>110000</v>
      </c>
      <c r="K1290">
        <v>38000</v>
      </c>
      <c r="L1290" s="74">
        <v>2.6880000000000002</v>
      </c>
      <c r="M1290" s="85">
        <v>3</v>
      </c>
      <c r="N1290" s="74">
        <v>0.113</v>
      </c>
      <c r="O1290">
        <v>3</v>
      </c>
      <c r="P1290" s="84">
        <v>0.113</v>
      </c>
      <c r="Q1290" s="86">
        <v>4.2</v>
      </c>
      <c r="R1290" s="85">
        <v>4.2</v>
      </c>
      <c r="S1290" s="87">
        <v>1574570</v>
      </c>
      <c r="T1290" s="1">
        <v>7</v>
      </c>
      <c r="U1290" s="88">
        <v>374897.61904761905</v>
      </c>
      <c r="V1290" s="59">
        <v>2.6673949078161021</v>
      </c>
    </row>
    <row r="1291" spans="1:22">
      <c r="A1291" s="58">
        <v>1293</v>
      </c>
      <c r="B1291" s="58">
        <v>1293</v>
      </c>
      <c r="C1291" s="58" t="s">
        <v>2001</v>
      </c>
      <c r="D1291" s="58" t="s">
        <v>1169</v>
      </c>
      <c r="E1291" s="58" t="s">
        <v>1169</v>
      </c>
      <c r="F1291" s="58" t="s">
        <v>883</v>
      </c>
      <c r="G1291" s="58" t="s">
        <v>884</v>
      </c>
      <c r="H1291" s="58" t="s">
        <v>179</v>
      </c>
      <c r="I1291">
        <v>38000</v>
      </c>
      <c r="J1291">
        <v>20000</v>
      </c>
      <c r="K1291">
        <v>38000</v>
      </c>
      <c r="L1291" s="74">
        <v>8.657</v>
      </c>
      <c r="M1291" s="85">
        <v>9</v>
      </c>
      <c r="N1291" s="74">
        <v>0.20300000000000001</v>
      </c>
      <c r="O1291">
        <v>3</v>
      </c>
      <c r="P1291" s="84">
        <v>0.20300000000000001</v>
      </c>
      <c r="Q1291" s="86">
        <v>4.2</v>
      </c>
      <c r="R1291" s="85">
        <v>4.2</v>
      </c>
      <c r="S1291" s="87">
        <v>1334440</v>
      </c>
      <c r="T1291" s="1">
        <v>1</v>
      </c>
      <c r="U1291" s="88">
        <v>317723.80952380953</v>
      </c>
      <c r="V1291" s="59">
        <v>3.1473876682353645</v>
      </c>
    </row>
    <row r="1292" spans="1:22">
      <c r="A1292" s="58">
        <v>1294</v>
      </c>
      <c r="B1292" s="58">
        <v>1294</v>
      </c>
      <c r="C1292" s="58" t="s">
        <v>2002</v>
      </c>
      <c r="D1292" s="58" t="s">
        <v>176</v>
      </c>
      <c r="E1292" s="58" t="s">
        <v>176</v>
      </c>
      <c r="F1292" s="58" t="s">
        <v>2003</v>
      </c>
      <c r="G1292" s="58" t="s">
        <v>2004</v>
      </c>
      <c r="H1292" s="58" t="s">
        <v>179</v>
      </c>
      <c r="I1292">
        <v>38000</v>
      </c>
      <c r="J1292" s="58" t="s">
        <v>185</v>
      </c>
      <c r="K1292">
        <v>38000</v>
      </c>
      <c r="L1292" s="74">
        <v>1.845</v>
      </c>
      <c r="M1292" s="85">
        <v>2</v>
      </c>
      <c r="N1292" s="74">
        <v>0.153</v>
      </c>
      <c r="O1292">
        <v>3</v>
      </c>
      <c r="P1292" s="84">
        <v>0.153</v>
      </c>
      <c r="Q1292" s="86">
        <v>4.2</v>
      </c>
      <c r="R1292" s="85">
        <v>4.2</v>
      </c>
      <c r="S1292" s="87">
        <v>488330</v>
      </c>
      <c r="T1292" s="1">
        <v>4</v>
      </c>
      <c r="U1292" s="88">
        <v>116269.04761904762</v>
      </c>
      <c r="V1292" s="59">
        <v>8.6007413019884087</v>
      </c>
    </row>
    <row r="1293" spans="1:22">
      <c r="A1293" s="58">
        <v>1295</v>
      </c>
      <c r="B1293" s="58">
        <v>1295</v>
      </c>
      <c r="C1293" s="58" t="s">
        <v>2005</v>
      </c>
      <c r="D1293" s="58" t="s">
        <v>176</v>
      </c>
      <c r="E1293" s="58" t="s">
        <v>176</v>
      </c>
      <c r="F1293" s="58" t="s">
        <v>928</v>
      </c>
      <c r="G1293" s="58" t="s">
        <v>929</v>
      </c>
      <c r="H1293" s="58" t="s">
        <v>199</v>
      </c>
      <c r="I1293">
        <v>110000</v>
      </c>
      <c r="J1293">
        <v>110000</v>
      </c>
      <c r="K1293">
        <v>38000</v>
      </c>
      <c r="L1293" s="74">
        <v>4.5</v>
      </c>
      <c r="M1293" s="85">
        <v>5</v>
      </c>
      <c r="N1293" s="74">
        <v>0.109</v>
      </c>
      <c r="O1293">
        <v>3</v>
      </c>
      <c r="P1293" s="84">
        <v>0.109</v>
      </c>
      <c r="Q1293" s="86">
        <v>4.2</v>
      </c>
      <c r="R1293" s="85">
        <v>4.2</v>
      </c>
      <c r="S1293" s="87">
        <v>1679970</v>
      </c>
      <c r="T1293" s="1">
        <v>7</v>
      </c>
      <c r="U1293" s="88">
        <v>399992.8571428571</v>
      </c>
      <c r="V1293" s="59">
        <v>2.5000446436543511</v>
      </c>
    </row>
    <row r="1294" spans="1:22">
      <c r="A1294" s="58">
        <v>1296</v>
      </c>
      <c r="B1294" s="58">
        <v>1296</v>
      </c>
      <c r="C1294" s="58" t="s">
        <v>2006</v>
      </c>
      <c r="D1294" s="58" t="s">
        <v>249</v>
      </c>
      <c r="E1294" s="58" t="s">
        <v>249</v>
      </c>
      <c r="F1294" s="58" t="s">
        <v>422</v>
      </c>
      <c r="G1294" s="58" t="s">
        <v>423</v>
      </c>
      <c r="H1294" s="58" t="s">
        <v>199</v>
      </c>
      <c r="I1294">
        <v>110000</v>
      </c>
      <c r="J1294">
        <v>110000</v>
      </c>
      <c r="K1294">
        <v>20000</v>
      </c>
      <c r="L1294" s="74">
        <v>12.611000000000001</v>
      </c>
      <c r="M1294" s="85">
        <v>13</v>
      </c>
      <c r="N1294" s="74">
        <v>0.18099999999999999</v>
      </c>
      <c r="O1294">
        <v>3</v>
      </c>
      <c r="P1294" s="84">
        <v>0.18099999999999999</v>
      </c>
      <c r="Q1294" s="86">
        <v>4.2</v>
      </c>
      <c r="R1294" s="85">
        <v>4.2</v>
      </c>
      <c r="S1294" s="87">
        <v>2101570</v>
      </c>
      <c r="T1294" s="1">
        <v>7</v>
      </c>
      <c r="U1294" s="88">
        <v>500373.80952380953</v>
      </c>
      <c r="V1294" s="59">
        <v>1.9985058789381271</v>
      </c>
    </row>
    <row r="1295" spans="1:22">
      <c r="A1295" s="58">
        <v>1297</v>
      </c>
      <c r="B1295" s="58">
        <v>1297</v>
      </c>
      <c r="C1295" s="58" t="s">
        <v>2007</v>
      </c>
      <c r="D1295" s="58" t="s">
        <v>249</v>
      </c>
      <c r="E1295" s="58" t="s">
        <v>249</v>
      </c>
      <c r="F1295" s="58" t="s">
        <v>250</v>
      </c>
      <c r="G1295" s="58" t="s">
        <v>251</v>
      </c>
      <c r="H1295" s="58" t="s">
        <v>199</v>
      </c>
      <c r="I1295">
        <v>110000</v>
      </c>
      <c r="L1295" s="74">
        <v>15.879</v>
      </c>
      <c r="M1295" s="85">
        <v>16</v>
      </c>
      <c r="N1295" s="74">
        <v>0.30499999999999999</v>
      </c>
      <c r="O1295">
        <v>3</v>
      </c>
      <c r="P1295" s="84">
        <v>0.30499999999999999</v>
      </c>
      <c r="Q1295" s="86">
        <v>4.2</v>
      </c>
      <c r="R1295" s="85">
        <v>4.2</v>
      </c>
      <c r="S1295" s="87">
        <v>2259670</v>
      </c>
      <c r="T1295" s="1">
        <v>7</v>
      </c>
      <c r="U1295" s="88">
        <v>538016.66666666663</v>
      </c>
      <c r="V1295" s="59">
        <v>1.8586784796010036</v>
      </c>
    </row>
    <row r="1296" spans="1:22">
      <c r="A1296" s="58">
        <v>1298</v>
      </c>
      <c r="B1296" s="58">
        <v>1298</v>
      </c>
      <c r="C1296" s="58" t="s">
        <v>2008</v>
      </c>
      <c r="D1296" s="58" t="s">
        <v>182</v>
      </c>
      <c r="E1296" s="58" t="s">
        <v>182</v>
      </c>
      <c r="F1296" s="58" t="s">
        <v>595</v>
      </c>
      <c r="G1296" s="58" t="s">
        <v>596</v>
      </c>
      <c r="H1296" s="58" t="s">
        <v>179</v>
      </c>
      <c r="I1296">
        <v>38000</v>
      </c>
      <c r="J1296">
        <v>38000</v>
      </c>
      <c r="K1296" s="58" t="s">
        <v>185</v>
      </c>
      <c r="L1296" s="74">
        <v>6.1369999999999996</v>
      </c>
      <c r="M1296" s="85">
        <v>7</v>
      </c>
      <c r="N1296" s="74">
        <v>0.107</v>
      </c>
      <c r="O1296">
        <v>3</v>
      </c>
      <c r="P1296" s="84">
        <v>0.107</v>
      </c>
      <c r="Q1296" s="86">
        <v>4.2</v>
      </c>
      <c r="R1296" s="85">
        <v>4.2</v>
      </c>
      <c r="S1296" s="87">
        <v>839680</v>
      </c>
      <c r="T1296" s="1">
        <v>4</v>
      </c>
      <c r="U1296" s="88">
        <v>199923.80952380953</v>
      </c>
      <c r="V1296" s="59">
        <v>5.0019054878048781</v>
      </c>
    </row>
    <row r="1297" spans="1:22">
      <c r="A1297" s="58">
        <v>1299</v>
      </c>
      <c r="B1297" s="58">
        <v>1299</v>
      </c>
      <c r="C1297" s="58" t="s">
        <v>2009</v>
      </c>
      <c r="D1297" s="58" t="s">
        <v>182</v>
      </c>
      <c r="E1297" s="58" t="s">
        <v>182</v>
      </c>
      <c r="F1297" s="58" t="s">
        <v>595</v>
      </c>
      <c r="G1297" s="58" t="s">
        <v>596</v>
      </c>
      <c r="H1297" s="58" t="s">
        <v>179</v>
      </c>
      <c r="I1297">
        <v>38000</v>
      </c>
      <c r="J1297">
        <v>38000</v>
      </c>
      <c r="K1297" s="58" t="s">
        <v>185</v>
      </c>
      <c r="L1297" s="74">
        <v>6.923</v>
      </c>
      <c r="M1297" s="85">
        <v>7</v>
      </c>
      <c r="N1297" s="74">
        <v>0.14000000000000001</v>
      </c>
      <c r="O1297">
        <v>3</v>
      </c>
      <c r="P1297" s="84">
        <v>0.14000000000000001</v>
      </c>
      <c r="Q1297" s="86">
        <v>4.2</v>
      </c>
      <c r="R1297" s="85">
        <v>4.2</v>
      </c>
      <c r="S1297" s="87">
        <v>839680</v>
      </c>
      <c r="T1297" s="1">
        <v>4</v>
      </c>
      <c r="U1297" s="88">
        <v>199923.80952380953</v>
      </c>
      <c r="V1297" s="59">
        <v>5.0019054878048781</v>
      </c>
    </row>
    <row r="1298" spans="1:22">
      <c r="A1298" s="58">
        <v>1300</v>
      </c>
      <c r="B1298" s="58">
        <v>1300</v>
      </c>
      <c r="C1298" s="58" t="s">
        <v>2010</v>
      </c>
      <c r="D1298" s="58" t="s">
        <v>351</v>
      </c>
      <c r="E1298" s="58" t="s">
        <v>351</v>
      </c>
      <c r="F1298" s="58" t="s">
        <v>422</v>
      </c>
      <c r="G1298" s="58" t="s">
        <v>423</v>
      </c>
      <c r="H1298" s="58" t="s">
        <v>199</v>
      </c>
      <c r="I1298">
        <v>110000</v>
      </c>
      <c r="J1298">
        <v>110000</v>
      </c>
      <c r="K1298">
        <v>20000</v>
      </c>
      <c r="L1298" s="74">
        <v>7.2770000000000001</v>
      </c>
      <c r="M1298" s="85">
        <v>8</v>
      </c>
      <c r="N1298" s="74">
        <v>0.221</v>
      </c>
      <c r="O1298">
        <v>3</v>
      </c>
      <c r="P1298" s="84">
        <v>0.221</v>
      </c>
      <c r="Q1298" s="86">
        <v>4.2</v>
      </c>
      <c r="R1298" s="85">
        <v>4.2</v>
      </c>
      <c r="S1298" s="87">
        <v>1838070</v>
      </c>
      <c r="T1298" s="1">
        <v>7</v>
      </c>
      <c r="U1298" s="88">
        <v>437635.71428571426</v>
      </c>
      <c r="V1298" s="59">
        <v>2.2850054676916547</v>
      </c>
    </row>
    <row r="1299" spans="1:22">
      <c r="A1299" s="58">
        <v>1301</v>
      </c>
      <c r="B1299" s="58">
        <v>1301</v>
      </c>
      <c r="C1299" s="58" t="s">
        <v>2011</v>
      </c>
      <c r="D1299" s="58" t="s">
        <v>346</v>
      </c>
      <c r="E1299" s="58" t="s">
        <v>346</v>
      </c>
      <c r="F1299" s="58" t="s">
        <v>347</v>
      </c>
      <c r="G1299" s="58" t="s">
        <v>348</v>
      </c>
      <c r="H1299" s="58" t="s">
        <v>199</v>
      </c>
      <c r="I1299">
        <v>110000</v>
      </c>
      <c r="J1299">
        <v>110000</v>
      </c>
      <c r="K1299" s="58" t="s">
        <v>200</v>
      </c>
      <c r="L1299" s="74">
        <v>1.907</v>
      </c>
      <c r="M1299" s="85">
        <v>2</v>
      </c>
      <c r="N1299" s="74">
        <v>0.184</v>
      </c>
      <c r="O1299">
        <v>3</v>
      </c>
      <c r="P1299" s="84">
        <v>0.184</v>
      </c>
      <c r="Q1299" s="86">
        <v>4.2</v>
      </c>
      <c r="R1299" s="85">
        <v>4.2</v>
      </c>
      <c r="S1299" s="87">
        <v>1340080</v>
      </c>
      <c r="T1299" s="1">
        <v>11</v>
      </c>
      <c r="U1299" s="88">
        <v>319066.66666666663</v>
      </c>
      <c r="V1299" s="59">
        <v>3.134141245298788</v>
      </c>
    </row>
    <row r="1300" spans="1:22">
      <c r="A1300" s="58">
        <v>1302</v>
      </c>
      <c r="B1300" s="58">
        <v>1302</v>
      </c>
      <c r="C1300" s="58" t="s">
        <v>2012</v>
      </c>
      <c r="D1300" s="58" t="s">
        <v>346</v>
      </c>
      <c r="E1300" s="58" t="s">
        <v>346</v>
      </c>
      <c r="F1300" s="58" t="s">
        <v>347</v>
      </c>
      <c r="G1300" s="58" t="s">
        <v>348</v>
      </c>
      <c r="H1300" s="58" t="s">
        <v>199</v>
      </c>
      <c r="I1300">
        <v>110000</v>
      </c>
      <c r="J1300">
        <v>110000</v>
      </c>
      <c r="K1300" s="58" t="s">
        <v>200</v>
      </c>
      <c r="L1300" s="74">
        <v>3.3889999999999998</v>
      </c>
      <c r="M1300" s="85">
        <v>4</v>
      </c>
      <c r="N1300" s="74">
        <v>0.185</v>
      </c>
      <c r="O1300">
        <v>3</v>
      </c>
      <c r="P1300" s="84">
        <v>0.185</v>
      </c>
      <c r="Q1300" s="86">
        <v>4.2</v>
      </c>
      <c r="R1300" s="85">
        <v>4.2</v>
      </c>
      <c r="S1300" s="87">
        <v>1627270</v>
      </c>
      <c r="T1300" s="1">
        <v>7</v>
      </c>
      <c r="U1300" s="88">
        <v>387445.23809523811</v>
      </c>
      <c r="V1300" s="59">
        <v>2.5810099123071155</v>
      </c>
    </row>
    <row r="1301" spans="1:22">
      <c r="A1301" s="58">
        <v>1303</v>
      </c>
      <c r="B1301" s="58">
        <v>1303</v>
      </c>
      <c r="C1301" s="58" t="s">
        <v>2013</v>
      </c>
      <c r="D1301" s="58" t="s">
        <v>852</v>
      </c>
      <c r="E1301" s="58" t="s">
        <v>852</v>
      </c>
      <c r="F1301" s="58" t="s">
        <v>517</v>
      </c>
      <c r="G1301" s="58" t="s">
        <v>518</v>
      </c>
      <c r="H1301" s="58" t="s">
        <v>179</v>
      </c>
      <c r="I1301">
        <v>38000</v>
      </c>
      <c r="J1301">
        <v>38000</v>
      </c>
      <c r="K1301">
        <v>10000</v>
      </c>
      <c r="L1301" s="74">
        <v>13.481999999999999</v>
      </c>
      <c r="M1301" s="85">
        <v>14</v>
      </c>
      <c r="N1301" s="74">
        <v>0.13700000000000001</v>
      </c>
      <c r="O1301">
        <v>3</v>
      </c>
      <c r="P1301" s="84">
        <v>0.13700000000000001</v>
      </c>
      <c r="Q1301" s="86">
        <v>4.2</v>
      </c>
      <c r="R1301" s="85">
        <v>4.2</v>
      </c>
      <c r="S1301" s="87">
        <v>1597940</v>
      </c>
      <c r="T1301" s="1">
        <v>1</v>
      </c>
      <c r="U1301" s="88">
        <v>380461.90476190473</v>
      </c>
      <c r="V1301" s="59">
        <v>2.6283840444572388</v>
      </c>
    </row>
    <row r="1302" spans="1:22">
      <c r="A1302" s="58">
        <v>1304</v>
      </c>
      <c r="B1302" s="58">
        <v>1304</v>
      </c>
      <c r="C1302" s="58" t="s">
        <v>2014</v>
      </c>
      <c r="D1302" s="58" t="s">
        <v>852</v>
      </c>
      <c r="E1302" s="58" t="s">
        <v>852</v>
      </c>
      <c r="F1302" s="58" t="s">
        <v>517</v>
      </c>
      <c r="G1302" s="58" t="s">
        <v>518</v>
      </c>
      <c r="H1302" s="58" t="s">
        <v>179</v>
      </c>
      <c r="I1302">
        <v>38000</v>
      </c>
      <c r="J1302">
        <v>38000</v>
      </c>
      <c r="K1302">
        <v>10000</v>
      </c>
      <c r="L1302" s="74">
        <v>11.242000000000001</v>
      </c>
      <c r="M1302" s="85">
        <v>12</v>
      </c>
      <c r="N1302" s="74">
        <v>0.20100000000000001</v>
      </c>
      <c r="O1302">
        <v>3</v>
      </c>
      <c r="P1302" s="84">
        <v>0.20100000000000001</v>
      </c>
      <c r="Q1302" s="86">
        <v>4.2</v>
      </c>
      <c r="R1302" s="85">
        <v>4.2</v>
      </c>
      <c r="S1302" s="87">
        <v>1492540</v>
      </c>
      <c r="T1302" s="1">
        <v>1</v>
      </c>
      <c r="U1302" s="88">
        <v>355366.66666666663</v>
      </c>
      <c r="V1302" s="59">
        <v>2.8139949348091173</v>
      </c>
    </row>
    <row r="1303" spans="1:22">
      <c r="A1303" s="58">
        <v>1305</v>
      </c>
      <c r="B1303" s="58">
        <v>1305</v>
      </c>
      <c r="C1303" s="58" t="s">
        <v>2015</v>
      </c>
      <c r="D1303" s="58" t="s">
        <v>852</v>
      </c>
      <c r="E1303" s="58" t="s">
        <v>852</v>
      </c>
      <c r="F1303" s="58" t="s">
        <v>2016</v>
      </c>
      <c r="G1303" s="58" t="s">
        <v>2017</v>
      </c>
      <c r="H1303" s="58" t="s">
        <v>179</v>
      </c>
      <c r="I1303">
        <v>38000</v>
      </c>
      <c r="J1303">
        <v>38000</v>
      </c>
      <c r="K1303" s="58" t="s">
        <v>185</v>
      </c>
      <c r="L1303" s="74">
        <v>6.11</v>
      </c>
      <c r="M1303" s="85">
        <v>7</v>
      </c>
      <c r="N1303" s="74">
        <v>0.13200000000000001</v>
      </c>
      <c r="O1303">
        <v>3</v>
      </c>
      <c r="P1303" s="84">
        <v>0.13200000000000001</v>
      </c>
      <c r="Q1303" s="86">
        <v>4.2</v>
      </c>
      <c r="R1303" s="85">
        <v>4.2</v>
      </c>
      <c r="S1303" s="87">
        <v>839680</v>
      </c>
      <c r="T1303" s="1">
        <v>4</v>
      </c>
      <c r="U1303" s="88">
        <v>199923.80952380953</v>
      </c>
      <c r="V1303" s="59">
        <v>5.0019054878048781</v>
      </c>
    </row>
    <row r="1304" spans="1:22">
      <c r="A1304" s="58">
        <v>1306</v>
      </c>
      <c r="B1304" s="58">
        <v>1306</v>
      </c>
      <c r="C1304" s="58" t="s">
        <v>2018</v>
      </c>
      <c r="D1304" s="58" t="s">
        <v>852</v>
      </c>
      <c r="E1304" s="58" t="s">
        <v>852</v>
      </c>
      <c r="F1304" s="58" t="s">
        <v>2016</v>
      </c>
      <c r="G1304" s="58" t="s">
        <v>2017</v>
      </c>
      <c r="H1304" s="58" t="s">
        <v>179</v>
      </c>
      <c r="I1304">
        <v>38000</v>
      </c>
      <c r="J1304">
        <v>38000</v>
      </c>
      <c r="K1304" s="58" t="s">
        <v>185</v>
      </c>
      <c r="L1304" s="74">
        <v>6.9340000000000002</v>
      </c>
      <c r="M1304" s="85">
        <v>7</v>
      </c>
      <c r="N1304" s="74">
        <v>0.13400000000000001</v>
      </c>
      <c r="O1304">
        <v>3</v>
      </c>
      <c r="P1304" s="84">
        <v>0.13400000000000001</v>
      </c>
      <c r="Q1304" s="86">
        <v>4.2</v>
      </c>
      <c r="R1304" s="85">
        <v>4.2</v>
      </c>
      <c r="S1304" s="87">
        <v>839680</v>
      </c>
      <c r="T1304" s="1">
        <v>4</v>
      </c>
      <c r="U1304" s="88">
        <v>199923.80952380953</v>
      </c>
      <c r="V1304" s="59">
        <v>5.0019054878048781</v>
      </c>
    </row>
    <row r="1305" spans="1:22">
      <c r="A1305" s="58">
        <v>1307</v>
      </c>
      <c r="B1305" s="58">
        <v>1307</v>
      </c>
      <c r="C1305" s="58" t="s">
        <v>2019</v>
      </c>
      <c r="D1305" s="58" t="s">
        <v>351</v>
      </c>
      <c r="E1305" s="58" t="s">
        <v>351</v>
      </c>
      <c r="F1305" s="58" t="s">
        <v>2020</v>
      </c>
      <c r="G1305" s="58" t="s">
        <v>2021</v>
      </c>
      <c r="H1305" s="58" t="s">
        <v>179</v>
      </c>
      <c r="I1305">
        <v>38000</v>
      </c>
      <c r="J1305">
        <v>38000</v>
      </c>
      <c r="K1305" s="58" t="s">
        <v>185</v>
      </c>
      <c r="L1305" s="74">
        <v>3.9460000000000002</v>
      </c>
      <c r="M1305" s="85">
        <v>4</v>
      </c>
      <c r="N1305" s="74">
        <v>0.33100000000000002</v>
      </c>
      <c r="O1305">
        <v>3</v>
      </c>
      <c r="P1305" s="84">
        <v>0.33100000000000002</v>
      </c>
      <c r="Q1305" s="86">
        <v>4.2</v>
      </c>
      <c r="R1305" s="85">
        <v>4.2</v>
      </c>
      <c r="S1305" s="87">
        <v>628870</v>
      </c>
      <c r="T1305" s="1">
        <v>4</v>
      </c>
      <c r="U1305" s="88">
        <v>149730.95238095237</v>
      </c>
      <c r="V1305" s="59">
        <v>6.6786458250512828</v>
      </c>
    </row>
    <row r="1306" spans="1:22">
      <c r="A1306" s="58">
        <v>1308</v>
      </c>
      <c r="B1306" s="58">
        <v>1308</v>
      </c>
      <c r="C1306" s="58" t="s">
        <v>2022</v>
      </c>
      <c r="D1306" s="58" t="s">
        <v>852</v>
      </c>
      <c r="E1306" s="58" t="s">
        <v>852</v>
      </c>
      <c r="F1306" s="58" t="s">
        <v>2023</v>
      </c>
      <c r="G1306" s="58" t="s">
        <v>2024</v>
      </c>
      <c r="H1306" s="58" t="s">
        <v>199</v>
      </c>
      <c r="I1306">
        <v>110000</v>
      </c>
      <c r="J1306">
        <v>110000</v>
      </c>
      <c r="K1306" s="58" t="s">
        <v>185</v>
      </c>
      <c r="L1306" s="74">
        <v>8.0350000000000001</v>
      </c>
      <c r="M1306" s="85">
        <v>9</v>
      </c>
      <c r="N1306" s="74">
        <v>0.28199999999999997</v>
      </c>
      <c r="O1306">
        <v>3</v>
      </c>
      <c r="P1306" s="84">
        <v>0.28199999999999997</v>
      </c>
      <c r="Q1306" s="86">
        <v>4.2</v>
      </c>
      <c r="R1306" s="85">
        <v>4.2</v>
      </c>
      <c r="S1306" s="87">
        <v>1890770</v>
      </c>
      <c r="T1306" s="1">
        <v>7</v>
      </c>
      <c r="U1306" s="88">
        <v>450183.33333333331</v>
      </c>
      <c r="V1306" s="59">
        <v>2.2213172411239865</v>
      </c>
    </row>
    <row r="1307" spans="1:22">
      <c r="A1307" s="58">
        <v>1309</v>
      </c>
      <c r="B1307" s="58">
        <v>1309</v>
      </c>
      <c r="C1307" s="58" t="s">
        <v>2025</v>
      </c>
      <c r="D1307" s="58" t="s">
        <v>852</v>
      </c>
      <c r="E1307" s="58" t="s">
        <v>852</v>
      </c>
      <c r="F1307" s="58" t="s">
        <v>517</v>
      </c>
      <c r="G1307" s="58" t="s">
        <v>518</v>
      </c>
      <c r="H1307" s="58" t="s">
        <v>179</v>
      </c>
      <c r="I1307">
        <v>38000</v>
      </c>
      <c r="J1307">
        <v>38000</v>
      </c>
      <c r="K1307">
        <v>10000</v>
      </c>
      <c r="L1307" s="74">
        <v>4.66</v>
      </c>
      <c r="M1307" s="85">
        <v>5</v>
      </c>
      <c r="N1307" s="74">
        <v>0.16700000000000001</v>
      </c>
      <c r="O1307">
        <v>3</v>
      </c>
      <c r="P1307" s="84">
        <v>0.16700000000000001</v>
      </c>
      <c r="Q1307" s="86">
        <v>4.2</v>
      </c>
      <c r="R1307" s="85">
        <v>4.2</v>
      </c>
      <c r="S1307" s="87">
        <v>699140</v>
      </c>
      <c r="T1307" s="1">
        <v>4</v>
      </c>
      <c r="U1307" s="88">
        <v>166461.90476190476</v>
      </c>
      <c r="V1307" s="59">
        <v>6.0073804960379897</v>
      </c>
    </row>
    <row r="1308" spans="1:22">
      <c r="A1308" s="58">
        <v>1310</v>
      </c>
      <c r="B1308" s="58">
        <v>1310</v>
      </c>
      <c r="C1308" s="58" t="s">
        <v>2026</v>
      </c>
      <c r="D1308" s="58" t="s">
        <v>346</v>
      </c>
      <c r="E1308" s="58" t="s">
        <v>351</v>
      </c>
      <c r="F1308" s="58" t="s">
        <v>1427</v>
      </c>
      <c r="G1308" s="58" t="s">
        <v>1428</v>
      </c>
      <c r="H1308" s="58" t="s">
        <v>199</v>
      </c>
      <c r="I1308">
        <v>110000</v>
      </c>
      <c r="J1308">
        <v>110000</v>
      </c>
      <c r="K1308">
        <v>38000</v>
      </c>
      <c r="L1308" s="74">
        <v>8.4380000000000006</v>
      </c>
      <c r="M1308" s="85">
        <v>9</v>
      </c>
      <c r="N1308" s="74">
        <v>0.17399999999999999</v>
      </c>
      <c r="O1308">
        <v>3</v>
      </c>
      <c r="P1308" s="84">
        <v>0.17399999999999999</v>
      </c>
      <c r="Q1308" s="86">
        <v>4.2</v>
      </c>
      <c r="R1308" s="85">
        <v>4.2</v>
      </c>
      <c r="S1308" s="87">
        <v>1890770</v>
      </c>
      <c r="T1308" s="1">
        <v>7</v>
      </c>
      <c r="U1308" s="88">
        <v>450183.33333333331</v>
      </c>
      <c r="V1308" s="59">
        <v>2.2213172411239865</v>
      </c>
    </row>
    <row r="1309" spans="1:22">
      <c r="A1309" s="58">
        <v>1311</v>
      </c>
      <c r="B1309" s="58">
        <v>1311</v>
      </c>
      <c r="C1309" s="58" t="s">
        <v>2027</v>
      </c>
      <c r="D1309" s="58" t="s">
        <v>234</v>
      </c>
      <c r="E1309" s="58" t="s">
        <v>234</v>
      </c>
      <c r="F1309" s="58" t="s">
        <v>2028</v>
      </c>
      <c r="G1309" s="58" t="s">
        <v>2029</v>
      </c>
      <c r="H1309" s="58" t="s">
        <v>179</v>
      </c>
      <c r="I1309">
        <v>38000</v>
      </c>
      <c r="J1309">
        <v>38000</v>
      </c>
      <c r="K1309" s="58" t="s">
        <v>185</v>
      </c>
      <c r="L1309" s="74">
        <v>6.57</v>
      </c>
      <c r="M1309" s="85">
        <v>7</v>
      </c>
      <c r="N1309" s="74">
        <v>0.23400000000000001</v>
      </c>
      <c r="O1309">
        <v>3</v>
      </c>
      <c r="P1309" s="84">
        <v>0.23400000000000001</v>
      </c>
      <c r="Q1309" s="86">
        <v>4.2</v>
      </c>
      <c r="R1309" s="85">
        <v>4.2</v>
      </c>
      <c r="S1309" s="87">
        <v>839680</v>
      </c>
      <c r="T1309" s="1">
        <v>4</v>
      </c>
      <c r="U1309" s="88">
        <v>199923.80952380953</v>
      </c>
      <c r="V1309" s="59">
        <v>5.0019054878048781</v>
      </c>
    </row>
    <row r="1310" spans="1:22">
      <c r="A1310" s="58">
        <v>1312</v>
      </c>
      <c r="B1310" s="58">
        <v>1312</v>
      </c>
      <c r="C1310" s="58" t="s">
        <v>2030</v>
      </c>
      <c r="D1310" s="58" t="s">
        <v>852</v>
      </c>
      <c r="E1310" s="58" t="s">
        <v>852</v>
      </c>
      <c r="F1310" s="58" t="s">
        <v>2016</v>
      </c>
      <c r="G1310" s="58" t="s">
        <v>2017</v>
      </c>
      <c r="H1310" s="58" t="s">
        <v>179</v>
      </c>
      <c r="I1310">
        <v>38000</v>
      </c>
      <c r="J1310">
        <v>38000</v>
      </c>
      <c r="K1310" s="58" t="s">
        <v>185</v>
      </c>
      <c r="L1310" s="74">
        <v>12.313000000000001</v>
      </c>
      <c r="M1310" s="85">
        <v>13</v>
      </c>
      <c r="N1310" s="74">
        <v>0.14499999999999999</v>
      </c>
      <c r="O1310">
        <v>3</v>
      </c>
      <c r="P1310" s="84">
        <v>0.14499999999999999</v>
      </c>
      <c r="Q1310" s="86">
        <v>4.2</v>
      </c>
      <c r="R1310" s="85">
        <v>4.2</v>
      </c>
      <c r="S1310" s="87">
        <v>1545240</v>
      </c>
      <c r="T1310" s="1">
        <v>1</v>
      </c>
      <c r="U1310" s="88">
        <v>367914.28571428568</v>
      </c>
      <c r="V1310" s="59">
        <v>2.7180243845616214</v>
      </c>
    </row>
    <row r="1311" spans="1:22">
      <c r="A1311" s="58">
        <v>1313</v>
      </c>
      <c r="B1311" s="58">
        <v>1313</v>
      </c>
      <c r="C1311" s="58" t="s">
        <v>2031</v>
      </c>
      <c r="D1311" s="58" t="s">
        <v>852</v>
      </c>
      <c r="E1311" s="58" t="s">
        <v>852</v>
      </c>
      <c r="F1311" s="58" t="s">
        <v>1839</v>
      </c>
      <c r="G1311" s="58" t="s">
        <v>1840</v>
      </c>
      <c r="H1311" s="58" t="s">
        <v>179</v>
      </c>
      <c r="I1311">
        <v>38000</v>
      </c>
      <c r="J1311">
        <v>38000</v>
      </c>
      <c r="K1311" s="58" t="s">
        <v>185</v>
      </c>
      <c r="L1311" s="74">
        <v>10.522</v>
      </c>
      <c r="M1311" s="85">
        <v>11</v>
      </c>
      <c r="N1311" s="74">
        <v>0.17</v>
      </c>
      <c r="O1311">
        <v>3</v>
      </c>
      <c r="P1311" s="84">
        <v>0.17</v>
      </c>
      <c r="Q1311" s="86">
        <v>4.2</v>
      </c>
      <c r="R1311" s="85">
        <v>4.2</v>
      </c>
      <c r="S1311" s="87">
        <v>1439840</v>
      </c>
      <c r="T1311" s="1">
        <v>1</v>
      </c>
      <c r="U1311" s="88">
        <v>342819.04761904763</v>
      </c>
      <c r="V1311" s="59">
        <v>2.9169907767529724</v>
      </c>
    </row>
    <row r="1312" spans="1:22">
      <c r="A1312" s="58">
        <v>1314</v>
      </c>
      <c r="B1312" s="58">
        <v>1314</v>
      </c>
      <c r="C1312" s="58" t="s">
        <v>2032</v>
      </c>
      <c r="D1312" s="58" t="s">
        <v>234</v>
      </c>
      <c r="E1312" s="58" t="s">
        <v>234</v>
      </c>
      <c r="F1312" s="58" t="s">
        <v>2033</v>
      </c>
      <c r="G1312" s="58" t="s">
        <v>2034</v>
      </c>
      <c r="H1312" s="58" t="s">
        <v>179</v>
      </c>
      <c r="I1312">
        <v>38000</v>
      </c>
      <c r="J1312">
        <v>38000</v>
      </c>
      <c r="K1312" s="58" t="s">
        <v>185</v>
      </c>
      <c r="L1312" s="74">
        <v>5.3810000000000002</v>
      </c>
      <c r="M1312" s="85">
        <v>6</v>
      </c>
      <c r="N1312" s="74">
        <v>0.104</v>
      </c>
      <c r="O1312">
        <v>3</v>
      </c>
      <c r="P1312" s="84">
        <v>0.104</v>
      </c>
      <c r="Q1312" s="86">
        <v>4.2</v>
      </c>
      <c r="R1312" s="85">
        <v>4.2</v>
      </c>
      <c r="S1312" s="87">
        <v>769410</v>
      </c>
      <c r="T1312" s="1">
        <v>4</v>
      </c>
      <c r="U1312" s="88">
        <v>183192.85714285713</v>
      </c>
      <c r="V1312" s="59">
        <v>5.4587281163488903</v>
      </c>
    </row>
    <row r="1313" spans="1:22">
      <c r="A1313" s="58">
        <v>1315</v>
      </c>
      <c r="B1313" s="58">
        <v>1315</v>
      </c>
      <c r="C1313" s="58" t="s">
        <v>2035</v>
      </c>
      <c r="D1313" s="58" t="s">
        <v>852</v>
      </c>
      <c r="E1313" s="58" t="s">
        <v>852</v>
      </c>
      <c r="F1313" s="58" t="s">
        <v>2020</v>
      </c>
      <c r="G1313" s="58" t="s">
        <v>2021</v>
      </c>
      <c r="H1313" s="58" t="s">
        <v>179</v>
      </c>
      <c r="I1313">
        <v>38000</v>
      </c>
      <c r="J1313">
        <v>38000</v>
      </c>
      <c r="K1313" s="58" t="s">
        <v>185</v>
      </c>
      <c r="L1313" s="74">
        <v>3.4860000000000002</v>
      </c>
      <c r="M1313" s="85">
        <v>4</v>
      </c>
      <c r="N1313" s="74">
        <v>0.20599999999999999</v>
      </c>
      <c r="O1313">
        <v>3</v>
      </c>
      <c r="P1313" s="84">
        <v>0.20599999999999999</v>
      </c>
      <c r="Q1313" s="86">
        <v>4.2</v>
      </c>
      <c r="R1313" s="85">
        <v>4.2</v>
      </c>
      <c r="S1313" s="87">
        <v>628870</v>
      </c>
      <c r="T1313" s="1">
        <v>4</v>
      </c>
      <c r="U1313" s="88">
        <v>149730.95238095237</v>
      </c>
      <c r="V1313" s="59">
        <v>6.6786458250512828</v>
      </c>
    </row>
    <row r="1314" spans="1:22">
      <c r="A1314" s="58">
        <v>1316</v>
      </c>
      <c r="B1314" s="58">
        <v>1316</v>
      </c>
      <c r="C1314" s="58" t="s">
        <v>2036</v>
      </c>
      <c r="D1314" s="58" t="s">
        <v>1806</v>
      </c>
      <c r="E1314" s="58" t="s">
        <v>1806</v>
      </c>
      <c r="F1314" s="58" t="s">
        <v>2037</v>
      </c>
      <c r="G1314" s="58" t="s">
        <v>2038</v>
      </c>
      <c r="H1314" s="58" t="s">
        <v>179</v>
      </c>
      <c r="I1314">
        <v>38000</v>
      </c>
      <c r="J1314">
        <v>38000</v>
      </c>
      <c r="K1314" s="58" t="s">
        <v>185</v>
      </c>
      <c r="L1314" s="74">
        <v>5.8780000000000001</v>
      </c>
      <c r="M1314" s="85">
        <v>6</v>
      </c>
      <c r="N1314" s="74">
        <v>0.10199999999999999</v>
      </c>
      <c r="O1314">
        <v>3</v>
      </c>
      <c r="P1314" s="84">
        <v>0.10199999999999999</v>
      </c>
      <c r="Q1314" s="86">
        <v>4.2</v>
      </c>
      <c r="R1314" s="85">
        <v>4.2</v>
      </c>
      <c r="S1314" s="87">
        <v>769410</v>
      </c>
      <c r="T1314" s="1">
        <v>4</v>
      </c>
      <c r="U1314" s="88">
        <v>183192.85714285713</v>
      </c>
      <c r="V1314" s="59">
        <v>5.4587281163488903</v>
      </c>
    </row>
    <row r="1315" spans="1:22">
      <c r="A1315" s="58">
        <v>1317</v>
      </c>
      <c r="B1315" s="58">
        <v>1317</v>
      </c>
      <c r="C1315" s="58" t="s">
        <v>2039</v>
      </c>
      <c r="D1315" s="58" t="s">
        <v>1806</v>
      </c>
      <c r="E1315" s="58" t="s">
        <v>1806</v>
      </c>
      <c r="F1315" s="58" t="s">
        <v>2037</v>
      </c>
      <c r="G1315" s="58" t="s">
        <v>2038</v>
      </c>
      <c r="H1315" s="58" t="s">
        <v>179</v>
      </c>
      <c r="I1315">
        <v>38000</v>
      </c>
      <c r="J1315">
        <v>38000</v>
      </c>
      <c r="K1315" s="58" t="s">
        <v>185</v>
      </c>
      <c r="L1315" s="74">
        <v>2.661</v>
      </c>
      <c r="M1315" s="85">
        <v>3</v>
      </c>
      <c r="N1315" s="74">
        <v>9.7000000000000003E-2</v>
      </c>
      <c r="O1315">
        <v>3</v>
      </c>
      <c r="P1315" s="84">
        <v>9.7000000000000003E-2</v>
      </c>
      <c r="Q1315" s="86">
        <v>4.2</v>
      </c>
      <c r="R1315" s="85">
        <v>4.2</v>
      </c>
      <c r="S1315" s="87">
        <v>558600</v>
      </c>
      <c r="T1315" s="1">
        <v>4</v>
      </c>
      <c r="U1315" s="88">
        <v>133000</v>
      </c>
      <c r="V1315" s="59">
        <v>7.518796992481203</v>
      </c>
    </row>
    <row r="1316" spans="1:22">
      <c r="A1316" s="58">
        <v>1318</v>
      </c>
      <c r="B1316" s="58">
        <v>1318</v>
      </c>
      <c r="C1316" s="58" t="s">
        <v>2040</v>
      </c>
      <c r="D1316" s="58" t="s">
        <v>1806</v>
      </c>
      <c r="E1316" s="58" t="s">
        <v>1806</v>
      </c>
      <c r="F1316" s="58" t="s">
        <v>2037</v>
      </c>
      <c r="G1316" s="58" t="s">
        <v>2038</v>
      </c>
      <c r="H1316" s="58" t="s">
        <v>179</v>
      </c>
      <c r="I1316">
        <v>38000</v>
      </c>
      <c r="J1316">
        <v>38000</v>
      </c>
      <c r="K1316" s="58" t="s">
        <v>185</v>
      </c>
      <c r="L1316" s="74">
        <v>3.4569999999999999</v>
      </c>
      <c r="M1316" s="85">
        <v>4</v>
      </c>
      <c r="N1316" s="74">
        <v>0.108</v>
      </c>
      <c r="O1316">
        <v>3</v>
      </c>
      <c r="P1316" s="84">
        <v>0.108</v>
      </c>
      <c r="Q1316" s="86">
        <v>4.2</v>
      </c>
      <c r="R1316" s="85">
        <v>4.2</v>
      </c>
      <c r="S1316" s="87">
        <v>628870</v>
      </c>
      <c r="T1316" s="1">
        <v>4</v>
      </c>
      <c r="U1316" s="88">
        <v>149730.95238095237</v>
      </c>
      <c r="V1316" s="59">
        <v>6.6786458250512828</v>
      </c>
    </row>
    <row r="1317" spans="1:22">
      <c r="A1317" s="58">
        <v>1319</v>
      </c>
      <c r="B1317" s="58">
        <v>1319</v>
      </c>
      <c r="C1317" s="58" t="s">
        <v>2041</v>
      </c>
      <c r="D1317" s="58" t="s">
        <v>1190</v>
      </c>
      <c r="E1317" s="58" t="s">
        <v>1190</v>
      </c>
      <c r="F1317" s="58" t="s">
        <v>2037</v>
      </c>
      <c r="G1317" s="58" t="s">
        <v>2038</v>
      </c>
      <c r="H1317" s="58" t="s">
        <v>179</v>
      </c>
      <c r="I1317">
        <v>38000</v>
      </c>
      <c r="J1317">
        <v>38000</v>
      </c>
      <c r="K1317" s="58" t="s">
        <v>185</v>
      </c>
      <c r="L1317" s="74">
        <v>5.8890000000000002</v>
      </c>
      <c r="M1317" s="85">
        <v>6</v>
      </c>
      <c r="N1317" s="74">
        <v>0.14099999999999999</v>
      </c>
      <c r="O1317">
        <v>3</v>
      </c>
      <c r="P1317" s="84">
        <v>0.14099999999999999</v>
      </c>
      <c r="Q1317" s="86">
        <v>4.2</v>
      </c>
      <c r="R1317" s="85">
        <v>4.2</v>
      </c>
      <c r="S1317" s="87">
        <v>769410</v>
      </c>
      <c r="T1317" s="1">
        <v>4</v>
      </c>
      <c r="U1317" s="88">
        <v>183192.85714285713</v>
      </c>
      <c r="V1317" s="59">
        <v>5.4587281163488903</v>
      </c>
    </row>
    <row r="1318" spans="1:22">
      <c r="A1318" s="58">
        <v>1320</v>
      </c>
      <c r="B1318" s="58">
        <v>1320</v>
      </c>
      <c r="C1318" s="58" t="s">
        <v>2042</v>
      </c>
      <c r="D1318" s="58" t="s">
        <v>1806</v>
      </c>
      <c r="E1318" s="58" t="s">
        <v>1806</v>
      </c>
      <c r="F1318" s="58" t="s">
        <v>2037</v>
      </c>
      <c r="G1318" s="58" t="s">
        <v>2038</v>
      </c>
      <c r="H1318" s="58" t="s">
        <v>179</v>
      </c>
      <c r="I1318">
        <v>38000</v>
      </c>
      <c r="J1318">
        <v>38000</v>
      </c>
      <c r="K1318" s="58" t="s">
        <v>185</v>
      </c>
      <c r="L1318" s="74">
        <v>6.17</v>
      </c>
      <c r="M1318" s="85">
        <v>7</v>
      </c>
      <c r="N1318" s="74">
        <v>0.44</v>
      </c>
      <c r="O1318">
        <v>3</v>
      </c>
      <c r="P1318" s="84">
        <v>0.44</v>
      </c>
      <c r="Q1318" s="86">
        <v>4.2</v>
      </c>
      <c r="R1318" s="85">
        <v>4.2</v>
      </c>
      <c r="S1318" s="87">
        <v>839680</v>
      </c>
      <c r="T1318" s="1">
        <v>4</v>
      </c>
      <c r="U1318" s="88">
        <v>199923.80952380953</v>
      </c>
      <c r="V1318" s="59">
        <v>5.0019054878048781</v>
      </c>
    </row>
    <row r="1319" spans="1:22">
      <c r="A1319" s="58">
        <v>1321</v>
      </c>
      <c r="B1319" s="58">
        <v>1321</v>
      </c>
      <c r="C1319" s="58" t="s">
        <v>2043</v>
      </c>
      <c r="D1319" s="58" t="s">
        <v>852</v>
      </c>
      <c r="E1319" s="58" t="s">
        <v>852</v>
      </c>
      <c r="F1319" s="58" t="s">
        <v>2044</v>
      </c>
      <c r="G1319" s="58" t="s">
        <v>2045</v>
      </c>
      <c r="H1319" s="58" t="s">
        <v>179</v>
      </c>
      <c r="I1319">
        <v>38000</v>
      </c>
      <c r="J1319">
        <v>38000</v>
      </c>
      <c r="K1319" s="58" t="s">
        <v>185</v>
      </c>
      <c r="L1319" s="74">
        <v>6.4640000000000004</v>
      </c>
      <c r="M1319" s="85">
        <v>7</v>
      </c>
      <c r="N1319" s="74">
        <v>0.13</v>
      </c>
      <c r="O1319">
        <v>3</v>
      </c>
      <c r="P1319" s="84">
        <v>0.13</v>
      </c>
      <c r="Q1319" s="86">
        <v>4.2</v>
      </c>
      <c r="R1319" s="85">
        <v>4.2</v>
      </c>
      <c r="S1319" s="87">
        <v>839680</v>
      </c>
      <c r="T1319" s="1">
        <v>4</v>
      </c>
      <c r="U1319" s="88">
        <v>199923.80952380953</v>
      </c>
      <c r="V1319" s="59">
        <v>5.0019054878048781</v>
      </c>
    </row>
    <row r="1320" spans="1:22">
      <c r="A1320" s="58">
        <v>1322</v>
      </c>
      <c r="B1320" s="58">
        <v>1322</v>
      </c>
      <c r="C1320" s="58" t="s">
        <v>2046</v>
      </c>
      <c r="D1320" s="58" t="s">
        <v>1806</v>
      </c>
      <c r="E1320" s="58" t="s">
        <v>1806</v>
      </c>
      <c r="F1320" s="58" t="s">
        <v>2037</v>
      </c>
      <c r="G1320" s="58" t="s">
        <v>2038</v>
      </c>
      <c r="H1320" s="58" t="s">
        <v>179</v>
      </c>
      <c r="I1320">
        <v>38000</v>
      </c>
      <c r="J1320">
        <v>38000</v>
      </c>
      <c r="K1320" s="58" t="s">
        <v>185</v>
      </c>
      <c r="L1320" s="74">
        <v>6.96</v>
      </c>
      <c r="M1320" s="85">
        <v>7</v>
      </c>
      <c r="N1320" s="74">
        <v>0.16600000000000001</v>
      </c>
      <c r="O1320">
        <v>3</v>
      </c>
      <c r="P1320" s="84">
        <v>0.16600000000000001</v>
      </c>
      <c r="Q1320" s="86">
        <v>4.2</v>
      </c>
      <c r="R1320" s="85">
        <v>4.2</v>
      </c>
      <c r="S1320" s="87">
        <v>839680</v>
      </c>
      <c r="T1320" s="1">
        <v>4</v>
      </c>
      <c r="U1320" s="88">
        <v>199923.80952380953</v>
      </c>
      <c r="V1320" s="59">
        <v>5.0019054878048781</v>
      </c>
    </row>
    <row r="1321" spans="1:22">
      <c r="A1321" s="58">
        <v>1323</v>
      </c>
      <c r="B1321" s="58">
        <v>1323</v>
      </c>
      <c r="C1321" s="58" t="s">
        <v>2047</v>
      </c>
      <c r="D1321" s="58" t="s">
        <v>384</v>
      </c>
      <c r="E1321" s="58" t="s">
        <v>1806</v>
      </c>
      <c r="F1321" s="58" t="s">
        <v>2048</v>
      </c>
      <c r="G1321" s="58" t="s">
        <v>2049</v>
      </c>
      <c r="H1321" s="58" t="s">
        <v>179</v>
      </c>
      <c r="I1321">
        <v>38000</v>
      </c>
      <c r="J1321">
        <v>38000</v>
      </c>
      <c r="K1321" s="58" t="s">
        <v>185</v>
      </c>
      <c r="L1321" s="74">
        <v>6.5590000000000002</v>
      </c>
      <c r="M1321" s="85">
        <v>7</v>
      </c>
      <c r="N1321" s="74">
        <v>0.16800000000000001</v>
      </c>
      <c r="O1321">
        <v>3</v>
      </c>
      <c r="P1321" s="84">
        <v>0.16800000000000001</v>
      </c>
      <c r="Q1321" s="86">
        <v>4.2</v>
      </c>
      <c r="R1321" s="85">
        <v>4.2</v>
      </c>
      <c r="S1321" s="87">
        <v>839680</v>
      </c>
      <c r="T1321" s="1">
        <v>4</v>
      </c>
      <c r="U1321" s="88">
        <v>199923.80952380953</v>
      </c>
      <c r="V1321" s="59">
        <v>5.0019054878048781</v>
      </c>
    </row>
    <row r="1322" spans="1:22">
      <c r="A1322" s="58">
        <v>1324</v>
      </c>
      <c r="B1322" s="58">
        <v>1324</v>
      </c>
      <c r="C1322" s="58" t="s">
        <v>2050</v>
      </c>
      <c r="D1322" s="58" t="s">
        <v>1190</v>
      </c>
      <c r="E1322" s="58" t="s">
        <v>1190</v>
      </c>
      <c r="F1322" s="58" t="s">
        <v>1842</v>
      </c>
      <c r="G1322" s="58" t="s">
        <v>1843</v>
      </c>
      <c r="H1322" s="58" t="s">
        <v>199</v>
      </c>
      <c r="I1322">
        <v>110000</v>
      </c>
      <c r="J1322">
        <v>110000</v>
      </c>
      <c r="K1322">
        <v>38000</v>
      </c>
      <c r="L1322" s="74">
        <v>9.016</v>
      </c>
      <c r="M1322" s="85">
        <v>10</v>
      </c>
      <c r="N1322" s="74">
        <v>0.19800000000000001</v>
      </c>
      <c r="O1322">
        <v>3</v>
      </c>
      <c r="P1322" s="84">
        <v>0.19800000000000001</v>
      </c>
      <c r="Q1322" s="86">
        <v>4.2</v>
      </c>
      <c r="R1322" s="85">
        <v>4.2</v>
      </c>
      <c r="S1322" s="87">
        <v>1943470</v>
      </c>
      <c r="T1322" s="1">
        <v>7</v>
      </c>
      <c r="U1322" s="88">
        <v>462730.95238095237</v>
      </c>
      <c r="V1322" s="59">
        <v>2.1610830113148132</v>
      </c>
    </row>
    <row r="1323" spans="1:22">
      <c r="A1323" s="58">
        <v>1325</v>
      </c>
      <c r="B1323" s="58">
        <v>1325</v>
      </c>
      <c r="C1323" s="58" t="s">
        <v>2051</v>
      </c>
      <c r="D1323" s="58" t="s">
        <v>1190</v>
      </c>
      <c r="E1323" s="58" t="s">
        <v>1190</v>
      </c>
      <c r="F1323" s="58" t="s">
        <v>2037</v>
      </c>
      <c r="G1323" s="58" t="s">
        <v>2038</v>
      </c>
      <c r="H1323" s="58" t="s">
        <v>179</v>
      </c>
      <c r="I1323">
        <v>38000</v>
      </c>
      <c r="J1323">
        <v>38000</v>
      </c>
      <c r="K1323" s="58" t="s">
        <v>185</v>
      </c>
      <c r="L1323" s="74">
        <v>12.183</v>
      </c>
      <c r="M1323" s="85">
        <v>13</v>
      </c>
      <c r="N1323" s="74">
        <v>0.10299999999999999</v>
      </c>
      <c r="O1323">
        <v>3</v>
      </c>
      <c r="P1323" s="84">
        <v>0.10299999999999999</v>
      </c>
      <c r="Q1323" s="86">
        <v>4.2</v>
      </c>
      <c r="R1323" s="85">
        <v>4.2</v>
      </c>
      <c r="S1323" s="87">
        <v>1545240</v>
      </c>
      <c r="T1323" s="1">
        <v>1</v>
      </c>
      <c r="U1323" s="88">
        <v>367914.28571428568</v>
      </c>
      <c r="V1323" s="59">
        <v>2.7180243845616214</v>
      </c>
    </row>
    <row r="1324" spans="1:22">
      <c r="A1324" s="58">
        <v>1326</v>
      </c>
      <c r="B1324" s="58">
        <v>1326</v>
      </c>
      <c r="C1324" s="58" t="s">
        <v>2052</v>
      </c>
      <c r="D1324" s="58" t="s">
        <v>1190</v>
      </c>
      <c r="E1324" s="58" t="s">
        <v>1190</v>
      </c>
      <c r="F1324" s="58" t="s">
        <v>1191</v>
      </c>
      <c r="G1324" s="58" t="s">
        <v>1192</v>
      </c>
      <c r="H1324" s="58" t="s">
        <v>179</v>
      </c>
      <c r="I1324">
        <v>38000</v>
      </c>
      <c r="J1324">
        <v>38000</v>
      </c>
      <c r="K1324">
        <v>10000</v>
      </c>
      <c r="L1324" s="74">
        <v>8.4619999999999997</v>
      </c>
      <c r="M1324" s="85">
        <v>9</v>
      </c>
      <c r="N1324" s="74">
        <v>9.0999999999999998E-2</v>
      </c>
      <c r="O1324">
        <v>3</v>
      </c>
      <c r="P1324" s="84">
        <v>9.0999999999999998E-2</v>
      </c>
      <c r="Q1324" s="86">
        <v>4.2</v>
      </c>
      <c r="R1324" s="85">
        <v>4.2</v>
      </c>
      <c r="S1324" s="87">
        <v>1334440</v>
      </c>
      <c r="T1324" s="1">
        <v>1</v>
      </c>
      <c r="U1324" s="88">
        <v>317723.80952380953</v>
      </c>
      <c r="V1324" s="59">
        <v>3.1473876682353645</v>
      </c>
    </row>
    <row r="1325" spans="1:22">
      <c r="A1325" s="58">
        <v>1327</v>
      </c>
      <c r="B1325" s="58">
        <v>1327</v>
      </c>
      <c r="C1325" s="58" t="s">
        <v>2053</v>
      </c>
      <c r="D1325" s="58" t="s">
        <v>1806</v>
      </c>
      <c r="E1325" s="58" t="s">
        <v>1806</v>
      </c>
      <c r="F1325" s="58" t="s">
        <v>2054</v>
      </c>
      <c r="G1325" s="58" t="s">
        <v>2055</v>
      </c>
      <c r="H1325" s="58" t="s">
        <v>179</v>
      </c>
      <c r="I1325">
        <v>38000</v>
      </c>
      <c r="J1325">
        <v>38000</v>
      </c>
      <c r="K1325" s="58" t="s">
        <v>185</v>
      </c>
      <c r="L1325" s="74">
        <v>6.5780000000000003</v>
      </c>
      <c r="M1325" s="85">
        <v>7</v>
      </c>
      <c r="N1325" s="74">
        <v>0.27200000000000002</v>
      </c>
      <c r="O1325">
        <v>3</v>
      </c>
      <c r="P1325" s="84">
        <v>0.27200000000000002</v>
      </c>
      <c r="Q1325" s="86">
        <v>4.2</v>
      </c>
      <c r="R1325" s="85">
        <v>4.2</v>
      </c>
      <c r="S1325" s="87">
        <v>839680</v>
      </c>
      <c r="T1325" s="1">
        <v>4</v>
      </c>
      <c r="U1325" s="88">
        <v>199923.80952380953</v>
      </c>
      <c r="V1325" s="59">
        <v>5.0019054878048781</v>
      </c>
    </row>
    <row r="1326" spans="1:22">
      <c r="A1326" s="58">
        <v>1328</v>
      </c>
      <c r="B1326" s="58">
        <v>1328</v>
      </c>
      <c r="C1326" s="58" t="s">
        <v>2056</v>
      </c>
      <c r="D1326" s="58" t="s">
        <v>1190</v>
      </c>
      <c r="E1326" s="58" t="s">
        <v>1190</v>
      </c>
      <c r="F1326" s="58" t="s">
        <v>1191</v>
      </c>
      <c r="G1326" s="58" t="s">
        <v>1192</v>
      </c>
      <c r="H1326" s="58" t="s">
        <v>179</v>
      </c>
      <c r="I1326">
        <v>38000</v>
      </c>
      <c r="J1326">
        <v>38000</v>
      </c>
      <c r="K1326">
        <v>10000</v>
      </c>
      <c r="L1326" s="74">
        <v>8.6020000000000003</v>
      </c>
      <c r="M1326" s="85">
        <v>9</v>
      </c>
      <c r="N1326" s="74">
        <v>0.154</v>
      </c>
      <c r="O1326">
        <v>3</v>
      </c>
      <c r="P1326" s="84">
        <v>0.154</v>
      </c>
      <c r="Q1326" s="86">
        <v>4.2</v>
      </c>
      <c r="R1326" s="85">
        <v>4.2</v>
      </c>
      <c r="S1326" s="87">
        <v>1334440</v>
      </c>
      <c r="T1326" s="1">
        <v>1</v>
      </c>
      <c r="U1326" s="88">
        <v>317723.80952380953</v>
      </c>
      <c r="V1326" s="59">
        <v>3.1473876682353645</v>
      </c>
    </row>
    <row r="1327" spans="1:22">
      <c r="A1327" s="58">
        <v>1329</v>
      </c>
      <c r="B1327" s="58">
        <v>1329</v>
      </c>
      <c r="C1327" s="58" t="s">
        <v>2057</v>
      </c>
      <c r="D1327" s="58" t="s">
        <v>1190</v>
      </c>
      <c r="E1327" s="58" t="s">
        <v>1190</v>
      </c>
      <c r="F1327" s="58" t="s">
        <v>1191</v>
      </c>
      <c r="G1327" s="58" t="s">
        <v>1192</v>
      </c>
      <c r="H1327" s="58" t="s">
        <v>179</v>
      </c>
      <c r="I1327">
        <v>38000</v>
      </c>
      <c r="J1327">
        <v>38000</v>
      </c>
      <c r="K1327">
        <v>10000</v>
      </c>
      <c r="L1327" s="74">
        <v>3.665</v>
      </c>
      <c r="M1327" s="85">
        <v>4</v>
      </c>
      <c r="N1327" s="74">
        <v>0.17599999999999999</v>
      </c>
      <c r="O1327">
        <v>3</v>
      </c>
      <c r="P1327" s="84">
        <v>0.17599999999999999</v>
      </c>
      <c r="Q1327" s="86">
        <v>4.2</v>
      </c>
      <c r="R1327" s="85">
        <v>4.2</v>
      </c>
      <c r="S1327" s="87">
        <v>628870</v>
      </c>
      <c r="T1327" s="1">
        <v>4</v>
      </c>
      <c r="U1327" s="88">
        <v>149730.95238095237</v>
      </c>
      <c r="V1327" s="59">
        <v>6.6786458250512828</v>
      </c>
    </row>
    <row r="1328" spans="1:22">
      <c r="A1328" s="58">
        <v>1330</v>
      </c>
      <c r="B1328" s="58">
        <v>1330</v>
      </c>
      <c r="C1328" s="58" t="s">
        <v>2058</v>
      </c>
      <c r="D1328" s="58" t="s">
        <v>1190</v>
      </c>
      <c r="E1328" s="58" t="s">
        <v>1190</v>
      </c>
      <c r="F1328" s="58" t="s">
        <v>2054</v>
      </c>
      <c r="G1328" s="58" t="s">
        <v>2055</v>
      </c>
      <c r="H1328" s="58" t="s">
        <v>179</v>
      </c>
      <c r="I1328">
        <v>38000</v>
      </c>
      <c r="J1328">
        <v>38000</v>
      </c>
      <c r="K1328" s="58" t="s">
        <v>185</v>
      </c>
      <c r="L1328" s="74">
        <v>5.7279999999999998</v>
      </c>
      <c r="M1328" s="85">
        <v>6</v>
      </c>
      <c r="N1328" s="74">
        <v>0.109</v>
      </c>
      <c r="O1328">
        <v>3</v>
      </c>
      <c r="P1328" s="84">
        <v>0.109</v>
      </c>
      <c r="Q1328" s="86">
        <v>4.2</v>
      </c>
      <c r="R1328" s="85">
        <v>4.2</v>
      </c>
      <c r="S1328" s="87">
        <v>769410</v>
      </c>
      <c r="T1328" s="1">
        <v>4</v>
      </c>
      <c r="U1328" s="88">
        <v>183192.85714285713</v>
      </c>
      <c r="V1328" s="59">
        <v>5.4587281163488903</v>
      </c>
    </row>
    <row r="1329" spans="1:22">
      <c r="A1329" s="58">
        <v>1331</v>
      </c>
      <c r="B1329" s="58">
        <v>1331</v>
      </c>
      <c r="C1329" s="58" t="s">
        <v>2059</v>
      </c>
      <c r="D1329" s="58" t="s">
        <v>384</v>
      </c>
      <c r="E1329" s="58" t="s">
        <v>1806</v>
      </c>
      <c r="F1329" s="58" t="s">
        <v>2048</v>
      </c>
      <c r="G1329" s="58" t="s">
        <v>2049</v>
      </c>
      <c r="H1329" s="58" t="s">
        <v>179</v>
      </c>
      <c r="I1329">
        <v>38000</v>
      </c>
      <c r="J1329">
        <v>38000</v>
      </c>
      <c r="K1329" s="58" t="s">
        <v>185</v>
      </c>
      <c r="L1329" s="74">
        <v>5.9240000000000004</v>
      </c>
      <c r="M1329" s="85">
        <v>6</v>
      </c>
      <c r="N1329" s="74">
        <v>0.23100000000000001</v>
      </c>
      <c r="O1329">
        <v>3</v>
      </c>
      <c r="P1329" s="84">
        <v>0.23100000000000001</v>
      </c>
      <c r="Q1329" s="86">
        <v>4.2</v>
      </c>
      <c r="R1329" s="85">
        <v>4.2</v>
      </c>
      <c r="S1329" s="87">
        <v>769410</v>
      </c>
      <c r="T1329" s="1">
        <v>4</v>
      </c>
      <c r="U1329" s="88">
        <v>183192.85714285713</v>
      </c>
      <c r="V1329" s="59">
        <v>5.4587281163488903</v>
      </c>
    </row>
    <row r="1330" spans="1:22">
      <c r="A1330" s="58">
        <v>1332</v>
      </c>
      <c r="B1330" s="58">
        <v>1332</v>
      </c>
      <c r="C1330" s="58" t="s">
        <v>2060</v>
      </c>
      <c r="D1330" s="58" t="s">
        <v>1190</v>
      </c>
      <c r="E1330" s="58" t="s">
        <v>1190</v>
      </c>
      <c r="F1330" s="58" t="s">
        <v>1906</v>
      </c>
      <c r="G1330" s="58" t="s">
        <v>1907</v>
      </c>
      <c r="H1330" s="58" t="s">
        <v>179</v>
      </c>
      <c r="I1330">
        <v>38000</v>
      </c>
      <c r="J1330">
        <v>38000</v>
      </c>
      <c r="K1330">
        <v>10000</v>
      </c>
      <c r="L1330" s="74">
        <v>14.539</v>
      </c>
      <c r="M1330" s="85">
        <v>15</v>
      </c>
      <c r="N1330" s="74">
        <v>0.13300000000000001</v>
      </c>
      <c r="O1330">
        <v>3</v>
      </c>
      <c r="P1330" s="84">
        <v>0.13300000000000001</v>
      </c>
      <c r="Q1330" s="86">
        <v>4.2</v>
      </c>
      <c r="R1330" s="85">
        <v>4.2</v>
      </c>
      <c r="S1330" s="87">
        <v>1650640</v>
      </c>
      <c r="T1330" s="1">
        <v>1</v>
      </c>
      <c r="U1330" s="88">
        <v>393009.52380952379</v>
      </c>
      <c r="V1330" s="59">
        <v>2.5444676004458877</v>
      </c>
    </row>
    <row r="1331" spans="1:22">
      <c r="A1331" s="58">
        <v>1333</v>
      </c>
      <c r="B1331" s="58">
        <v>1333</v>
      </c>
      <c r="C1331" s="58" t="s">
        <v>2061</v>
      </c>
      <c r="D1331" s="58" t="s">
        <v>1806</v>
      </c>
      <c r="E1331" s="58" t="s">
        <v>1806</v>
      </c>
      <c r="F1331" s="58" t="s">
        <v>2062</v>
      </c>
      <c r="G1331" s="58" t="s">
        <v>2063</v>
      </c>
      <c r="H1331" s="58" t="s">
        <v>179</v>
      </c>
      <c r="I1331">
        <v>38000</v>
      </c>
      <c r="J1331">
        <v>38000</v>
      </c>
      <c r="K1331" s="58" t="s">
        <v>185</v>
      </c>
      <c r="L1331" s="74">
        <v>4.5279999999999996</v>
      </c>
      <c r="M1331" s="85">
        <v>5</v>
      </c>
      <c r="N1331" s="74">
        <v>0.14399999999999999</v>
      </c>
      <c r="O1331">
        <v>3</v>
      </c>
      <c r="P1331" s="84">
        <v>0.14399999999999999</v>
      </c>
      <c r="Q1331" s="86">
        <v>4.2</v>
      </c>
      <c r="R1331" s="85">
        <v>4.2</v>
      </c>
      <c r="S1331" s="87">
        <v>699140</v>
      </c>
      <c r="T1331" s="1">
        <v>4</v>
      </c>
      <c r="U1331" s="88">
        <v>166461.90476190476</v>
      </c>
      <c r="V1331" s="59">
        <v>6.0073804960379897</v>
      </c>
    </row>
    <row r="1332" spans="1:22">
      <c r="A1332" s="58">
        <v>1334</v>
      </c>
      <c r="B1332" s="58">
        <v>1334</v>
      </c>
      <c r="C1332" s="58" t="s">
        <v>2064</v>
      </c>
      <c r="D1332" s="58" t="s">
        <v>249</v>
      </c>
      <c r="E1332" s="58" t="s">
        <v>249</v>
      </c>
      <c r="F1332" s="58" t="s">
        <v>2065</v>
      </c>
      <c r="G1332" s="58" t="s">
        <v>2066</v>
      </c>
      <c r="H1332" s="58" t="s">
        <v>179</v>
      </c>
      <c r="I1332">
        <v>38000</v>
      </c>
      <c r="J1332">
        <v>38000</v>
      </c>
      <c r="K1332" s="58" t="s">
        <v>185</v>
      </c>
      <c r="L1332" s="74">
        <v>5.1219999999999999</v>
      </c>
      <c r="M1332" s="85">
        <v>6</v>
      </c>
      <c r="N1332" s="74">
        <v>0.11600000000000001</v>
      </c>
      <c r="O1332">
        <v>3</v>
      </c>
      <c r="P1332" s="84">
        <v>0.11600000000000001</v>
      </c>
      <c r="Q1332" s="86">
        <v>4.2</v>
      </c>
      <c r="R1332" s="85">
        <v>4.2</v>
      </c>
      <c r="S1332" s="87">
        <v>769410</v>
      </c>
      <c r="T1332" s="1">
        <v>4</v>
      </c>
      <c r="U1332" s="88">
        <v>183192.85714285713</v>
      </c>
      <c r="V1332" s="59">
        <v>5.4587281163488903</v>
      </c>
    </row>
    <row r="1333" spans="1:22">
      <c r="A1333" s="58">
        <v>1335</v>
      </c>
      <c r="B1333" s="58">
        <v>1335</v>
      </c>
      <c r="C1333" s="58" t="s">
        <v>2067</v>
      </c>
      <c r="D1333" s="58" t="s">
        <v>2068</v>
      </c>
      <c r="E1333" s="58" t="s">
        <v>2068</v>
      </c>
      <c r="F1333" s="58" t="s">
        <v>2069</v>
      </c>
      <c r="G1333" s="58" t="s">
        <v>2070</v>
      </c>
      <c r="H1333" s="58" t="s">
        <v>179</v>
      </c>
      <c r="I1333">
        <v>38000</v>
      </c>
      <c r="J1333">
        <v>38000</v>
      </c>
      <c r="K1333" s="58" t="s">
        <v>185</v>
      </c>
      <c r="L1333" s="74">
        <v>6.2140000000000004</v>
      </c>
      <c r="M1333" s="85">
        <v>7</v>
      </c>
      <c r="N1333" s="74">
        <v>0.13700000000000001</v>
      </c>
      <c r="O1333">
        <v>3</v>
      </c>
      <c r="P1333" s="84">
        <v>0.13700000000000001</v>
      </c>
      <c r="Q1333" s="86">
        <v>4.2</v>
      </c>
      <c r="R1333" s="85">
        <v>4.2</v>
      </c>
      <c r="S1333" s="87">
        <v>839680</v>
      </c>
      <c r="T1333" s="1">
        <v>4</v>
      </c>
      <c r="U1333" s="88">
        <v>199923.80952380953</v>
      </c>
      <c r="V1333" s="59">
        <v>5.0019054878048781</v>
      </c>
    </row>
    <row r="1334" spans="1:22">
      <c r="A1334" s="58">
        <v>1336</v>
      </c>
      <c r="B1334" s="58">
        <v>1336</v>
      </c>
      <c r="C1334" s="58" t="s">
        <v>2071</v>
      </c>
      <c r="D1334" s="58" t="s">
        <v>1190</v>
      </c>
      <c r="E1334" s="58" t="s">
        <v>1190</v>
      </c>
      <c r="F1334" s="58" t="s">
        <v>2072</v>
      </c>
      <c r="G1334" s="58" t="s">
        <v>2073</v>
      </c>
      <c r="H1334" s="58" t="s">
        <v>179</v>
      </c>
      <c r="I1334">
        <v>38000</v>
      </c>
      <c r="J1334">
        <v>38000</v>
      </c>
      <c r="K1334">
        <v>10000</v>
      </c>
      <c r="L1334" s="74">
        <v>7.4050000000000002</v>
      </c>
      <c r="M1334" s="85">
        <v>8</v>
      </c>
      <c r="N1334" s="74">
        <v>0.13900000000000001</v>
      </c>
      <c r="O1334">
        <v>3</v>
      </c>
      <c r="P1334" s="84">
        <v>0.13900000000000001</v>
      </c>
      <c r="Q1334" s="86">
        <v>4.2</v>
      </c>
      <c r="R1334" s="85">
        <v>4.2</v>
      </c>
      <c r="S1334" s="87">
        <v>909950</v>
      </c>
      <c r="T1334" s="1">
        <v>4</v>
      </c>
      <c r="U1334" s="88">
        <v>216654.76190476189</v>
      </c>
      <c r="V1334" s="59">
        <v>4.6156382218803227</v>
      </c>
    </row>
    <row r="1335" spans="1:22">
      <c r="A1335" s="58">
        <v>1337</v>
      </c>
      <c r="B1335" s="58">
        <v>1337</v>
      </c>
      <c r="C1335" s="58" t="s">
        <v>2074</v>
      </c>
      <c r="D1335" s="58" t="s">
        <v>1190</v>
      </c>
      <c r="E1335" s="58" t="s">
        <v>1190</v>
      </c>
      <c r="F1335" s="58" t="s">
        <v>2072</v>
      </c>
      <c r="G1335" s="58" t="s">
        <v>2073</v>
      </c>
      <c r="H1335" s="58" t="s">
        <v>179</v>
      </c>
      <c r="I1335">
        <v>38000</v>
      </c>
      <c r="J1335">
        <v>38000</v>
      </c>
      <c r="K1335">
        <v>10000</v>
      </c>
      <c r="L1335" s="74">
        <v>4.4340000000000002</v>
      </c>
      <c r="M1335" s="85">
        <v>5</v>
      </c>
      <c r="N1335" s="74">
        <v>0.30599999999999999</v>
      </c>
      <c r="O1335">
        <v>3</v>
      </c>
      <c r="P1335" s="84">
        <v>0.30599999999999999</v>
      </c>
      <c r="Q1335" s="86">
        <v>4.2</v>
      </c>
      <c r="R1335" s="85">
        <v>4.2</v>
      </c>
      <c r="S1335" s="87">
        <v>699140</v>
      </c>
      <c r="T1335" s="1">
        <v>4</v>
      </c>
      <c r="U1335" s="88">
        <v>166461.90476190476</v>
      </c>
      <c r="V1335" s="59">
        <v>6.0073804960379897</v>
      </c>
    </row>
    <row r="1336" spans="1:22">
      <c r="A1336" s="58">
        <v>1338</v>
      </c>
      <c r="B1336" s="58">
        <v>1338</v>
      </c>
      <c r="C1336" s="58" t="s">
        <v>2075</v>
      </c>
      <c r="D1336" s="58" t="s">
        <v>1190</v>
      </c>
      <c r="E1336" s="58" t="s">
        <v>1190</v>
      </c>
      <c r="F1336" s="58" t="s">
        <v>1194</v>
      </c>
      <c r="G1336" s="58" t="s">
        <v>1195</v>
      </c>
      <c r="H1336" s="58" t="s">
        <v>179</v>
      </c>
      <c r="I1336">
        <v>38000</v>
      </c>
      <c r="J1336">
        <v>38000</v>
      </c>
      <c r="K1336" s="58" t="s">
        <v>185</v>
      </c>
      <c r="L1336" s="74">
        <v>7.8280000000000003</v>
      </c>
      <c r="M1336" s="85">
        <v>8</v>
      </c>
      <c r="N1336" s="74">
        <v>0.115</v>
      </c>
      <c r="O1336">
        <v>3</v>
      </c>
      <c r="P1336" s="84">
        <v>0.115</v>
      </c>
      <c r="Q1336" s="86">
        <v>4.2</v>
      </c>
      <c r="R1336" s="85">
        <v>4.2</v>
      </c>
      <c r="S1336" s="87">
        <v>909950</v>
      </c>
      <c r="T1336" s="1">
        <v>4</v>
      </c>
      <c r="U1336" s="88">
        <v>216654.76190476189</v>
      </c>
      <c r="V1336" s="59">
        <v>4.6156382218803227</v>
      </c>
    </row>
    <row r="1337" spans="1:22">
      <c r="A1337" s="58">
        <v>1339</v>
      </c>
      <c r="B1337" s="58">
        <v>1339</v>
      </c>
      <c r="C1337" s="58" t="s">
        <v>2076</v>
      </c>
      <c r="D1337" s="58" t="s">
        <v>536</v>
      </c>
      <c r="E1337" s="58" t="s">
        <v>536</v>
      </c>
      <c r="F1337" s="58" t="s">
        <v>2077</v>
      </c>
      <c r="G1337" s="58" t="s">
        <v>2078</v>
      </c>
      <c r="H1337" s="58" t="s">
        <v>179</v>
      </c>
      <c r="I1337">
        <v>38000</v>
      </c>
      <c r="J1337">
        <v>38000</v>
      </c>
      <c r="L1337" s="74">
        <v>5.9119999999999999</v>
      </c>
      <c r="M1337" s="85">
        <v>6</v>
      </c>
      <c r="N1337" s="74">
        <v>0.34799999999999998</v>
      </c>
      <c r="O1337">
        <v>3</v>
      </c>
      <c r="P1337" s="84">
        <v>0.34799999999999998</v>
      </c>
      <c r="Q1337" s="86">
        <v>4.2</v>
      </c>
      <c r="R1337" s="85">
        <v>4.2</v>
      </c>
      <c r="S1337" s="87">
        <v>769410</v>
      </c>
      <c r="T1337" s="1">
        <v>4</v>
      </c>
      <c r="U1337" s="88">
        <v>183192.85714285713</v>
      </c>
      <c r="V1337" s="59">
        <v>5.4587281163488903</v>
      </c>
    </row>
    <row r="1338" spans="1:22">
      <c r="A1338" s="58">
        <v>1340</v>
      </c>
      <c r="B1338" s="58">
        <v>1340</v>
      </c>
      <c r="C1338" s="58" t="s">
        <v>2079</v>
      </c>
      <c r="D1338" s="58" t="s">
        <v>536</v>
      </c>
      <c r="E1338" s="58" t="s">
        <v>536</v>
      </c>
      <c r="F1338" s="58" t="s">
        <v>2080</v>
      </c>
      <c r="G1338" s="58" t="s">
        <v>2081</v>
      </c>
      <c r="H1338" s="58" t="s">
        <v>179</v>
      </c>
      <c r="I1338">
        <v>38000</v>
      </c>
      <c r="J1338">
        <v>38000</v>
      </c>
      <c r="K1338" s="58" t="s">
        <v>185</v>
      </c>
      <c r="L1338" s="74">
        <v>8.125</v>
      </c>
      <c r="M1338" s="85">
        <v>9</v>
      </c>
      <c r="N1338" s="74">
        <v>9.5000000000000001E-2</v>
      </c>
      <c r="O1338">
        <v>3</v>
      </c>
      <c r="P1338" s="84">
        <v>9.5000000000000001E-2</v>
      </c>
      <c r="Q1338" s="86">
        <v>4.2</v>
      </c>
      <c r="R1338" s="85">
        <v>4.2</v>
      </c>
      <c r="S1338" s="87">
        <v>1334440</v>
      </c>
      <c r="T1338" s="1">
        <v>1</v>
      </c>
      <c r="U1338" s="88">
        <v>317723.80952380953</v>
      </c>
      <c r="V1338" s="59">
        <v>3.1473876682353645</v>
      </c>
    </row>
    <row r="1339" spans="1:22">
      <c r="A1339" s="58">
        <v>1341</v>
      </c>
      <c r="B1339" s="58">
        <v>1341</v>
      </c>
      <c r="C1339" s="58" t="s">
        <v>2082</v>
      </c>
      <c r="D1339" s="58" t="s">
        <v>1190</v>
      </c>
      <c r="E1339" s="58" t="s">
        <v>536</v>
      </c>
      <c r="F1339" s="58" t="s">
        <v>1194</v>
      </c>
      <c r="G1339" s="58" t="s">
        <v>1195</v>
      </c>
      <c r="H1339" s="58" t="s">
        <v>179</v>
      </c>
      <c r="I1339">
        <v>38000</v>
      </c>
      <c r="J1339">
        <v>38000</v>
      </c>
      <c r="K1339" s="58" t="s">
        <v>185</v>
      </c>
      <c r="L1339" s="74">
        <v>7.032</v>
      </c>
      <c r="M1339" s="85">
        <v>8</v>
      </c>
      <c r="N1339" s="74">
        <v>0.13200000000000001</v>
      </c>
      <c r="O1339">
        <v>3</v>
      </c>
      <c r="P1339" s="84">
        <v>0.13200000000000001</v>
      </c>
      <c r="Q1339" s="86">
        <v>4.2</v>
      </c>
      <c r="R1339" s="85">
        <v>4.2</v>
      </c>
      <c r="S1339" s="87">
        <v>909950</v>
      </c>
      <c r="T1339" s="1">
        <v>4</v>
      </c>
      <c r="U1339" s="88">
        <v>216654.76190476189</v>
      </c>
      <c r="V1339" s="59">
        <v>4.6156382218803227</v>
      </c>
    </row>
    <row r="1340" spans="1:22">
      <c r="A1340" s="58">
        <v>1342</v>
      </c>
      <c r="B1340" s="58">
        <v>1342</v>
      </c>
      <c r="C1340" s="58" t="s">
        <v>2083</v>
      </c>
      <c r="D1340" s="58" t="s">
        <v>536</v>
      </c>
      <c r="E1340" s="58" t="s">
        <v>536</v>
      </c>
      <c r="F1340" s="58" t="s">
        <v>2084</v>
      </c>
      <c r="G1340" s="58" t="s">
        <v>2085</v>
      </c>
      <c r="H1340" s="58" t="s">
        <v>179</v>
      </c>
      <c r="I1340">
        <v>38000</v>
      </c>
      <c r="J1340">
        <v>38000</v>
      </c>
      <c r="K1340" s="58" t="s">
        <v>185</v>
      </c>
      <c r="L1340" s="74">
        <v>1.865</v>
      </c>
      <c r="M1340" s="85">
        <v>2</v>
      </c>
      <c r="N1340" s="74">
        <v>0.27900000000000003</v>
      </c>
      <c r="O1340">
        <v>3</v>
      </c>
      <c r="P1340" s="84">
        <v>0.27900000000000003</v>
      </c>
      <c r="Q1340" s="86">
        <v>4.2</v>
      </c>
      <c r="R1340" s="85">
        <v>4.2</v>
      </c>
      <c r="S1340" s="87">
        <v>488330</v>
      </c>
      <c r="T1340" s="1">
        <v>4</v>
      </c>
      <c r="U1340" s="88">
        <v>116269.04761904762</v>
      </c>
      <c r="V1340" s="59">
        <v>8.6007413019884087</v>
      </c>
    </row>
    <row r="1341" spans="1:22">
      <c r="A1341" s="58">
        <v>1343</v>
      </c>
      <c r="B1341" s="58">
        <v>1343</v>
      </c>
      <c r="C1341" s="58" t="s">
        <v>2086</v>
      </c>
      <c r="D1341" s="58" t="s">
        <v>536</v>
      </c>
      <c r="E1341" s="58" t="s">
        <v>536</v>
      </c>
      <c r="F1341" s="58" t="s">
        <v>2087</v>
      </c>
      <c r="G1341" s="58" t="s">
        <v>2088</v>
      </c>
      <c r="H1341" s="58" t="s">
        <v>179</v>
      </c>
      <c r="I1341">
        <v>38000</v>
      </c>
      <c r="J1341">
        <v>38000</v>
      </c>
      <c r="K1341" s="58" t="s">
        <v>185</v>
      </c>
      <c r="L1341" s="74">
        <v>3.9020000000000001</v>
      </c>
      <c r="M1341" s="85">
        <v>4</v>
      </c>
      <c r="N1341" s="74">
        <v>0.24099999999999999</v>
      </c>
      <c r="O1341">
        <v>3</v>
      </c>
      <c r="P1341" s="84">
        <v>0.24099999999999999</v>
      </c>
      <c r="Q1341" s="86">
        <v>4.2</v>
      </c>
      <c r="R1341" s="85">
        <v>4.2</v>
      </c>
      <c r="S1341" s="87">
        <v>628870</v>
      </c>
      <c r="T1341" s="1">
        <v>4</v>
      </c>
      <c r="U1341" s="88">
        <v>149730.95238095237</v>
      </c>
      <c r="V1341" s="59">
        <v>6.6786458250512828</v>
      </c>
    </row>
    <row r="1342" spans="1:22">
      <c r="A1342" s="58">
        <v>1344</v>
      </c>
      <c r="B1342" s="58">
        <v>1344</v>
      </c>
      <c r="C1342" s="58" t="s">
        <v>2089</v>
      </c>
      <c r="D1342" s="58" t="s">
        <v>1806</v>
      </c>
      <c r="E1342" s="58" t="s">
        <v>1806</v>
      </c>
      <c r="F1342" s="58" t="s">
        <v>2090</v>
      </c>
      <c r="G1342" s="58" t="s">
        <v>2091</v>
      </c>
      <c r="H1342" s="58" t="s">
        <v>199</v>
      </c>
      <c r="I1342">
        <v>110000</v>
      </c>
      <c r="J1342">
        <v>110000</v>
      </c>
      <c r="K1342">
        <v>38000</v>
      </c>
      <c r="L1342" s="74">
        <v>4.6269999999999998</v>
      </c>
      <c r="M1342" s="85">
        <v>5</v>
      </c>
      <c r="N1342" s="74">
        <v>0.107</v>
      </c>
      <c r="O1342">
        <v>3</v>
      </c>
      <c r="P1342" s="84">
        <v>0.107</v>
      </c>
      <c r="Q1342" s="86">
        <v>4.2</v>
      </c>
      <c r="R1342" s="85">
        <v>4.2</v>
      </c>
      <c r="S1342" s="87">
        <v>1679970</v>
      </c>
      <c r="T1342" s="1">
        <v>7</v>
      </c>
      <c r="U1342" s="88">
        <v>399992.8571428571</v>
      </c>
      <c r="V1342" s="59">
        <v>2.5000446436543511</v>
      </c>
    </row>
    <row r="1343" spans="1:22">
      <c r="A1343" s="58">
        <v>1345</v>
      </c>
      <c r="B1343" s="58">
        <v>1345</v>
      </c>
      <c r="C1343" s="58" t="s">
        <v>2092</v>
      </c>
      <c r="D1343" s="58" t="s">
        <v>852</v>
      </c>
      <c r="E1343" s="58" t="s">
        <v>852</v>
      </c>
      <c r="F1343" s="58" t="s">
        <v>1839</v>
      </c>
      <c r="G1343" s="58" t="s">
        <v>1840</v>
      </c>
      <c r="H1343" s="58" t="s">
        <v>179</v>
      </c>
      <c r="I1343">
        <v>38000</v>
      </c>
      <c r="J1343">
        <v>38000</v>
      </c>
      <c r="K1343" s="58" t="s">
        <v>185</v>
      </c>
      <c r="L1343" s="74">
        <v>4.8579999999999997</v>
      </c>
      <c r="M1343" s="85">
        <v>5</v>
      </c>
      <c r="N1343" s="74">
        <v>0.21199999999999999</v>
      </c>
      <c r="O1343">
        <v>3</v>
      </c>
      <c r="P1343" s="84">
        <v>0.21199999999999999</v>
      </c>
      <c r="Q1343" s="86">
        <v>4.2</v>
      </c>
      <c r="R1343" s="85">
        <v>4.2</v>
      </c>
      <c r="S1343" s="87">
        <v>699140</v>
      </c>
      <c r="T1343" s="1">
        <v>4</v>
      </c>
      <c r="U1343" s="88">
        <v>166461.90476190476</v>
      </c>
      <c r="V1343" s="59">
        <v>6.0073804960379897</v>
      </c>
    </row>
    <row r="1344" spans="1:22">
      <c r="A1344" s="58">
        <v>1346</v>
      </c>
      <c r="B1344" s="58">
        <v>1346</v>
      </c>
      <c r="C1344" s="58" t="s">
        <v>2093</v>
      </c>
      <c r="D1344" s="58" t="s">
        <v>1811</v>
      </c>
      <c r="E1344" s="58" t="s">
        <v>1811</v>
      </c>
      <c r="F1344" s="58" t="s">
        <v>1698</v>
      </c>
      <c r="G1344" s="58" t="s">
        <v>1699</v>
      </c>
      <c r="H1344" s="58" t="s">
        <v>199</v>
      </c>
      <c r="I1344">
        <v>110000</v>
      </c>
      <c r="J1344">
        <v>110000</v>
      </c>
      <c r="K1344">
        <v>38000</v>
      </c>
      <c r="L1344" s="74">
        <v>6.726</v>
      </c>
      <c r="M1344" s="85">
        <v>7</v>
      </c>
      <c r="N1344" s="74">
        <v>0.113</v>
      </c>
      <c r="O1344">
        <v>3</v>
      </c>
      <c r="P1344" s="84">
        <v>0.113</v>
      </c>
      <c r="Q1344" s="86">
        <v>4.2</v>
      </c>
      <c r="R1344" s="85">
        <v>4.2</v>
      </c>
      <c r="S1344" s="87">
        <v>1785370</v>
      </c>
      <c r="T1344" s="1">
        <v>7</v>
      </c>
      <c r="U1344" s="88">
        <v>425088.09523809521</v>
      </c>
      <c r="V1344" s="59">
        <v>2.3524535530450272</v>
      </c>
    </row>
    <row r="1345" spans="1:22">
      <c r="A1345" s="58">
        <v>1347</v>
      </c>
      <c r="B1345" s="58">
        <v>1347</v>
      </c>
      <c r="C1345" s="58" t="s">
        <v>2094</v>
      </c>
      <c r="D1345" s="58" t="s">
        <v>1811</v>
      </c>
      <c r="E1345" s="58" t="s">
        <v>1811</v>
      </c>
      <c r="F1345" s="58" t="s">
        <v>1815</v>
      </c>
      <c r="G1345" s="58" t="s">
        <v>1816</v>
      </c>
      <c r="H1345" s="58" t="s">
        <v>199</v>
      </c>
      <c r="I1345">
        <v>110000</v>
      </c>
      <c r="J1345">
        <v>110000</v>
      </c>
      <c r="K1345">
        <v>38000</v>
      </c>
      <c r="L1345" s="74">
        <v>6.36</v>
      </c>
      <c r="M1345" s="85">
        <v>7</v>
      </c>
      <c r="N1345" s="74">
        <v>0.106</v>
      </c>
      <c r="O1345">
        <v>3</v>
      </c>
      <c r="P1345" s="84">
        <v>0.106</v>
      </c>
      <c r="Q1345" s="86">
        <v>4.2</v>
      </c>
      <c r="R1345" s="85">
        <v>4.2</v>
      </c>
      <c r="S1345" s="87">
        <v>1785370</v>
      </c>
      <c r="T1345" s="1">
        <v>7</v>
      </c>
      <c r="U1345" s="88">
        <v>425088.09523809521</v>
      </c>
      <c r="V1345" s="59">
        <v>2.3524535530450272</v>
      </c>
    </row>
    <row r="1346" spans="1:22">
      <c r="A1346" s="58">
        <v>1348</v>
      </c>
      <c r="B1346" s="58">
        <v>1348</v>
      </c>
      <c r="C1346" s="58" t="s">
        <v>2095</v>
      </c>
      <c r="D1346" s="58" t="s">
        <v>182</v>
      </c>
      <c r="E1346" s="58" t="s">
        <v>182</v>
      </c>
      <c r="F1346" s="58" t="s">
        <v>595</v>
      </c>
      <c r="G1346" s="58" t="s">
        <v>596</v>
      </c>
      <c r="H1346" s="58" t="s">
        <v>179</v>
      </c>
      <c r="I1346">
        <v>38000</v>
      </c>
      <c r="J1346">
        <v>38000</v>
      </c>
      <c r="K1346" s="58" t="s">
        <v>185</v>
      </c>
      <c r="L1346" s="74">
        <v>6.4690000000000003</v>
      </c>
      <c r="M1346" s="85">
        <v>7</v>
      </c>
      <c r="N1346" s="74">
        <v>0.14499999999999999</v>
      </c>
      <c r="O1346">
        <v>3</v>
      </c>
      <c r="P1346" s="84">
        <v>0.14499999999999999</v>
      </c>
      <c r="Q1346" s="86">
        <v>4.2</v>
      </c>
      <c r="R1346" s="85">
        <v>4.2</v>
      </c>
      <c r="S1346" s="87">
        <v>839680</v>
      </c>
      <c r="T1346" s="1">
        <v>4</v>
      </c>
      <c r="U1346" s="88">
        <v>199923.80952380953</v>
      </c>
      <c r="V1346" s="59">
        <v>5.0019054878048781</v>
      </c>
    </row>
    <row r="1347" spans="1:22">
      <c r="A1347" s="58">
        <v>1349</v>
      </c>
      <c r="B1347" s="58">
        <v>1349</v>
      </c>
      <c r="C1347" s="58" t="s">
        <v>2096</v>
      </c>
      <c r="D1347" s="58" t="s">
        <v>1806</v>
      </c>
      <c r="E1347" s="58" t="s">
        <v>1806</v>
      </c>
      <c r="F1347" s="58" t="s">
        <v>1807</v>
      </c>
      <c r="G1347" s="58" t="s">
        <v>1808</v>
      </c>
      <c r="H1347" s="58" t="s">
        <v>179</v>
      </c>
      <c r="I1347">
        <v>38000</v>
      </c>
      <c r="J1347">
        <v>38000</v>
      </c>
      <c r="K1347" s="58" t="s">
        <v>185</v>
      </c>
      <c r="L1347" s="74">
        <v>10.254</v>
      </c>
      <c r="M1347" s="85">
        <v>11</v>
      </c>
      <c r="N1347" s="74">
        <v>0.248</v>
      </c>
      <c r="O1347">
        <v>3</v>
      </c>
      <c r="P1347" s="84">
        <v>0.248</v>
      </c>
      <c r="Q1347" s="86">
        <v>4.2</v>
      </c>
      <c r="R1347" s="85">
        <v>4.2</v>
      </c>
      <c r="S1347" s="87">
        <v>1439840</v>
      </c>
      <c r="T1347" s="1">
        <v>1</v>
      </c>
      <c r="U1347" s="88">
        <v>342819.04761904763</v>
      </c>
      <c r="V1347" s="59">
        <v>2.9169907767529724</v>
      </c>
    </row>
    <row r="1348" spans="1:22">
      <c r="A1348" s="58">
        <v>1350</v>
      </c>
      <c r="B1348" s="58">
        <v>1350</v>
      </c>
      <c r="C1348" s="58" t="s">
        <v>2097</v>
      </c>
      <c r="D1348" s="58" t="s">
        <v>1806</v>
      </c>
      <c r="E1348" s="58" t="s">
        <v>1806</v>
      </c>
      <c r="F1348" s="58" t="s">
        <v>2098</v>
      </c>
      <c r="G1348" s="58" t="s">
        <v>2099</v>
      </c>
      <c r="H1348" s="58" t="s">
        <v>199</v>
      </c>
      <c r="I1348">
        <v>110000</v>
      </c>
      <c r="L1348" s="74">
        <v>6.45</v>
      </c>
      <c r="M1348" s="85">
        <v>7</v>
      </c>
      <c r="N1348" s="74">
        <v>0.20300000000000001</v>
      </c>
      <c r="O1348">
        <v>3</v>
      </c>
      <c r="P1348" s="84">
        <v>0.20300000000000001</v>
      </c>
      <c r="Q1348" s="86">
        <v>4.2</v>
      </c>
      <c r="R1348" s="85">
        <v>4.2</v>
      </c>
      <c r="S1348" s="87">
        <v>1785370</v>
      </c>
      <c r="T1348" s="1">
        <v>7</v>
      </c>
      <c r="U1348" s="88">
        <v>425088.09523809521</v>
      </c>
      <c r="V1348" s="59">
        <v>2.3524535530450272</v>
      </c>
    </row>
    <row r="1349" spans="1:22">
      <c r="A1349" s="58">
        <v>1351</v>
      </c>
      <c r="B1349" s="58">
        <v>1351</v>
      </c>
      <c r="C1349" s="58" t="s">
        <v>2100</v>
      </c>
      <c r="D1349" s="58" t="s">
        <v>2068</v>
      </c>
      <c r="E1349" s="58" t="s">
        <v>2068</v>
      </c>
      <c r="F1349" s="58" t="s">
        <v>2101</v>
      </c>
      <c r="G1349" s="58" t="s">
        <v>2102</v>
      </c>
      <c r="H1349" s="58" t="s">
        <v>179</v>
      </c>
      <c r="I1349">
        <v>38000</v>
      </c>
      <c r="J1349">
        <v>38000</v>
      </c>
      <c r="K1349">
        <v>20000</v>
      </c>
      <c r="L1349" s="74">
        <v>4.6749999999999998</v>
      </c>
      <c r="M1349" s="85">
        <v>5</v>
      </c>
      <c r="N1349" s="74">
        <v>0.115</v>
      </c>
      <c r="O1349">
        <v>3</v>
      </c>
      <c r="P1349" s="84">
        <v>0.115</v>
      </c>
      <c r="Q1349" s="86">
        <v>4.2</v>
      </c>
      <c r="R1349" s="85">
        <v>4.2</v>
      </c>
      <c r="S1349" s="87">
        <v>699140</v>
      </c>
      <c r="T1349" s="1">
        <v>4</v>
      </c>
      <c r="U1349" s="88">
        <v>166461.90476190476</v>
      </c>
      <c r="V1349" s="59">
        <v>6.0073804960379897</v>
      </c>
    </row>
    <row r="1350" spans="1:22">
      <c r="A1350" s="58">
        <v>1352</v>
      </c>
      <c r="B1350" s="58">
        <v>1352</v>
      </c>
      <c r="C1350" s="58" t="s">
        <v>2103</v>
      </c>
      <c r="D1350" s="58" t="s">
        <v>882</v>
      </c>
      <c r="E1350" s="58" t="s">
        <v>882</v>
      </c>
      <c r="F1350" s="58" t="s">
        <v>1149</v>
      </c>
      <c r="G1350" s="58" t="s">
        <v>1150</v>
      </c>
      <c r="H1350" s="58" t="s">
        <v>179</v>
      </c>
      <c r="I1350">
        <v>38000</v>
      </c>
      <c r="J1350">
        <v>38000</v>
      </c>
      <c r="K1350" s="58" t="s">
        <v>185</v>
      </c>
      <c r="L1350" s="74">
        <v>16.731000000000002</v>
      </c>
      <c r="M1350" s="85">
        <v>17</v>
      </c>
      <c r="N1350" s="74">
        <v>0.13300000000000001</v>
      </c>
      <c r="O1350">
        <v>3</v>
      </c>
      <c r="P1350" s="84">
        <v>0.13300000000000001</v>
      </c>
      <c r="Q1350" s="86">
        <v>4.2</v>
      </c>
      <c r="R1350" s="85">
        <v>4.2</v>
      </c>
      <c r="S1350" s="87">
        <v>1756040</v>
      </c>
      <c r="T1350" s="1">
        <v>1</v>
      </c>
      <c r="U1350" s="88">
        <v>418104.76190476189</v>
      </c>
      <c r="V1350" s="59">
        <v>2.3917450627548349</v>
      </c>
    </row>
    <row r="1351" spans="1:22">
      <c r="A1351" s="58">
        <v>1353</v>
      </c>
      <c r="B1351" s="58">
        <v>1353</v>
      </c>
      <c r="C1351" s="58" t="s">
        <v>2104</v>
      </c>
      <c r="D1351" s="58" t="s">
        <v>882</v>
      </c>
      <c r="E1351" s="58" t="s">
        <v>882</v>
      </c>
      <c r="F1351" s="58" t="s">
        <v>1149</v>
      </c>
      <c r="G1351" s="58" t="s">
        <v>1150</v>
      </c>
      <c r="H1351" s="58" t="s">
        <v>179</v>
      </c>
      <c r="I1351">
        <v>38000</v>
      </c>
      <c r="J1351">
        <v>38000</v>
      </c>
      <c r="K1351" s="58" t="s">
        <v>185</v>
      </c>
      <c r="L1351" s="74">
        <v>16.649000000000001</v>
      </c>
      <c r="M1351" s="85">
        <v>17</v>
      </c>
      <c r="N1351" s="74">
        <v>0.153</v>
      </c>
      <c r="O1351">
        <v>3</v>
      </c>
      <c r="P1351" s="84">
        <v>0.153</v>
      </c>
      <c r="Q1351" s="86">
        <v>4.2</v>
      </c>
      <c r="R1351" s="85">
        <v>4.2</v>
      </c>
      <c r="S1351" s="87">
        <v>1756040</v>
      </c>
      <c r="T1351" s="1">
        <v>1</v>
      </c>
      <c r="U1351" s="88">
        <v>418104.76190476189</v>
      </c>
      <c r="V1351" s="59">
        <v>2.3917450627548349</v>
      </c>
    </row>
    <row r="1352" spans="1:22">
      <c r="A1352" s="58">
        <v>1354</v>
      </c>
      <c r="B1352" s="58">
        <v>1354</v>
      </c>
      <c r="C1352" s="58" t="s">
        <v>2105</v>
      </c>
      <c r="D1352" s="58" t="s">
        <v>775</v>
      </c>
      <c r="E1352" s="58" t="s">
        <v>775</v>
      </c>
      <c r="F1352" s="58" t="s">
        <v>903</v>
      </c>
      <c r="G1352" s="58" t="s">
        <v>904</v>
      </c>
      <c r="H1352" s="58" t="s">
        <v>179</v>
      </c>
      <c r="I1352">
        <v>38000</v>
      </c>
      <c r="J1352">
        <v>38000</v>
      </c>
      <c r="K1352" s="58" t="s">
        <v>185</v>
      </c>
      <c r="L1352" s="74">
        <v>7.4260000000000002</v>
      </c>
      <c r="M1352" s="85">
        <v>8</v>
      </c>
      <c r="N1352" s="74">
        <v>0.20100000000000001</v>
      </c>
      <c r="O1352">
        <v>3</v>
      </c>
      <c r="P1352" s="84">
        <v>0.20100000000000001</v>
      </c>
      <c r="Q1352" s="86">
        <v>4.2</v>
      </c>
      <c r="R1352" s="85">
        <v>4.2</v>
      </c>
      <c r="S1352" s="87">
        <v>909950</v>
      </c>
      <c r="T1352" s="1">
        <v>4</v>
      </c>
      <c r="U1352" s="88">
        <v>216654.76190476189</v>
      </c>
      <c r="V1352" s="59">
        <v>4.6156382218803227</v>
      </c>
    </row>
    <row r="1353" spans="1:22">
      <c r="A1353" s="58">
        <v>1355</v>
      </c>
      <c r="B1353" s="58">
        <v>1355</v>
      </c>
      <c r="C1353" s="58" t="s">
        <v>2106</v>
      </c>
      <c r="D1353" s="58" t="s">
        <v>2068</v>
      </c>
      <c r="E1353" s="58" t="s">
        <v>2068</v>
      </c>
      <c r="F1353" s="58" t="s">
        <v>2069</v>
      </c>
      <c r="G1353" s="58" t="s">
        <v>2070</v>
      </c>
      <c r="H1353" s="58" t="s">
        <v>179</v>
      </c>
      <c r="I1353">
        <v>38000</v>
      </c>
      <c r="J1353">
        <v>38000</v>
      </c>
      <c r="K1353" s="58" t="s">
        <v>185</v>
      </c>
      <c r="L1353" s="74">
        <v>7.9409999999999998</v>
      </c>
      <c r="M1353" s="85">
        <v>8</v>
      </c>
      <c r="N1353" s="74">
        <v>0.22600000000000001</v>
      </c>
      <c r="O1353">
        <v>3</v>
      </c>
      <c r="P1353" s="84">
        <v>0.22600000000000001</v>
      </c>
      <c r="Q1353" s="86">
        <v>4.2</v>
      </c>
      <c r="R1353" s="85">
        <v>4.2</v>
      </c>
      <c r="S1353" s="87">
        <v>909950</v>
      </c>
      <c r="T1353" s="1">
        <v>4</v>
      </c>
      <c r="U1353" s="88">
        <v>216654.76190476189</v>
      </c>
      <c r="V1353" s="59">
        <v>4.6156382218803227</v>
      </c>
    </row>
    <row r="1354" spans="1:22">
      <c r="A1354" s="58">
        <v>1356</v>
      </c>
      <c r="B1354" s="58">
        <v>1356</v>
      </c>
      <c r="C1354" s="58" t="s">
        <v>2107</v>
      </c>
      <c r="D1354" s="58" t="s">
        <v>450</v>
      </c>
      <c r="E1354" s="58" t="s">
        <v>450</v>
      </c>
      <c r="F1354" s="58" t="s">
        <v>769</v>
      </c>
      <c r="G1354" s="58" t="s">
        <v>770</v>
      </c>
      <c r="H1354" s="58" t="s">
        <v>179</v>
      </c>
      <c r="I1354">
        <v>38000</v>
      </c>
      <c r="J1354" s="58" t="s">
        <v>185</v>
      </c>
      <c r="K1354">
        <v>38000</v>
      </c>
      <c r="L1354" s="74">
        <v>1.8979999999999999</v>
      </c>
      <c r="M1354" s="85">
        <v>2</v>
      </c>
      <c r="N1354" s="74">
        <v>0.14799999999999999</v>
      </c>
      <c r="O1354">
        <v>3</v>
      </c>
      <c r="P1354" s="84">
        <v>0.14799999999999999</v>
      </c>
      <c r="Q1354" s="86">
        <v>4.2</v>
      </c>
      <c r="R1354" s="85">
        <v>4.2</v>
      </c>
      <c r="S1354" s="87">
        <v>488330</v>
      </c>
      <c r="T1354" s="1">
        <v>4</v>
      </c>
      <c r="U1354" s="88">
        <v>116269.04761904762</v>
      </c>
      <c r="V1354" s="59">
        <v>8.6007413019884087</v>
      </c>
    </row>
    <row r="1355" spans="1:22">
      <c r="A1355" s="58">
        <v>1357</v>
      </c>
      <c r="B1355" s="58">
        <v>1357</v>
      </c>
      <c r="C1355" s="58" t="s">
        <v>2108</v>
      </c>
      <c r="D1355" s="58" t="s">
        <v>410</v>
      </c>
      <c r="E1355" s="58" t="s">
        <v>410</v>
      </c>
      <c r="F1355" s="58" t="s">
        <v>1866</v>
      </c>
      <c r="G1355" s="58" t="s">
        <v>1867</v>
      </c>
      <c r="H1355" s="58" t="s">
        <v>179</v>
      </c>
      <c r="I1355">
        <v>38000</v>
      </c>
      <c r="J1355">
        <v>38000</v>
      </c>
      <c r="K1355" s="58" t="s">
        <v>185</v>
      </c>
      <c r="L1355" s="74">
        <v>4.9340000000000002</v>
      </c>
      <c r="M1355" s="85">
        <v>5</v>
      </c>
      <c r="N1355" s="74">
        <v>0.29899999999999999</v>
      </c>
      <c r="O1355">
        <v>3</v>
      </c>
      <c r="P1355" s="84">
        <v>0.29899999999999999</v>
      </c>
      <c r="Q1355" s="86">
        <v>4.2</v>
      </c>
      <c r="R1355" s="85">
        <v>4.2</v>
      </c>
      <c r="S1355" s="87">
        <v>699140</v>
      </c>
      <c r="T1355" s="1">
        <v>4</v>
      </c>
      <c r="U1355" s="88">
        <v>166461.90476190476</v>
      </c>
      <c r="V1355" s="59">
        <v>6.0073804960379897</v>
      </c>
    </row>
    <row r="1356" spans="1:22">
      <c r="A1356" s="58">
        <v>1358</v>
      </c>
      <c r="B1356" s="58">
        <v>1358</v>
      </c>
      <c r="C1356" s="58" t="s">
        <v>2109</v>
      </c>
      <c r="D1356" s="58" t="s">
        <v>882</v>
      </c>
      <c r="E1356" s="58" t="s">
        <v>882</v>
      </c>
      <c r="F1356" s="58" t="s">
        <v>1944</v>
      </c>
      <c r="G1356" s="58" t="s">
        <v>1945</v>
      </c>
      <c r="H1356" s="58" t="s">
        <v>179</v>
      </c>
      <c r="I1356">
        <v>38000</v>
      </c>
      <c r="J1356">
        <v>38000</v>
      </c>
      <c r="K1356">
        <v>20000</v>
      </c>
      <c r="L1356" s="74">
        <v>3.173</v>
      </c>
      <c r="M1356" s="85">
        <v>4</v>
      </c>
      <c r="N1356" s="74">
        <v>0.39200000000000002</v>
      </c>
      <c r="O1356">
        <v>3</v>
      </c>
      <c r="P1356" s="84">
        <v>0.39200000000000002</v>
      </c>
      <c r="Q1356" s="86">
        <v>4.2</v>
      </c>
      <c r="R1356" s="85">
        <v>4.2</v>
      </c>
      <c r="S1356" s="87">
        <v>628870</v>
      </c>
      <c r="T1356" s="1">
        <v>4</v>
      </c>
      <c r="U1356" s="88">
        <v>149730.95238095237</v>
      </c>
      <c r="V1356" s="59">
        <v>6.6786458250512828</v>
      </c>
    </row>
    <row r="1357" spans="1:22">
      <c r="A1357" s="58">
        <v>1359</v>
      </c>
      <c r="B1357" s="58">
        <v>1359</v>
      </c>
      <c r="C1357" s="58" t="s">
        <v>2110</v>
      </c>
      <c r="D1357" s="58" t="s">
        <v>882</v>
      </c>
      <c r="E1357" s="58" t="s">
        <v>882</v>
      </c>
      <c r="F1357" s="58" t="s">
        <v>1822</v>
      </c>
      <c r="G1357" s="58" t="s">
        <v>1823</v>
      </c>
      <c r="H1357" s="58" t="s">
        <v>199</v>
      </c>
      <c r="I1357">
        <v>110000</v>
      </c>
      <c r="L1357" s="74">
        <v>5.6589999999999998</v>
      </c>
      <c r="M1357" s="85">
        <v>6</v>
      </c>
      <c r="N1357" s="74">
        <v>0.30199999999999999</v>
      </c>
      <c r="O1357">
        <v>3</v>
      </c>
      <c r="P1357" s="84">
        <v>0.30199999999999999</v>
      </c>
      <c r="Q1357" s="86">
        <v>4.2</v>
      </c>
      <c r="R1357" s="85">
        <v>4.2</v>
      </c>
      <c r="S1357" s="87">
        <v>1732670</v>
      </c>
      <c r="T1357" s="1">
        <v>7</v>
      </c>
      <c r="U1357" s="88">
        <v>412540.47619047615</v>
      </c>
      <c r="V1357" s="59">
        <v>2.4240045709800482</v>
      </c>
    </row>
    <row r="1358" spans="1:22">
      <c r="A1358" s="58">
        <v>1360</v>
      </c>
      <c r="B1358" s="58">
        <v>1360</v>
      </c>
      <c r="C1358" s="58" t="s">
        <v>2111</v>
      </c>
      <c r="D1358" s="58" t="s">
        <v>410</v>
      </c>
      <c r="E1358" s="58" t="s">
        <v>410</v>
      </c>
      <c r="F1358" s="58" t="s">
        <v>883</v>
      </c>
      <c r="G1358" s="58" t="s">
        <v>884</v>
      </c>
      <c r="H1358" s="58" t="s">
        <v>179</v>
      </c>
      <c r="I1358">
        <v>38000</v>
      </c>
      <c r="J1358">
        <v>20000</v>
      </c>
      <c r="K1358">
        <v>38000</v>
      </c>
      <c r="L1358" s="74">
        <v>1.9910000000000001</v>
      </c>
      <c r="M1358" s="85">
        <v>2</v>
      </c>
      <c r="N1358" s="74">
        <v>0.42399999999999999</v>
      </c>
      <c r="O1358">
        <v>3</v>
      </c>
      <c r="P1358" s="84">
        <v>0.42399999999999999</v>
      </c>
      <c r="Q1358" s="86">
        <v>4.2</v>
      </c>
      <c r="R1358" s="85">
        <v>4.2</v>
      </c>
      <c r="S1358" s="87">
        <v>488330</v>
      </c>
      <c r="T1358" s="1">
        <v>4</v>
      </c>
      <c r="U1358" s="88">
        <v>116269.04761904762</v>
      </c>
      <c r="V1358" s="59">
        <v>8.6007413019884087</v>
      </c>
    </row>
    <row r="1359" spans="1:22">
      <c r="A1359" s="58">
        <v>1361</v>
      </c>
      <c r="B1359" s="58">
        <v>1361</v>
      </c>
      <c r="C1359" s="58" t="s">
        <v>2112</v>
      </c>
      <c r="D1359" s="58" t="s">
        <v>882</v>
      </c>
      <c r="E1359" s="58" t="s">
        <v>1169</v>
      </c>
      <c r="F1359" s="58" t="s">
        <v>1889</v>
      </c>
      <c r="G1359" s="58" t="s">
        <v>1890</v>
      </c>
      <c r="H1359" s="58" t="s">
        <v>179</v>
      </c>
      <c r="I1359">
        <v>38000</v>
      </c>
      <c r="J1359">
        <v>38000</v>
      </c>
      <c r="K1359" s="58" t="s">
        <v>185</v>
      </c>
      <c r="L1359" s="74">
        <v>13.782</v>
      </c>
      <c r="M1359" s="85">
        <v>14</v>
      </c>
      <c r="N1359" s="74">
        <v>0.42199999999999999</v>
      </c>
      <c r="O1359">
        <v>3</v>
      </c>
      <c r="P1359" s="84">
        <v>0.42199999999999999</v>
      </c>
      <c r="Q1359" s="86">
        <v>4.2</v>
      </c>
      <c r="R1359" s="85">
        <v>4.2</v>
      </c>
      <c r="S1359" s="87">
        <v>1597940</v>
      </c>
      <c r="T1359" s="1">
        <v>1</v>
      </c>
      <c r="U1359" s="88">
        <v>380461.90476190473</v>
      </c>
      <c r="V1359" s="59">
        <v>2.6283840444572388</v>
      </c>
    </row>
    <row r="1360" spans="1:22">
      <c r="A1360" s="58">
        <v>1362</v>
      </c>
      <c r="B1360" s="58">
        <v>1362</v>
      </c>
      <c r="C1360" s="58" t="s">
        <v>2113</v>
      </c>
      <c r="D1360" s="58" t="s">
        <v>215</v>
      </c>
      <c r="E1360" s="58" t="s">
        <v>450</v>
      </c>
      <c r="F1360" s="58" t="s">
        <v>901</v>
      </c>
      <c r="G1360" s="58" t="s">
        <v>407</v>
      </c>
      <c r="H1360" s="58" t="s">
        <v>179</v>
      </c>
      <c r="I1360">
        <v>38000</v>
      </c>
      <c r="J1360">
        <v>38000</v>
      </c>
      <c r="K1360" s="58" t="s">
        <v>185</v>
      </c>
      <c r="L1360" s="74">
        <v>7.633</v>
      </c>
      <c r="M1360" s="85">
        <v>8</v>
      </c>
      <c r="N1360" s="74">
        <v>0.10299999999999999</v>
      </c>
      <c r="O1360">
        <v>3</v>
      </c>
      <c r="P1360" s="84">
        <v>0.10299999999999999</v>
      </c>
      <c r="Q1360" s="86">
        <v>4.2</v>
      </c>
      <c r="R1360" s="85">
        <v>4.2</v>
      </c>
      <c r="S1360" s="87">
        <v>909950</v>
      </c>
      <c r="T1360" s="1">
        <v>4</v>
      </c>
      <c r="U1360" s="88">
        <v>216654.76190476189</v>
      </c>
      <c r="V1360" s="59">
        <v>4.6156382218803227</v>
      </c>
    </row>
    <row r="1361" spans="1:22">
      <c r="A1361" s="58">
        <v>1363</v>
      </c>
      <c r="B1361" s="58">
        <v>1363</v>
      </c>
      <c r="C1361" s="58" t="s">
        <v>2114</v>
      </c>
      <c r="D1361" s="58" t="s">
        <v>489</v>
      </c>
      <c r="E1361" s="58" t="s">
        <v>489</v>
      </c>
      <c r="F1361" s="58" t="s">
        <v>469</v>
      </c>
      <c r="G1361" s="58" t="s">
        <v>470</v>
      </c>
      <c r="H1361" s="58" t="s">
        <v>179</v>
      </c>
      <c r="I1361">
        <v>38000</v>
      </c>
      <c r="J1361">
        <v>38000</v>
      </c>
      <c r="K1361" s="58" t="s">
        <v>185</v>
      </c>
      <c r="L1361" s="74">
        <v>5.2439999999999998</v>
      </c>
      <c r="M1361" s="85">
        <v>6</v>
      </c>
      <c r="N1361" s="74">
        <v>0.104</v>
      </c>
      <c r="O1361">
        <v>3</v>
      </c>
      <c r="P1361" s="84">
        <v>0.104</v>
      </c>
      <c r="Q1361" s="86">
        <v>4.2</v>
      </c>
      <c r="R1361" s="85">
        <v>4.2</v>
      </c>
      <c r="S1361" s="87">
        <v>769410</v>
      </c>
      <c r="T1361" s="1">
        <v>4</v>
      </c>
      <c r="U1361" s="88">
        <v>183192.85714285713</v>
      </c>
      <c r="V1361" s="59">
        <v>5.4587281163488903</v>
      </c>
    </row>
    <row r="1362" spans="1:22">
      <c r="A1362" s="58">
        <v>1364</v>
      </c>
      <c r="B1362" s="58">
        <v>1364</v>
      </c>
      <c r="C1362" s="58" t="s">
        <v>2115</v>
      </c>
      <c r="D1362" s="58" t="s">
        <v>410</v>
      </c>
      <c r="E1362" s="58" t="s">
        <v>410</v>
      </c>
      <c r="F1362" s="58" t="s">
        <v>863</v>
      </c>
      <c r="G1362" s="58" t="s">
        <v>864</v>
      </c>
      <c r="H1362" s="58" t="s">
        <v>179</v>
      </c>
      <c r="I1362">
        <v>38000</v>
      </c>
      <c r="J1362">
        <v>38000</v>
      </c>
      <c r="K1362" s="58" t="s">
        <v>185</v>
      </c>
      <c r="L1362" s="74">
        <v>6.452</v>
      </c>
      <c r="M1362" s="85">
        <v>7</v>
      </c>
      <c r="N1362" s="74">
        <v>0.33800000000000002</v>
      </c>
      <c r="O1362">
        <v>3</v>
      </c>
      <c r="P1362" s="84">
        <v>0.33800000000000002</v>
      </c>
      <c r="Q1362" s="86">
        <v>4.2</v>
      </c>
      <c r="R1362" s="85">
        <v>4.2</v>
      </c>
      <c r="S1362" s="87">
        <v>839680</v>
      </c>
      <c r="T1362" s="1">
        <v>4</v>
      </c>
      <c r="U1362" s="88">
        <v>199923.80952380953</v>
      </c>
      <c r="V1362" s="59">
        <v>5.0019054878048781</v>
      </c>
    </row>
    <row r="1363" spans="1:22">
      <c r="A1363" s="58">
        <v>1365</v>
      </c>
      <c r="B1363" s="58">
        <v>1365</v>
      </c>
      <c r="C1363" s="58" t="s">
        <v>2116</v>
      </c>
      <c r="D1363" s="58" t="s">
        <v>852</v>
      </c>
      <c r="E1363" s="58" t="s">
        <v>852</v>
      </c>
      <c r="F1363" s="58" t="s">
        <v>1876</v>
      </c>
      <c r="G1363" s="58" t="s">
        <v>1877</v>
      </c>
      <c r="H1363" s="58" t="s">
        <v>179</v>
      </c>
      <c r="I1363">
        <v>38000</v>
      </c>
      <c r="J1363">
        <v>38000</v>
      </c>
      <c r="K1363">
        <v>20000</v>
      </c>
      <c r="L1363" s="74">
        <v>1.677</v>
      </c>
      <c r="M1363" s="85">
        <v>2</v>
      </c>
      <c r="N1363" s="74">
        <v>0.26100000000000001</v>
      </c>
      <c r="O1363">
        <v>3</v>
      </c>
      <c r="P1363" s="84">
        <v>0.26100000000000001</v>
      </c>
      <c r="Q1363" s="86">
        <v>4.2</v>
      </c>
      <c r="R1363" s="85">
        <v>4.2</v>
      </c>
      <c r="S1363" s="87">
        <v>488330</v>
      </c>
      <c r="T1363" s="1">
        <v>4</v>
      </c>
      <c r="U1363" s="88">
        <v>116269.04761904762</v>
      </c>
      <c r="V1363" s="59">
        <v>8.6007413019884087</v>
      </c>
    </row>
    <row r="1364" spans="1:22">
      <c r="A1364" s="58">
        <v>1366</v>
      </c>
      <c r="B1364" s="58">
        <v>1366</v>
      </c>
      <c r="C1364" s="58" t="s">
        <v>2117</v>
      </c>
      <c r="D1364" s="58" t="s">
        <v>346</v>
      </c>
      <c r="E1364" s="58" t="s">
        <v>346</v>
      </c>
      <c r="F1364" s="58" t="s">
        <v>347</v>
      </c>
      <c r="G1364" s="58" t="s">
        <v>348</v>
      </c>
      <c r="H1364" s="58" t="s">
        <v>199</v>
      </c>
      <c r="I1364">
        <v>110000</v>
      </c>
      <c r="J1364">
        <v>110000</v>
      </c>
      <c r="K1364" s="58" t="s">
        <v>200</v>
      </c>
      <c r="L1364" s="74">
        <v>4.5579999999999998</v>
      </c>
      <c r="M1364" s="85">
        <v>5</v>
      </c>
      <c r="N1364" s="74">
        <v>0.42199999999999999</v>
      </c>
      <c r="O1364">
        <v>3</v>
      </c>
      <c r="P1364" s="84">
        <v>0.42199999999999999</v>
      </c>
      <c r="Q1364" s="86">
        <v>4.2</v>
      </c>
      <c r="R1364" s="85">
        <v>4.2</v>
      </c>
      <c r="S1364" s="87">
        <v>1679970</v>
      </c>
      <c r="T1364" s="1">
        <v>7</v>
      </c>
      <c r="U1364" s="88">
        <v>399992.8571428571</v>
      </c>
      <c r="V1364" s="59">
        <v>2.5000446436543511</v>
      </c>
    </row>
    <row r="1365" spans="1:22">
      <c r="A1365" s="58">
        <v>1367</v>
      </c>
      <c r="B1365" s="58">
        <v>1367</v>
      </c>
      <c r="C1365" s="58" t="s">
        <v>2118</v>
      </c>
      <c r="D1365" s="58" t="s">
        <v>852</v>
      </c>
      <c r="E1365" s="58" t="s">
        <v>852</v>
      </c>
      <c r="F1365" s="58" t="s">
        <v>1876</v>
      </c>
      <c r="G1365" s="58" t="s">
        <v>1877</v>
      </c>
      <c r="H1365" s="58" t="s">
        <v>179</v>
      </c>
      <c r="I1365">
        <v>38000</v>
      </c>
      <c r="J1365">
        <v>38000</v>
      </c>
      <c r="K1365">
        <v>20000</v>
      </c>
      <c r="L1365" s="74">
        <v>11.334</v>
      </c>
      <c r="M1365" s="85">
        <v>12</v>
      </c>
      <c r="N1365" s="74">
        <v>0.1</v>
      </c>
      <c r="O1365">
        <v>3</v>
      </c>
      <c r="P1365" s="84">
        <v>0.1</v>
      </c>
      <c r="Q1365" s="86">
        <v>4.2</v>
      </c>
      <c r="R1365" s="85">
        <v>4.2</v>
      </c>
      <c r="S1365" s="87">
        <v>1492540</v>
      </c>
      <c r="T1365" s="1">
        <v>1</v>
      </c>
      <c r="U1365" s="88">
        <v>355366.66666666663</v>
      </c>
      <c r="V1365" s="59">
        <v>2.8139949348091173</v>
      </c>
    </row>
    <row r="1366" spans="1:22">
      <c r="A1366" s="58">
        <v>1368</v>
      </c>
      <c r="B1366" s="58">
        <v>1368</v>
      </c>
      <c r="C1366" s="58" t="s">
        <v>2119</v>
      </c>
      <c r="D1366" s="58" t="s">
        <v>1190</v>
      </c>
      <c r="E1366" s="58" t="s">
        <v>1190</v>
      </c>
      <c r="F1366" s="58" t="s">
        <v>2120</v>
      </c>
      <c r="G1366" s="58" t="s">
        <v>2121</v>
      </c>
      <c r="H1366" s="58" t="s">
        <v>179</v>
      </c>
      <c r="I1366">
        <v>38000</v>
      </c>
      <c r="J1366">
        <v>38000</v>
      </c>
      <c r="K1366" s="58" t="s">
        <v>185</v>
      </c>
      <c r="L1366" s="74">
        <v>6.8310000000000004</v>
      </c>
      <c r="M1366" s="85">
        <v>7</v>
      </c>
      <c r="N1366" s="74">
        <v>0.14299999999999999</v>
      </c>
      <c r="O1366">
        <v>3</v>
      </c>
      <c r="P1366" s="84">
        <v>0.14299999999999999</v>
      </c>
      <c r="Q1366" s="86">
        <v>4.2</v>
      </c>
      <c r="R1366" s="85">
        <v>4.2</v>
      </c>
      <c r="S1366" s="87">
        <v>839680</v>
      </c>
      <c r="T1366" s="1">
        <v>4</v>
      </c>
      <c r="U1366" s="88">
        <v>199923.80952380953</v>
      </c>
      <c r="V1366" s="59">
        <v>5.0019054878048781</v>
      </c>
    </row>
    <row r="1367" spans="1:22">
      <c r="A1367" s="58">
        <v>1369</v>
      </c>
      <c r="B1367" s="58">
        <v>1369</v>
      </c>
      <c r="C1367" s="58" t="s">
        <v>2122</v>
      </c>
      <c r="D1367" s="58" t="s">
        <v>1190</v>
      </c>
      <c r="E1367" s="58" t="s">
        <v>1190</v>
      </c>
      <c r="F1367" s="58" t="s">
        <v>1906</v>
      </c>
      <c r="G1367" s="58" t="s">
        <v>1907</v>
      </c>
      <c r="H1367" s="58" t="s">
        <v>179</v>
      </c>
      <c r="I1367">
        <v>38000</v>
      </c>
      <c r="J1367">
        <v>38000</v>
      </c>
      <c r="K1367">
        <v>10000</v>
      </c>
      <c r="L1367" s="74">
        <v>7.3630000000000004</v>
      </c>
      <c r="M1367" s="85">
        <v>8</v>
      </c>
      <c r="N1367" s="74">
        <v>0.45700000000000002</v>
      </c>
      <c r="O1367">
        <v>3</v>
      </c>
      <c r="P1367" s="84">
        <v>0.45700000000000002</v>
      </c>
      <c r="Q1367" s="86">
        <v>4.2</v>
      </c>
      <c r="R1367" s="85">
        <v>4.2</v>
      </c>
      <c r="S1367" s="87">
        <v>909950</v>
      </c>
      <c r="T1367" s="1">
        <v>4</v>
      </c>
      <c r="U1367" s="88">
        <v>216654.76190476189</v>
      </c>
      <c r="V1367" s="59">
        <v>4.6156382218803227</v>
      </c>
    </row>
    <row r="1368" spans="1:22">
      <c r="A1368" s="58">
        <v>1370</v>
      </c>
      <c r="B1368" s="58">
        <v>1370</v>
      </c>
      <c r="C1368" s="58" t="s">
        <v>2123</v>
      </c>
      <c r="D1368" s="58" t="s">
        <v>187</v>
      </c>
      <c r="E1368" s="58" t="s">
        <v>187</v>
      </c>
      <c r="F1368" s="58" t="s">
        <v>231</v>
      </c>
      <c r="G1368" s="58" t="s">
        <v>232</v>
      </c>
      <c r="H1368" s="58" t="s">
        <v>179</v>
      </c>
      <c r="I1368">
        <v>38000</v>
      </c>
      <c r="J1368" s="58" t="s">
        <v>185</v>
      </c>
      <c r="K1368">
        <v>38000</v>
      </c>
      <c r="L1368" s="74">
        <v>1.528</v>
      </c>
      <c r="M1368" s="85">
        <v>2</v>
      </c>
      <c r="N1368" s="74">
        <v>0.52900000000000003</v>
      </c>
      <c r="O1368">
        <v>3</v>
      </c>
      <c r="P1368" s="84">
        <v>0.52900000000000003</v>
      </c>
      <c r="Q1368" s="86">
        <v>4.2</v>
      </c>
      <c r="R1368" s="85">
        <v>4.2</v>
      </c>
      <c r="S1368" s="87">
        <v>488330</v>
      </c>
      <c r="T1368" s="1">
        <v>4</v>
      </c>
      <c r="U1368" s="88">
        <v>116269.04761904762</v>
      </c>
      <c r="V1368" s="59">
        <v>8.6007413019884087</v>
      </c>
    </row>
    <row r="1369" spans="1:22">
      <c r="A1369" s="58">
        <v>1371</v>
      </c>
      <c r="B1369" s="58">
        <v>1371</v>
      </c>
      <c r="C1369" s="58" t="s">
        <v>2124</v>
      </c>
      <c r="D1369" s="58" t="s">
        <v>187</v>
      </c>
      <c r="E1369" s="58" t="s">
        <v>187</v>
      </c>
      <c r="F1369" s="58" t="s">
        <v>435</v>
      </c>
      <c r="G1369" s="58" t="s">
        <v>436</v>
      </c>
      <c r="H1369" s="58" t="s">
        <v>199</v>
      </c>
      <c r="I1369">
        <v>110000</v>
      </c>
      <c r="J1369">
        <v>38000</v>
      </c>
      <c r="K1369">
        <v>110000</v>
      </c>
      <c r="L1369" s="74">
        <v>9.3040000000000003</v>
      </c>
      <c r="M1369" s="85">
        <v>10</v>
      </c>
      <c r="N1369" s="74">
        <v>0.27700000000000002</v>
      </c>
      <c r="O1369">
        <v>3</v>
      </c>
      <c r="P1369" s="84">
        <v>0.27700000000000002</v>
      </c>
      <c r="Q1369" s="86">
        <v>4.2</v>
      </c>
      <c r="R1369" s="85">
        <v>4.2</v>
      </c>
      <c r="S1369" s="87">
        <v>1943470</v>
      </c>
      <c r="T1369" s="1">
        <v>7</v>
      </c>
      <c r="U1369" s="88">
        <v>462730.95238095237</v>
      </c>
      <c r="V1369" s="59">
        <v>2.1610830113148132</v>
      </c>
    </row>
    <row r="1370" spans="1:22">
      <c r="A1370" s="58">
        <v>1372</v>
      </c>
      <c r="B1370" s="58">
        <v>1372</v>
      </c>
      <c r="C1370" s="58" t="s">
        <v>2125</v>
      </c>
      <c r="D1370" s="58" t="s">
        <v>187</v>
      </c>
      <c r="E1370" s="58" t="s">
        <v>187</v>
      </c>
      <c r="F1370" s="58" t="s">
        <v>859</v>
      </c>
      <c r="G1370" s="58" t="s">
        <v>860</v>
      </c>
      <c r="H1370" s="58" t="s">
        <v>179</v>
      </c>
      <c r="I1370">
        <v>38000</v>
      </c>
      <c r="J1370">
        <v>38000</v>
      </c>
      <c r="K1370" s="58" t="s">
        <v>185</v>
      </c>
      <c r="L1370" s="74">
        <v>10.66</v>
      </c>
      <c r="M1370" s="85">
        <v>11</v>
      </c>
      <c r="N1370" s="74">
        <v>9.0999999999999998E-2</v>
      </c>
      <c r="O1370">
        <v>3</v>
      </c>
      <c r="P1370" s="84">
        <v>9.0999999999999998E-2</v>
      </c>
      <c r="Q1370" s="86">
        <v>4.2</v>
      </c>
      <c r="R1370" s="85">
        <v>4.2</v>
      </c>
      <c r="S1370" s="87">
        <v>1439840</v>
      </c>
      <c r="T1370" s="1">
        <v>1</v>
      </c>
      <c r="U1370" s="88">
        <v>342819.04761904763</v>
      </c>
      <c r="V1370" s="59">
        <v>2.9169907767529724</v>
      </c>
    </row>
    <row r="1371" spans="1:22">
      <c r="A1371" s="58">
        <v>1373</v>
      </c>
      <c r="B1371" s="58">
        <v>1373</v>
      </c>
      <c r="C1371" s="58" t="s">
        <v>2126</v>
      </c>
      <c r="D1371" s="58" t="s">
        <v>187</v>
      </c>
      <c r="E1371" s="58" t="s">
        <v>187</v>
      </c>
      <c r="F1371" s="58" t="s">
        <v>435</v>
      </c>
      <c r="G1371" s="58" t="s">
        <v>436</v>
      </c>
      <c r="H1371" s="58" t="s">
        <v>199</v>
      </c>
      <c r="I1371">
        <v>110000</v>
      </c>
      <c r="J1371">
        <v>38000</v>
      </c>
      <c r="K1371">
        <v>110000</v>
      </c>
      <c r="L1371" s="74">
        <v>5.41</v>
      </c>
      <c r="M1371" s="85">
        <v>6</v>
      </c>
      <c r="N1371" s="74">
        <v>0.29099999999999998</v>
      </c>
      <c r="O1371">
        <v>3</v>
      </c>
      <c r="P1371" s="84">
        <v>0.29099999999999998</v>
      </c>
      <c r="Q1371" s="86">
        <v>4.2</v>
      </c>
      <c r="R1371" s="85">
        <v>4.2</v>
      </c>
      <c r="S1371" s="87">
        <v>1732670</v>
      </c>
      <c r="T1371" s="1">
        <v>7</v>
      </c>
      <c r="U1371" s="88">
        <v>412540.47619047615</v>
      </c>
      <c r="V1371" s="59">
        <v>2.4240045709800482</v>
      </c>
    </row>
    <row r="1372" spans="1:22">
      <c r="A1372" s="58">
        <v>1374</v>
      </c>
      <c r="B1372" s="58">
        <v>1374</v>
      </c>
      <c r="C1372" s="58" t="s">
        <v>2127</v>
      </c>
      <c r="D1372" s="58" t="s">
        <v>187</v>
      </c>
      <c r="E1372" s="58" t="s">
        <v>187</v>
      </c>
      <c r="F1372" s="58" t="s">
        <v>246</v>
      </c>
      <c r="G1372" s="58" t="s">
        <v>247</v>
      </c>
      <c r="H1372" s="58" t="s">
        <v>199</v>
      </c>
      <c r="I1372">
        <v>110000</v>
      </c>
      <c r="J1372">
        <v>33000</v>
      </c>
      <c r="K1372">
        <v>110000</v>
      </c>
      <c r="L1372" s="74">
        <v>7.02</v>
      </c>
      <c r="M1372" s="85">
        <v>8</v>
      </c>
      <c r="N1372" s="74">
        <v>0.312</v>
      </c>
      <c r="O1372">
        <v>3</v>
      </c>
      <c r="P1372" s="84">
        <v>0.312</v>
      </c>
      <c r="Q1372" s="86">
        <v>4.2</v>
      </c>
      <c r="R1372" s="85">
        <v>4.2</v>
      </c>
      <c r="S1372" s="87">
        <v>1838070</v>
      </c>
      <c r="T1372" s="1">
        <v>7</v>
      </c>
      <c r="U1372" s="88">
        <v>437635.71428571426</v>
      </c>
      <c r="V1372" s="59">
        <v>2.2850054676916547</v>
      </c>
    </row>
    <row r="1373" spans="1:22">
      <c r="A1373" s="58">
        <v>1375</v>
      </c>
      <c r="B1373" s="58">
        <v>1375</v>
      </c>
      <c r="C1373" s="58" t="s">
        <v>2128</v>
      </c>
      <c r="D1373" s="58" t="s">
        <v>187</v>
      </c>
      <c r="E1373" s="58" t="s">
        <v>187</v>
      </c>
      <c r="F1373" s="58" t="s">
        <v>246</v>
      </c>
      <c r="G1373" s="58" t="s">
        <v>247</v>
      </c>
      <c r="H1373" s="58" t="s">
        <v>199</v>
      </c>
      <c r="I1373">
        <v>110000</v>
      </c>
      <c r="J1373">
        <v>33000</v>
      </c>
      <c r="K1373">
        <v>110000</v>
      </c>
      <c r="L1373" s="74">
        <v>7.7279999999999998</v>
      </c>
      <c r="M1373" s="85">
        <v>8</v>
      </c>
      <c r="N1373" s="74">
        <v>9.6000000000000002E-2</v>
      </c>
      <c r="O1373">
        <v>3</v>
      </c>
      <c r="P1373" s="84">
        <v>9.6000000000000002E-2</v>
      </c>
      <c r="Q1373" s="86">
        <v>4.2</v>
      </c>
      <c r="R1373" s="85">
        <v>4.2</v>
      </c>
      <c r="S1373" s="87">
        <v>1838070</v>
      </c>
      <c r="T1373" s="1">
        <v>7</v>
      </c>
      <c r="U1373" s="88">
        <v>437635.71428571426</v>
      </c>
      <c r="V1373" s="59">
        <v>2.2850054676916547</v>
      </c>
    </row>
    <row r="1374" spans="1:22">
      <c r="A1374" s="58">
        <v>1376</v>
      </c>
      <c r="B1374" s="58">
        <v>1376</v>
      </c>
      <c r="C1374" s="58" t="s">
        <v>2129</v>
      </c>
      <c r="D1374" s="58" t="s">
        <v>187</v>
      </c>
      <c r="E1374" s="58" t="s">
        <v>187</v>
      </c>
      <c r="F1374" s="58" t="s">
        <v>1213</v>
      </c>
      <c r="G1374" s="58" t="s">
        <v>1214</v>
      </c>
      <c r="H1374" s="58" t="s">
        <v>199</v>
      </c>
      <c r="I1374">
        <v>110000</v>
      </c>
      <c r="J1374" s="58" t="s">
        <v>185</v>
      </c>
      <c r="K1374">
        <v>110000</v>
      </c>
      <c r="L1374" s="74">
        <v>13.497999999999999</v>
      </c>
      <c r="M1374" s="85">
        <v>14</v>
      </c>
      <c r="N1374" s="74">
        <v>0.125</v>
      </c>
      <c r="O1374">
        <v>3</v>
      </c>
      <c r="P1374" s="84">
        <v>0.125</v>
      </c>
      <c r="Q1374" s="86">
        <v>4.2</v>
      </c>
      <c r="R1374" s="85">
        <v>4.2</v>
      </c>
      <c r="S1374" s="87">
        <v>2154270</v>
      </c>
      <c r="T1374" s="1">
        <v>7</v>
      </c>
      <c r="U1374" s="88">
        <v>512921.42857142852</v>
      </c>
      <c r="V1374" s="59">
        <v>1.9496163433552898</v>
      </c>
    </row>
    <row r="1375" spans="1:22">
      <c r="A1375" s="58">
        <v>1377</v>
      </c>
      <c r="B1375" s="58">
        <v>1377</v>
      </c>
      <c r="C1375" s="58" t="s">
        <v>2130</v>
      </c>
      <c r="D1375" s="58" t="s">
        <v>249</v>
      </c>
      <c r="E1375" s="58" t="s">
        <v>249</v>
      </c>
      <c r="F1375" s="58" t="s">
        <v>250</v>
      </c>
      <c r="G1375" s="58" t="s">
        <v>251</v>
      </c>
      <c r="H1375" s="58" t="s">
        <v>199</v>
      </c>
      <c r="I1375">
        <v>110000</v>
      </c>
      <c r="L1375" s="74">
        <v>3.3820000000000001</v>
      </c>
      <c r="M1375" s="85">
        <v>4</v>
      </c>
      <c r="N1375" s="74">
        <v>0.124</v>
      </c>
      <c r="O1375">
        <v>3</v>
      </c>
      <c r="P1375" s="84">
        <v>0.124</v>
      </c>
      <c r="Q1375" s="86">
        <v>4.2</v>
      </c>
      <c r="R1375" s="85">
        <v>4.2</v>
      </c>
      <c r="S1375" s="87">
        <v>1627270</v>
      </c>
      <c r="T1375" s="1">
        <v>7</v>
      </c>
      <c r="U1375" s="88">
        <v>387445.23809523811</v>
      </c>
      <c r="V1375" s="59">
        <v>2.5810099123071155</v>
      </c>
    </row>
    <row r="1376" spans="1:22">
      <c r="A1376" s="58">
        <v>1378</v>
      </c>
      <c r="B1376" s="58">
        <v>1378</v>
      </c>
      <c r="C1376" s="58" t="s">
        <v>2131</v>
      </c>
      <c r="D1376" s="58" t="s">
        <v>253</v>
      </c>
      <c r="E1376" s="58" t="s">
        <v>253</v>
      </c>
      <c r="F1376" s="58" t="s">
        <v>254</v>
      </c>
      <c r="G1376" s="58" t="s">
        <v>255</v>
      </c>
      <c r="H1376" s="58" t="s">
        <v>179</v>
      </c>
      <c r="I1376">
        <v>38000</v>
      </c>
      <c r="J1376">
        <v>38000</v>
      </c>
      <c r="K1376" s="58" t="s">
        <v>185</v>
      </c>
      <c r="L1376" s="74">
        <v>6.2830000000000004</v>
      </c>
      <c r="M1376" s="85">
        <v>7</v>
      </c>
      <c r="N1376" s="74">
        <v>0.24199999999999999</v>
      </c>
      <c r="O1376">
        <v>3</v>
      </c>
      <c r="P1376" s="84">
        <v>0.24199999999999999</v>
      </c>
      <c r="Q1376" s="86">
        <v>4.2</v>
      </c>
      <c r="R1376" s="85">
        <v>4.2</v>
      </c>
      <c r="S1376" s="87">
        <v>839680</v>
      </c>
      <c r="T1376" s="1">
        <v>4</v>
      </c>
      <c r="U1376" s="88">
        <v>199923.80952380953</v>
      </c>
      <c r="V1376" s="59">
        <v>5.0019054878048781</v>
      </c>
    </row>
    <row r="1377" spans="1:22">
      <c r="A1377" s="58">
        <v>1379</v>
      </c>
      <c r="B1377" s="58">
        <v>1379</v>
      </c>
      <c r="C1377" s="58" t="s">
        <v>2132</v>
      </c>
      <c r="D1377" s="58" t="s">
        <v>215</v>
      </c>
      <c r="E1377" s="58" t="s">
        <v>215</v>
      </c>
      <c r="F1377" s="58" t="s">
        <v>257</v>
      </c>
      <c r="G1377" s="58" t="s">
        <v>258</v>
      </c>
      <c r="H1377" s="58" t="s">
        <v>179</v>
      </c>
      <c r="I1377">
        <v>38000</v>
      </c>
      <c r="J1377">
        <v>38000</v>
      </c>
      <c r="K1377">
        <v>20000</v>
      </c>
      <c r="L1377" s="74">
        <v>11.004</v>
      </c>
      <c r="M1377" s="85">
        <v>12</v>
      </c>
      <c r="N1377" s="74">
        <v>0.22600000000000001</v>
      </c>
      <c r="O1377">
        <v>3</v>
      </c>
      <c r="P1377" s="84">
        <v>0.22600000000000001</v>
      </c>
      <c r="Q1377" s="86">
        <v>4.2</v>
      </c>
      <c r="R1377" s="85">
        <v>4.2</v>
      </c>
      <c r="S1377" s="87">
        <v>1492540</v>
      </c>
      <c r="T1377" s="1">
        <v>1</v>
      </c>
      <c r="U1377" s="88">
        <v>355366.66666666663</v>
      </c>
      <c r="V1377" s="59">
        <v>2.8139949348091173</v>
      </c>
    </row>
    <row r="1378" spans="1:22">
      <c r="A1378" s="58">
        <v>1380</v>
      </c>
      <c r="B1378" s="58">
        <v>1380</v>
      </c>
      <c r="C1378" s="58" t="s">
        <v>2133</v>
      </c>
      <c r="D1378" s="58" t="s">
        <v>215</v>
      </c>
      <c r="E1378" s="58" t="s">
        <v>215</v>
      </c>
      <c r="F1378" s="58" t="s">
        <v>257</v>
      </c>
      <c r="G1378" s="58" t="s">
        <v>258</v>
      </c>
      <c r="H1378" s="58" t="s">
        <v>179</v>
      </c>
      <c r="I1378">
        <v>38000</v>
      </c>
      <c r="J1378">
        <v>38000</v>
      </c>
      <c r="K1378">
        <v>20000</v>
      </c>
      <c r="L1378" s="74">
        <v>13.888</v>
      </c>
      <c r="M1378" s="85">
        <v>14</v>
      </c>
      <c r="N1378" s="74">
        <v>0.216</v>
      </c>
      <c r="O1378">
        <v>3</v>
      </c>
      <c r="P1378" s="84">
        <v>0.216</v>
      </c>
      <c r="Q1378" s="86">
        <v>4.2</v>
      </c>
      <c r="R1378" s="85">
        <v>4.2</v>
      </c>
      <c r="S1378" s="87">
        <v>1597940</v>
      </c>
      <c r="T1378" s="1">
        <v>1</v>
      </c>
      <c r="U1378" s="88">
        <v>380461.90476190473</v>
      </c>
      <c r="V1378" s="59">
        <v>2.6283840444572388</v>
      </c>
    </row>
    <row r="1379" spans="1:22">
      <c r="A1379" s="58">
        <v>1381</v>
      </c>
      <c r="B1379" s="58">
        <v>1381</v>
      </c>
      <c r="C1379" s="58" t="s">
        <v>2134</v>
      </c>
      <c r="D1379" s="58" t="s">
        <v>215</v>
      </c>
      <c r="E1379" s="58" t="s">
        <v>215</v>
      </c>
      <c r="F1379" s="58" t="s">
        <v>225</v>
      </c>
      <c r="G1379" s="58" t="s">
        <v>226</v>
      </c>
      <c r="H1379" s="58" t="s">
        <v>179</v>
      </c>
      <c r="I1379">
        <v>38000</v>
      </c>
      <c r="J1379">
        <v>38000</v>
      </c>
      <c r="K1379">
        <v>20000</v>
      </c>
      <c r="L1379" s="74">
        <v>13.212999999999999</v>
      </c>
      <c r="M1379" s="85">
        <v>14</v>
      </c>
      <c r="N1379" s="74">
        <v>0.155</v>
      </c>
      <c r="O1379">
        <v>3</v>
      </c>
      <c r="P1379" s="84">
        <v>0.155</v>
      </c>
      <c r="Q1379" s="86">
        <v>4.2</v>
      </c>
      <c r="R1379" s="85">
        <v>4.2</v>
      </c>
      <c r="S1379" s="87">
        <v>1597940</v>
      </c>
      <c r="T1379" s="1">
        <v>1</v>
      </c>
      <c r="U1379" s="88">
        <v>380461.90476190473</v>
      </c>
      <c r="V1379" s="59">
        <v>2.6283840444572388</v>
      </c>
    </row>
    <row r="1380" spans="1:22">
      <c r="A1380" s="58">
        <v>1382</v>
      </c>
      <c r="B1380" s="58">
        <v>1382</v>
      </c>
      <c r="C1380" s="58" t="s">
        <v>2135</v>
      </c>
      <c r="D1380" s="58" t="s">
        <v>176</v>
      </c>
      <c r="E1380" s="58" t="s">
        <v>176</v>
      </c>
      <c r="F1380" s="58" t="s">
        <v>257</v>
      </c>
      <c r="G1380" s="58" t="s">
        <v>258</v>
      </c>
      <c r="H1380" s="58" t="s">
        <v>179</v>
      </c>
      <c r="I1380">
        <v>38000</v>
      </c>
      <c r="J1380">
        <v>38000</v>
      </c>
      <c r="K1380">
        <v>20000</v>
      </c>
      <c r="L1380" s="74">
        <v>7.492</v>
      </c>
      <c r="M1380" s="85">
        <v>8</v>
      </c>
      <c r="N1380" s="74">
        <v>0.21</v>
      </c>
      <c r="O1380">
        <v>3</v>
      </c>
      <c r="P1380" s="84">
        <v>0.21</v>
      </c>
      <c r="Q1380" s="86">
        <v>4.2</v>
      </c>
      <c r="R1380" s="85">
        <v>4.2</v>
      </c>
      <c r="S1380" s="87">
        <v>909950</v>
      </c>
      <c r="T1380" s="1">
        <v>4</v>
      </c>
      <c r="U1380" s="88">
        <v>216654.76190476189</v>
      </c>
      <c r="V1380" s="59">
        <v>4.6156382218803227</v>
      </c>
    </row>
    <row r="1381" spans="1:22">
      <c r="A1381" s="58">
        <v>1383</v>
      </c>
      <c r="B1381" s="58">
        <v>1383</v>
      </c>
      <c r="C1381" s="58" t="s">
        <v>2136</v>
      </c>
      <c r="D1381" s="58" t="s">
        <v>215</v>
      </c>
      <c r="E1381" s="58" t="s">
        <v>215</v>
      </c>
      <c r="F1381" s="58" t="s">
        <v>257</v>
      </c>
      <c r="G1381" s="58" t="s">
        <v>258</v>
      </c>
      <c r="H1381" s="58" t="s">
        <v>179</v>
      </c>
      <c r="I1381">
        <v>38000</v>
      </c>
      <c r="J1381">
        <v>38000</v>
      </c>
      <c r="K1381">
        <v>20000</v>
      </c>
      <c r="L1381" s="74">
        <v>8.4610000000000003</v>
      </c>
      <c r="M1381" s="85">
        <v>9</v>
      </c>
      <c r="N1381" s="74">
        <v>0.26800000000000002</v>
      </c>
      <c r="O1381">
        <v>3</v>
      </c>
      <c r="P1381" s="84">
        <v>0.26800000000000002</v>
      </c>
      <c r="Q1381" s="86">
        <v>4.2</v>
      </c>
      <c r="R1381" s="85">
        <v>4.2</v>
      </c>
      <c r="S1381" s="87">
        <v>1334440</v>
      </c>
      <c r="T1381" s="1">
        <v>1</v>
      </c>
      <c r="U1381" s="88">
        <v>317723.80952380953</v>
      </c>
      <c r="V1381" s="59">
        <v>3.1473876682353645</v>
      </c>
    </row>
    <row r="1382" spans="1:22">
      <c r="A1382" s="58">
        <v>1384</v>
      </c>
      <c r="B1382" s="58">
        <v>1384</v>
      </c>
      <c r="C1382" s="58" t="s">
        <v>2137</v>
      </c>
      <c r="D1382" s="58" t="s">
        <v>215</v>
      </c>
      <c r="E1382" s="58" t="s">
        <v>176</v>
      </c>
      <c r="F1382" s="58" t="s">
        <v>225</v>
      </c>
      <c r="G1382" s="58" t="s">
        <v>226</v>
      </c>
      <c r="H1382" s="58" t="s">
        <v>179</v>
      </c>
      <c r="I1382">
        <v>38000</v>
      </c>
      <c r="J1382">
        <v>38000</v>
      </c>
      <c r="K1382">
        <v>20000</v>
      </c>
      <c r="L1382" s="74">
        <v>7.1440000000000001</v>
      </c>
      <c r="M1382" s="85">
        <v>8</v>
      </c>
      <c r="N1382" s="74">
        <v>0.66</v>
      </c>
      <c r="O1382">
        <v>3</v>
      </c>
      <c r="P1382" s="84">
        <v>0.66</v>
      </c>
      <c r="Q1382" s="86">
        <v>4.2</v>
      </c>
      <c r="R1382" s="85">
        <v>4.2</v>
      </c>
      <c r="S1382" s="87">
        <v>909950</v>
      </c>
      <c r="T1382" s="1">
        <v>4</v>
      </c>
      <c r="U1382" s="88">
        <v>216654.76190476189</v>
      </c>
      <c r="V1382" s="59">
        <v>4.6156382218803227</v>
      </c>
    </row>
    <row r="1383" spans="1:22">
      <c r="A1383" s="58">
        <v>1385</v>
      </c>
      <c r="B1383" s="58">
        <v>1385</v>
      </c>
      <c r="C1383" s="58" t="s">
        <v>2138</v>
      </c>
      <c r="D1383" s="58" t="s">
        <v>176</v>
      </c>
      <c r="E1383" s="58" t="s">
        <v>176</v>
      </c>
      <c r="F1383" s="58" t="s">
        <v>225</v>
      </c>
      <c r="G1383" s="58" t="s">
        <v>226</v>
      </c>
      <c r="H1383" s="58" t="s">
        <v>179</v>
      </c>
      <c r="I1383">
        <v>38000</v>
      </c>
      <c r="J1383">
        <v>38000</v>
      </c>
      <c r="K1383">
        <v>20000</v>
      </c>
      <c r="L1383" s="74">
        <v>9.9390000000000001</v>
      </c>
      <c r="M1383" s="85">
        <v>10</v>
      </c>
      <c r="N1383" s="74">
        <v>0.10100000000000001</v>
      </c>
      <c r="O1383">
        <v>3</v>
      </c>
      <c r="P1383" s="84">
        <v>0.10100000000000001</v>
      </c>
      <c r="Q1383" s="86">
        <v>4.2</v>
      </c>
      <c r="R1383" s="85">
        <v>4.2</v>
      </c>
      <c r="S1383" s="87">
        <v>1387140</v>
      </c>
      <c r="T1383" s="1">
        <v>1</v>
      </c>
      <c r="U1383" s="88">
        <v>330271.42857142858</v>
      </c>
      <c r="V1383" s="59">
        <v>3.0278126216531858</v>
      </c>
    </row>
    <row r="1384" spans="1:22">
      <c r="A1384" s="58">
        <v>1386</v>
      </c>
      <c r="B1384" s="58">
        <v>1386</v>
      </c>
      <c r="C1384" s="58" t="s">
        <v>2139</v>
      </c>
      <c r="D1384" s="58" t="s">
        <v>215</v>
      </c>
      <c r="E1384" s="58" t="s">
        <v>215</v>
      </c>
      <c r="F1384" s="58" t="s">
        <v>225</v>
      </c>
      <c r="G1384" s="58" t="s">
        <v>226</v>
      </c>
      <c r="H1384" s="58" t="s">
        <v>179</v>
      </c>
      <c r="I1384">
        <v>38000</v>
      </c>
      <c r="J1384">
        <v>38000</v>
      </c>
      <c r="K1384">
        <v>20000</v>
      </c>
      <c r="L1384" s="74">
        <v>11.090999999999999</v>
      </c>
      <c r="M1384" s="85">
        <v>12</v>
      </c>
      <c r="N1384" s="74">
        <v>0.41899999999999998</v>
      </c>
      <c r="O1384">
        <v>3</v>
      </c>
      <c r="P1384" s="84">
        <v>0.41899999999999998</v>
      </c>
      <c r="Q1384" s="86">
        <v>4.2</v>
      </c>
      <c r="R1384" s="85">
        <v>4.2</v>
      </c>
      <c r="S1384" s="87">
        <v>1492540</v>
      </c>
      <c r="T1384" s="1">
        <v>1</v>
      </c>
      <c r="U1384" s="88">
        <v>355366.66666666663</v>
      </c>
      <c r="V1384" s="59">
        <v>2.8139949348091173</v>
      </c>
    </row>
    <row r="1385" spans="1:22">
      <c r="A1385" s="58">
        <v>1387</v>
      </c>
      <c r="B1385" s="58">
        <v>1387</v>
      </c>
      <c r="C1385" s="58" t="s">
        <v>2140</v>
      </c>
      <c r="D1385" s="58" t="s">
        <v>215</v>
      </c>
      <c r="E1385" s="58" t="s">
        <v>215</v>
      </c>
      <c r="F1385" s="58" t="s">
        <v>225</v>
      </c>
      <c r="G1385" s="58" t="s">
        <v>226</v>
      </c>
      <c r="H1385" s="58" t="s">
        <v>179</v>
      </c>
      <c r="I1385">
        <v>38000</v>
      </c>
      <c r="J1385">
        <v>38000</v>
      </c>
      <c r="K1385">
        <v>20000</v>
      </c>
      <c r="L1385" s="74">
        <v>9.4469999999999992</v>
      </c>
      <c r="M1385" s="85">
        <v>10</v>
      </c>
      <c r="N1385" s="74">
        <v>0.34599999999999997</v>
      </c>
      <c r="O1385">
        <v>3</v>
      </c>
      <c r="P1385" s="84">
        <v>0.34599999999999997</v>
      </c>
      <c r="Q1385" s="86">
        <v>4.2</v>
      </c>
      <c r="R1385" s="85">
        <v>4.2</v>
      </c>
      <c r="S1385" s="87">
        <v>1387140</v>
      </c>
      <c r="T1385" s="1">
        <v>1</v>
      </c>
      <c r="U1385" s="88">
        <v>330271.42857142858</v>
      </c>
      <c r="V1385" s="59">
        <v>3.0278126216531858</v>
      </c>
    </row>
    <row r="1386" spans="1:22">
      <c r="A1386" s="58">
        <v>1388</v>
      </c>
      <c r="B1386" s="58">
        <v>1388</v>
      </c>
      <c r="C1386" s="58" t="s">
        <v>2141</v>
      </c>
      <c r="D1386" s="58" t="s">
        <v>215</v>
      </c>
      <c r="E1386" s="58" t="s">
        <v>215</v>
      </c>
      <c r="F1386" s="58" t="s">
        <v>225</v>
      </c>
      <c r="G1386" s="58" t="s">
        <v>226</v>
      </c>
      <c r="H1386" s="58" t="s">
        <v>179</v>
      </c>
      <c r="I1386">
        <v>38000</v>
      </c>
      <c r="J1386">
        <v>38000</v>
      </c>
      <c r="K1386">
        <v>20000</v>
      </c>
      <c r="L1386" s="74">
        <v>6.4429999999999996</v>
      </c>
      <c r="M1386" s="85">
        <v>7</v>
      </c>
      <c r="N1386" s="74">
        <v>0.55700000000000005</v>
      </c>
      <c r="O1386">
        <v>3</v>
      </c>
      <c r="P1386" s="84">
        <v>0.55700000000000005</v>
      </c>
      <c r="Q1386" s="86">
        <v>4.2</v>
      </c>
      <c r="R1386" s="85">
        <v>4.2</v>
      </c>
      <c r="S1386" s="87">
        <v>839680</v>
      </c>
      <c r="T1386" s="1">
        <v>4</v>
      </c>
      <c r="U1386" s="88">
        <v>199923.80952380953</v>
      </c>
      <c r="V1386" s="59">
        <v>5.0019054878048781</v>
      </c>
    </row>
    <row r="1387" spans="1:22">
      <c r="A1387" s="58">
        <v>1389</v>
      </c>
      <c r="B1387" s="58">
        <v>1389</v>
      </c>
      <c r="C1387" s="58" t="s">
        <v>2142</v>
      </c>
      <c r="D1387" s="58" t="s">
        <v>215</v>
      </c>
      <c r="E1387" s="58" t="s">
        <v>215</v>
      </c>
      <c r="F1387" s="58" t="s">
        <v>225</v>
      </c>
      <c r="G1387" s="58" t="s">
        <v>226</v>
      </c>
      <c r="H1387" s="58" t="s">
        <v>179</v>
      </c>
      <c r="I1387">
        <v>38000</v>
      </c>
      <c r="J1387">
        <v>38000</v>
      </c>
      <c r="K1387">
        <v>20000</v>
      </c>
      <c r="L1387" s="74">
        <v>7.1790000000000003</v>
      </c>
      <c r="M1387" s="85">
        <v>8</v>
      </c>
      <c r="N1387" s="74">
        <v>0.313</v>
      </c>
      <c r="O1387">
        <v>3</v>
      </c>
      <c r="P1387" s="84">
        <v>0.313</v>
      </c>
      <c r="Q1387" s="86">
        <v>4.2</v>
      </c>
      <c r="R1387" s="85">
        <v>4.2</v>
      </c>
      <c r="S1387" s="87">
        <v>909950</v>
      </c>
      <c r="T1387" s="1">
        <v>4</v>
      </c>
      <c r="U1387" s="88">
        <v>216654.76190476189</v>
      </c>
      <c r="V1387" s="59">
        <v>4.6156382218803227</v>
      </c>
    </row>
    <row r="1388" spans="1:22">
      <c r="A1388" s="58">
        <v>1390</v>
      </c>
      <c r="B1388" s="58">
        <v>1390</v>
      </c>
      <c r="C1388" s="58" t="s">
        <v>2143</v>
      </c>
      <c r="D1388" s="58" t="s">
        <v>176</v>
      </c>
      <c r="E1388" s="58" t="s">
        <v>176</v>
      </c>
      <c r="F1388" s="58" t="s">
        <v>257</v>
      </c>
      <c r="G1388" s="58" t="s">
        <v>258</v>
      </c>
      <c r="H1388" s="58" t="s">
        <v>179</v>
      </c>
      <c r="I1388">
        <v>38000</v>
      </c>
      <c r="J1388">
        <v>38000</v>
      </c>
      <c r="K1388">
        <v>20000</v>
      </c>
      <c r="L1388" s="74">
        <v>5.71</v>
      </c>
      <c r="M1388" s="85">
        <v>6</v>
      </c>
      <c r="N1388" s="74">
        <v>0.16200000000000001</v>
      </c>
      <c r="O1388">
        <v>3</v>
      </c>
      <c r="P1388" s="84">
        <v>0.16200000000000001</v>
      </c>
      <c r="Q1388" s="86">
        <v>4.2</v>
      </c>
      <c r="R1388" s="85">
        <v>4.2</v>
      </c>
      <c r="S1388" s="87">
        <v>769410</v>
      </c>
      <c r="T1388" s="1">
        <v>4</v>
      </c>
      <c r="U1388" s="88">
        <v>183192.85714285713</v>
      </c>
      <c r="V1388" s="59">
        <v>5.4587281163488903</v>
      </c>
    </row>
    <row r="1389" spans="1:22">
      <c r="A1389" s="58">
        <v>1391</v>
      </c>
      <c r="B1389" s="58">
        <v>1391</v>
      </c>
      <c r="C1389" s="58" t="s">
        <v>2144</v>
      </c>
      <c r="D1389" s="58" t="s">
        <v>176</v>
      </c>
      <c r="E1389" s="58" t="s">
        <v>176</v>
      </c>
      <c r="F1389" s="58" t="s">
        <v>265</v>
      </c>
      <c r="G1389" s="58" t="s">
        <v>266</v>
      </c>
      <c r="H1389" s="58" t="s">
        <v>179</v>
      </c>
      <c r="I1389">
        <v>38000</v>
      </c>
      <c r="J1389">
        <v>38000</v>
      </c>
      <c r="K1389" s="58" t="s">
        <v>185</v>
      </c>
      <c r="L1389" s="74">
        <v>17.786000000000001</v>
      </c>
      <c r="M1389" s="85">
        <v>18</v>
      </c>
      <c r="N1389" s="74">
        <v>0.16700000000000001</v>
      </c>
      <c r="O1389">
        <v>3</v>
      </c>
      <c r="P1389" s="84">
        <v>0.16700000000000001</v>
      </c>
      <c r="Q1389" s="86">
        <v>4.2</v>
      </c>
      <c r="R1389" s="85">
        <v>4.2</v>
      </c>
      <c r="S1389" s="87">
        <v>1808740</v>
      </c>
      <c r="T1389" s="1">
        <v>1</v>
      </c>
      <c r="U1389" s="88">
        <v>430652.38095238095</v>
      </c>
      <c r="V1389" s="59">
        <v>2.3220584495284009</v>
      </c>
    </row>
    <row r="1390" spans="1:22">
      <c r="A1390" s="58">
        <v>1392</v>
      </c>
      <c r="B1390" s="58">
        <v>1392</v>
      </c>
      <c r="C1390" s="58" t="s">
        <v>2145</v>
      </c>
      <c r="D1390" s="58" t="s">
        <v>176</v>
      </c>
      <c r="E1390" s="58" t="s">
        <v>176</v>
      </c>
      <c r="F1390" s="58" t="s">
        <v>272</v>
      </c>
      <c r="G1390" s="58" t="s">
        <v>273</v>
      </c>
      <c r="H1390" s="58" t="s">
        <v>179</v>
      </c>
      <c r="I1390">
        <v>38000</v>
      </c>
      <c r="J1390">
        <v>38000</v>
      </c>
      <c r="K1390" s="58" t="s">
        <v>185</v>
      </c>
      <c r="L1390" s="74">
        <v>8.3559999999999999</v>
      </c>
      <c r="M1390" s="85">
        <v>9</v>
      </c>
      <c r="N1390" s="74">
        <v>0.31900000000000001</v>
      </c>
      <c r="O1390">
        <v>3</v>
      </c>
      <c r="P1390" s="84">
        <v>0.31900000000000001</v>
      </c>
      <c r="Q1390" s="86">
        <v>4.2</v>
      </c>
      <c r="R1390" s="85">
        <v>4.2</v>
      </c>
      <c r="S1390" s="87">
        <v>1334440</v>
      </c>
      <c r="T1390" s="1">
        <v>1</v>
      </c>
      <c r="U1390" s="88">
        <v>317723.80952380953</v>
      </c>
      <c r="V1390" s="59">
        <v>3.1473876682353645</v>
      </c>
    </row>
    <row r="1391" spans="1:22">
      <c r="A1391" s="58">
        <v>1393</v>
      </c>
      <c r="B1391" s="58">
        <v>1393</v>
      </c>
      <c r="C1391" s="58" t="s">
        <v>2146</v>
      </c>
      <c r="D1391" s="58" t="s">
        <v>176</v>
      </c>
      <c r="E1391" s="58" t="s">
        <v>176</v>
      </c>
      <c r="F1391" s="58" t="s">
        <v>265</v>
      </c>
      <c r="G1391" s="58" t="s">
        <v>266</v>
      </c>
      <c r="H1391" s="58" t="s">
        <v>179</v>
      </c>
      <c r="I1391">
        <v>38000</v>
      </c>
      <c r="J1391">
        <v>38000</v>
      </c>
      <c r="K1391" s="58" t="s">
        <v>185</v>
      </c>
      <c r="L1391" s="74">
        <v>14.154</v>
      </c>
      <c r="M1391" s="85">
        <v>15</v>
      </c>
      <c r="N1391" s="74">
        <v>0.12</v>
      </c>
      <c r="O1391">
        <v>3</v>
      </c>
      <c r="P1391" s="84">
        <v>0.12</v>
      </c>
      <c r="Q1391" s="86">
        <v>4.2</v>
      </c>
      <c r="R1391" s="85">
        <v>4.2</v>
      </c>
      <c r="S1391" s="87">
        <v>1650640</v>
      </c>
      <c r="T1391" s="1">
        <v>1</v>
      </c>
      <c r="U1391" s="88">
        <v>393009.52380952379</v>
      </c>
      <c r="V1391" s="59">
        <v>2.5444676004458877</v>
      </c>
    </row>
    <row r="1392" spans="1:22">
      <c r="A1392" s="58">
        <v>1394</v>
      </c>
      <c r="B1392" s="58">
        <v>1394</v>
      </c>
      <c r="C1392" s="58" t="s">
        <v>2147</v>
      </c>
      <c r="D1392" s="58" t="s">
        <v>176</v>
      </c>
      <c r="E1392" s="58" t="s">
        <v>176</v>
      </c>
      <c r="F1392" s="58" t="s">
        <v>265</v>
      </c>
      <c r="G1392" s="58" t="s">
        <v>266</v>
      </c>
      <c r="H1392" s="58" t="s">
        <v>179</v>
      </c>
      <c r="I1392">
        <v>38000</v>
      </c>
      <c r="J1392">
        <v>38000</v>
      </c>
      <c r="K1392" s="58" t="s">
        <v>185</v>
      </c>
      <c r="L1392" s="74">
        <v>11.257999999999999</v>
      </c>
      <c r="M1392" s="85">
        <v>12</v>
      </c>
      <c r="N1392" s="74">
        <v>0.28999999999999998</v>
      </c>
      <c r="O1392">
        <v>3</v>
      </c>
      <c r="P1392" s="84">
        <v>0.28999999999999998</v>
      </c>
      <c r="Q1392" s="86">
        <v>4.2</v>
      </c>
      <c r="R1392" s="85">
        <v>4.2</v>
      </c>
      <c r="S1392" s="87">
        <v>1492540</v>
      </c>
      <c r="T1392" s="1">
        <v>1</v>
      </c>
      <c r="U1392" s="88">
        <v>355366.66666666663</v>
      </c>
      <c r="V1392" s="59">
        <v>2.8139949348091173</v>
      </c>
    </row>
    <row r="1393" spans="1:22">
      <c r="A1393" s="58">
        <v>1395</v>
      </c>
      <c r="B1393" s="58">
        <v>1395</v>
      </c>
      <c r="C1393" s="58" t="s">
        <v>2148</v>
      </c>
      <c r="D1393" s="58" t="s">
        <v>176</v>
      </c>
      <c r="E1393" s="58" t="s">
        <v>176</v>
      </c>
      <c r="F1393" s="58" t="s">
        <v>265</v>
      </c>
      <c r="G1393" s="58" t="s">
        <v>266</v>
      </c>
      <c r="H1393" s="58" t="s">
        <v>179</v>
      </c>
      <c r="I1393">
        <v>38000</v>
      </c>
      <c r="J1393">
        <v>38000</v>
      </c>
      <c r="K1393" s="58" t="s">
        <v>185</v>
      </c>
      <c r="L1393" s="74">
        <v>11.096</v>
      </c>
      <c r="M1393" s="85">
        <v>12</v>
      </c>
      <c r="N1393" s="74">
        <v>0.21199999999999999</v>
      </c>
      <c r="O1393">
        <v>3</v>
      </c>
      <c r="P1393" s="84">
        <v>0.21199999999999999</v>
      </c>
      <c r="Q1393" s="86">
        <v>4.2</v>
      </c>
      <c r="R1393" s="85">
        <v>4.2</v>
      </c>
      <c r="S1393" s="87">
        <v>1492540</v>
      </c>
      <c r="T1393" s="1">
        <v>1</v>
      </c>
      <c r="U1393" s="88">
        <v>355366.66666666663</v>
      </c>
      <c r="V1393" s="59">
        <v>2.8139949348091173</v>
      </c>
    </row>
    <row r="1394" spans="1:22">
      <c r="A1394" s="58">
        <v>1396</v>
      </c>
      <c r="B1394" s="58">
        <v>1396</v>
      </c>
      <c r="C1394" s="58" t="s">
        <v>2149</v>
      </c>
      <c r="D1394" s="58" t="s">
        <v>176</v>
      </c>
      <c r="E1394" s="58" t="s">
        <v>176</v>
      </c>
      <c r="F1394" s="58" t="s">
        <v>265</v>
      </c>
      <c r="G1394" s="58" t="s">
        <v>266</v>
      </c>
      <c r="H1394" s="58" t="s">
        <v>179</v>
      </c>
      <c r="I1394">
        <v>38000</v>
      </c>
      <c r="J1394">
        <v>38000</v>
      </c>
      <c r="K1394" s="58" t="s">
        <v>185</v>
      </c>
      <c r="L1394" s="74">
        <v>8.798</v>
      </c>
      <c r="M1394" s="85">
        <v>9</v>
      </c>
      <c r="N1394" s="74">
        <v>0.129</v>
      </c>
      <c r="O1394">
        <v>3</v>
      </c>
      <c r="P1394" s="84">
        <v>0.129</v>
      </c>
      <c r="Q1394" s="86">
        <v>4.2</v>
      </c>
      <c r="R1394" s="85">
        <v>4.2</v>
      </c>
      <c r="S1394" s="87">
        <v>1334440</v>
      </c>
      <c r="T1394" s="1">
        <v>1</v>
      </c>
      <c r="U1394" s="88">
        <v>317723.80952380953</v>
      </c>
      <c r="V1394" s="59">
        <v>3.1473876682353645</v>
      </c>
    </row>
    <row r="1395" spans="1:22">
      <c r="A1395" s="58">
        <v>1397</v>
      </c>
      <c r="B1395" s="58">
        <v>1397</v>
      </c>
      <c r="C1395" s="58" t="s">
        <v>2150</v>
      </c>
      <c r="D1395" s="58" t="s">
        <v>176</v>
      </c>
      <c r="E1395" s="58" t="s">
        <v>176</v>
      </c>
      <c r="F1395" s="58" t="s">
        <v>265</v>
      </c>
      <c r="G1395" s="58" t="s">
        <v>266</v>
      </c>
      <c r="H1395" s="58" t="s">
        <v>179</v>
      </c>
      <c r="I1395">
        <v>38000</v>
      </c>
      <c r="J1395">
        <v>38000</v>
      </c>
      <c r="K1395" s="58" t="s">
        <v>185</v>
      </c>
      <c r="L1395" s="74">
        <v>14.896000000000001</v>
      </c>
      <c r="M1395" s="85">
        <v>15</v>
      </c>
      <c r="N1395" s="74">
        <v>0.51100000000000001</v>
      </c>
      <c r="O1395">
        <v>3</v>
      </c>
      <c r="P1395" s="84">
        <v>0.51100000000000001</v>
      </c>
      <c r="Q1395" s="86">
        <v>4.2</v>
      </c>
      <c r="R1395" s="85">
        <v>4.2</v>
      </c>
      <c r="S1395" s="87">
        <v>1650640</v>
      </c>
      <c r="T1395" s="1">
        <v>1</v>
      </c>
      <c r="U1395" s="88">
        <v>393009.52380952379</v>
      </c>
      <c r="V1395" s="59">
        <v>2.5444676004458877</v>
      </c>
    </row>
    <row r="1396" spans="1:22">
      <c r="A1396" s="58">
        <v>1398</v>
      </c>
      <c r="B1396" s="58">
        <v>1398</v>
      </c>
      <c r="C1396" s="58" t="s">
        <v>2151</v>
      </c>
      <c r="D1396" s="58" t="s">
        <v>176</v>
      </c>
      <c r="E1396" s="58" t="s">
        <v>176</v>
      </c>
      <c r="F1396" s="58" t="s">
        <v>262</v>
      </c>
      <c r="G1396" s="58" t="s">
        <v>263</v>
      </c>
      <c r="H1396" s="58" t="s">
        <v>179</v>
      </c>
      <c r="I1396">
        <v>38000</v>
      </c>
      <c r="J1396" s="58" t="s">
        <v>185</v>
      </c>
      <c r="K1396">
        <v>38000</v>
      </c>
      <c r="L1396" s="74">
        <v>12.36</v>
      </c>
      <c r="M1396" s="85">
        <v>13</v>
      </c>
      <c r="N1396" s="74">
        <v>0.23</v>
      </c>
      <c r="O1396">
        <v>3</v>
      </c>
      <c r="P1396" s="84">
        <v>0.23</v>
      </c>
      <c r="Q1396" s="86">
        <v>4.2</v>
      </c>
      <c r="R1396" s="85">
        <v>4.2</v>
      </c>
      <c r="S1396" s="87">
        <v>1545240</v>
      </c>
      <c r="T1396" s="1">
        <v>1</v>
      </c>
      <c r="U1396" s="88">
        <v>367914.28571428568</v>
      </c>
      <c r="V1396" s="59">
        <v>2.7180243845616214</v>
      </c>
    </row>
    <row r="1397" spans="1:22">
      <c r="A1397" s="58">
        <v>1399</v>
      </c>
      <c r="B1397" s="58">
        <v>1399</v>
      </c>
      <c r="C1397" s="58" t="s">
        <v>2152</v>
      </c>
      <c r="D1397" s="58" t="s">
        <v>176</v>
      </c>
      <c r="E1397" s="58" t="s">
        <v>176</v>
      </c>
      <c r="F1397" s="58" t="s">
        <v>265</v>
      </c>
      <c r="G1397" s="58" t="s">
        <v>266</v>
      </c>
      <c r="H1397" s="58" t="s">
        <v>179</v>
      </c>
      <c r="I1397">
        <v>38000</v>
      </c>
      <c r="J1397">
        <v>38000</v>
      </c>
      <c r="K1397" s="58" t="s">
        <v>185</v>
      </c>
      <c r="L1397" s="74">
        <v>12.957000000000001</v>
      </c>
      <c r="M1397" s="85">
        <v>13</v>
      </c>
      <c r="N1397" s="74">
        <v>0.27600000000000002</v>
      </c>
      <c r="O1397">
        <v>3</v>
      </c>
      <c r="P1397" s="84">
        <v>0.27600000000000002</v>
      </c>
      <c r="Q1397" s="86">
        <v>4.2</v>
      </c>
      <c r="R1397" s="85">
        <v>4.2</v>
      </c>
      <c r="S1397" s="87">
        <v>1545240</v>
      </c>
      <c r="T1397" s="1">
        <v>1</v>
      </c>
      <c r="U1397" s="88">
        <v>367914.28571428568</v>
      </c>
      <c r="V1397" s="59">
        <v>2.7180243845616214</v>
      </c>
    </row>
    <row r="1398" spans="1:22">
      <c r="A1398" s="58">
        <v>1400</v>
      </c>
      <c r="B1398" s="58">
        <v>1400</v>
      </c>
      <c r="C1398" s="58" t="s">
        <v>2153</v>
      </c>
      <c r="D1398" s="58" t="s">
        <v>176</v>
      </c>
      <c r="E1398" s="58" t="s">
        <v>176</v>
      </c>
      <c r="F1398" s="58" t="s">
        <v>269</v>
      </c>
      <c r="G1398" s="58" t="s">
        <v>270</v>
      </c>
      <c r="H1398" s="58" t="s">
        <v>179</v>
      </c>
      <c r="I1398">
        <v>38000</v>
      </c>
      <c r="J1398">
        <v>38000</v>
      </c>
      <c r="K1398">
        <v>20000</v>
      </c>
      <c r="L1398" s="74">
        <v>12.638999999999999</v>
      </c>
      <c r="M1398" s="85">
        <v>13</v>
      </c>
      <c r="N1398" s="74">
        <v>0.10100000000000001</v>
      </c>
      <c r="O1398">
        <v>3</v>
      </c>
      <c r="P1398" s="84">
        <v>0.10100000000000001</v>
      </c>
      <c r="Q1398" s="86">
        <v>4.2</v>
      </c>
      <c r="R1398" s="85">
        <v>4.2</v>
      </c>
      <c r="S1398" s="87">
        <v>1545240</v>
      </c>
      <c r="T1398" s="1">
        <v>1</v>
      </c>
      <c r="U1398" s="88">
        <v>367914.28571428568</v>
      </c>
      <c r="V1398" s="59">
        <v>2.7180243845616214</v>
      </c>
    </row>
    <row r="1399" spans="1:22">
      <c r="A1399" s="58">
        <v>1401</v>
      </c>
      <c r="B1399" s="58">
        <v>1401</v>
      </c>
      <c r="C1399" s="58" t="s">
        <v>2154</v>
      </c>
      <c r="D1399" s="58" t="s">
        <v>176</v>
      </c>
      <c r="E1399" s="58" t="s">
        <v>176</v>
      </c>
      <c r="F1399" s="58" t="s">
        <v>1269</v>
      </c>
      <c r="G1399" s="58" t="s">
        <v>1270</v>
      </c>
      <c r="H1399" s="58" t="s">
        <v>199</v>
      </c>
      <c r="I1399">
        <v>110000</v>
      </c>
      <c r="J1399">
        <v>110000</v>
      </c>
      <c r="K1399">
        <v>38000</v>
      </c>
      <c r="L1399" s="74">
        <v>13.446</v>
      </c>
      <c r="M1399" s="85">
        <v>14</v>
      </c>
      <c r="N1399" s="74">
        <v>0.39200000000000002</v>
      </c>
      <c r="O1399">
        <v>3</v>
      </c>
      <c r="P1399" s="84">
        <v>0.39200000000000002</v>
      </c>
      <c r="Q1399" s="86">
        <v>4.2</v>
      </c>
      <c r="R1399" s="85">
        <v>4.2</v>
      </c>
      <c r="S1399" s="87">
        <v>2154270</v>
      </c>
      <c r="T1399" s="1">
        <v>7</v>
      </c>
      <c r="U1399" s="88">
        <v>512921.42857142852</v>
      </c>
      <c r="V1399" s="59">
        <v>1.9496163433552898</v>
      </c>
    </row>
    <row r="1400" spans="1:22">
      <c r="A1400" s="58">
        <v>1402</v>
      </c>
      <c r="B1400" s="58">
        <v>1402</v>
      </c>
      <c r="C1400" s="58" t="s">
        <v>2155</v>
      </c>
      <c r="D1400" s="58" t="s">
        <v>176</v>
      </c>
      <c r="E1400" s="58" t="s">
        <v>176</v>
      </c>
      <c r="F1400" s="58" t="s">
        <v>262</v>
      </c>
      <c r="G1400" s="58" t="s">
        <v>263</v>
      </c>
      <c r="H1400" s="58" t="s">
        <v>179</v>
      </c>
      <c r="I1400">
        <v>38000</v>
      </c>
      <c r="J1400" s="58" t="s">
        <v>185</v>
      </c>
      <c r="K1400">
        <v>38000</v>
      </c>
      <c r="L1400" s="74">
        <v>15.864000000000001</v>
      </c>
      <c r="M1400" s="85">
        <v>16</v>
      </c>
      <c r="N1400" s="74">
        <v>0.111</v>
      </c>
      <c r="O1400">
        <v>3</v>
      </c>
      <c r="P1400" s="84">
        <v>0.111</v>
      </c>
      <c r="Q1400" s="86">
        <v>4.2</v>
      </c>
      <c r="R1400" s="85">
        <v>4.2</v>
      </c>
      <c r="S1400" s="87">
        <v>1703340</v>
      </c>
      <c r="T1400" s="1">
        <v>1</v>
      </c>
      <c r="U1400" s="88">
        <v>405557.14285714284</v>
      </c>
      <c r="V1400" s="59">
        <v>2.4657437739969708</v>
      </c>
    </row>
    <row r="1401" spans="1:22">
      <c r="A1401" s="58">
        <v>1403</v>
      </c>
      <c r="B1401" s="58">
        <v>1403</v>
      </c>
      <c r="C1401" s="58" t="s">
        <v>2156</v>
      </c>
      <c r="D1401" s="58" t="s">
        <v>176</v>
      </c>
      <c r="E1401" s="58" t="s">
        <v>176</v>
      </c>
      <c r="F1401" s="58" t="s">
        <v>564</v>
      </c>
      <c r="G1401" s="58" t="s">
        <v>565</v>
      </c>
      <c r="H1401" s="58" t="s">
        <v>199</v>
      </c>
      <c r="I1401">
        <v>110000</v>
      </c>
      <c r="L1401" s="74">
        <v>5.5460000000000003</v>
      </c>
      <c r="M1401" s="85">
        <v>6</v>
      </c>
      <c r="N1401" s="74">
        <v>0.19700000000000001</v>
      </c>
      <c r="O1401">
        <v>3</v>
      </c>
      <c r="P1401" s="84">
        <v>0.19700000000000001</v>
      </c>
      <c r="Q1401" s="86">
        <v>4.2</v>
      </c>
      <c r="R1401" s="85">
        <v>4.2</v>
      </c>
      <c r="S1401" s="87">
        <v>1732670</v>
      </c>
      <c r="T1401" s="1">
        <v>7</v>
      </c>
      <c r="U1401" s="88">
        <v>412540.47619047615</v>
      </c>
      <c r="V1401" s="59">
        <v>2.4240045709800482</v>
      </c>
    </row>
    <row r="1402" spans="1:22">
      <c r="A1402" s="58">
        <v>1404</v>
      </c>
      <c r="B1402" s="58">
        <v>1404</v>
      </c>
      <c r="C1402" s="58" t="s">
        <v>2157</v>
      </c>
      <c r="D1402" s="58" t="s">
        <v>176</v>
      </c>
      <c r="E1402" s="58" t="s">
        <v>176</v>
      </c>
      <c r="F1402" s="58" t="s">
        <v>1523</v>
      </c>
      <c r="G1402" s="58" t="s">
        <v>1524</v>
      </c>
      <c r="H1402" s="58" t="s">
        <v>199</v>
      </c>
      <c r="I1402">
        <v>110000</v>
      </c>
      <c r="J1402" s="58" t="s">
        <v>1525</v>
      </c>
      <c r="K1402">
        <v>110000</v>
      </c>
      <c r="L1402" s="74">
        <v>5.1909999999999998</v>
      </c>
      <c r="M1402" s="85">
        <v>6</v>
      </c>
      <c r="N1402" s="74">
        <v>0.376</v>
      </c>
      <c r="O1402">
        <v>3</v>
      </c>
      <c r="P1402" s="84">
        <v>0.376</v>
      </c>
      <c r="Q1402" s="86">
        <v>4.2</v>
      </c>
      <c r="R1402" s="85">
        <v>4.2</v>
      </c>
      <c r="S1402" s="87">
        <v>1732670</v>
      </c>
      <c r="T1402" s="1">
        <v>7</v>
      </c>
      <c r="U1402" s="88">
        <v>412540.47619047615</v>
      </c>
      <c r="V1402" s="59">
        <v>2.4240045709800482</v>
      </c>
    </row>
    <row r="1403" spans="1:22">
      <c r="A1403" s="58">
        <v>1405</v>
      </c>
      <c r="B1403" s="58">
        <v>1405</v>
      </c>
      <c r="C1403" s="58" t="s">
        <v>2158</v>
      </c>
      <c r="D1403" s="58" t="s">
        <v>176</v>
      </c>
      <c r="E1403" s="58" t="s">
        <v>176</v>
      </c>
      <c r="F1403" s="58" t="s">
        <v>265</v>
      </c>
      <c r="G1403" s="58" t="s">
        <v>266</v>
      </c>
      <c r="H1403" s="58" t="s">
        <v>179</v>
      </c>
      <c r="I1403">
        <v>38000</v>
      </c>
      <c r="J1403">
        <v>38000</v>
      </c>
      <c r="K1403" s="58" t="s">
        <v>185</v>
      </c>
      <c r="L1403" s="74">
        <v>4.1580000000000004</v>
      </c>
      <c r="M1403" s="85">
        <v>5</v>
      </c>
      <c r="N1403" s="74">
        <v>0.34399999999999997</v>
      </c>
      <c r="O1403">
        <v>3</v>
      </c>
      <c r="P1403" s="84">
        <v>0.34399999999999997</v>
      </c>
      <c r="Q1403" s="86">
        <v>4.2</v>
      </c>
      <c r="R1403" s="85">
        <v>4.2</v>
      </c>
      <c r="S1403" s="87">
        <v>699140</v>
      </c>
      <c r="T1403" s="1">
        <v>4</v>
      </c>
      <c r="U1403" s="88">
        <v>166461.90476190476</v>
      </c>
      <c r="V1403" s="59">
        <v>6.0073804960379897</v>
      </c>
    </row>
    <row r="1404" spans="1:22">
      <c r="A1404" s="58">
        <v>1406</v>
      </c>
      <c r="B1404" s="58">
        <v>1406</v>
      </c>
      <c r="C1404" s="58" t="s">
        <v>2159</v>
      </c>
      <c r="D1404" s="58" t="s">
        <v>176</v>
      </c>
      <c r="E1404" s="58" t="s">
        <v>176</v>
      </c>
      <c r="F1404" s="58" t="s">
        <v>265</v>
      </c>
      <c r="G1404" s="58" t="s">
        <v>266</v>
      </c>
      <c r="H1404" s="58" t="s">
        <v>179</v>
      </c>
      <c r="I1404">
        <v>38000</v>
      </c>
      <c r="J1404">
        <v>38000</v>
      </c>
      <c r="K1404" s="58" t="s">
        <v>185</v>
      </c>
      <c r="L1404" s="74">
        <v>15.164999999999999</v>
      </c>
      <c r="M1404" s="85">
        <v>16</v>
      </c>
      <c r="N1404" s="74">
        <v>0.39700000000000002</v>
      </c>
      <c r="O1404">
        <v>3</v>
      </c>
      <c r="P1404" s="84">
        <v>0.39700000000000002</v>
      </c>
      <c r="Q1404" s="86">
        <v>4.2</v>
      </c>
      <c r="R1404" s="85">
        <v>4.2</v>
      </c>
      <c r="S1404" s="87">
        <v>1703340</v>
      </c>
      <c r="T1404" s="1">
        <v>1</v>
      </c>
      <c r="U1404" s="88">
        <v>405557.14285714284</v>
      </c>
      <c r="V1404" s="59">
        <v>2.4657437739969708</v>
      </c>
    </row>
    <row r="1405" spans="1:22">
      <c r="A1405" s="58">
        <v>1407</v>
      </c>
      <c r="B1405" s="58">
        <v>1407</v>
      </c>
      <c r="C1405" s="58" t="s">
        <v>2160</v>
      </c>
      <c r="D1405" s="58" t="s">
        <v>176</v>
      </c>
      <c r="E1405" s="58" t="s">
        <v>176</v>
      </c>
      <c r="F1405" s="58" t="s">
        <v>262</v>
      </c>
      <c r="G1405" s="58" t="s">
        <v>263</v>
      </c>
      <c r="H1405" s="58" t="s">
        <v>179</v>
      </c>
      <c r="I1405">
        <v>38000</v>
      </c>
      <c r="J1405" s="58" t="s">
        <v>185</v>
      </c>
      <c r="K1405">
        <v>38000</v>
      </c>
      <c r="L1405" s="74">
        <v>11.757999999999999</v>
      </c>
      <c r="M1405" s="85">
        <v>12</v>
      </c>
      <c r="N1405" s="74">
        <v>9.0999999999999998E-2</v>
      </c>
      <c r="O1405">
        <v>3</v>
      </c>
      <c r="P1405" s="84">
        <v>9.0999999999999998E-2</v>
      </c>
      <c r="Q1405" s="86">
        <v>4.2</v>
      </c>
      <c r="R1405" s="85">
        <v>4.2</v>
      </c>
      <c r="S1405" s="87">
        <v>1492540</v>
      </c>
      <c r="T1405" s="1">
        <v>1</v>
      </c>
      <c r="U1405" s="88">
        <v>355366.66666666663</v>
      </c>
      <c r="V1405" s="59">
        <v>2.8139949348091173</v>
      </c>
    </row>
    <row r="1406" spans="1:22">
      <c r="A1406" s="58">
        <v>1408</v>
      </c>
      <c r="B1406" s="58">
        <v>1408</v>
      </c>
      <c r="C1406" s="58" t="s">
        <v>2161</v>
      </c>
      <c r="D1406" s="58" t="s">
        <v>176</v>
      </c>
      <c r="E1406" s="58" t="s">
        <v>176</v>
      </c>
      <c r="F1406" s="58" t="s">
        <v>262</v>
      </c>
      <c r="G1406" s="58" t="s">
        <v>263</v>
      </c>
      <c r="H1406" s="58" t="s">
        <v>179</v>
      </c>
      <c r="I1406">
        <v>38000</v>
      </c>
      <c r="J1406" s="58" t="s">
        <v>185</v>
      </c>
      <c r="K1406">
        <v>38000</v>
      </c>
      <c r="L1406" s="74">
        <v>8.7349999999999994</v>
      </c>
      <c r="M1406" s="85">
        <v>9</v>
      </c>
      <c r="N1406" s="74">
        <v>0.31900000000000001</v>
      </c>
      <c r="O1406">
        <v>3</v>
      </c>
      <c r="P1406" s="84">
        <v>0.31900000000000001</v>
      </c>
      <c r="Q1406" s="86">
        <v>4.2</v>
      </c>
      <c r="R1406" s="85">
        <v>4.2</v>
      </c>
      <c r="S1406" s="87">
        <v>1334440</v>
      </c>
      <c r="T1406" s="1">
        <v>1</v>
      </c>
      <c r="U1406" s="88">
        <v>317723.80952380953</v>
      </c>
      <c r="V1406" s="59">
        <v>3.1473876682353645</v>
      </c>
    </row>
    <row r="1407" spans="1:22">
      <c r="A1407" s="58">
        <v>1409</v>
      </c>
      <c r="B1407" s="58">
        <v>1409</v>
      </c>
      <c r="C1407" s="58" t="s">
        <v>2162</v>
      </c>
      <c r="D1407" s="58" t="s">
        <v>176</v>
      </c>
      <c r="E1407" s="58" t="s">
        <v>176</v>
      </c>
      <c r="F1407" s="58" t="s">
        <v>262</v>
      </c>
      <c r="G1407" s="58" t="s">
        <v>263</v>
      </c>
      <c r="H1407" s="58" t="s">
        <v>179</v>
      </c>
      <c r="I1407">
        <v>38000</v>
      </c>
      <c r="J1407" s="58" t="s">
        <v>185</v>
      </c>
      <c r="K1407">
        <v>38000</v>
      </c>
      <c r="L1407" s="74">
        <v>1.637</v>
      </c>
      <c r="M1407" s="85">
        <v>2</v>
      </c>
      <c r="N1407" s="74">
        <v>0.128</v>
      </c>
      <c r="O1407">
        <v>3</v>
      </c>
      <c r="P1407" s="84">
        <v>0.128</v>
      </c>
      <c r="Q1407" s="86">
        <v>4.2</v>
      </c>
      <c r="R1407" s="85">
        <v>4.2</v>
      </c>
      <c r="S1407" s="87">
        <v>488330</v>
      </c>
      <c r="T1407" s="1">
        <v>4</v>
      </c>
      <c r="U1407" s="88">
        <v>116269.04761904762</v>
      </c>
      <c r="V1407" s="59">
        <v>8.6007413019884087</v>
      </c>
    </row>
    <row r="1408" spans="1:22">
      <c r="A1408" s="58">
        <v>1410</v>
      </c>
      <c r="B1408" s="58">
        <v>1410</v>
      </c>
      <c r="C1408" s="58" t="s">
        <v>2163</v>
      </c>
      <c r="D1408" s="58" t="s">
        <v>176</v>
      </c>
      <c r="E1408" s="58" t="s">
        <v>176</v>
      </c>
      <c r="F1408" s="58" t="s">
        <v>262</v>
      </c>
      <c r="G1408" s="58" t="s">
        <v>263</v>
      </c>
      <c r="H1408" s="58" t="s">
        <v>179</v>
      </c>
      <c r="I1408">
        <v>38000</v>
      </c>
      <c r="J1408" s="58" t="s">
        <v>185</v>
      </c>
      <c r="K1408">
        <v>38000</v>
      </c>
      <c r="L1408" s="74">
        <v>6.3259999999999996</v>
      </c>
      <c r="M1408" s="85">
        <v>7</v>
      </c>
      <c r="N1408" s="74">
        <v>0.44400000000000001</v>
      </c>
      <c r="O1408">
        <v>3</v>
      </c>
      <c r="P1408" s="84">
        <v>0.44400000000000001</v>
      </c>
      <c r="Q1408" s="86">
        <v>4.2</v>
      </c>
      <c r="R1408" s="85">
        <v>4.2</v>
      </c>
      <c r="S1408" s="87">
        <v>839680</v>
      </c>
      <c r="T1408" s="1">
        <v>4</v>
      </c>
      <c r="U1408" s="88">
        <v>199923.80952380953</v>
      </c>
      <c r="V1408" s="59">
        <v>5.0019054878048781</v>
      </c>
    </row>
    <row r="1409" spans="1:22">
      <c r="A1409" s="58">
        <v>1411</v>
      </c>
      <c r="B1409" s="58">
        <v>1411</v>
      </c>
      <c r="C1409" s="58" t="s">
        <v>2164</v>
      </c>
      <c r="D1409" s="58" t="s">
        <v>176</v>
      </c>
      <c r="E1409" s="58" t="s">
        <v>176</v>
      </c>
      <c r="F1409" s="58" t="s">
        <v>262</v>
      </c>
      <c r="G1409" s="58" t="s">
        <v>263</v>
      </c>
      <c r="H1409" s="58" t="s">
        <v>179</v>
      </c>
      <c r="I1409">
        <v>38000</v>
      </c>
      <c r="J1409" s="58" t="s">
        <v>185</v>
      </c>
      <c r="K1409">
        <v>38000</v>
      </c>
      <c r="L1409" s="74">
        <v>3.6440000000000001</v>
      </c>
      <c r="M1409" s="85">
        <v>4</v>
      </c>
      <c r="N1409" s="74">
        <v>0.22700000000000001</v>
      </c>
      <c r="O1409">
        <v>3</v>
      </c>
      <c r="P1409" s="84">
        <v>0.22700000000000001</v>
      </c>
      <c r="Q1409" s="86">
        <v>4.2</v>
      </c>
      <c r="R1409" s="85">
        <v>4.2</v>
      </c>
      <c r="S1409" s="87">
        <v>628870</v>
      </c>
      <c r="T1409" s="1">
        <v>4</v>
      </c>
      <c r="U1409" s="88">
        <v>149730.95238095237</v>
      </c>
      <c r="V1409" s="59">
        <v>6.6786458250512828</v>
      </c>
    </row>
    <row r="1410" spans="1:22">
      <c r="A1410" s="58">
        <v>1412</v>
      </c>
      <c r="B1410" s="58">
        <v>1412</v>
      </c>
      <c r="C1410" s="58" t="s">
        <v>2165</v>
      </c>
      <c r="D1410" s="58" t="s">
        <v>215</v>
      </c>
      <c r="E1410" s="58" t="s">
        <v>215</v>
      </c>
      <c r="F1410" s="58" t="s">
        <v>406</v>
      </c>
      <c r="G1410" s="58" t="s">
        <v>407</v>
      </c>
      <c r="H1410" s="58" t="s">
        <v>179</v>
      </c>
      <c r="I1410">
        <v>38000</v>
      </c>
      <c r="J1410" s="58" t="s">
        <v>185</v>
      </c>
      <c r="K1410">
        <v>38000</v>
      </c>
      <c r="L1410" s="74">
        <v>5.3639999999999999</v>
      </c>
      <c r="M1410" s="85">
        <v>6</v>
      </c>
      <c r="N1410" s="74">
        <v>0.42</v>
      </c>
      <c r="O1410">
        <v>3</v>
      </c>
      <c r="P1410" s="84">
        <v>0.42</v>
      </c>
      <c r="Q1410" s="86">
        <v>4.2</v>
      </c>
      <c r="R1410" s="85">
        <v>4.2</v>
      </c>
      <c r="S1410" s="87">
        <v>769410</v>
      </c>
      <c r="T1410" s="1">
        <v>4</v>
      </c>
      <c r="U1410" s="88">
        <v>183192.85714285713</v>
      </c>
      <c r="V1410" s="59">
        <v>5.4587281163488903</v>
      </c>
    </row>
    <row r="1411" spans="1:22">
      <c r="A1411" s="58">
        <v>1413</v>
      </c>
      <c r="B1411" s="58">
        <v>1413</v>
      </c>
      <c r="C1411" s="58" t="s">
        <v>2166</v>
      </c>
      <c r="D1411" s="58" t="s">
        <v>215</v>
      </c>
      <c r="E1411" s="58" t="s">
        <v>215</v>
      </c>
      <c r="F1411" s="58" t="s">
        <v>406</v>
      </c>
      <c r="G1411" s="58" t="s">
        <v>407</v>
      </c>
      <c r="H1411" s="58" t="s">
        <v>179</v>
      </c>
      <c r="I1411">
        <v>38000</v>
      </c>
      <c r="J1411" s="58" t="s">
        <v>185</v>
      </c>
      <c r="K1411">
        <v>38000</v>
      </c>
      <c r="L1411" s="74">
        <v>6.0220000000000002</v>
      </c>
      <c r="M1411" s="85">
        <v>7</v>
      </c>
      <c r="N1411" s="74">
        <v>0.40100000000000002</v>
      </c>
      <c r="O1411">
        <v>3</v>
      </c>
      <c r="P1411" s="84">
        <v>0.40100000000000002</v>
      </c>
      <c r="Q1411" s="86">
        <v>4.2</v>
      </c>
      <c r="R1411" s="85">
        <v>4.2</v>
      </c>
      <c r="S1411" s="87">
        <v>839680</v>
      </c>
      <c r="T1411" s="1">
        <v>4</v>
      </c>
      <c r="U1411" s="88">
        <v>199923.80952380953</v>
      </c>
      <c r="V1411" s="59">
        <v>5.0019054878048781</v>
      </c>
    </row>
    <row r="1412" spans="1:22">
      <c r="A1412" s="58">
        <v>1414</v>
      </c>
      <c r="B1412" s="58">
        <v>1414</v>
      </c>
      <c r="C1412" s="58" t="s">
        <v>2167</v>
      </c>
      <c r="D1412" s="58" t="s">
        <v>215</v>
      </c>
      <c r="E1412" s="58" t="s">
        <v>215</v>
      </c>
      <c r="F1412" s="58" t="s">
        <v>257</v>
      </c>
      <c r="G1412" s="58" t="s">
        <v>258</v>
      </c>
      <c r="H1412" s="58" t="s">
        <v>179</v>
      </c>
      <c r="I1412">
        <v>38000</v>
      </c>
      <c r="J1412">
        <v>38000</v>
      </c>
      <c r="K1412">
        <v>20000</v>
      </c>
      <c r="L1412" s="74">
        <v>2.5470000000000002</v>
      </c>
      <c r="M1412" s="85">
        <v>3</v>
      </c>
      <c r="N1412" s="74">
        <v>0.11700000000000001</v>
      </c>
      <c r="O1412">
        <v>3</v>
      </c>
      <c r="P1412" s="84">
        <v>0.11700000000000001</v>
      </c>
      <c r="Q1412" s="86">
        <v>4.2</v>
      </c>
      <c r="R1412" s="85">
        <v>4.2</v>
      </c>
      <c r="S1412" s="87">
        <v>558600</v>
      </c>
      <c r="T1412" s="1">
        <v>4</v>
      </c>
      <c r="U1412" s="88">
        <v>133000</v>
      </c>
      <c r="V1412" s="59">
        <v>7.518796992481203</v>
      </c>
    </row>
    <row r="1413" spans="1:22">
      <c r="A1413" s="58">
        <v>1415</v>
      </c>
      <c r="B1413" s="58">
        <v>1415</v>
      </c>
      <c r="C1413" s="58" t="s">
        <v>2168</v>
      </c>
      <c r="D1413" s="58" t="s">
        <v>176</v>
      </c>
      <c r="E1413" s="58" t="s">
        <v>176</v>
      </c>
      <c r="F1413" s="58" t="s">
        <v>406</v>
      </c>
      <c r="G1413" s="58" t="s">
        <v>407</v>
      </c>
      <c r="H1413" s="58" t="s">
        <v>179</v>
      </c>
      <c r="I1413">
        <v>38000</v>
      </c>
      <c r="J1413" s="58" t="s">
        <v>185</v>
      </c>
      <c r="K1413">
        <v>38000</v>
      </c>
      <c r="L1413" s="74">
        <v>7.907</v>
      </c>
      <c r="M1413" s="85">
        <v>8</v>
      </c>
      <c r="N1413" s="74">
        <v>0.626</v>
      </c>
      <c r="O1413">
        <v>3</v>
      </c>
      <c r="P1413" s="84">
        <v>0.626</v>
      </c>
      <c r="Q1413" s="86">
        <v>4.2</v>
      </c>
      <c r="R1413" s="85">
        <v>4.2</v>
      </c>
      <c r="S1413" s="87">
        <v>909950</v>
      </c>
      <c r="T1413" s="1">
        <v>4</v>
      </c>
      <c r="U1413" s="88">
        <v>216654.76190476189</v>
      </c>
      <c r="V1413" s="59">
        <v>4.6156382218803227</v>
      </c>
    </row>
    <row r="1414" spans="1:22">
      <c r="A1414" s="58">
        <v>1416</v>
      </c>
      <c r="B1414" s="58">
        <v>1416</v>
      </c>
      <c r="C1414" s="58" t="s">
        <v>2169</v>
      </c>
      <c r="D1414" s="58" t="s">
        <v>176</v>
      </c>
      <c r="E1414" s="58" t="s">
        <v>176</v>
      </c>
      <c r="F1414" s="58" t="s">
        <v>285</v>
      </c>
      <c r="G1414" s="58" t="s">
        <v>286</v>
      </c>
      <c r="H1414" s="58" t="s">
        <v>179</v>
      </c>
      <c r="I1414">
        <v>38000</v>
      </c>
      <c r="J1414">
        <v>38000</v>
      </c>
      <c r="K1414">
        <v>20000</v>
      </c>
      <c r="L1414" s="74">
        <v>5.44</v>
      </c>
      <c r="M1414" s="85">
        <v>6</v>
      </c>
      <c r="N1414" s="74">
        <v>0.45400000000000001</v>
      </c>
      <c r="O1414">
        <v>3</v>
      </c>
      <c r="P1414" s="84">
        <v>0.45400000000000001</v>
      </c>
      <c r="Q1414" s="86">
        <v>4.2</v>
      </c>
      <c r="R1414" s="85">
        <v>4.2</v>
      </c>
      <c r="S1414" s="87">
        <v>769410</v>
      </c>
      <c r="T1414" s="1">
        <v>4</v>
      </c>
      <c r="U1414" s="88">
        <v>183192.85714285713</v>
      </c>
      <c r="V1414" s="59">
        <v>5.4587281163488903</v>
      </c>
    </row>
    <row r="1415" spans="1:22">
      <c r="A1415" s="58">
        <v>1417</v>
      </c>
      <c r="B1415" s="58">
        <v>1417</v>
      </c>
      <c r="C1415" s="58" t="s">
        <v>2170</v>
      </c>
      <c r="D1415" s="58" t="s">
        <v>176</v>
      </c>
      <c r="E1415" s="58" t="s">
        <v>176</v>
      </c>
      <c r="F1415" s="58" t="s">
        <v>269</v>
      </c>
      <c r="G1415" s="58" t="s">
        <v>270</v>
      </c>
      <c r="H1415" s="58" t="s">
        <v>179</v>
      </c>
      <c r="I1415">
        <v>38000</v>
      </c>
      <c r="J1415">
        <v>38000</v>
      </c>
      <c r="K1415">
        <v>20000</v>
      </c>
      <c r="L1415" s="74">
        <v>3.4710000000000001</v>
      </c>
      <c r="M1415" s="85">
        <v>4</v>
      </c>
      <c r="N1415" s="74">
        <v>0.38700000000000001</v>
      </c>
      <c r="O1415">
        <v>3</v>
      </c>
      <c r="P1415" s="84">
        <v>0.38700000000000001</v>
      </c>
      <c r="Q1415" s="86">
        <v>4.2</v>
      </c>
      <c r="R1415" s="85">
        <v>4.2</v>
      </c>
      <c r="S1415" s="87">
        <v>628870</v>
      </c>
      <c r="T1415" s="1">
        <v>4</v>
      </c>
      <c r="U1415" s="88">
        <v>149730.95238095237</v>
      </c>
      <c r="V1415" s="59">
        <v>6.6786458250512828</v>
      </c>
    </row>
    <row r="1416" spans="1:22">
      <c r="A1416" s="58">
        <v>1418</v>
      </c>
      <c r="B1416" s="58">
        <v>1418</v>
      </c>
      <c r="C1416" s="58" t="s">
        <v>2171</v>
      </c>
      <c r="D1416" s="58" t="s">
        <v>176</v>
      </c>
      <c r="E1416" s="58" t="s">
        <v>176</v>
      </c>
      <c r="F1416" s="58" t="s">
        <v>222</v>
      </c>
      <c r="G1416" s="58" t="s">
        <v>223</v>
      </c>
      <c r="H1416" s="58" t="s">
        <v>179</v>
      </c>
      <c r="I1416">
        <v>38000</v>
      </c>
      <c r="J1416">
        <v>38000</v>
      </c>
      <c r="K1416">
        <v>20000</v>
      </c>
      <c r="L1416" s="74">
        <v>4.78</v>
      </c>
      <c r="M1416" s="85">
        <v>5</v>
      </c>
      <c r="N1416" s="74">
        <v>0.27600000000000002</v>
      </c>
      <c r="O1416">
        <v>3</v>
      </c>
      <c r="P1416" s="84">
        <v>0.27600000000000002</v>
      </c>
      <c r="Q1416" s="86">
        <v>4.2</v>
      </c>
      <c r="R1416" s="85">
        <v>4.2</v>
      </c>
      <c r="S1416" s="87">
        <v>699140</v>
      </c>
      <c r="T1416" s="1">
        <v>4</v>
      </c>
      <c r="U1416" s="88">
        <v>166461.90476190476</v>
      </c>
      <c r="V1416" s="59">
        <v>6.0073804960379897</v>
      </c>
    </row>
    <row r="1417" spans="1:22">
      <c r="A1417" s="58">
        <v>1419</v>
      </c>
      <c r="B1417" s="58">
        <v>1419</v>
      </c>
      <c r="C1417" s="58" t="s">
        <v>2172</v>
      </c>
      <c r="D1417" s="58" t="s">
        <v>176</v>
      </c>
      <c r="E1417" s="58" t="s">
        <v>176</v>
      </c>
      <c r="F1417" s="58" t="s">
        <v>222</v>
      </c>
      <c r="G1417" s="58" t="s">
        <v>223</v>
      </c>
      <c r="H1417" s="58" t="s">
        <v>179</v>
      </c>
      <c r="I1417">
        <v>38000</v>
      </c>
      <c r="J1417">
        <v>38000</v>
      </c>
      <c r="K1417">
        <v>20000</v>
      </c>
      <c r="L1417" s="74">
        <v>7.2859999999999996</v>
      </c>
      <c r="M1417" s="85">
        <v>8</v>
      </c>
      <c r="N1417" s="74">
        <v>0.23899999999999999</v>
      </c>
      <c r="O1417">
        <v>3</v>
      </c>
      <c r="P1417" s="84">
        <v>0.23899999999999999</v>
      </c>
      <c r="Q1417" s="86">
        <v>4.2</v>
      </c>
      <c r="R1417" s="85">
        <v>4.2</v>
      </c>
      <c r="S1417" s="87">
        <v>909950</v>
      </c>
      <c r="T1417" s="1">
        <v>4</v>
      </c>
      <c r="U1417" s="88">
        <v>216654.76190476189</v>
      </c>
      <c r="V1417" s="59">
        <v>4.6156382218803227</v>
      </c>
    </row>
    <row r="1418" spans="1:22">
      <c r="A1418" s="58">
        <v>1420</v>
      </c>
      <c r="B1418" s="58">
        <v>1420</v>
      </c>
      <c r="C1418" s="58" t="s">
        <v>2173</v>
      </c>
      <c r="D1418" s="58" t="s">
        <v>176</v>
      </c>
      <c r="E1418" s="58" t="s">
        <v>176</v>
      </c>
      <c r="F1418" s="58" t="s">
        <v>222</v>
      </c>
      <c r="G1418" s="58" t="s">
        <v>223</v>
      </c>
      <c r="H1418" s="58" t="s">
        <v>179</v>
      </c>
      <c r="I1418">
        <v>38000</v>
      </c>
      <c r="J1418">
        <v>38000</v>
      </c>
      <c r="K1418">
        <v>20000</v>
      </c>
      <c r="L1418" s="74">
        <v>8.7159999999999993</v>
      </c>
      <c r="M1418" s="85">
        <v>9</v>
      </c>
      <c r="N1418" s="74">
        <v>0.64400000000000002</v>
      </c>
      <c r="O1418">
        <v>3</v>
      </c>
      <c r="P1418" s="84">
        <v>0.64400000000000002</v>
      </c>
      <c r="Q1418" s="86">
        <v>4.2</v>
      </c>
      <c r="R1418" s="85">
        <v>4.2</v>
      </c>
      <c r="S1418" s="87">
        <v>1334440</v>
      </c>
      <c r="T1418" s="1">
        <v>1</v>
      </c>
      <c r="U1418" s="88">
        <v>317723.80952380953</v>
      </c>
      <c r="V1418" s="59">
        <v>3.1473876682353645</v>
      </c>
    </row>
    <row r="1419" spans="1:22">
      <c r="A1419" s="58">
        <v>1421</v>
      </c>
      <c r="B1419" s="58">
        <v>1421</v>
      </c>
      <c r="C1419" s="58" t="s">
        <v>2174</v>
      </c>
      <c r="D1419" s="58" t="s">
        <v>176</v>
      </c>
      <c r="E1419" s="58" t="s">
        <v>176</v>
      </c>
      <c r="F1419" s="58" t="s">
        <v>222</v>
      </c>
      <c r="G1419" s="58" t="s">
        <v>223</v>
      </c>
      <c r="H1419" s="58" t="s">
        <v>179</v>
      </c>
      <c r="I1419">
        <v>38000</v>
      </c>
      <c r="J1419">
        <v>38000</v>
      </c>
      <c r="K1419">
        <v>20000</v>
      </c>
      <c r="L1419" s="74">
        <v>5.0439999999999996</v>
      </c>
      <c r="M1419" s="85">
        <v>6</v>
      </c>
      <c r="N1419" s="74">
        <v>0.17299999999999999</v>
      </c>
      <c r="O1419">
        <v>3</v>
      </c>
      <c r="P1419" s="84">
        <v>0.17299999999999999</v>
      </c>
      <c r="Q1419" s="86">
        <v>4.2</v>
      </c>
      <c r="R1419" s="85">
        <v>4.2</v>
      </c>
      <c r="S1419" s="87">
        <v>769410</v>
      </c>
      <c r="T1419" s="1">
        <v>4</v>
      </c>
      <c r="U1419" s="88">
        <v>183192.85714285713</v>
      </c>
      <c r="V1419" s="59">
        <v>5.4587281163488903</v>
      </c>
    </row>
    <row r="1420" spans="1:22">
      <c r="A1420" s="58">
        <v>1422</v>
      </c>
      <c r="B1420" s="58">
        <v>1422</v>
      </c>
      <c r="C1420" s="58" t="s">
        <v>2175</v>
      </c>
      <c r="D1420" s="58" t="s">
        <v>176</v>
      </c>
      <c r="E1420" s="58" t="s">
        <v>176</v>
      </c>
      <c r="F1420" s="58" t="s">
        <v>290</v>
      </c>
      <c r="G1420" s="58" t="s">
        <v>291</v>
      </c>
      <c r="H1420" s="58" t="s">
        <v>179</v>
      </c>
      <c r="I1420">
        <v>38000</v>
      </c>
      <c r="J1420">
        <v>38000</v>
      </c>
      <c r="K1420">
        <v>20000</v>
      </c>
      <c r="L1420" s="74">
        <v>4.2670000000000003</v>
      </c>
      <c r="M1420" s="85">
        <v>5</v>
      </c>
      <c r="N1420" s="74">
        <v>0.10299999999999999</v>
      </c>
      <c r="O1420">
        <v>3</v>
      </c>
      <c r="P1420" s="84">
        <v>0.10299999999999999</v>
      </c>
      <c r="Q1420" s="86">
        <v>4.2</v>
      </c>
      <c r="R1420" s="85">
        <v>4.2</v>
      </c>
      <c r="S1420" s="87">
        <v>699140</v>
      </c>
      <c r="T1420" s="1">
        <v>4</v>
      </c>
      <c r="U1420" s="88">
        <v>166461.90476190476</v>
      </c>
      <c r="V1420" s="59">
        <v>6.0073804960379897</v>
      </c>
    </row>
    <row r="1421" spans="1:22">
      <c r="A1421" s="58">
        <v>1423</v>
      </c>
      <c r="B1421" s="58">
        <v>1423</v>
      </c>
      <c r="C1421" s="58" t="s">
        <v>2176</v>
      </c>
      <c r="D1421" s="58" t="s">
        <v>176</v>
      </c>
      <c r="E1421" s="58" t="s">
        <v>176</v>
      </c>
      <c r="F1421" s="58" t="s">
        <v>293</v>
      </c>
      <c r="G1421" s="58" t="s">
        <v>294</v>
      </c>
      <c r="H1421" s="58" t="s">
        <v>179</v>
      </c>
      <c r="I1421">
        <v>38000</v>
      </c>
      <c r="J1421">
        <v>38000</v>
      </c>
      <c r="K1421">
        <v>10000</v>
      </c>
      <c r="L1421" s="74">
        <v>7.0869999999999997</v>
      </c>
      <c r="M1421" s="85">
        <v>8</v>
      </c>
      <c r="N1421" s="74">
        <v>0.30499999999999999</v>
      </c>
      <c r="O1421">
        <v>3</v>
      </c>
      <c r="P1421" s="84">
        <v>0.30499999999999999</v>
      </c>
      <c r="Q1421" s="86">
        <v>4.2</v>
      </c>
      <c r="R1421" s="85">
        <v>4.2</v>
      </c>
      <c r="S1421" s="87">
        <v>909950</v>
      </c>
      <c r="T1421" s="1">
        <v>4</v>
      </c>
      <c r="U1421" s="88">
        <v>216654.76190476189</v>
      </c>
      <c r="V1421" s="59">
        <v>4.6156382218803227</v>
      </c>
    </row>
    <row r="1422" spans="1:22">
      <c r="A1422" s="58">
        <v>1424</v>
      </c>
      <c r="B1422" s="58">
        <v>1424</v>
      </c>
      <c r="C1422" s="58" t="s">
        <v>2177</v>
      </c>
      <c r="D1422" s="58" t="s">
        <v>176</v>
      </c>
      <c r="E1422" s="58" t="s">
        <v>176</v>
      </c>
      <c r="F1422" s="58" t="s">
        <v>290</v>
      </c>
      <c r="G1422" s="58" t="s">
        <v>291</v>
      </c>
      <c r="H1422" s="58" t="s">
        <v>179</v>
      </c>
      <c r="I1422">
        <v>38000</v>
      </c>
      <c r="J1422">
        <v>38000</v>
      </c>
      <c r="K1422">
        <v>20000</v>
      </c>
      <c r="L1422" s="74">
        <v>5.6120000000000001</v>
      </c>
      <c r="M1422" s="85">
        <v>6</v>
      </c>
      <c r="N1422" s="74">
        <v>0.2</v>
      </c>
      <c r="O1422">
        <v>3</v>
      </c>
      <c r="P1422" s="84">
        <v>0.2</v>
      </c>
      <c r="Q1422" s="86">
        <v>4.2</v>
      </c>
      <c r="R1422" s="85">
        <v>4.2</v>
      </c>
      <c r="S1422" s="87">
        <v>769410</v>
      </c>
      <c r="T1422" s="1">
        <v>4</v>
      </c>
      <c r="U1422" s="88">
        <v>183192.85714285713</v>
      </c>
      <c r="V1422" s="59">
        <v>5.4587281163488903</v>
      </c>
    </row>
    <row r="1423" spans="1:22">
      <c r="A1423" s="58">
        <v>1425</v>
      </c>
      <c r="B1423" s="58">
        <v>1425</v>
      </c>
      <c r="C1423" s="58" t="s">
        <v>2178</v>
      </c>
      <c r="D1423" s="58" t="s">
        <v>176</v>
      </c>
      <c r="E1423" s="58" t="s">
        <v>176</v>
      </c>
      <c r="F1423" s="58" t="s">
        <v>290</v>
      </c>
      <c r="G1423" s="58" t="s">
        <v>291</v>
      </c>
      <c r="H1423" s="58" t="s">
        <v>179</v>
      </c>
      <c r="I1423">
        <v>38000</v>
      </c>
      <c r="J1423">
        <v>38000</v>
      </c>
      <c r="K1423">
        <v>20000</v>
      </c>
      <c r="L1423" s="74">
        <v>7.93</v>
      </c>
      <c r="M1423" s="85">
        <v>8</v>
      </c>
      <c r="N1423" s="74">
        <v>0.106</v>
      </c>
      <c r="O1423">
        <v>3</v>
      </c>
      <c r="P1423" s="84">
        <v>0.106</v>
      </c>
      <c r="Q1423" s="86">
        <v>4.2</v>
      </c>
      <c r="R1423" s="85">
        <v>4.2</v>
      </c>
      <c r="S1423" s="87">
        <v>909950</v>
      </c>
      <c r="T1423" s="1">
        <v>4</v>
      </c>
      <c r="U1423" s="88">
        <v>216654.76190476189</v>
      </c>
      <c r="V1423" s="59">
        <v>4.6156382218803227</v>
      </c>
    </row>
    <row r="1424" spans="1:22">
      <c r="A1424" s="58">
        <v>1426</v>
      </c>
      <c r="B1424" s="58">
        <v>1426</v>
      </c>
      <c r="C1424" s="58" t="s">
        <v>2179</v>
      </c>
      <c r="D1424" s="58" t="s">
        <v>197</v>
      </c>
      <c r="E1424" s="58" t="s">
        <v>197</v>
      </c>
      <c r="F1424" s="58" t="s">
        <v>1767</v>
      </c>
      <c r="G1424" s="58" t="s">
        <v>1771</v>
      </c>
      <c r="H1424" s="58" t="s">
        <v>179</v>
      </c>
      <c r="I1424">
        <v>38000</v>
      </c>
      <c r="J1424">
        <v>38000</v>
      </c>
      <c r="K1424">
        <v>10000</v>
      </c>
      <c r="L1424" s="74">
        <v>6.3369999999999997</v>
      </c>
      <c r="M1424" s="85">
        <v>7</v>
      </c>
      <c r="N1424" s="74">
        <v>0.17699999999999999</v>
      </c>
      <c r="O1424">
        <v>3</v>
      </c>
      <c r="P1424" s="84">
        <v>0.17699999999999999</v>
      </c>
      <c r="Q1424" s="86">
        <v>4.2</v>
      </c>
      <c r="R1424" s="85">
        <v>4.2</v>
      </c>
      <c r="S1424" s="87">
        <v>839680</v>
      </c>
      <c r="T1424" s="1">
        <v>4</v>
      </c>
      <c r="U1424" s="88">
        <v>199923.80952380953</v>
      </c>
      <c r="V1424" s="59">
        <v>5.0019054878048781</v>
      </c>
    </row>
    <row r="1425" spans="1:22">
      <c r="A1425" s="58">
        <v>1427</v>
      </c>
      <c r="B1425" s="58">
        <v>1427</v>
      </c>
      <c r="C1425" s="58" t="s">
        <v>2180</v>
      </c>
      <c r="D1425" s="58" t="s">
        <v>197</v>
      </c>
      <c r="E1425" s="58" t="s">
        <v>197</v>
      </c>
      <c r="F1425" s="58" t="s">
        <v>299</v>
      </c>
      <c r="G1425" s="58" t="s">
        <v>300</v>
      </c>
      <c r="H1425" s="58" t="s">
        <v>179</v>
      </c>
      <c r="I1425">
        <v>38000</v>
      </c>
      <c r="J1425">
        <v>38000</v>
      </c>
      <c r="K1425" s="58" t="s">
        <v>185</v>
      </c>
      <c r="L1425" s="74">
        <v>15.58</v>
      </c>
      <c r="M1425" s="85">
        <v>16</v>
      </c>
      <c r="N1425" s="74">
        <v>9.9000000000000005E-2</v>
      </c>
      <c r="O1425">
        <v>3</v>
      </c>
      <c r="P1425" s="84">
        <v>9.9000000000000005E-2</v>
      </c>
      <c r="Q1425" s="86">
        <v>4.2</v>
      </c>
      <c r="R1425" s="85">
        <v>4.2</v>
      </c>
      <c r="S1425" s="87">
        <v>1703340</v>
      </c>
      <c r="T1425" s="1">
        <v>1</v>
      </c>
      <c r="U1425" s="88">
        <v>405557.14285714284</v>
      </c>
      <c r="V1425" s="59">
        <v>2.4657437739969708</v>
      </c>
    </row>
    <row r="1426" spans="1:22">
      <c r="A1426" s="58">
        <v>1428</v>
      </c>
      <c r="B1426" s="58">
        <v>1428</v>
      </c>
      <c r="C1426" s="58" t="s">
        <v>2181</v>
      </c>
      <c r="D1426" s="58" t="s">
        <v>197</v>
      </c>
      <c r="E1426" s="58" t="s">
        <v>197</v>
      </c>
      <c r="F1426" s="58" t="s">
        <v>486</v>
      </c>
      <c r="G1426" s="58" t="s">
        <v>487</v>
      </c>
      <c r="H1426" s="58" t="s">
        <v>179</v>
      </c>
      <c r="I1426">
        <v>38000</v>
      </c>
      <c r="J1426">
        <v>38000</v>
      </c>
      <c r="K1426" s="58" t="s">
        <v>185</v>
      </c>
      <c r="L1426" s="74">
        <v>18.161000000000001</v>
      </c>
      <c r="M1426" s="85">
        <v>19</v>
      </c>
      <c r="N1426" s="74">
        <v>0.27</v>
      </c>
      <c r="O1426">
        <v>3</v>
      </c>
      <c r="P1426" s="84">
        <v>0.27</v>
      </c>
      <c r="Q1426" s="86">
        <v>4.2</v>
      </c>
      <c r="R1426" s="85">
        <v>4.2</v>
      </c>
      <c r="S1426" s="87">
        <v>1861440</v>
      </c>
      <c r="T1426" s="1">
        <v>1</v>
      </c>
      <c r="U1426" s="88">
        <v>443200</v>
      </c>
      <c r="V1426" s="59">
        <v>2.256317689530686</v>
      </c>
    </row>
    <row r="1427" spans="1:22">
      <c r="A1427" s="58">
        <v>1429</v>
      </c>
      <c r="B1427" s="58">
        <v>1429</v>
      </c>
      <c r="C1427" s="58" t="s">
        <v>2182</v>
      </c>
      <c r="D1427" s="58" t="s">
        <v>197</v>
      </c>
      <c r="E1427" s="58" t="s">
        <v>197</v>
      </c>
      <c r="F1427" s="58" t="s">
        <v>299</v>
      </c>
      <c r="G1427" s="58" t="s">
        <v>300</v>
      </c>
      <c r="H1427" s="58" t="s">
        <v>179</v>
      </c>
      <c r="I1427">
        <v>38000</v>
      </c>
      <c r="J1427">
        <v>38000</v>
      </c>
      <c r="K1427" s="58" t="s">
        <v>185</v>
      </c>
      <c r="L1427" s="74">
        <v>18.143000000000001</v>
      </c>
      <c r="M1427" s="85">
        <v>19</v>
      </c>
      <c r="N1427" s="74">
        <v>0.115</v>
      </c>
      <c r="O1427">
        <v>3</v>
      </c>
      <c r="P1427" s="84">
        <v>0.115</v>
      </c>
      <c r="Q1427" s="86">
        <v>4.2</v>
      </c>
      <c r="R1427" s="85">
        <v>4.2</v>
      </c>
      <c r="S1427" s="87">
        <v>1861440</v>
      </c>
      <c r="T1427" s="1">
        <v>1</v>
      </c>
      <c r="U1427" s="88">
        <v>443200</v>
      </c>
      <c r="V1427" s="59">
        <v>2.256317689530686</v>
      </c>
    </row>
    <row r="1428" spans="1:22">
      <c r="A1428" s="58">
        <v>1430</v>
      </c>
      <c r="B1428" s="58">
        <v>1430</v>
      </c>
      <c r="C1428" s="58" t="s">
        <v>2183</v>
      </c>
      <c r="D1428" s="58" t="s">
        <v>182</v>
      </c>
      <c r="E1428" s="58" t="s">
        <v>182</v>
      </c>
      <c r="F1428" s="58" t="s">
        <v>183</v>
      </c>
      <c r="G1428" s="58" t="s">
        <v>184</v>
      </c>
      <c r="H1428" s="58" t="s">
        <v>179</v>
      </c>
      <c r="I1428">
        <v>38000</v>
      </c>
      <c r="J1428">
        <v>38000</v>
      </c>
      <c r="K1428" s="58" t="s">
        <v>185</v>
      </c>
      <c r="L1428" s="74">
        <v>12.266</v>
      </c>
      <c r="M1428" s="85">
        <v>13</v>
      </c>
      <c r="N1428" s="74">
        <v>0.09</v>
      </c>
      <c r="O1428">
        <v>3</v>
      </c>
      <c r="P1428" s="84">
        <v>0.09</v>
      </c>
      <c r="Q1428" s="86">
        <v>4.2</v>
      </c>
      <c r="R1428" s="85">
        <v>4.2</v>
      </c>
      <c r="S1428" s="87">
        <v>1545240</v>
      </c>
      <c r="T1428" s="1">
        <v>1</v>
      </c>
      <c r="U1428" s="88">
        <v>367914.28571428568</v>
      </c>
      <c r="V1428" s="59">
        <v>2.7180243845616214</v>
      </c>
    </row>
    <row r="1429" spans="1:22">
      <c r="A1429" s="58">
        <v>1431</v>
      </c>
      <c r="B1429" s="58">
        <v>1431</v>
      </c>
      <c r="C1429" s="58" t="s">
        <v>2184</v>
      </c>
      <c r="D1429" s="58" t="s">
        <v>182</v>
      </c>
      <c r="E1429" s="58" t="s">
        <v>182</v>
      </c>
      <c r="F1429" s="58" t="s">
        <v>183</v>
      </c>
      <c r="G1429" s="58" t="s">
        <v>184</v>
      </c>
      <c r="H1429" s="58" t="s">
        <v>179</v>
      </c>
      <c r="I1429">
        <v>38000</v>
      </c>
      <c r="J1429">
        <v>38000</v>
      </c>
      <c r="K1429" s="58" t="s">
        <v>185</v>
      </c>
      <c r="L1429" s="74">
        <v>12.705</v>
      </c>
      <c r="M1429" s="85">
        <v>13</v>
      </c>
      <c r="N1429" s="74">
        <v>0.14799999999999999</v>
      </c>
      <c r="O1429">
        <v>3</v>
      </c>
      <c r="P1429" s="84">
        <v>0.14799999999999999</v>
      </c>
      <c r="Q1429" s="86">
        <v>4.2</v>
      </c>
      <c r="R1429" s="85">
        <v>4.2</v>
      </c>
      <c r="S1429" s="87">
        <v>1545240</v>
      </c>
      <c r="T1429" s="1">
        <v>1</v>
      </c>
      <c r="U1429" s="88">
        <v>367914.28571428568</v>
      </c>
      <c r="V1429" s="59">
        <v>2.7180243845616214</v>
      </c>
    </row>
    <row r="1430" spans="1:22">
      <c r="A1430" s="58">
        <v>1432</v>
      </c>
      <c r="B1430" s="58">
        <v>1432</v>
      </c>
      <c r="C1430" s="58" t="s">
        <v>2185</v>
      </c>
      <c r="D1430" s="58" t="s">
        <v>182</v>
      </c>
      <c r="E1430" s="58" t="s">
        <v>182</v>
      </c>
      <c r="F1430" s="58" t="s">
        <v>302</v>
      </c>
      <c r="G1430" s="58" t="s">
        <v>303</v>
      </c>
      <c r="H1430" s="58" t="s">
        <v>179</v>
      </c>
      <c r="I1430">
        <v>38000</v>
      </c>
      <c r="J1430">
        <v>38000</v>
      </c>
      <c r="K1430" s="58" t="s">
        <v>185</v>
      </c>
      <c r="L1430" s="74">
        <v>9.9649999999999999</v>
      </c>
      <c r="M1430" s="85">
        <v>10</v>
      </c>
      <c r="N1430" s="74">
        <v>0.114</v>
      </c>
      <c r="O1430">
        <v>3</v>
      </c>
      <c r="P1430" s="84">
        <v>0.114</v>
      </c>
      <c r="Q1430" s="86">
        <v>4.2</v>
      </c>
      <c r="R1430" s="85">
        <v>4.2</v>
      </c>
      <c r="S1430" s="87">
        <v>1387140</v>
      </c>
      <c r="T1430" s="1">
        <v>1</v>
      </c>
      <c r="U1430" s="88">
        <v>330271.42857142858</v>
      </c>
      <c r="V1430" s="59">
        <v>3.0278126216531858</v>
      </c>
    </row>
    <row r="1431" spans="1:22">
      <c r="A1431" s="58">
        <v>1433</v>
      </c>
      <c r="B1431" s="58">
        <v>1433</v>
      </c>
      <c r="C1431" s="58" t="s">
        <v>2186</v>
      </c>
      <c r="D1431" s="58" t="s">
        <v>182</v>
      </c>
      <c r="E1431" s="58" t="s">
        <v>182</v>
      </c>
      <c r="F1431" s="58" t="s">
        <v>302</v>
      </c>
      <c r="G1431" s="58" t="s">
        <v>303</v>
      </c>
      <c r="H1431" s="58" t="s">
        <v>179</v>
      </c>
      <c r="I1431">
        <v>38000</v>
      </c>
      <c r="J1431">
        <v>38000</v>
      </c>
      <c r="K1431" s="58" t="s">
        <v>185</v>
      </c>
      <c r="L1431" s="74">
        <v>11.948</v>
      </c>
      <c r="M1431" s="85">
        <v>12</v>
      </c>
      <c r="N1431" s="74">
        <v>0.156</v>
      </c>
      <c r="O1431">
        <v>3</v>
      </c>
      <c r="P1431" s="84">
        <v>0.156</v>
      </c>
      <c r="Q1431" s="86">
        <v>4.2</v>
      </c>
      <c r="R1431" s="85">
        <v>4.2</v>
      </c>
      <c r="S1431" s="87">
        <v>1492540</v>
      </c>
      <c r="T1431" s="1">
        <v>1</v>
      </c>
      <c r="U1431" s="88">
        <v>355366.66666666663</v>
      </c>
      <c r="V1431" s="59">
        <v>2.8139949348091173</v>
      </c>
    </row>
    <row r="1432" spans="1:22">
      <c r="A1432" s="58">
        <v>1434</v>
      </c>
      <c r="B1432" s="58">
        <v>1434</v>
      </c>
      <c r="C1432" s="58" t="s">
        <v>2187</v>
      </c>
      <c r="D1432" s="58" t="s">
        <v>182</v>
      </c>
      <c r="E1432" s="58" t="s">
        <v>182</v>
      </c>
      <c r="F1432" s="58" t="s">
        <v>302</v>
      </c>
      <c r="G1432" s="58" t="s">
        <v>303</v>
      </c>
      <c r="H1432" s="58" t="s">
        <v>179</v>
      </c>
      <c r="I1432">
        <v>38000</v>
      </c>
      <c r="J1432">
        <v>38000</v>
      </c>
      <c r="K1432" s="58" t="s">
        <v>185</v>
      </c>
      <c r="L1432" s="74">
        <v>10.137</v>
      </c>
      <c r="M1432" s="85">
        <v>11</v>
      </c>
      <c r="N1432" s="74">
        <v>0.497</v>
      </c>
      <c r="O1432">
        <v>3</v>
      </c>
      <c r="P1432" s="84">
        <v>0.497</v>
      </c>
      <c r="Q1432" s="86">
        <v>4.2</v>
      </c>
      <c r="R1432" s="85">
        <v>4.2</v>
      </c>
      <c r="S1432" s="87">
        <v>1439840</v>
      </c>
      <c r="T1432" s="1">
        <v>1</v>
      </c>
      <c r="U1432" s="88">
        <v>342819.04761904763</v>
      </c>
      <c r="V1432" s="59">
        <v>2.9169907767529724</v>
      </c>
    </row>
    <row r="1433" spans="1:22">
      <c r="A1433" s="58">
        <v>1435</v>
      </c>
      <c r="B1433" s="58">
        <v>1435</v>
      </c>
      <c r="C1433" s="58" t="s">
        <v>2188</v>
      </c>
      <c r="D1433" s="58" t="s">
        <v>182</v>
      </c>
      <c r="E1433" s="58" t="s">
        <v>182</v>
      </c>
      <c r="F1433" s="58" t="s">
        <v>302</v>
      </c>
      <c r="G1433" s="58" t="s">
        <v>303</v>
      </c>
      <c r="H1433" s="58" t="s">
        <v>179</v>
      </c>
      <c r="I1433">
        <v>38000</v>
      </c>
      <c r="J1433">
        <v>38000</v>
      </c>
      <c r="K1433" s="58" t="s">
        <v>185</v>
      </c>
      <c r="L1433" s="74">
        <v>2.5830000000000002</v>
      </c>
      <c r="M1433" s="85">
        <v>3</v>
      </c>
      <c r="N1433" s="74">
        <v>0.14799999999999999</v>
      </c>
      <c r="O1433">
        <v>3</v>
      </c>
      <c r="P1433" s="84">
        <v>0.14799999999999999</v>
      </c>
      <c r="Q1433" s="86">
        <v>4.2</v>
      </c>
      <c r="R1433" s="85">
        <v>4.2</v>
      </c>
      <c r="S1433" s="87">
        <v>558600</v>
      </c>
      <c r="T1433" s="1">
        <v>4</v>
      </c>
      <c r="U1433" s="88">
        <v>133000</v>
      </c>
      <c r="V1433" s="59">
        <v>7.518796992481203</v>
      </c>
    </row>
    <row r="1434" spans="1:22">
      <c r="A1434" s="58">
        <v>1436</v>
      </c>
      <c r="B1434" s="58">
        <v>1436</v>
      </c>
      <c r="C1434" s="58" t="s">
        <v>2189</v>
      </c>
      <c r="D1434" s="58" t="s">
        <v>182</v>
      </c>
      <c r="E1434" s="58" t="s">
        <v>182</v>
      </c>
      <c r="F1434" s="58" t="s">
        <v>302</v>
      </c>
      <c r="G1434" s="58" t="s">
        <v>303</v>
      </c>
      <c r="H1434" s="58" t="s">
        <v>179</v>
      </c>
      <c r="I1434">
        <v>38000</v>
      </c>
      <c r="J1434">
        <v>38000</v>
      </c>
      <c r="K1434" s="58" t="s">
        <v>185</v>
      </c>
      <c r="L1434" s="74">
        <v>14.359</v>
      </c>
      <c r="M1434" s="85">
        <v>15</v>
      </c>
      <c r="N1434" s="74">
        <v>0.53700000000000003</v>
      </c>
      <c r="O1434">
        <v>3</v>
      </c>
      <c r="P1434" s="84">
        <v>0.53700000000000003</v>
      </c>
      <c r="Q1434" s="86">
        <v>4.2</v>
      </c>
      <c r="R1434" s="85">
        <v>4.2</v>
      </c>
      <c r="S1434" s="87">
        <v>1650640</v>
      </c>
      <c r="T1434" s="1">
        <v>1</v>
      </c>
      <c r="U1434" s="88">
        <v>393009.52380952379</v>
      </c>
      <c r="V1434" s="59">
        <v>2.5444676004458877</v>
      </c>
    </row>
    <row r="1435" spans="1:22">
      <c r="A1435" s="58">
        <v>1437</v>
      </c>
      <c r="B1435" s="58">
        <v>1437</v>
      </c>
      <c r="C1435" s="58" t="s">
        <v>2190</v>
      </c>
      <c r="D1435" s="58" t="s">
        <v>182</v>
      </c>
      <c r="E1435" s="58" t="s">
        <v>182</v>
      </c>
      <c r="F1435" s="58" t="s">
        <v>302</v>
      </c>
      <c r="G1435" s="58" t="s">
        <v>303</v>
      </c>
      <c r="H1435" s="58" t="s">
        <v>179</v>
      </c>
      <c r="I1435">
        <v>38000</v>
      </c>
      <c r="J1435">
        <v>38000</v>
      </c>
      <c r="K1435" s="58" t="s">
        <v>185</v>
      </c>
      <c r="L1435" s="74">
        <v>12.731999999999999</v>
      </c>
      <c r="M1435" s="85">
        <v>13</v>
      </c>
      <c r="N1435" s="74">
        <v>0.252</v>
      </c>
      <c r="O1435">
        <v>3</v>
      </c>
      <c r="P1435" s="84">
        <v>0.252</v>
      </c>
      <c r="Q1435" s="86">
        <v>4.2</v>
      </c>
      <c r="R1435" s="85">
        <v>4.2</v>
      </c>
      <c r="S1435" s="87">
        <v>1545240</v>
      </c>
      <c r="T1435" s="1">
        <v>1</v>
      </c>
      <c r="U1435" s="88">
        <v>367914.28571428568</v>
      </c>
      <c r="V1435" s="59">
        <v>2.7180243845616214</v>
      </c>
    </row>
    <row r="1436" spans="1:22">
      <c r="A1436" s="58">
        <v>1438</v>
      </c>
      <c r="B1436" s="58">
        <v>1438</v>
      </c>
      <c r="C1436" s="58" t="s">
        <v>2191</v>
      </c>
      <c r="D1436" s="58" t="s">
        <v>182</v>
      </c>
      <c r="E1436" s="58" t="s">
        <v>182</v>
      </c>
      <c r="F1436" s="58" t="s">
        <v>302</v>
      </c>
      <c r="G1436" s="58" t="s">
        <v>303</v>
      </c>
      <c r="H1436" s="58" t="s">
        <v>179</v>
      </c>
      <c r="I1436">
        <v>38000</v>
      </c>
      <c r="J1436">
        <v>38000</v>
      </c>
      <c r="K1436" s="58" t="s">
        <v>185</v>
      </c>
      <c r="L1436" s="74">
        <v>13.105</v>
      </c>
      <c r="M1436" s="85">
        <v>14</v>
      </c>
      <c r="N1436" s="74">
        <v>0.38600000000000001</v>
      </c>
      <c r="O1436">
        <v>3</v>
      </c>
      <c r="P1436" s="84">
        <v>0.38600000000000001</v>
      </c>
      <c r="Q1436" s="86">
        <v>4.2</v>
      </c>
      <c r="R1436" s="85">
        <v>4.2</v>
      </c>
      <c r="S1436" s="87">
        <v>1597940</v>
      </c>
      <c r="T1436" s="1">
        <v>1</v>
      </c>
      <c r="U1436" s="88">
        <v>380461.90476190473</v>
      </c>
      <c r="V1436" s="59">
        <v>2.6283840444572388</v>
      </c>
    </row>
    <row r="1437" spans="1:22">
      <c r="A1437" s="58">
        <v>1439</v>
      </c>
      <c r="B1437" s="58">
        <v>1439</v>
      </c>
      <c r="C1437" s="58" t="s">
        <v>2192</v>
      </c>
      <c r="D1437" s="58" t="s">
        <v>182</v>
      </c>
      <c r="E1437" s="58" t="s">
        <v>182</v>
      </c>
      <c r="F1437" s="58" t="s">
        <v>440</v>
      </c>
      <c r="G1437" s="58" t="s">
        <v>441</v>
      </c>
      <c r="H1437" s="58" t="s">
        <v>199</v>
      </c>
      <c r="I1437">
        <v>110000</v>
      </c>
      <c r="L1437" s="74">
        <v>10.603</v>
      </c>
      <c r="M1437" s="85">
        <v>11</v>
      </c>
      <c r="N1437" s="74">
        <v>0.24</v>
      </c>
      <c r="O1437">
        <v>3</v>
      </c>
      <c r="P1437" s="84">
        <v>0.24</v>
      </c>
      <c r="Q1437" s="86">
        <v>4.2</v>
      </c>
      <c r="R1437" s="85">
        <v>4.2</v>
      </c>
      <c r="S1437" s="87">
        <v>1996170</v>
      </c>
      <c r="T1437" s="1">
        <v>7</v>
      </c>
      <c r="U1437" s="88">
        <v>475278.57142857142</v>
      </c>
      <c r="V1437" s="59">
        <v>2.1040292159485414</v>
      </c>
    </row>
    <row r="1438" spans="1:22">
      <c r="A1438" s="58">
        <v>1440</v>
      </c>
      <c r="B1438" s="58">
        <v>1440</v>
      </c>
      <c r="C1438" s="58" t="s">
        <v>2193</v>
      </c>
      <c r="D1438" s="58" t="s">
        <v>182</v>
      </c>
      <c r="E1438" s="58" t="s">
        <v>182</v>
      </c>
      <c r="F1438" s="58" t="s">
        <v>302</v>
      </c>
      <c r="G1438" s="58" t="s">
        <v>303</v>
      </c>
      <c r="H1438" s="58" t="s">
        <v>179</v>
      </c>
      <c r="I1438">
        <v>38000</v>
      </c>
      <c r="J1438">
        <v>38000</v>
      </c>
      <c r="K1438" s="58" t="s">
        <v>185</v>
      </c>
      <c r="L1438" s="74">
        <v>17.082000000000001</v>
      </c>
      <c r="M1438" s="85">
        <v>18</v>
      </c>
      <c r="N1438" s="74">
        <v>0.27300000000000002</v>
      </c>
      <c r="O1438">
        <v>3</v>
      </c>
      <c r="P1438" s="84">
        <v>0.27300000000000002</v>
      </c>
      <c r="Q1438" s="86">
        <v>4.2</v>
      </c>
      <c r="R1438" s="85">
        <v>4.2</v>
      </c>
      <c r="S1438" s="87">
        <v>1808740</v>
      </c>
      <c r="T1438" s="1">
        <v>1</v>
      </c>
      <c r="U1438" s="88">
        <v>430652.38095238095</v>
      </c>
      <c r="V1438" s="59">
        <v>2.3220584495284009</v>
      </c>
    </row>
    <row r="1439" spans="1:22">
      <c r="A1439" s="58">
        <v>1441</v>
      </c>
      <c r="B1439" s="58">
        <v>1441</v>
      </c>
      <c r="C1439" s="58" t="s">
        <v>2194</v>
      </c>
      <c r="D1439" s="58" t="s">
        <v>182</v>
      </c>
      <c r="E1439" s="58" t="s">
        <v>182</v>
      </c>
      <c r="F1439" s="58" t="s">
        <v>595</v>
      </c>
      <c r="G1439" s="58" t="s">
        <v>596</v>
      </c>
      <c r="H1439" s="58" t="s">
        <v>179</v>
      </c>
      <c r="I1439">
        <v>38000</v>
      </c>
      <c r="J1439">
        <v>38000</v>
      </c>
      <c r="K1439" s="58" t="s">
        <v>185</v>
      </c>
      <c r="L1439" s="74">
        <v>17.597999999999999</v>
      </c>
      <c r="M1439" s="85">
        <v>18</v>
      </c>
      <c r="N1439" s="74">
        <v>0.11899999999999999</v>
      </c>
      <c r="O1439">
        <v>3</v>
      </c>
      <c r="P1439" s="84">
        <v>0.11899999999999999</v>
      </c>
      <c r="Q1439" s="86">
        <v>4.2</v>
      </c>
      <c r="R1439" s="85">
        <v>4.2</v>
      </c>
      <c r="S1439" s="87">
        <v>1808740</v>
      </c>
      <c r="T1439" s="1">
        <v>1</v>
      </c>
      <c r="U1439" s="88">
        <v>430652.38095238095</v>
      </c>
      <c r="V1439" s="59">
        <v>2.3220584495284009</v>
      </c>
    </row>
    <row r="1440" spans="1:22">
      <c r="A1440" s="58">
        <v>1442</v>
      </c>
      <c r="B1440" s="58">
        <v>1442</v>
      </c>
      <c r="C1440" s="58" t="s">
        <v>2195</v>
      </c>
      <c r="D1440" s="58" t="s">
        <v>234</v>
      </c>
      <c r="E1440" s="58" t="s">
        <v>234</v>
      </c>
      <c r="F1440" s="58" t="s">
        <v>595</v>
      </c>
      <c r="G1440" s="58" t="s">
        <v>596</v>
      </c>
      <c r="H1440" s="58" t="s">
        <v>179</v>
      </c>
      <c r="I1440">
        <v>38000</v>
      </c>
      <c r="J1440">
        <v>38000</v>
      </c>
      <c r="K1440" s="58" t="s">
        <v>185</v>
      </c>
      <c r="L1440" s="74">
        <v>17.635000000000002</v>
      </c>
      <c r="M1440" s="85">
        <v>18</v>
      </c>
      <c r="N1440" s="74">
        <v>0.55000000000000004</v>
      </c>
      <c r="O1440">
        <v>3</v>
      </c>
      <c r="P1440" s="84">
        <v>0.55000000000000004</v>
      </c>
      <c r="Q1440" s="86">
        <v>4.2</v>
      </c>
      <c r="R1440" s="85">
        <v>4.2</v>
      </c>
      <c r="S1440" s="87">
        <v>1808740</v>
      </c>
      <c r="T1440" s="1">
        <v>1</v>
      </c>
      <c r="U1440" s="88">
        <v>430652.38095238095</v>
      </c>
      <c r="V1440" s="59">
        <v>2.3220584495284009</v>
      </c>
    </row>
    <row r="1441" spans="1:22">
      <c r="A1441" s="58">
        <v>1443</v>
      </c>
      <c r="B1441" s="58">
        <v>1443</v>
      </c>
      <c r="C1441" s="58" t="s">
        <v>2196</v>
      </c>
      <c r="D1441" s="58" t="s">
        <v>182</v>
      </c>
      <c r="E1441" s="58" t="s">
        <v>182</v>
      </c>
      <c r="F1441" s="58" t="s">
        <v>440</v>
      </c>
      <c r="G1441" s="58" t="s">
        <v>441</v>
      </c>
      <c r="H1441" s="58" t="s">
        <v>199</v>
      </c>
      <c r="I1441">
        <v>110000</v>
      </c>
      <c r="L1441" s="74">
        <v>11.291</v>
      </c>
      <c r="M1441" s="85">
        <v>12</v>
      </c>
      <c r="N1441" s="74">
        <v>0.36499999999999999</v>
      </c>
      <c r="O1441">
        <v>3</v>
      </c>
      <c r="P1441" s="84">
        <v>0.36499999999999999</v>
      </c>
      <c r="Q1441" s="86">
        <v>4.2</v>
      </c>
      <c r="R1441" s="85">
        <v>4.2</v>
      </c>
      <c r="S1441" s="87">
        <v>2048870</v>
      </c>
      <c r="T1441" s="1">
        <v>7</v>
      </c>
      <c r="U1441" s="88">
        <v>487826.19047619047</v>
      </c>
      <c r="V1441" s="59">
        <v>2.0499104384367968</v>
      </c>
    </row>
    <row r="1442" spans="1:22">
      <c r="A1442" s="58">
        <v>1444</v>
      </c>
      <c r="B1442" s="58">
        <v>1444</v>
      </c>
      <c r="C1442" s="58" t="s">
        <v>2197</v>
      </c>
      <c r="D1442" s="58" t="s">
        <v>182</v>
      </c>
      <c r="E1442" s="58" t="s">
        <v>182</v>
      </c>
      <c r="F1442" s="58" t="s">
        <v>302</v>
      </c>
      <c r="G1442" s="58" t="s">
        <v>303</v>
      </c>
      <c r="H1442" s="58" t="s">
        <v>179</v>
      </c>
      <c r="I1442">
        <v>38000</v>
      </c>
      <c r="J1442">
        <v>38000</v>
      </c>
      <c r="K1442" s="58" t="s">
        <v>185</v>
      </c>
      <c r="L1442" s="74">
        <v>6.2050000000000001</v>
      </c>
      <c r="M1442" s="85">
        <v>7</v>
      </c>
      <c r="N1442" s="74">
        <v>0.34399999999999997</v>
      </c>
      <c r="O1442">
        <v>3</v>
      </c>
      <c r="P1442" s="84">
        <v>0.34399999999999997</v>
      </c>
      <c r="Q1442" s="86">
        <v>4.2</v>
      </c>
      <c r="R1442" s="85">
        <v>4.2</v>
      </c>
      <c r="S1442" s="87">
        <v>839680</v>
      </c>
      <c r="T1442" s="1">
        <v>4</v>
      </c>
      <c r="U1442" s="88">
        <v>199923.80952380953</v>
      </c>
      <c r="V1442" s="59">
        <v>5.0019054878048781</v>
      </c>
    </row>
    <row r="1443" spans="1:22">
      <c r="A1443" s="58">
        <v>1445</v>
      </c>
      <c r="B1443" s="58">
        <v>1445</v>
      </c>
      <c r="C1443" s="58" t="s">
        <v>2198</v>
      </c>
      <c r="D1443" s="58" t="s">
        <v>234</v>
      </c>
      <c r="E1443" s="58" t="s">
        <v>234</v>
      </c>
      <c r="F1443" s="58" t="s">
        <v>309</v>
      </c>
      <c r="G1443" s="58" t="s">
        <v>310</v>
      </c>
      <c r="H1443" s="58" t="s">
        <v>179</v>
      </c>
      <c r="I1443">
        <v>38000</v>
      </c>
      <c r="J1443">
        <v>38000</v>
      </c>
      <c r="K1443">
        <v>20000</v>
      </c>
      <c r="L1443" s="74">
        <v>18.420999999999999</v>
      </c>
      <c r="M1443" s="85">
        <v>19</v>
      </c>
      <c r="N1443" s="74">
        <v>9.2999999999999999E-2</v>
      </c>
      <c r="O1443">
        <v>3</v>
      </c>
      <c r="P1443" s="84">
        <v>9.2999999999999999E-2</v>
      </c>
      <c r="Q1443" s="86">
        <v>4.2</v>
      </c>
      <c r="R1443" s="85">
        <v>4.2</v>
      </c>
      <c r="S1443" s="87">
        <v>1861440</v>
      </c>
      <c r="T1443" s="1">
        <v>1</v>
      </c>
      <c r="U1443" s="88">
        <v>443200</v>
      </c>
      <c r="V1443" s="59">
        <v>2.256317689530686</v>
      </c>
    </row>
    <row r="1444" spans="1:22">
      <c r="A1444" s="58">
        <v>1446</v>
      </c>
      <c r="B1444" s="58">
        <v>1446</v>
      </c>
      <c r="C1444" s="58" t="s">
        <v>2199</v>
      </c>
      <c r="D1444" s="58" t="s">
        <v>234</v>
      </c>
      <c r="E1444" s="58" t="s">
        <v>234</v>
      </c>
      <c r="F1444" s="58" t="s">
        <v>302</v>
      </c>
      <c r="G1444" s="58" t="s">
        <v>303</v>
      </c>
      <c r="H1444" s="58" t="s">
        <v>179</v>
      </c>
      <c r="I1444">
        <v>38000</v>
      </c>
      <c r="J1444">
        <v>38000</v>
      </c>
      <c r="K1444" s="58" t="s">
        <v>185</v>
      </c>
      <c r="L1444" s="74">
        <v>20.745999999999999</v>
      </c>
      <c r="M1444" s="85">
        <v>21</v>
      </c>
      <c r="N1444" s="74">
        <v>0.33600000000000002</v>
      </c>
      <c r="O1444">
        <v>3</v>
      </c>
      <c r="P1444" s="84">
        <v>0.33600000000000002</v>
      </c>
      <c r="Q1444" s="86">
        <v>4.2</v>
      </c>
      <c r="R1444" s="85">
        <v>4.2</v>
      </c>
      <c r="S1444" s="87">
        <v>1966840</v>
      </c>
      <c r="T1444" s="1">
        <v>1</v>
      </c>
      <c r="U1444" s="88">
        <v>468295.23809523805</v>
      </c>
      <c r="V1444" s="59">
        <v>2.135405015151207</v>
      </c>
    </row>
    <row r="1445" spans="1:22">
      <c r="A1445" s="58">
        <v>1447</v>
      </c>
      <c r="B1445" s="58">
        <v>1447</v>
      </c>
      <c r="C1445" s="58" t="s">
        <v>2200</v>
      </c>
      <c r="D1445" s="58" t="s">
        <v>234</v>
      </c>
      <c r="E1445" s="58" t="s">
        <v>234</v>
      </c>
      <c r="F1445" s="58" t="s">
        <v>316</v>
      </c>
      <c r="G1445" s="58" t="s">
        <v>317</v>
      </c>
      <c r="H1445" s="58" t="s">
        <v>199</v>
      </c>
      <c r="I1445">
        <v>110000</v>
      </c>
      <c r="J1445">
        <v>110000</v>
      </c>
      <c r="K1445">
        <v>38000</v>
      </c>
      <c r="L1445" s="74">
        <v>26.37</v>
      </c>
      <c r="M1445" s="85">
        <v>27</v>
      </c>
      <c r="N1445" s="74">
        <v>0.35399999999999998</v>
      </c>
      <c r="O1445">
        <v>3</v>
      </c>
      <c r="P1445" s="84">
        <v>0.35399999999999998</v>
      </c>
      <c r="Q1445" s="86">
        <v>4.2</v>
      </c>
      <c r="R1445" s="85">
        <v>4.2</v>
      </c>
      <c r="S1445" s="87">
        <v>2839370</v>
      </c>
      <c r="T1445" s="1">
        <v>7</v>
      </c>
      <c r="U1445" s="88">
        <v>676040.47619047621</v>
      </c>
      <c r="V1445" s="59">
        <v>1.4792013721353681</v>
      </c>
    </row>
    <row r="1446" spans="1:22">
      <c r="A1446" s="58">
        <v>1448</v>
      </c>
      <c r="B1446" s="58">
        <v>1448</v>
      </c>
      <c r="C1446" s="58" t="s">
        <v>2201</v>
      </c>
      <c r="D1446" s="58" t="s">
        <v>234</v>
      </c>
      <c r="E1446" s="58" t="s">
        <v>234</v>
      </c>
      <c r="F1446" s="58" t="s">
        <v>323</v>
      </c>
      <c r="G1446" s="58" t="s">
        <v>324</v>
      </c>
      <c r="H1446" s="58" t="s">
        <v>179</v>
      </c>
      <c r="I1446">
        <v>38000</v>
      </c>
      <c r="J1446">
        <v>38000</v>
      </c>
      <c r="K1446">
        <v>20000</v>
      </c>
      <c r="L1446" s="74">
        <v>13.795999999999999</v>
      </c>
      <c r="M1446" s="85">
        <v>14</v>
      </c>
      <c r="N1446" s="74">
        <v>0.59299999999999997</v>
      </c>
      <c r="O1446">
        <v>3</v>
      </c>
      <c r="P1446" s="84">
        <v>0.59299999999999997</v>
      </c>
      <c r="Q1446" s="86">
        <v>4.2</v>
      </c>
      <c r="R1446" s="85">
        <v>4.2</v>
      </c>
      <c r="S1446" s="87">
        <v>1597940</v>
      </c>
      <c r="T1446" s="1">
        <v>1</v>
      </c>
      <c r="U1446" s="88">
        <v>380461.90476190473</v>
      </c>
      <c r="V1446" s="59">
        <v>2.6283840444572388</v>
      </c>
    </row>
    <row r="1447" spans="1:22">
      <c r="A1447" s="58">
        <v>1449</v>
      </c>
      <c r="B1447" s="58">
        <v>1449</v>
      </c>
      <c r="C1447" s="58" t="s">
        <v>2202</v>
      </c>
      <c r="D1447" s="58" t="s">
        <v>234</v>
      </c>
      <c r="E1447" s="58" t="s">
        <v>234</v>
      </c>
      <c r="F1447" s="58" t="s">
        <v>323</v>
      </c>
      <c r="G1447" s="58" t="s">
        <v>324</v>
      </c>
      <c r="H1447" s="58" t="s">
        <v>179</v>
      </c>
      <c r="I1447">
        <v>38000</v>
      </c>
      <c r="J1447">
        <v>38000</v>
      </c>
      <c r="K1447">
        <v>20000</v>
      </c>
      <c r="L1447" s="74">
        <v>13.25</v>
      </c>
      <c r="M1447" s="85">
        <v>14</v>
      </c>
      <c r="N1447" s="74">
        <v>0.13200000000000001</v>
      </c>
      <c r="O1447">
        <v>3</v>
      </c>
      <c r="P1447" s="84">
        <v>0.13200000000000001</v>
      </c>
      <c r="Q1447" s="86">
        <v>4.2</v>
      </c>
      <c r="R1447" s="85">
        <v>4.2</v>
      </c>
      <c r="S1447" s="87">
        <v>1597940</v>
      </c>
      <c r="T1447" s="1">
        <v>1</v>
      </c>
      <c r="U1447" s="88">
        <v>380461.90476190473</v>
      </c>
      <c r="V1447" s="59">
        <v>2.6283840444572388</v>
      </c>
    </row>
    <row r="1448" spans="1:22">
      <c r="A1448" s="58">
        <v>1450</v>
      </c>
      <c r="B1448" s="58">
        <v>1450</v>
      </c>
      <c r="C1448" s="58" t="s">
        <v>2203</v>
      </c>
      <c r="D1448" s="58" t="s">
        <v>234</v>
      </c>
      <c r="E1448" s="58" t="s">
        <v>234</v>
      </c>
      <c r="F1448" s="58" t="s">
        <v>630</v>
      </c>
      <c r="G1448" s="58" t="s">
        <v>631</v>
      </c>
      <c r="H1448" s="58" t="s">
        <v>179</v>
      </c>
      <c r="I1448">
        <v>38000</v>
      </c>
      <c r="J1448" s="58" t="s">
        <v>185</v>
      </c>
      <c r="K1448">
        <v>38000</v>
      </c>
      <c r="L1448" s="74">
        <v>9.0069999999999997</v>
      </c>
      <c r="M1448" s="85">
        <v>10</v>
      </c>
      <c r="N1448" s="74">
        <v>0.40799999999999997</v>
      </c>
      <c r="O1448">
        <v>3</v>
      </c>
      <c r="P1448" s="84">
        <v>0.40799999999999997</v>
      </c>
      <c r="Q1448" s="86">
        <v>4.2</v>
      </c>
      <c r="R1448" s="85">
        <v>4.2</v>
      </c>
      <c r="S1448" s="87">
        <v>1387140</v>
      </c>
      <c r="T1448" s="1">
        <v>1</v>
      </c>
      <c r="U1448" s="88">
        <v>330271.42857142858</v>
      </c>
      <c r="V1448" s="59">
        <v>3.0278126216531858</v>
      </c>
    </row>
    <row r="1449" spans="1:22">
      <c r="A1449" s="58">
        <v>1451</v>
      </c>
      <c r="B1449" s="58">
        <v>1451</v>
      </c>
      <c r="C1449" s="58" t="s">
        <v>2204</v>
      </c>
      <c r="D1449" s="58" t="s">
        <v>234</v>
      </c>
      <c r="E1449" s="58" t="s">
        <v>234</v>
      </c>
      <c r="F1449" s="58" t="s">
        <v>630</v>
      </c>
      <c r="G1449" s="58" t="s">
        <v>631</v>
      </c>
      <c r="H1449" s="58" t="s">
        <v>179</v>
      </c>
      <c r="I1449">
        <v>38000</v>
      </c>
      <c r="J1449" s="58" t="s">
        <v>185</v>
      </c>
      <c r="K1449">
        <v>38000</v>
      </c>
      <c r="L1449" s="74">
        <v>4.1929999999999996</v>
      </c>
      <c r="M1449" s="85">
        <v>5</v>
      </c>
      <c r="N1449" s="74">
        <v>0.22</v>
      </c>
      <c r="O1449">
        <v>3</v>
      </c>
      <c r="P1449" s="84">
        <v>0.22</v>
      </c>
      <c r="Q1449" s="86">
        <v>4.2</v>
      </c>
      <c r="R1449" s="85">
        <v>4.2</v>
      </c>
      <c r="S1449" s="87">
        <v>699140</v>
      </c>
      <c r="T1449" s="1">
        <v>4</v>
      </c>
      <c r="U1449" s="88">
        <v>166461.90476190476</v>
      </c>
      <c r="V1449" s="59">
        <v>6.0073804960379897</v>
      </c>
    </row>
    <row r="1450" spans="1:22">
      <c r="A1450" s="58">
        <v>1452</v>
      </c>
      <c r="B1450" s="58">
        <v>1452</v>
      </c>
      <c r="C1450" s="58" t="s">
        <v>2205</v>
      </c>
      <c r="D1450" s="58" t="s">
        <v>346</v>
      </c>
      <c r="E1450" s="58" t="s">
        <v>346</v>
      </c>
      <c r="F1450" s="58" t="s">
        <v>646</v>
      </c>
      <c r="G1450" s="58" t="s">
        <v>647</v>
      </c>
      <c r="H1450" s="58" t="s">
        <v>179</v>
      </c>
      <c r="I1450">
        <v>38000</v>
      </c>
      <c r="J1450" s="58" t="s">
        <v>185</v>
      </c>
      <c r="K1450">
        <v>38000</v>
      </c>
      <c r="L1450" s="74">
        <v>7.0289999999999999</v>
      </c>
      <c r="M1450" s="85">
        <v>8</v>
      </c>
      <c r="N1450" s="74">
        <v>0.21299999999999999</v>
      </c>
      <c r="O1450">
        <v>3</v>
      </c>
      <c r="P1450" s="84">
        <v>0.21299999999999999</v>
      </c>
      <c r="Q1450" s="86">
        <v>4.2</v>
      </c>
      <c r="R1450" s="85">
        <v>4.2</v>
      </c>
      <c r="S1450" s="87">
        <v>909950</v>
      </c>
      <c r="T1450" s="1">
        <v>4</v>
      </c>
      <c r="U1450" s="88">
        <v>216654.76190476189</v>
      </c>
      <c r="V1450" s="59">
        <v>4.6156382218803227</v>
      </c>
    </row>
    <row r="1451" spans="1:22">
      <c r="A1451" s="58">
        <v>1453</v>
      </c>
      <c r="B1451" s="58">
        <v>1453</v>
      </c>
      <c r="C1451" s="58" t="s">
        <v>2206</v>
      </c>
      <c r="D1451" s="58" t="s">
        <v>351</v>
      </c>
      <c r="E1451" s="58" t="s">
        <v>351</v>
      </c>
      <c r="F1451" s="58" t="s">
        <v>514</v>
      </c>
      <c r="G1451" s="58" t="s">
        <v>515</v>
      </c>
      <c r="H1451" s="58" t="s">
        <v>179</v>
      </c>
      <c r="I1451">
        <v>38000</v>
      </c>
      <c r="J1451">
        <v>38000</v>
      </c>
      <c r="K1451">
        <v>20000</v>
      </c>
      <c r="L1451" s="74">
        <v>10.192</v>
      </c>
      <c r="M1451" s="85">
        <v>11</v>
      </c>
      <c r="N1451" s="74">
        <v>0.16600000000000001</v>
      </c>
      <c r="O1451">
        <v>3</v>
      </c>
      <c r="P1451" s="84">
        <v>0.16600000000000001</v>
      </c>
      <c r="Q1451" s="86">
        <v>4.2</v>
      </c>
      <c r="R1451" s="85">
        <v>4.2</v>
      </c>
      <c r="S1451" s="87">
        <v>1439840</v>
      </c>
      <c r="T1451" s="1">
        <v>1</v>
      </c>
      <c r="U1451" s="88">
        <v>342819.04761904763</v>
      </c>
      <c r="V1451" s="59">
        <v>2.9169907767529724</v>
      </c>
    </row>
    <row r="1452" spans="1:22">
      <c r="A1452" s="58">
        <v>1454</v>
      </c>
      <c r="B1452" s="58">
        <v>1454</v>
      </c>
      <c r="C1452" s="58" t="s">
        <v>2207</v>
      </c>
      <c r="D1452" s="58" t="s">
        <v>346</v>
      </c>
      <c r="E1452" s="58" t="s">
        <v>346</v>
      </c>
      <c r="F1452" s="58" t="s">
        <v>352</v>
      </c>
      <c r="G1452" s="58" t="s">
        <v>353</v>
      </c>
      <c r="H1452" s="58" t="s">
        <v>179</v>
      </c>
      <c r="I1452">
        <v>38000</v>
      </c>
      <c r="J1452">
        <v>38000</v>
      </c>
      <c r="K1452">
        <v>10000</v>
      </c>
      <c r="L1452" s="74">
        <v>8.7469999999999999</v>
      </c>
      <c r="M1452" s="85">
        <v>9</v>
      </c>
      <c r="N1452" s="74">
        <v>0.17100000000000001</v>
      </c>
      <c r="O1452">
        <v>3</v>
      </c>
      <c r="P1452" s="84">
        <v>0.17100000000000001</v>
      </c>
      <c r="Q1452" s="86">
        <v>4.2</v>
      </c>
      <c r="R1452" s="85">
        <v>4.2</v>
      </c>
      <c r="S1452" s="87">
        <v>1334440</v>
      </c>
      <c r="T1452" s="1">
        <v>1</v>
      </c>
      <c r="U1452" s="88">
        <v>317723.80952380953</v>
      </c>
      <c r="V1452" s="59">
        <v>3.1473876682353645</v>
      </c>
    </row>
    <row r="1453" spans="1:22">
      <c r="A1453" s="58">
        <v>1455</v>
      </c>
      <c r="B1453" s="58">
        <v>1455</v>
      </c>
      <c r="C1453" s="58" t="s">
        <v>2208</v>
      </c>
      <c r="D1453" s="58" t="s">
        <v>187</v>
      </c>
      <c r="E1453" s="58" t="s">
        <v>187</v>
      </c>
      <c r="F1453" s="58" t="s">
        <v>188</v>
      </c>
      <c r="G1453" s="58" t="s">
        <v>189</v>
      </c>
      <c r="H1453" s="58" t="s">
        <v>179</v>
      </c>
      <c r="I1453">
        <v>38000</v>
      </c>
      <c r="J1453">
        <v>38000</v>
      </c>
      <c r="K1453">
        <v>10000</v>
      </c>
      <c r="L1453" s="74">
        <v>4.0110000000000001</v>
      </c>
      <c r="M1453" s="85">
        <v>5</v>
      </c>
      <c r="N1453" s="74">
        <v>0.32600000000000001</v>
      </c>
      <c r="O1453">
        <v>3</v>
      </c>
      <c r="P1453" s="84">
        <v>0.32600000000000001</v>
      </c>
      <c r="Q1453" s="86">
        <v>4.2</v>
      </c>
      <c r="R1453" s="85">
        <v>4.2</v>
      </c>
      <c r="S1453" s="87">
        <v>699140</v>
      </c>
      <c r="T1453" s="1">
        <v>4</v>
      </c>
      <c r="U1453" s="88">
        <v>166461.90476190476</v>
      </c>
      <c r="V1453" s="59">
        <v>6.0073804960379897</v>
      </c>
    </row>
    <row r="1454" spans="1:22">
      <c r="A1454" s="58">
        <v>1456</v>
      </c>
      <c r="B1454" s="58">
        <v>1456</v>
      </c>
      <c r="C1454" s="58" t="s">
        <v>2209</v>
      </c>
      <c r="D1454" s="58" t="s">
        <v>187</v>
      </c>
      <c r="E1454" s="58" t="s">
        <v>187</v>
      </c>
      <c r="F1454" s="58" t="s">
        <v>365</v>
      </c>
      <c r="G1454" s="58" t="s">
        <v>366</v>
      </c>
      <c r="H1454" s="58" t="s">
        <v>179</v>
      </c>
      <c r="I1454">
        <v>38000</v>
      </c>
      <c r="J1454">
        <v>38000</v>
      </c>
      <c r="K1454">
        <v>10000</v>
      </c>
      <c r="L1454" s="74">
        <v>3.4630000000000001</v>
      </c>
      <c r="M1454" s="85">
        <v>4</v>
      </c>
      <c r="N1454" s="74">
        <v>0.33900000000000002</v>
      </c>
      <c r="O1454">
        <v>3</v>
      </c>
      <c r="P1454" s="84">
        <v>0.33900000000000002</v>
      </c>
      <c r="Q1454" s="86">
        <v>4.2</v>
      </c>
      <c r="R1454" s="85">
        <v>4.2</v>
      </c>
      <c r="S1454" s="87">
        <v>628870</v>
      </c>
      <c r="T1454" s="1">
        <v>4</v>
      </c>
      <c r="U1454" s="88">
        <v>149730.95238095237</v>
      </c>
      <c r="V1454" s="59">
        <v>6.6786458250512828</v>
      </c>
    </row>
    <row r="1455" spans="1:22">
      <c r="A1455" s="58">
        <v>1457</v>
      </c>
      <c r="B1455" s="58">
        <v>1457</v>
      </c>
      <c r="C1455" s="58" t="s">
        <v>2210</v>
      </c>
      <c r="D1455" s="58" t="s">
        <v>187</v>
      </c>
      <c r="E1455" s="58" t="s">
        <v>187</v>
      </c>
      <c r="F1455" s="58" t="s">
        <v>359</v>
      </c>
      <c r="G1455" s="58" t="s">
        <v>360</v>
      </c>
      <c r="H1455" s="58" t="s">
        <v>179</v>
      </c>
      <c r="I1455">
        <v>38000</v>
      </c>
      <c r="J1455" s="58" t="s">
        <v>185</v>
      </c>
      <c r="K1455">
        <v>38000</v>
      </c>
      <c r="L1455" s="74">
        <v>5.4619999999999997</v>
      </c>
      <c r="M1455" s="85">
        <v>6</v>
      </c>
      <c r="N1455" s="74">
        <v>0.19900000000000001</v>
      </c>
      <c r="O1455">
        <v>3</v>
      </c>
      <c r="P1455" s="84">
        <v>0.19900000000000001</v>
      </c>
      <c r="Q1455" s="86">
        <v>4.2</v>
      </c>
      <c r="R1455" s="85">
        <v>4.2</v>
      </c>
      <c r="S1455" s="87">
        <v>769410</v>
      </c>
      <c r="T1455" s="1">
        <v>4</v>
      </c>
      <c r="U1455" s="88">
        <v>183192.85714285713</v>
      </c>
      <c r="V1455" s="59">
        <v>5.4587281163488903</v>
      </c>
    </row>
    <row r="1456" spans="1:22">
      <c r="A1456" s="58">
        <v>1458</v>
      </c>
      <c r="B1456" s="58">
        <v>1458</v>
      </c>
      <c r="C1456" s="58" t="s">
        <v>2211</v>
      </c>
      <c r="D1456" s="58" t="s">
        <v>187</v>
      </c>
      <c r="E1456" s="58" t="s">
        <v>187</v>
      </c>
      <c r="F1456" s="58" t="s">
        <v>359</v>
      </c>
      <c r="G1456" s="58" t="s">
        <v>360</v>
      </c>
      <c r="H1456" s="58" t="s">
        <v>179</v>
      </c>
      <c r="I1456">
        <v>38000</v>
      </c>
      <c r="J1456" s="58" t="s">
        <v>185</v>
      </c>
      <c r="K1456">
        <v>38000</v>
      </c>
      <c r="L1456" s="74">
        <v>5.8730000000000002</v>
      </c>
      <c r="M1456" s="85">
        <v>6</v>
      </c>
      <c r="N1456" s="74">
        <v>0.36099999999999999</v>
      </c>
      <c r="O1456">
        <v>3</v>
      </c>
      <c r="P1456" s="84">
        <v>0.36099999999999999</v>
      </c>
      <c r="Q1456" s="86">
        <v>4.2</v>
      </c>
      <c r="R1456" s="85">
        <v>4.2</v>
      </c>
      <c r="S1456" s="87">
        <v>769410</v>
      </c>
      <c r="T1456" s="1">
        <v>4</v>
      </c>
      <c r="U1456" s="88">
        <v>183192.85714285713</v>
      </c>
      <c r="V1456" s="59">
        <v>5.4587281163488903</v>
      </c>
    </row>
    <row r="1457" spans="1:22">
      <c r="A1457" s="58">
        <v>1459</v>
      </c>
      <c r="B1457" s="58">
        <v>1459</v>
      </c>
      <c r="C1457" s="58" t="s">
        <v>2212</v>
      </c>
      <c r="D1457" s="58" t="s">
        <v>187</v>
      </c>
      <c r="E1457" s="58" t="s">
        <v>187</v>
      </c>
      <c r="F1457" s="58" t="s">
        <v>194</v>
      </c>
      <c r="G1457" s="58" t="s">
        <v>195</v>
      </c>
      <c r="H1457" s="58" t="s">
        <v>179</v>
      </c>
      <c r="I1457">
        <v>38000</v>
      </c>
      <c r="J1457" s="58" t="s">
        <v>185</v>
      </c>
      <c r="K1457">
        <v>38000</v>
      </c>
      <c r="L1457" s="74">
        <v>6.548</v>
      </c>
      <c r="M1457" s="85">
        <v>7</v>
      </c>
      <c r="N1457" s="74">
        <v>0.17799999999999999</v>
      </c>
      <c r="O1457">
        <v>3</v>
      </c>
      <c r="P1457" s="84">
        <v>0.17799999999999999</v>
      </c>
      <c r="Q1457" s="86">
        <v>4.2</v>
      </c>
      <c r="R1457" s="85">
        <v>4.2</v>
      </c>
      <c r="S1457" s="87">
        <v>839680</v>
      </c>
      <c r="T1457" s="1">
        <v>4</v>
      </c>
      <c r="U1457" s="88">
        <v>199923.80952380953</v>
      </c>
      <c r="V1457" s="59">
        <v>5.0019054878048781</v>
      </c>
    </row>
    <row r="1458" spans="1:22">
      <c r="A1458" s="58">
        <v>1460</v>
      </c>
      <c r="B1458" s="58">
        <v>1460</v>
      </c>
      <c r="C1458" s="58" t="s">
        <v>2213</v>
      </c>
      <c r="D1458" s="58" t="s">
        <v>852</v>
      </c>
      <c r="E1458" s="58" t="s">
        <v>852</v>
      </c>
      <c r="F1458" s="58" t="s">
        <v>853</v>
      </c>
      <c r="G1458" s="58" t="s">
        <v>854</v>
      </c>
      <c r="H1458" s="58" t="s">
        <v>179</v>
      </c>
      <c r="I1458">
        <v>38000</v>
      </c>
      <c r="J1458" s="58" t="s">
        <v>185</v>
      </c>
      <c r="K1458">
        <v>38000</v>
      </c>
      <c r="L1458" s="74">
        <v>4.7590000000000003</v>
      </c>
      <c r="M1458" s="85">
        <v>5</v>
      </c>
      <c r="N1458" s="74">
        <v>0.497</v>
      </c>
      <c r="O1458">
        <v>3</v>
      </c>
      <c r="P1458" s="84">
        <v>0.497</v>
      </c>
      <c r="Q1458" s="86">
        <v>4.2</v>
      </c>
      <c r="R1458" s="85">
        <v>4.2</v>
      </c>
      <c r="S1458" s="87">
        <v>699140</v>
      </c>
      <c r="T1458" s="1">
        <v>4</v>
      </c>
      <c r="U1458" s="88">
        <v>166461.90476190476</v>
      </c>
      <c r="V1458" s="59">
        <v>6.0073804960379897</v>
      </c>
    </row>
    <row r="1459" spans="1:22">
      <c r="A1459" s="58">
        <v>1461</v>
      </c>
      <c r="B1459" s="58">
        <v>1461</v>
      </c>
      <c r="C1459" s="58" t="s">
        <v>2214</v>
      </c>
      <c r="D1459" s="58" t="s">
        <v>852</v>
      </c>
      <c r="E1459" s="58" t="s">
        <v>346</v>
      </c>
      <c r="F1459" s="58" t="s">
        <v>853</v>
      </c>
      <c r="G1459" s="58" t="s">
        <v>854</v>
      </c>
      <c r="H1459" s="58" t="s">
        <v>179</v>
      </c>
      <c r="I1459">
        <v>38000</v>
      </c>
      <c r="J1459" s="58" t="s">
        <v>185</v>
      </c>
      <c r="K1459">
        <v>38000</v>
      </c>
      <c r="L1459" s="74">
        <v>7.5880000000000001</v>
      </c>
      <c r="M1459" s="85">
        <v>8</v>
      </c>
      <c r="N1459" s="74">
        <v>0.34699999999999998</v>
      </c>
      <c r="O1459">
        <v>3</v>
      </c>
      <c r="P1459" s="84">
        <v>0.34699999999999998</v>
      </c>
      <c r="Q1459" s="86">
        <v>4.2</v>
      </c>
      <c r="R1459" s="85">
        <v>4.2</v>
      </c>
      <c r="S1459" s="87">
        <v>909950</v>
      </c>
      <c r="T1459" s="1">
        <v>4</v>
      </c>
      <c r="U1459" s="88">
        <v>216654.76190476189</v>
      </c>
      <c r="V1459" s="59">
        <v>4.6156382218803227</v>
      </c>
    </row>
    <row r="1460" spans="1:22">
      <c r="A1460" s="58">
        <v>1462</v>
      </c>
      <c r="B1460" s="58">
        <v>1462</v>
      </c>
      <c r="C1460" s="58" t="s">
        <v>2215</v>
      </c>
      <c r="D1460" s="58" t="s">
        <v>384</v>
      </c>
      <c r="E1460" s="58" t="s">
        <v>384</v>
      </c>
      <c r="F1460" s="58" t="s">
        <v>381</v>
      </c>
      <c r="G1460" s="58" t="s">
        <v>382</v>
      </c>
      <c r="H1460" s="58" t="s">
        <v>199</v>
      </c>
      <c r="I1460">
        <v>110000</v>
      </c>
      <c r="J1460">
        <v>20000</v>
      </c>
      <c r="K1460">
        <v>110000</v>
      </c>
      <c r="L1460" s="74">
        <v>7.617</v>
      </c>
      <c r="M1460" s="85">
        <v>8</v>
      </c>
      <c r="N1460" s="74">
        <v>0.121</v>
      </c>
      <c r="O1460">
        <v>3</v>
      </c>
      <c r="P1460" s="84">
        <v>0.121</v>
      </c>
      <c r="Q1460" s="86">
        <v>4.2</v>
      </c>
      <c r="R1460" s="85">
        <v>4.2</v>
      </c>
      <c r="S1460" s="87">
        <v>1838070</v>
      </c>
      <c r="T1460" s="1">
        <v>7</v>
      </c>
      <c r="U1460" s="88">
        <v>437635.71428571426</v>
      </c>
      <c r="V1460" s="59">
        <v>2.2850054676916547</v>
      </c>
    </row>
    <row r="1461" spans="1:22">
      <c r="A1461" s="58">
        <v>1463</v>
      </c>
      <c r="B1461" s="58">
        <v>1463</v>
      </c>
      <c r="C1461" s="58" t="s">
        <v>2216</v>
      </c>
      <c r="D1461" s="58" t="s">
        <v>380</v>
      </c>
      <c r="E1461" s="58" t="s">
        <v>380</v>
      </c>
      <c r="F1461" s="58" t="s">
        <v>381</v>
      </c>
      <c r="G1461" s="58" t="s">
        <v>382</v>
      </c>
      <c r="H1461" s="58" t="s">
        <v>199</v>
      </c>
      <c r="I1461">
        <v>110000</v>
      </c>
      <c r="J1461">
        <v>20000</v>
      </c>
      <c r="K1461">
        <v>110000</v>
      </c>
      <c r="L1461" s="74">
        <v>11.255000000000001</v>
      </c>
      <c r="M1461" s="85">
        <v>12</v>
      </c>
      <c r="N1461" s="74">
        <v>0.498</v>
      </c>
      <c r="O1461">
        <v>3</v>
      </c>
      <c r="P1461" s="84">
        <v>0.498</v>
      </c>
      <c r="Q1461" s="86">
        <v>4.2</v>
      </c>
      <c r="R1461" s="85">
        <v>4.2</v>
      </c>
      <c r="S1461" s="87">
        <v>2048870</v>
      </c>
      <c r="T1461" s="1">
        <v>7</v>
      </c>
      <c r="U1461" s="88">
        <v>487826.19047619047</v>
      </c>
      <c r="V1461" s="59">
        <v>2.0499104384367968</v>
      </c>
    </row>
    <row r="1462" spans="1:22">
      <c r="A1462" s="58">
        <v>1464</v>
      </c>
      <c r="B1462" s="58">
        <v>1464</v>
      </c>
      <c r="C1462" s="58" t="s">
        <v>2217</v>
      </c>
      <c r="D1462" s="58" t="s">
        <v>380</v>
      </c>
      <c r="E1462" s="58" t="s">
        <v>380</v>
      </c>
      <c r="F1462" s="58" t="s">
        <v>386</v>
      </c>
      <c r="G1462" s="58" t="s">
        <v>387</v>
      </c>
      <c r="H1462" s="58" t="s">
        <v>179</v>
      </c>
      <c r="I1462">
        <v>38000</v>
      </c>
      <c r="J1462">
        <v>38000</v>
      </c>
      <c r="K1462">
        <v>20000</v>
      </c>
      <c r="L1462" s="74">
        <v>9.4450000000000003</v>
      </c>
      <c r="M1462" s="85">
        <v>10</v>
      </c>
      <c r="N1462" s="74">
        <v>0.60799999999999998</v>
      </c>
      <c r="O1462">
        <v>3</v>
      </c>
      <c r="P1462" s="84">
        <v>0.60799999999999998</v>
      </c>
      <c r="Q1462" s="86">
        <v>4.2</v>
      </c>
      <c r="R1462" s="85">
        <v>4.2</v>
      </c>
      <c r="S1462" s="87">
        <v>1387140</v>
      </c>
      <c r="T1462" s="1">
        <v>1</v>
      </c>
      <c r="U1462" s="88">
        <v>330271.42857142858</v>
      </c>
      <c r="V1462" s="59">
        <v>3.0278126216531858</v>
      </c>
    </row>
    <row r="1463" spans="1:22">
      <c r="A1463" s="58">
        <v>1465</v>
      </c>
      <c r="B1463" s="58">
        <v>1465</v>
      </c>
      <c r="C1463" s="58" t="s">
        <v>2218</v>
      </c>
      <c r="D1463" s="58" t="s">
        <v>207</v>
      </c>
      <c r="E1463" s="58" t="s">
        <v>207</v>
      </c>
      <c r="F1463" s="58" t="s">
        <v>389</v>
      </c>
      <c r="G1463" s="58" t="s">
        <v>390</v>
      </c>
      <c r="H1463" s="58" t="s">
        <v>199</v>
      </c>
      <c r="I1463">
        <v>110000</v>
      </c>
      <c r="J1463">
        <v>110000</v>
      </c>
      <c r="K1463">
        <v>38000</v>
      </c>
      <c r="L1463" s="74">
        <v>6.4969999999999999</v>
      </c>
      <c r="M1463" s="85">
        <v>7</v>
      </c>
      <c r="N1463" s="74">
        <v>0.318</v>
      </c>
      <c r="O1463">
        <v>3</v>
      </c>
      <c r="P1463" s="84">
        <v>0.318</v>
      </c>
      <c r="Q1463" s="86">
        <v>4.2</v>
      </c>
      <c r="R1463" s="85">
        <v>4.2</v>
      </c>
      <c r="S1463" s="87">
        <v>1785370</v>
      </c>
      <c r="T1463" s="1">
        <v>7</v>
      </c>
      <c r="U1463" s="88">
        <v>425088.09523809521</v>
      </c>
      <c r="V1463" s="59">
        <v>2.3524535530450272</v>
      </c>
    </row>
    <row r="1464" spans="1:22">
      <c r="A1464" s="58">
        <v>1466</v>
      </c>
      <c r="B1464" s="58">
        <v>1466</v>
      </c>
      <c r="C1464" s="58" t="s">
        <v>2219</v>
      </c>
      <c r="D1464" s="58" t="s">
        <v>207</v>
      </c>
      <c r="E1464" s="58" t="s">
        <v>207</v>
      </c>
      <c r="F1464" s="58" t="s">
        <v>389</v>
      </c>
      <c r="G1464" s="58" t="s">
        <v>390</v>
      </c>
      <c r="H1464" s="58" t="s">
        <v>199</v>
      </c>
      <c r="I1464">
        <v>110000</v>
      </c>
      <c r="J1464">
        <v>110000</v>
      </c>
      <c r="K1464">
        <v>38000</v>
      </c>
      <c r="L1464" s="74">
        <v>6.9409999999999998</v>
      </c>
      <c r="M1464" s="85">
        <v>7</v>
      </c>
      <c r="N1464" s="74">
        <v>0.26700000000000002</v>
      </c>
      <c r="O1464">
        <v>3</v>
      </c>
      <c r="P1464" s="84">
        <v>0.26700000000000002</v>
      </c>
      <c r="Q1464" s="86">
        <v>4.2</v>
      </c>
      <c r="R1464" s="85">
        <v>4.2</v>
      </c>
      <c r="S1464" s="87">
        <v>1785370</v>
      </c>
      <c r="T1464" s="1">
        <v>7</v>
      </c>
      <c r="U1464" s="88">
        <v>425088.09523809521</v>
      </c>
      <c r="V1464" s="59">
        <v>2.3524535530450272</v>
      </c>
    </row>
    <row r="1465" spans="1:22">
      <c r="A1465" s="58">
        <v>1467</v>
      </c>
      <c r="B1465" s="58">
        <v>1467</v>
      </c>
      <c r="C1465" s="58" t="s">
        <v>2220</v>
      </c>
      <c r="D1465" s="58" t="s">
        <v>207</v>
      </c>
      <c r="E1465" s="58" t="s">
        <v>207</v>
      </c>
      <c r="F1465" s="58" t="s">
        <v>389</v>
      </c>
      <c r="G1465" s="58" t="s">
        <v>390</v>
      </c>
      <c r="H1465" s="58" t="s">
        <v>199</v>
      </c>
      <c r="I1465">
        <v>110000</v>
      </c>
      <c r="J1465">
        <v>110000</v>
      </c>
      <c r="K1465">
        <v>38000</v>
      </c>
      <c r="L1465" s="74">
        <v>8.76</v>
      </c>
      <c r="M1465" s="85">
        <v>9</v>
      </c>
      <c r="N1465" s="74">
        <v>0.24299999999999999</v>
      </c>
      <c r="O1465">
        <v>3</v>
      </c>
      <c r="P1465" s="84">
        <v>0.24299999999999999</v>
      </c>
      <c r="Q1465" s="86">
        <v>4.2</v>
      </c>
      <c r="R1465" s="85">
        <v>4.2</v>
      </c>
      <c r="S1465" s="87">
        <v>1890770</v>
      </c>
      <c r="T1465" s="1">
        <v>7</v>
      </c>
      <c r="U1465" s="88">
        <v>450183.33333333331</v>
      </c>
      <c r="V1465" s="59">
        <v>2.2213172411239865</v>
      </c>
    </row>
    <row r="1466" spans="1:22">
      <c r="A1466" s="58">
        <v>1468</v>
      </c>
      <c r="B1466" s="58">
        <v>1468</v>
      </c>
      <c r="C1466" s="58" t="s">
        <v>2221</v>
      </c>
      <c r="D1466" s="58" t="s">
        <v>207</v>
      </c>
      <c r="E1466" s="58" t="s">
        <v>207</v>
      </c>
      <c r="F1466" s="58" t="s">
        <v>705</v>
      </c>
      <c r="G1466" s="58" t="s">
        <v>706</v>
      </c>
      <c r="H1466" s="58" t="s">
        <v>179</v>
      </c>
      <c r="I1466">
        <v>38000</v>
      </c>
      <c r="J1466" s="58" t="s">
        <v>185</v>
      </c>
      <c r="K1466">
        <v>38000</v>
      </c>
      <c r="L1466" s="74">
        <v>11.14</v>
      </c>
      <c r="M1466" s="85">
        <v>12</v>
      </c>
      <c r="N1466" s="74">
        <v>0.40200000000000002</v>
      </c>
      <c r="O1466">
        <v>3</v>
      </c>
      <c r="P1466" s="84">
        <v>0.40200000000000002</v>
      </c>
      <c r="Q1466" s="86">
        <v>4.2</v>
      </c>
      <c r="R1466" s="85">
        <v>4.2</v>
      </c>
      <c r="S1466" s="87">
        <v>1492540</v>
      </c>
      <c r="T1466" s="1">
        <v>1</v>
      </c>
      <c r="U1466" s="88">
        <v>355366.66666666663</v>
      </c>
      <c r="V1466" s="59">
        <v>2.8139949348091173</v>
      </c>
    </row>
    <row r="1467" spans="1:22">
      <c r="A1467" s="58">
        <v>1469</v>
      </c>
      <c r="B1467" s="58">
        <v>1469</v>
      </c>
      <c r="C1467" s="58" t="s">
        <v>2222</v>
      </c>
      <c r="D1467" s="58" t="s">
        <v>207</v>
      </c>
      <c r="E1467" s="58" t="s">
        <v>207</v>
      </c>
      <c r="F1467" s="58" t="s">
        <v>389</v>
      </c>
      <c r="G1467" s="58" t="s">
        <v>390</v>
      </c>
      <c r="H1467" s="58" t="s">
        <v>199</v>
      </c>
      <c r="I1467">
        <v>110000</v>
      </c>
      <c r="J1467">
        <v>110000</v>
      </c>
      <c r="K1467">
        <v>38000</v>
      </c>
      <c r="L1467" s="74">
        <v>9.5980000000000008</v>
      </c>
      <c r="M1467" s="85">
        <v>10</v>
      </c>
      <c r="N1467" s="74">
        <v>0.129</v>
      </c>
      <c r="O1467">
        <v>3</v>
      </c>
      <c r="P1467" s="84">
        <v>0.129</v>
      </c>
      <c r="Q1467" s="86">
        <v>4.2</v>
      </c>
      <c r="R1467" s="85">
        <v>4.2</v>
      </c>
      <c r="S1467" s="87">
        <v>1943470</v>
      </c>
      <c r="T1467" s="1">
        <v>7</v>
      </c>
      <c r="U1467" s="88">
        <v>462730.95238095237</v>
      </c>
      <c r="V1467" s="59">
        <v>2.1610830113148132</v>
      </c>
    </row>
    <row r="1468" spans="1:22">
      <c r="A1468" s="58">
        <v>1470</v>
      </c>
      <c r="B1468" s="58">
        <v>1470</v>
      </c>
      <c r="C1468" s="58" t="s">
        <v>2223</v>
      </c>
      <c r="D1468" s="58" t="s">
        <v>207</v>
      </c>
      <c r="E1468" s="58" t="s">
        <v>207</v>
      </c>
      <c r="F1468" s="58" t="s">
        <v>393</v>
      </c>
      <c r="G1468" s="58" t="s">
        <v>394</v>
      </c>
      <c r="H1468" s="58" t="s">
        <v>179</v>
      </c>
      <c r="I1468">
        <v>38000</v>
      </c>
      <c r="J1468">
        <v>38000</v>
      </c>
      <c r="K1468" s="58" t="s">
        <v>185</v>
      </c>
      <c r="L1468" s="74">
        <v>8.73</v>
      </c>
      <c r="M1468" s="85">
        <v>9</v>
      </c>
      <c r="N1468" s="74">
        <v>9.0999999999999998E-2</v>
      </c>
      <c r="O1468">
        <v>3</v>
      </c>
      <c r="P1468" s="84">
        <v>9.0999999999999998E-2</v>
      </c>
      <c r="Q1468" s="86">
        <v>4.2</v>
      </c>
      <c r="R1468" s="85">
        <v>4.2</v>
      </c>
      <c r="S1468" s="87">
        <v>1334440</v>
      </c>
      <c r="T1468" s="1">
        <v>1</v>
      </c>
      <c r="U1468" s="88">
        <v>317723.80952380953</v>
      </c>
      <c r="V1468" s="59">
        <v>3.1473876682353645</v>
      </c>
    </row>
    <row r="1469" spans="1:22">
      <c r="A1469" s="58">
        <v>1471</v>
      </c>
      <c r="B1469" s="58">
        <v>1471</v>
      </c>
      <c r="C1469" s="58" t="s">
        <v>2224</v>
      </c>
      <c r="D1469" s="58" t="s">
        <v>207</v>
      </c>
      <c r="E1469" s="58" t="s">
        <v>207</v>
      </c>
      <c r="F1469" s="58" t="s">
        <v>389</v>
      </c>
      <c r="G1469" s="58" t="s">
        <v>390</v>
      </c>
      <c r="H1469" s="58" t="s">
        <v>199</v>
      </c>
      <c r="I1469">
        <v>110000</v>
      </c>
      <c r="J1469">
        <v>110000</v>
      </c>
      <c r="K1469">
        <v>38000</v>
      </c>
      <c r="L1469" s="74">
        <v>11.428000000000001</v>
      </c>
      <c r="M1469" s="85">
        <v>12</v>
      </c>
      <c r="N1469" s="74">
        <v>0.64600000000000002</v>
      </c>
      <c r="O1469">
        <v>3</v>
      </c>
      <c r="P1469" s="84">
        <v>0.64600000000000002</v>
      </c>
      <c r="Q1469" s="86">
        <v>4.2</v>
      </c>
      <c r="R1469" s="85">
        <v>4.2</v>
      </c>
      <c r="S1469" s="87">
        <v>2048870</v>
      </c>
      <c r="T1469" s="1">
        <v>7</v>
      </c>
      <c r="U1469" s="88">
        <v>487826.19047619047</v>
      </c>
      <c r="V1469" s="59">
        <v>2.0499104384367968</v>
      </c>
    </row>
    <row r="1470" spans="1:22">
      <c r="A1470" s="58">
        <v>1472</v>
      </c>
      <c r="B1470" s="58">
        <v>1472</v>
      </c>
      <c r="C1470" s="58" t="s">
        <v>2225</v>
      </c>
      <c r="D1470" s="58" t="s">
        <v>207</v>
      </c>
      <c r="E1470" s="58" t="s">
        <v>207</v>
      </c>
      <c r="F1470" s="58" t="s">
        <v>242</v>
      </c>
      <c r="G1470" s="58" t="s">
        <v>243</v>
      </c>
      <c r="H1470" s="58" t="s">
        <v>179</v>
      </c>
      <c r="I1470">
        <v>38000</v>
      </c>
      <c r="J1470">
        <v>38000</v>
      </c>
      <c r="K1470">
        <v>20000</v>
      </c>
      <c r="L1470" s="74">
        <v>9.4290000000000003</v>
      </c>
      <c r="M1470" s="85">
        <v>10</v>
      </c>
      <c r="N1470" s="74">
        <v>0.55500000000000005</v>
      </c>
      <c r="O1470">
        <v>3</v>
      </c>
      <c r="P1470" s="84">
        <v>0.55500000000000005</v>
      </c>
      <c r="Q1470" s="86">
        <v>4.2</v>
      </c>
      <c r="R1470" s="85">
        <v>4.2</v>
      </c>
      <c r="S1470" s="87">
        <v>1387140</v>
      </c>
      <c r="T1470" s="1">
        <v>1</v>
      </c>
      <c r="U1470" s="88">
        <v>330271.42857142858</v>
      </c>
      <c r="V1470" s="59">
        <v>3.0278126216531858</v>
      </c>
    </row>
    <row r="1471" spans="1:22">
      <c r="A1471" s="58">
        <v>1473</v>
      </c>
      <c r="B1471" s="58">
        <v>1473</v>
      </c>
      <c r="C1471" s="58" t="s">
        <v>2226</v>
      </c>
      <c r="D1471" s="58" t="s">
        <v>207</v>
      </c>
      <c r="E1471" s="58" t="s">
        <v>207</v>
      </c>
      <c r="F1471" s="58" t="s">
        <v>502</v>
      </c>
      <c r="G1471" s="58" t="s">
        <v>503</v>
      </c>
      <c r="H1471" s="58" t="s">
        <v>179</v>
      </c>
      <c r="I1471">
        <v>38000</v>
      </c>
      <c r="J1471">
        <v>38000</v>
      </c>
      <c r="K1471" s="58" t="s">
        <v>185</v>
      </c>
      <c r="L1471" s="74">
        <v>13.644</v>
      </c>
      <c r="M1471" s="85">
        <v>14</v>
      </c>
      <c r="N1471" s="74">
        <v>0.34599999999999997</v>
      </c>
      <c r="O1471">
        <v>3</v>
      </c>
      <c r="P1471" s="84">
        <v>0.34599999999999997</v>
      </c>
      <c r="Q1471" s="86">
        <v>4.2</v>
      </c>
      <c r="R1471" s="85">
        <v>4.2</v>
      </c>
      <c r="S1471" s="87">
        <v>1597940</v>
      </c>
      <c r="T1471" s="1">
        <v>1</v>
      </c>
      <c r="U1471" s="88">
        <v>380461.90476190473</v>
      </c>
      <c r="V1471" s="59">
        <v>2.6283840444572388</v>
      </c>
    </row>
    <row r="1472" spans="1:22">
      <c r="A1472" s="58">
        <v>1474</v>
      </c>
      <c r="B1472" s="58">
        <v>1474</v>
      </c>
      <c r="C1472" s="58" t="s">
        <v>2227</v>
      </c>
      <c r="D1472" s="58" t="s">
        <v>384</v>
      </c>
      <c r="E1472" s="58" t="s">
        <v>207</v>
      </c>
      <c r="F1472" s="58" t="s">
        <v>476</v>
      </c>
      <c r="G1472" s="58" t="s">
        <v>477</v>
      </c>
      <c r="H1472" s="58" t="s">
        <v>179</v>
      </c>
      <c r="I1472">
        <v>38000</v>
      </c>
      <c r="J1472">
        <v>20000</v>
      </c>
      <c r="K1472">
        <v>38000</v>
      </c>
      <c r="L1472" s="74">
        <v>3.7549999999999999</v>
      </c>
      <c r="M1472" s="85">
        <v>4</v>
      </c>
      <c r="N1472" s="74">
        <v>0.126</v>
      </c>
      <c r="O1472">
        <v>3</v>
      </c>
      <c r="P1472" s="84">
        <v>0.126</v>
      </c>
      <c r="Q1472" s="86">
        <v>4.2</v>
      </c>
      <c r="R1472" s="85">
        <v>4.2</v>
      </c>
      <c r="S1472" s="87">
        <v>628870</v>
      </c>
      <c r="T1472" s="1">
        <v>4</v>
      </c>
      <c r="U1472" s="88">
        <v>149730.95238095237</v>
      </c>
      <c r="V1472" s="59">
        <v>6.6786458250512828</v>
      </c>
    </row>
    <row r="1473" spans="1:22">
      <c r="A1473" s="58">
        <v>1475</v>
      </c>
      <c r="B1473" s="58">
        <v>1475</v>
      </c>
      <c r="C1473" s="58" t="s">
        <v>2228</v>
      </c>
      <c r="D1473" s="58" t="s">
        <v>176</v>
      </c>
      <c r="E1473" s="58" t="s">
        <v>176</v>
      </c>
      <c r="F1473" s="58" t="s">
        <v>713</v>
      </c>
      <c r="G1473" s="58" t="s">
        <v>714</v>
      </c>
      <c r="H1473" s="58" t="s">
        <v>199</v>
      </c>
      <c r="I1473">
        <v>110000</v>
      </c>
      <c r="J1473" s="58" t="s">
        <v>185</v>
      </c>
      <c r="K1473">
        <v>110000</v>
      </c>
      <c r="L1473" s="74">
        <v>3.9329999999999998</v>
      </c>
      <c r="M1473" s="85">
        <v>4</v>
      </c>
      <c r="N1473" s="74">
        <v>0.316</v>
      </c>
      <c r="O1473">
        <v>3</v>
      </c>
      <c r="P1473" s="84">
        <v>0.316</v>
      </c>
      <c r="Q1473" s="86">
        <v>4.2</v>
      </c>
      <c r="R1473" s="85">
        <v>4.2</v>
      </c>
      <c r="S1473" s="87">
        <v>1627270</v>
      </c>
      <c r="T1473" s="1">
        <v>7</v>
      </c>
      <c r="U1473" s="88">
        <v>387445.23809523811</v>
      </c>
      <c r="V1473" s="59">
        <v>2.5810099123071155</v>
      </c>
    </row>
    <row r="1474" spans="1:22">
      <c r="A1474" s="58">
        <v>1476</v>
      </c>
      <c r="B1474" s="58">
        <v>1476</v>
      </c>
      <c r="C1474" s="58" t="s">
        <v>2229</v>
      </c>
      <c r="D1474" s="58" t="s">
        <v>215</v>
      </c>
      <c r="E1474" s="58" t="s">
        <v>215</v>
      </c>
      <c r="F1474" s="58" t="s">
        <v>713</v>
      </c>
      <c r="G1474" s="58" t="s">
        <v>714</v>
      </c>
      <c r="H1474" s="58" t="s">
        <v>199</v>
      </c>
      <c r="I1474">
        <v>110000</v>
      </c>
      <c r="J1474" s="58" t="s">
        <v>185</v>
      </c>
      <c r="K1474">
        <v>110000</v>
      </c>
      <c r="L1474" s="74">
        <v>2.7890000000000001</v>
      </c>
      <c r="M1474" s="85">
        <v>3</v>
      </c>
      <c r="N1474" s="74">
        <v>0.23400000000000001</v>
      </c>
      <c r="O1474">
        <v>3</v>
      </c>
      <c r="P1474" s="84">
        <v>0.23400000000000001</v>
      </c>
      <c r="Q1474" s="86">
        <v>4.2</v>
      </c>
      <c r="R1474" s="85">
        <v>4.2</v>
      </c>
      <c r="S1474" s="87">
        <v>1574570</v>
      </c>
      <c r="T1474" s="1">
        <v>7</v>
      </c>
      <c r="U1474" s="88">
        <v>374897.61904761905</v>
      </c>
      <c r="V1474" s="59">
        <v>2.6673949078161021</v>
      </c>
    </row>
    <row r="1475" spans="1:22">
      <c r="A1475" s="58">
        <v>1477</v>
      </c>
      <c r="B1475" s="58">
        <v>1477</v>
      </c>
      <c r="C1475" s="58" t="s">
        <v>2230</v>
      </c>
      <c r="D1475" s="58" t="s">
        <v>215</v>
      </c>
      <c r="E1475" s="58" t="s">
        <v>215</v>
      </c>
      <c r="F1475" s="58" t="s">
        <v>406</v>
      </c>
      <c r="G1475" s="58" t="s">
        <v>407</v>
      </c>
      <c r="H1475" s="58" t="s">
        <v>179</v>
      </c>
      <c r="I1475">
        <v>38000</v>
      </c>
      <c r="J1475" s="58" t="s">
        <v>185</v>
      </c>
      <c r="K1475">
        <v>38000</v>
      </c>
      <c r="L1475" s="74">
        <v>2.5179999999999998</v>
      </c>
      <c r="M1475" s="85">
        <v>3</v>
      </c>
      <c r="N1475" s="74">
        <v>0.17</v>
      </c>
      <c r="O1475">
        <v>3</v>
      </c>
      <c r="P1475" s="84">
        <v>0.17</v>
      </c>
      <c r="Q1475" s="86">
        <v>4.2</v>
      </c>
      <c r="R1475" s="85">
        <v>4.2</v>
      </c>
      <c r="S1475" s="87">
        <v>558600</v>
      </c>
      <c r="T1475" s="1">
        <v>4</v>
      </c>
      <c r="U1475" s="88">
        <v>133000</v>
      </c>
      <c r="V1475" s="59">
        <v>7.518796992481203</v>
      </c>
    </row>
    <row r="1476" spans="1:22">
      <c r="A1476" s="58">
        <v>1478</v>
      </c>
      <c r="B1476" s="58">
        <v>1478</v>
      </c>
      <c r="C1476" s="58" t="s">
        <v>2231</v>
      </c>
      <c r="D1476" s="58" t="s">
        <v>215</v>
      </c>
      <c r="E1476" s="58" t="s">
        <v>215</v>
      </c>
      <c r="F1476" s="58" t="s">
        <v>406</v>
      </c>
      <c r="G1476" s="58" t="s">
        <v>407</v>
      </c>
      <c r="H1476" s="58" t="s">
        <v>179</v>
      </c>
      <c r="I1476">
        <v>38000</v>
      </c>
      <c r="J1476" s="58" t="s">
        <v>185</v>
      </c>
      <c r="K1476">
        <v>38000</v>
      </c>
      <c r="L1476" s="74">
        <v>3.9329999999999998</v>
      </c>
      <c r="M1476" s="85">
        <v>4</v>
      </c>
      <c r="N1476" s="74">
        <v>0.224</v>
      </c>
      <c r="O1476">
        <v>3</v>
      </c>
      <c r="P1476" s="84">
        <v>0.224</v>
      </c>
      <c r="Q1476" s="86">
        <v>4.2</v>
      </c>
      <c r="R1476" s="85">
        <v>4.2</v>
      </c>
      <c r="S1476" s="87">
        <v>628870</v>
      </c>
      <c r="T1476" s="1">
        <v>4</v>
      </c>
      <c r="U1476" s="88">
        <v>149730.95238095237</v>
      </c>
      <c r="V1476" s="59">
        <v>6.6786458250512828</v>
      </c>
    </row>
    <row r="1477" spans="1:22">
      <c r="A1477" s="58">
        <v>1479</v>
      </c>
      <c r="B1477" s="58">
        <v>1479</v>
      </c>
      <c r="C1477" s="58" t="s">
        <v>2232</v>
      </c>
      <c r="D1477" s="58" t="s">
        <v>215</v>
      </c>
      <c r="E1477" s="58" t="s">
        <v>215</v>
      </c>
      <c r="F1477" s="58" t="s">
        <v>406</v>
      </c>
      <c r="G1477" s="58" t="s">
        <v>407</v>
      </c>
      <c r="H1477" s="58" t="s">
        <v>179</v>
      </c>
      <c r="I1477">
        <v>38000</v>
      </c>
      <c r="J1477" s="58" t="s">
        <v>185</v>
      </c>
      <c r="K1477">
        <v>38000</v>
      </c>
      <c r="L1477" s="74">
        <v>3.8050000000000002</v>
      </c>
      <c r="M1477" s="85">
        <v>4</v>
      </c>
      <c r="N1477" s="74">
        <v>0.11899999999999999</v>
      </c>
      <c r="O1477">
        <v>3</v>
      </c>
      <c r="P1477" s="84">
        <v>0.11899999999999999</v>
      </c>
      <c r="Q1477" s="86">
        <v>4.2</v>
      </c>
      <c r="R1477" s="85">
        <v>4.2</v>
      </c>
      <c r="S1477" s="87">
        <v>628870</v>
      </c>
      <c r="T1477" s="1">
        <v>4</v>
      </c>
      <c r="U1477" s="88">
        <v>149730.95238095237</v>
      </c>
      <c r="V1477" s="59">
        <v>6.6786458250512828</v>
      </c>
    </row>
    <row r="1478" spans="1:22">
      <c r="A1478" s="58">
        <v>1480</v>
      </c>
      <c r="B1478" s="58">
        <v>1480</v>
      </c>
      <c r="C1478" s="58" t="s">
        <v>2233</v>
      </c>
      <c r="D1478" s="58" t="s">
        <v>176</v>
      </c>
      <c r="E1478" s="58" t="s">
        <v>176</v>
      </c>
      <c r="F1478" s="58" t="s">
        <v>1523</v>
      </c>
      <c r="G1478" s="58" t="s">
        <v>1524</v>
      </c>
      <c r="H1478" s="58" t="s">
        <v>199</v>
      </c>
      <c r="I1478">
        <v>110000</v>
      </c>
      <c r="J1478" s="58" t="s">
        <v>1525</v>
      </c>
      <c r="K1478">
        <v>110000</v>
      </c>
      <c r="L1478" s="74">
        <v>1.825</v>
      </c>
      <c r="M1478" s="85">
        <v>2</v>
      </c>
      <c r="N1478" s="74">
        <v>0.58499999999999996</v>
      </c>
      <c r="O1478">
        <v>3</v>
      </c>
      <c r="P1478" s="84">
        <v>0.58499999999999996</v>
      </c>
      <c r="Q1478" s="86">
        <v>4.2</v>
      </c>
      <c r="R1478" s="85">
        <v>4.2</v>
      </c>
      <c r="S1478" s="87">
        <v>1340080</v>
      </c>
      <c r="T1478" s="1">
        <v>11</v>
      </c>
      <c r="U1478" s="88">
        <v>319066.66666666663</v>
      </c>
      <c r="V1478" s="59">
        <v>3.134141245298788</v>
      </c>
    </row>
    <row r="1479" spans="1:22">
      <c r="A1479" s="58">
        <v>1481</v>
      </c>
      <c r="B1479" s="58">
        <v>1481</v>
      </c>
      <c r="C1479" s="58" t="s">
        <v>2234</v>
      </c>
      <c r="D1479" s="58" t="s">
        <v>176</v>
      </c>
      <c r="E1479" s="58" t="s">
        <v>176</v>
      </c>
      <c r="F1479" s="58" t="s">
        <v>840</v>
      </c>
      <c r="G1479" s="58" t="s">
        <v>841</v>
      </c>
      <c r="H1479" s="58" t="s">
        <v>199</v>
      </c>
      <c r="I1479">
        <v>110000</v>
      </c>
      <c r="J1479" s="58" t="s">
        <v>185</v>
      </c>
      <c r="K1479">
        <v>110000</v>
      </c>
      <c r="L1479" s="74">
        <v>4.0990000000000002</v>
      </c>
      <c r="M1479" s="85">
        <v>5</v>
      </c>
      <c r="N1479" s="74">
        <v>0.371</v>
      </c>
      <c r="O1479">
        <v>3</v>
      </c>
      <c r="P1479" s="84">
        <v>0.371</v>
      </c>
      <c r="Q1479" s="86">
        <v>4.2</v>
      </c>
      <c r="R1479" s="85">
        <v>4.2</v>
      </c>
      <c r="S1479" s="87">
        <v>1679970</v>
      </c>
      <c r="T1479" s="1">
        <v>7</v>
      </c>
      <c r="U1479" s="88">
        <v>399992.8571428571</v>
      </c>
      <c r="V1479" s="59">
        <v>2.5000446436543511</v>
      </c>
    </row>
    <row r="1480" spans="1:22">
      <c r="A1480" s="58">
        <v>1482</v>
      </c>
      <c r="B1480" s="58">
        <v>1482</v>
      </c>
      <c r="C1480" s="58" t="s">
        <v>2235</v>
      </c>
      <c r="D1480" s="58" t="s">
        <v>215</v>
      </c>
      <c r="E1480" s="58" t="s">
        <v>215</v>
      </c>
      <c r="F1480" s="58" t="s">
        <v>840</v>
      </c>
      <c r="G1480" s="58" t="s">
        <v>841</v>
      </c>
      <c r="H1480" s="58" t="s">
        <v>199</v>
      </c>
      <c r="I1480">
        <v>110000</v>
      </c>
      <c r="J1480" s="58" t="s">
        <v>185</v>
      </c>
      <c r="K1480">
        <v>110000</v>
      </c>
      <c r="L1480" s="74">
        <v>4.1550000000000002</v>
      </c>
      <c r="M1480" s="85">
        <v>5</v>
      </c>
      <c r="N1480" s="74">
        <v>0.09</v>
      </c>
      <c r="O1480">
        <v>3</v>
      </c>
      <c r="P1480" s="84">
        <v>0.09</v>
      </c>
      <c r="Q1480" s="86">
        <v>4.2</v>
      </c>
      <c r="R1480" s="85">
        <v>4.2</v>
      </c>
      <c r="S1480" s="87">
        <v>1679970</v>
      </c>
      <c r="T1480" s="1">
        <v>7</v>
      </c>
      <c r="U1480" s="88">
        <v>399992.8571428571</v>
      </c>
      <c r="V1480" s="59">
        <v>2.5000446436543511</v>
      </c>
    </row>
    <row r="1481" spans="1:22">
      <c r="A1481" s="58">
        <v>1483</v>
      </c>
      <c r="B1481" s="58">
        <v>1483</v>
      </c>
      <c r="C1481" s="58" t="s">
        <v>2236</v>
      </c>
      <c r="D1481" s="58" t="s">
        <v>215</v>
      </c>
      <c r="E1481" s="58" t="s">
        <v>215</v>
      </c>
      <c r="F1481" s="58" t="s">
        <v>727</v>
      </c>
      <c r="G1481" s="58" t="s">
        <v>728</v>
      </c>
      <c r="H1481" s="58" t="s">
        <v>199</v>
      </c>
      <c r="I1481">
        <v>110000</v>
      </c>
      <c r="L1481" s="74">
        <v>3.355</v>
      </c>
      <c r="M1481" s="85">
        <v>4</v>
      </c>
      <c r="N1481" s="74">
        <v>0.14399999999999999</v>
      </c>
      <c r="O1481">
        <v>3</v>
      </c>
      <c r="P1481" s="84">
        <v>0.14399999999999999</v>
      </c>
      <c r="Q1481" s="86">
        <v>4.2</v>
      </c>
      <c r="R1481" s="85">
        <v>4.2</v>
      </c>
      <c r="S1481" s="87">
        <v>1627270</v>
      </c>
      <c r="T1481" s="1">
        <v>7</v>
      </c>
      <c r="U1481" s="88">
        <v>387445.23809523811</v>
      </c>
      <c r="V1481" s="59">
        <v>2.5810099123071155</v>
      </c>
    </row>
    <row r="1482" spans="1:22">
      <c r="A1482" s="58">
        <v>1484</v>
      </c>
      <c r="B1482" s="58">
        <v>1484</v>
      </c>
      <c r="C1482" s="58" t="s">
        <v>2237</v>
      </c>
      <c r="D1482" s="58" t="s">
        <v>215</v>
      </c>
      <c r="E1482" s="58" t="s">
        <v>215</v>
      </c>
      <c r="F1482" s="58" t="s">
        <v>727</v>
      </c>
      <c r="G1482" s="58" t="s">
        <v>728</v>
      </c>
      <c r="H1482" s="58" t="s">
        <v>199</v>
      </c>
      <c r="I1482">
        <v>110000</v>
      </c>
      <c r="L1482" s="74">
        <v>2.2240000000000002</v>
      </c>
      <c r="M1482" s="85">
        <v>3</v>
      </c>
      <c r="N1482" s="74">
        <v>0.11899999999999999</v>
      </c>
      <c r="O1482">
        <v>3</v>
      </c>
      <c r="P1482" s="84">
        <v>0.11899999999999999</v>
      </c>
      <c r="Q1482" s="86">
        <v>4.2</v>
      </c>
      <c r="R1482" s="85">
        <v>4.2</v>
      </c>
      <c r="S1482" s="87">
        <v>1574570</v>
      </c>
      <c r="T1482" s="1">
        <v>7</v>
      </c>
      <c r="U1482" s="88">
        <v>374897.61904761905</v>
      </c>
      <c r="V1482" s="59">
        <v>2.6673949078161021</v>
      </c>
    </row>
    <row r="1483" spans="1:22">
      <c r="A1483" s="58">
        <v>1485</v>
      </c>
      <c r="B1483" s="58">
        <v>1485</v>
      </c>
      <c r="C1483" s="58" t="s">
        <v>2238</v>
      </c>
      <c r="D1483" s="58" t="s">
        <v>215</v>
      </c>
      <c r="E1483" s="58" t="s">
        <v>215</v>
      </c>
      <c r="F1483" s="58" t="s">
        <v>845</v>
      </c>
      <c r="G1483" s="58" t="s">
        <v>846</v>
      </c>
      <c r="H1483" s="58" t="s">
        <v>199</v>
      </c>
      <c r="I1483">
        <v>110000</v>
      </c>
      <c r="L1483" s="74">
        <v>3.6739999999999999</v>
      </c>
      <c r="M1483" s="85">
        <v>4</v>
      </c>
      <c r="N1483" s="74">
        <v>0.13300000000000001</v>
      </c>
      <c r="O1483">
        <v>3</v>
      </c>
      <c r="P1483" s="84">
        <v>0.13300000000000001</v>
      </c>
      <c r="Q1483" s="86">
        <v>4.2</v>
      </c>
      <c r="R1483" s="85">
        <v>4.2</v>
      </c>
      <c r="S1483" s="87">
        <v>1627270</v>
      </c>
      <c r="T1483" s="1">
        <v>7</v>
      </c>
      <c r="U1483" s="88">
        <v>387445.23809523811</v>
      </c>
      <c r="V1483" s="59">
        <v>2.5810099123071155</v>
      </c>
    </row>
    <row r="1484" spans="1:22">
      <c r="A1484" s="58">
        <v>1486</v>
      </c>
      <c r="B1484" s="58">
        <v>1486</v>
      </c>
      <c r="C1484" s="58" t="s">
        <v>2239</v>
      </c>
      <c r="D1484" s="58" t="s">
        <v>489</v>
      </c>
      <c r="E1484" s="58" t="s">
        <v>489</v>
      </c>
      <c r="F1484" s="58" t="s">
        <v>1104</v>
      </c>
      <c r="G1484" s="58" t="s">
        <v>1105</v>
      </c>
      <c r="H1484" s="58" t="s">
        <v>179</v>
      </c>
      <c r="I1484">
        <v>38000</v>
      </c>
      <c r="J1484">
        <v>38000</v>
      </c>
      <c r="K1484" s="58" t="s">
        <v>185</v>
      </c>
      <c r="L1484" s="74">
        <v>10.603</v>
      </c>
      <c r="M1484" s="85">
        <v>11</v>
      </c>
      <c r="N1484" s="74">
        <v>0.14799999999999999</v>
      </c>
      <c r="O1484">
        <v>3</v>
      </c>
      <c r="P1484" s="84">
        <v>0.14799999999999999</v>
      </c>
      <c r="Q1484" s="86">
        <v>4.2</v>
      </c>
      <c r="R1484" s="85">
        <v>4.2</v>
      </c>
      <c r="S1484" s="87">
        <v>1439840</v>
      </c>
      <c r="T1484" s="1">
        <v>1</v>
      </c>
      <c r="U1484" s="88">
        <v>342819.04761904763</v>
      </c>
      <c r="V1484" s="59">
        <v>2.9169907767529724</v>
      </c>
    </row>
    <row r="1485" spans="1:22">
      <c r="A1485" s="58">
        <v>1487</v>
      </c>
      <c r="B1485" s="58">
        <v>1487</v>
      </c>
      <c r="C1485" s="58" t="s">
        <v>2240</v>
      </c>
      <c r="D1485" s="58" t="s">
        <v>410</v>
      </c>
      <c r="E1485" s="58" t="s">
        <v>410</v>
      </c>
      <c r="F1485" s="58" t="s">
        <v>1113</v>
      </c>
      <c r="G1485" s="58" t="s">
        <v>1114</v>
      </c>
      <c r="H1485" s="58" t="s">
        <v>179</v>
      </c>
      <c r="I1485">
        <v>38000</v>
      </c>
      <c r="J1485">
        <v>38000</v>
      </c>
      <c r="K1485">
        <v>10000</v>
      </c>
      <c r="L1485" s="74">
        <v>8.6649999999999991</v>
      </c>
      <c r="M1485" s="85">
        <v>9</v>
      </c>
      <c r="N1485" s="74">
        <v>0.185</v>
      </c>
      <c r="O1485">
        <v>3</v>
      </c>
      <c r="P1485" s="84">
        <v>0.185</v>
      </c>
      <c r="Q1485" s="86">
        <v>4.2</v>
      </c>
      <c r="R1485" s="85">
        <v>4.2</v>
      </c>
      <c r="S1485" s="87">
        <v>1334440</v>
      </c>
      <c r="T1485" s="1">
        <v>1</v>
      </c>
      <c r="U1485" s="88">
        <v>317723.80952380953</v>
      </c>
      <c r="V1485" s="59">
        <v>3.1473876682353645</v>
      </c>
    </row>
    <row r="1486" spans="1:22">
      <c r="A1486" s="58">
        <v>1488</v>
      </c>
      <c r="B1486" s="58">
        <v>1488</v>
      </c>
      <c r="C1486" s="58" t="s">
        <v>2241</v>
      </c>
      <c r="D1486" s="58" t="s">
        <v>410</v>
      </c>
      <c r="E1486" s="58" t="s">
        <v>410</v>
      </c>
      <c r="F1486" s="58" t="s">
        <v>1113</v>
      </c>
      <c r="G1486" s="58" t="s">
        <v>1114</v>
      </c>
      <c r="H1486" s="58" t="s">
        <v>179</v>
      </c>
      <c r="I1486">
        <v>38000</v>
      </c>
      <c r="J1486">
        <v>38000</v>
      </c>
      <c r="K1486">
        <v>10000</v>
      </c>
      <c r="L1486" s="74">
        <v>7.7279999999999998</v>
      </c>
      <c r="M1486" s="85">
        <v>8</v>
      </c>
      <c r="N1486" s="74">
        <v>0.28000000000000003</v>
      </c>
      <c r="O1486">
        <v>3</v>
      </c>
      <c r="P1486" s="84">
        <v>0.28000000000000003</v>
      </c>
      <c r="Q1486" s="86">
        <v>4.2</v>
      </c>
      <c r="R1486" s="85">
        <v>4.2</v>
      </c>
      <c r="S1486" s="87">
        <v>909950</v>
      </c>
      <c r="T1486" s="1">
        <v>4</v>
      </c>
      <c r="U1486" s="88">
        <v>216654.76190476189</v>
      </c>
      <c r="V1486" s="59">
        <v>4.6156382218803227</v>
      </c>
    </row>
    <row r="1487" spans="1:22">
      <c r="A1487" s="58">
        <v>1489</v>
      </c>
      <c r="B1487" s="58">
        <v>1489</v>
      </c>
      <c r="C1487" s="58" t="s">
        <v>2242</v>
      </c>
      <c r="D1487" s="58" t="s">
        <v>882</v>
      </c>
      <c r="E1487" s="58" t="s">
        <v>882</v>
      </c>
      <c r="F1487" s="58" t="s">
        <v>1822</v>
      </c>
      <c r="G1487" s="58" t="s">
        <v>1823</v>
      </c>
      <c r="H1487" s="58" t="s">
        <v>199</v>
      </c>
      <c r="I1487">
        <v>110000</v>
      </c>
      <c r="L1487" s="74">
        <v>6.0709999999999997</v>
      </c>
      <c r="M1487" s="85">
        <v>7</v>
      </c>
      <c r="N1487" s="74">
        <v>0.53600000000000003</v>
      </c>
      <c r="O1487">
        <v>3</v>
      </c>
      <c r="P1487" s="84">
        <v>0.53600000000000003</v>
      </c>
      <c r="Q1487" s="86">
        <v>4.2</v>
      </c>
      <c r="R1487" s="85">
        <v>4.2</v>
      </c>
      <c r="S1487" s="87">
        <v>1785370</v>
      </c>
      <c r="T1487" s="1">
        <v>7</v>
      </c>
      <c r="U1487" s="88">
        <v>425088.09523809521</v>
      </c>
      <c r="V1487" s="59">
        <v>2.3524535530450272</v>
      </c>
    </row>
    <row r="1488" spans="1:22">
      <c r="A1488" s="58">
        <v>1490</v>
      </c>
      <c r="B1488" s="58">
        <v>1490</v>
      </c>
      <c r="C1488" s="58" t="s">
        <v>2243</v>
      </c>
      <c r="D1488" s="58" t="s">
        <v>197</v>
      </c>
      <c r="E1488" s="58" t="s">
        <v>197</v>
      </c>
      <c r="F1488" s="58" t="s">
        <v>198</v>
      </c>
      <c r="H1488" s="58" t="s">
        <v>199</v>
      </c>
      <c r="I1488">
        <v>110000</v>
      </c>
      <c r="J1488" s="58" t="s">
        <v>200</v>
      </c>
      <c r="K1488">
        <v>110000</v>
      </c>
      <c r="L1488" s="74">
        <v>3.0670000000000002</v>
      </c>
      <c r="M1488" s="85">
        <v>4</v>
      </c>
      <c r="N1488" s="74">
        <v>0.216</v>
      </c>
      <c r="O1488">
        <v>3</v>
      </c>
      <c r="P1488" s="84">
        <v>0.216</v>
      </c>
      <c r="Q1488" s="86">
        <v>4.2</v>
      </c>
      <c r="R1488" s="85">
        <v>4.2</v>
      </c>
      <c r="S1488" s="87">
        <v>1627270</v>
      </c>
      <c r="T1488" s="1">
        <v>7</v>
      </c>
      <c r="U1488" s="88">
        <v>387445.23809523811</v>
      </c>
      <c r="V1488" s="59">
        <v>2.5810099123071155</v>
      </c>
    </row>
    <row r="1489" spans="1:22">
      <c r="A1489" s="58">
        <v>1491</v>
      </c>
      <c r="B1489" s="58">
        <v>1491</v>
      </c>
      <c r="C1489" s="58" t="s">
        <v>2244</v>
      </c>
      <c r="D1489" s="58" t="s">
        <v>187</v>
      </c>
      <c r="E1489" s="58" t="s">
        <v>187</v>
      </c>
      <c r="F1489" s="58" t="s">
        <v>415</v>
      </c>
      <c r="G1489" s="58" t="s">
        <v>416</v>
      </c>
      <c r="H1489" s="58" t="s">
        <v>179</v>
      </c>
      <c r="I1489">
        <v>38000</v>
      </c>
      <c r="J1489">
        <v>38000</v>
      </c>
      <c r="K1489" s="58" t="s">
        <v>185</v>
      </c>
      <c r="L1489" s="74">
        <v>12.182</v>
      </c>
      <c r="M1489" s="85">
        <v>13</v>
      </c>
      <c r="N1489" s="74">
        <v>0.113</v>
      </c>
      <c r="O1489">
        <v>3</v>
      </c>
      <c r="P1489" s="84">
        <v>0.113</v>
      </c>
      <c r="Q1489" s="86">
        <v>4.2</v>
      </c>
      <c r="R1489" s="85">
        <v>4.2</v>
      </c>
      <c r="S1489" s="87">
        <v>1545240</v>
      </c>
      <c r="T1489" s="1">
        <v>1</v>
      </c>
      <c r="U1489" s="88">
        <v>367914.28571428568</v>
      </c>
      <c r="V1489" s="59">
        <v>2.7180243845616214</v>
      </c>
    </row>
    <row r="1490" spans="1:22">
      <c r="A1490" s="58">
        <v>1492</v>
      </c>
      <c r="B1490" s="58">
        <v>1492</v>
      </c>
      <c r="C1490" s="58" t="s">
        <v>2245</v>
      </c>
      <c r="D1490" s="58" t="s">
        <v>187</v>
      </c>
      <c r="E1490" s="58" t="s">
        <v>187</v>
      </c>
      <c r="F1490" s="58" t="s">
        <v>368</v>
      </c>
      <c r="G1490" s="58" t="s">
        <v>369</v>
      </c>
      <c r="H1490" s="58" t="s">
        <v>199</v>
      </c>
      <c r="I1490">
        <v>110000</v>
      </c>
      <c r="J1490">
        <v>110000</v>
      </c>
      <c r="K1490">
        <v>38000</v>
      </c>
      <c r="L1490" s="74">
        <v>11.803000000000001</v>
      </c>
      <c r="M1490" s="85">
        <v>12</v>
      </c>
      <c r="N1490" s="74">
        <v>0.09</v>
      </c>
      <c r="O1490">
        <v>3</v>
      </c>
      <c r="P1490" s="84">
        <v>0.09</v>
      </c>
      <c r="Q1490" s="86">
        <v>4.2</v>
      </c>
      <c r="R1490" s="85">
        <v>4.2</v>
      </c>
      <c r="S1490" s="87">
        <v>2048870</v>
      </c>
      <c r="T1490" s="1">
        <v>7</v>
      </c>
      <c r="U1490" s="88">
        <v>487826.19047619047</v>
      </c>
      <c r="V1490" s="59">
        <v>2.0499104384367968</v>
      </c>
    </row>
    <row r="1491" spans="1:22">
      <c r="A1491" s="58">
        <v>1493</v>
      </c>
      <c r="B1491" s="58">
        <v>1493</v>
      </c>
      <c r="C1491" s="58" t="s">
        <v>2246</v>
      </c>
      <c r="D1491" s="58" t="s">
        <v>249</v>
      </c>
      <c r="E1491" s="58" t="s">
        <v>249</v>
      </c>
      <c r="F1491" s="58" t="s">
        <v>1119</v>
      </c>
      <c r="G1491" s="58" t="s">
        <v>1120</v>
      </c>
      <c r="H1491" s="58" t="s">
        <v>199</v>
      </c>
      <c r="I1491">
        <v>110000</v>
      </c>
      <c r="L1491" s="74">
        <v>13.683</v>
      </c>
      <c r="M1491" s="85">
        <v>14</v>
      </c>
      <c r="N1491" s="74">
        <v>0.218</v>
      </c>
      <c r="O1491">
        <v>3</v>
      </c>
      <c r="P1491" s="84">
        <v>0.218</v>
      </c>
      <c r="Q1491" s="86">
        <v>4.2</v>
      </c>
      <c r="R1491" s="85">
        <v>4.2</v>
      </c>
      <c r="S1491" s="87">
        <v>2154270</v>
      </c>
      <c r="T1491" s="1">
        <v>7</v>
      </c>
      <c r="U1491" s="88">
        <v>512921.42857142852</v>
      </c>
      <c r="V1491" s="59">
        <v>1.9496163433552898</v>
      </c>
    </row>
    <row r="1492" spans="1:22">
      <c r="A1492" s="58">
        <v>1494</v>
      </c>
      <c r="B1492" s="58">
        <v>1494</v>
      </c>
      <c r="C1492" s="58" t="s">
        <v>2247</v>
      </c>
      <c r="D1492" s="58" t="s">
        <v>351</v>
      </c>
      <c r="E1492" s="58" t="s">
        <v>351</v>
      </c>
      <c r="F1492" s="58" t="s">
        <v>1119</v>
      </c>
      <c r="G1492" s="58" t="s">
        <v>1120</v>
      </c>
      <c r="H1492" s="58" t="s">
        <v>199</v>
      </c>
      <c r="I1492">
        <v>110000</v>
      </c>
      <c r="L1492" s="74">
        <v>8.5869999999999997</v>
      </c>
      <c r="M1492" s="85">
        <v>9</v>
      </c>
      <c r="N1492" s="74">
        <v>0.21</v>
      </c>
      <c r="O1492">
        <v>3</v>
      </c>
      <c r="P1492" s="84">
        <v>0.21</v>
      </c>
      <c r="Q1492" s="86">
        <v>4.2</v>
      </c>
      <c r="R1492" s="85">
        <v>4.2</v>
      </c>
      <c r="S1492" s="87">
        <v>1890770</v>
      </c>
      <c r="T1492" s="1">
        <v>7</v>
      </c>
      <c r="U1492" s="88">
        <v>450183.33333333331</v>
      </c>
      <c r="V1492" s="59">
        <v>2.2213172411239865</v>
      </c>
    </row>
    <row r="1493" spans="1:22">
      <c r="A1493" s="58">
        <v>1495</v>
      </c>
      <c r="B1493" s="58">
        <v>1495</v>
      </c>
      <c r="C1493" s="58" t="s">
        <v>2248</v>
      </c>
      <c r="D1493" s="58" t="s">
        <v>249</v>
      </c>
      <c r="E1493" s="58" t="s">
        <v>249</v>
      </c>
      <c r="F1493" s="58" t="s">
        <v>250</v>
      </c>
      <c r="G1493" s="58" t="s">
        <v>251</v>
      </c>
      <c r="H1493" s="58" t="s">
        <v>199</v>
      </c>
      <c r="I1493">
        <v>110000</v>
      </c>
      <c r="L1493" s="74">
        <v>7.8120000000000003</v>
      </c>
      <c r="M1493" s="85">
        <v>8</v>
      </c>
      <c r="N1493" s="74">
        <v>0.28899999999999998</v>
      </c>
      <c r="O1493">
        <v>3</v>
      </c>
      <c r="P1493" s="84">
        <v>0.28899999999999998</v>
      </c>
      <c r="Q1493" s="86">
        <v>4.2</v>
      </c>
      <c r="R1493" s="85">
        <v>4.2</v>
      </c>
      <c r="S1493" s="87">
        <v>1838070</v>
      </c>
      <c r="T1493" s="1">
        <v>7</v>
      </c>
      <c r="U1493" s="88">
        <v>437635.71428571426</v>
      </c>
      <c r="V1493" s="59">
        <v>2.2850054676916547</v>
      </c>
    </row>
    <row r="1494" spans="1:22">
      <c r="A1494" s="58">
        <v>1496</v>
      </c>
      <c r="B1494" s="58">
        <v>1496</v>
      </c>
      <c r="C1494" s="58" t="s">
        <v>2249</v>
      </c>
      <c r="D1494" s="58" t="s">
        <v>351</v>
      </c>
      <c r="E1494" s="58" t="s">
        <v>351</v>
      </c>
      <c r="F1494" s="58" t="s">
        <v>422</v>
      </c>
      <c r="G1494" s="58" t="s">
        <v>423</v>
      </c>
      <c r="H1494" s="58" t="s">
        <v>199</v>
      </c>
      <c r="I1494">
        <v>110000</v>
      </c>
      <c r="J1494">
        <v>110000</v>
      </c>
      <c r="K1494">
        <v>20000</v>
      </c>
      <c r="L1494" s="74">
        <v>10.843</v>
      </c>
      <c r="M1494" s="85">
        <v>11</v>
      </c>
      <c r="N1494" s="74">
        <v>0.26400000000000001</v>
      </c>
      <c r="O1494">
        <v>3</v>
      </c>
      <c r="P1494" s="84">
        <v>0.26400000000000001</v>
      </c>
      <c r="Q1494" s="86">
        <v>4.2</v>
      </c>
      <c r="R1494" s="85">
        <v>4.2</v>
      </c>
      <c r="S1494" s="87">
        <v>1996170</v>
      </c>
      <c r="T1494" s="1">
        <v>7</v>
      </c>
      <c r="U1494" s="88">
        <v>475278.57142857142</v>
      </c>
      <c r="V1494" s="59">
        <v>2.1040292159485414</v>
      </c>
    </row>
    <row r="1495" spans="1:22">
      <c r="A1495" s="58">
        <v>1497</v>
      </c>
      <c r="B1495" s="58">
        <v>1497</v>
      </c>
      <c r="C1495" s="58" t="s">
        <v>2250</v>
      </c>
      <c r="D1495" s="58" t="s">
        <v>249</v>
      </c>
      <c r="E1495" s="58" t="s">
        <v>249</v>
      </c>
      <c r="F1495" s="58" t="s">
        <v>250</v>
      </c>
      <c r="G1495" s="58" t="s">
        <v>251</v>
      </c>
      <c r="H1495" s="58" t="s">
        <v>199</v>
      </c>
      <c r="I1495">
        <v>110000</v>
      </c>
      <c r="L1495" s="74">
        <v>4.1689999999999996</v>
      </c>
      <c r="M1495" s="85">
        <v>5</v>
      </c>
      <c r="N1495" s="74">
        <v>0.23599999999999999</v>
      </c>
      <c r="O1495">
        <v>3</v>
      </c>
      <c r="P1495" s="84">
        <v>0.23599999999999999</v>
      </c>
      <c r="Q1495" s="86">
        <v>4.2</v>
      </c>
      <c r="R1495" s="85">
        <v>4.2</v>
      </c>
      <c r="S1495" s="87">
        <v>1679970</v>
      </c>
      <c r="T1495" s="1">
        <v>7</v>
      </c>
      <c r="U1495" s="88">
        <v>399992.8571428571</v>
      </c>
      <c r="V1495" s="59">
        <v>2.5000446436543511</v>
      </c>
    </row>
    <row r="1496" spans="1:22">
      <c r="A1496" s="58">
        <v>1498</v>
      </c>
      <c r="B1496" s="58">
        <v>1498</v>
      </c>
      <c r="C1496" s="58" t="s">
        <v>2251</v>
      </c>
      <c r="D1496" s="58" t="s">
        <v>187</v>
      </c>
      <c r="E1496" s="58" t="s">
        <v>187</v>
      </c>
      <c r="F1496" s="58" t="s">
        <v>2252</v>
      </c>
      <c r="G1496" s="58" t="s">
        <v>2253</v>
      </c>
      <c r="H1496" s="58" t="s">
        <v>199</v>
      </c>
      <c r="I1496">
        <v>110000</v>
      </c>
      <c r="J1496" s="58" t="s">
        <v>185</v>
      </c>
      <c r="K1496">
        <v>110000</v>
      </c>
      <c r="L1496" s="74">
        <v>2.6749999999999998</v>
      </c>
      <c r="M1496" s="85">
        <v>3</v>
      </c>
      <c r="N1496" s="74">
        <v>0.40300000000000002</v>
      </c>
      <c r="O1496">
        <v>3</v>
      </c>
      <c r="P1496" s="84">
        <v>0.40300000000000002</v>
      </c>
      <c r="Q1496" s="86">
        <v>4.2</v>
      </c>
      <c r="R1496" s="85">
        <v>4.2</v>
      </c>
      <c r="S1496" s="87">
        <v>1574570</v>
      </c>
      <c r="T1496" s="1">
        <v>7</v>
      </c>
      <c r="U1496" s="88">
        <v>374897.61904761905</v>
      </c>
      <c r="V1496" s="59">
        <v>2.6673949078161021</v>
      </c>
    </row>
    <row r="1497" spans="1:22">
      <c r="A1497" s="58">
        <v>1499</v>
      </c>
      <c r="B1497" s="58">
        <v>1499</v>
      </c>
      <c r="C1497" s="58" t="s">
        <v>2254</v>
      </c>
      <c r="D1497" s="58" t="s">
        <v>187</v>
      </c>
      <c r="E1497" s="58" t="s">
        <v>187</v>
      </c>
      <c r="F1497" s="58" t="s">
        <v>368</v>
      </c>
      <c r="G1497" s="58" t="s">
        <v>369</v>
      </c>
      <c r="H1497" s="58" t="s">
        <v>199</v>
      </c>
      <c r="I1497">
        <v>110000</v>
      </c>
      <c r="J1497">
        <v>110000</v>
      </c>
      <c r="K1497">
        <v>38000</v>
      </c>
      <c r="L1497" s="74">
        <v>12.127000000000001</v>
      </c>
      <c r="M1497" s="85">
        <v>13</v>
      </c>
      <c r="N1497" s="74">
        <v>0.16800000000000001</v>
      </c>
      <c r="O1497">
        <v>3</v>
      </c>
      <c r="P1497" s="84">
        <v>0.16800000000000001</v>
      </c>
      <c r="Q1497" s="86">
        <v>4.2</v>
      </c>
      <c r="R1497" s="85">
        <v>4.2</v>
      </c>
      <c r="S1497" s="87">
        <v>2101570</v>
      </c>
      <c r="T1497" s="1">
        <v>7</v>
      </c>
      <c r="U1497" s="88">
        <v>500373.80952380953</v>
      </c>
      <c r="V1497" s="59">
        <v>1.9985058789381271</v>
      </c>
    </row>
    <row r="1498" spans="1:22">
      <c r="A1498" s="58">
        <v>1500</v>
      </c>
      <c r="B1498" s="58">
        <v>1500</v>
      </c>
      <c r="C1498" s="58" t="s">
        <v>2255</v>
      </c>
      <c r="D1498" s="58" t="s">
        <v>187</v>
      </c>
      <c r="E1498" s="58" t="s">
        <v>187</v>
      </c>
      <c r="F1498" s="58" t="s">
        <v>859</v>
      </c>
      <c r="G1498" s="58" t="s">
        <v>860</v>
      </c>
      <c r="H1498" s="58" t="s">
        <v>179</v>
      </c>
      <c r="I1498">
        <v>38000</v>
      </c>
      <c r="J1498">
        <v>38000</v>
      </c>
      <c r="K1498" s="58" t="s">
        <v>185</v>
      </c>
      <c r="L1498" s="74">
        <v>8.6259999999999994</v>
      </c>
      <c r="M1498" s="85">
        <v>9</v>
      </c>
      <c r="N1498" s="74">
        <v>9.1999999999999998E-2</v>
      </c>
      <c r="O1498">
        <v>3</v>
      </c>
      <c r="P1498" s="84">
        <v>9.1999999999999998E-2</v>
      </c>
      <c r="Q1498" s="86">
        <v>4.2</v>
      </c>
      <c r="R1498" s="85">
        <v>4.2</v>
      </c>
      <c r="S1498" s="87">
        <v>1334440</v>
      </c>
      <c r="T1498" s="1">
        <v>1</v>
      </c>
      <c r="U1498" s="88">
        <v>317723.80952380953</v>
      </c>
      <c r="V1498" s="59">
        <v>3.1473876682353645</v>
      </c>
    </row>
    <row r="1499" spans="1:22">
      <c r="A1499" s="58">
        <v>1501</v>
      </c>
      <c r="B1499" s="58">
        <v>1501</v>
      </c>
      <c r="C1499" s="58" t="s">
        <v>2256</v>
      </c>
      <c r="D1499" s="58" t="s">
        <v>187</v>
      </c>
      <c r="E1499" s="58" t="s">
        <v>187</v>
      </c>
      <c r="F1499" s="58" t="s">
        <v>368</v>
      </c>
      <c r="G1499" s="58" t="s">
        <v>369</v>
      </c>
      <c r="H1499" s="58" t="s">
        <v>199</v>
      </c>
      <c r="I1499">
        <v>110000</v>
      </c>
      <c r="J1499">
        <v>110000</v>
      </c>
      <c r="K1499">
        <v>38000</v>
      </c>
      <c r="L1499" s="74">
        <v>10.273999999999999</v>
      </c>
      <c r="M1499" s="85">
        <v>11</v>
      </c>
      <c r="N1499" s="74">
        <v>0.33400000000000002</v>
      </c>
      <c r="O1499">
        <v>3</v>
      </c>
      <c r="P1499" s="84">
        <v>0.33400000000000002</v>
      </c>
      <c r="Q1499" s="86">
        <v>4.2</v>
      </c>
      <c r="R1499" s="85">
        <v>4.2</v>
      </c>
      <c r="S1499" s="87">
        <v>1996170</v>
      </c>
      <c r="T1499" s="1">
        <v>7</v>
      </c>
      <c r="U1499" s="88">
        <v>475278.57142857142</v>
      </c>
      <c r="V1499" s="59">
        <v>2.1040292159485414</v>
      </c>
    </row>
    <row r="1500" spans="1:22">
      <c r="A1500" s="58">
        <v>1502</v>
      </c>
      <c r="B1500" s="58">
        <v>1502</v>
      </c>
      <c r="C1500" s="58" t="s">
        <v>2257</v>
      </c>
      <c r="D1500" s="58" t="s">
        <v>187</v>
      </c>
      <c r="E1500" s="58" t="s">
        <v>187</v>
      </c>
      <c r="F1500" s="58" t="s">
        <v>746</v>
      </c>
      <c r="G1500" s="58" t="s">
        <v>747</v>
      </c>
      <c r="H1500" s="58" t="s">
        <v>199</v>
      </c>
      <c r="I1500">
        <v>110000</v>
      </c>
      <c r="J1500">
        <v>110000</v>
      </c>
      <c r="K1500">
        <v>38000</v>
      </c>
      <c r="L1500" s="74">
        <v>3.8580000000000001</v>
      </c>
      <c r="M1500" s="85">
        <v>4</v>
      </c>
      <c r="N1500" s="74">
        <v>0.44600000000000001</v>
      </c>
      <c r="O1500">
        <v>3</v>
      </c>
      <c r="P1500" s="84">
        <v>0.44600000000000001</v>
      </c>
      <c r="Q1500" s="86">
        <v>4.2</v>
      </c>
      <c r="R1500" s="85">
        <v>4.2</v>
      </c>
      <c r="S1500" s="87">
        <v>1627270</v>
      </c>
      <c r="T1500" s="1">
        <v>7</v>
      </c>
      <c r="U1500" s="88">
        <v>387445.23809523811</v>
      </c>
      <c r="V1500" s="59">
        <v>2.5810099123071155</v>
      </c>
    </row>
    <row r="1501" spans="1:22">
      <c r="A1501" s="58">
        <v>1503</v>
      </c>
      <c r="B1501" s="58">
        <v>1503</v>
      </c>
      <c r="C1501" s="58" t="s">
        <v>2258</v>
      </c>
      <c r="D1501" s="58" t="s">
        <v>182</v>
      </c>
      <c r="E1501" s="58" t="s">
        <v>182</v>
      </c>
      <c r="F1501" s="58" t="s">
        <v>446</v>
      </c>
      <c r="G1501" s="58" t="s">
        <v>447</v>
      </c>
      <c r="H1501" s="58" t="s">
        <v>199</v>
      </c>
      <c r="I1501">
        <v>110000</v>
      </c>
      <c r="J1501">
        <v>33000</v>
      </c>
      <c r="K1501">
        <v>110000</v>
      </c>
      <c r="L1501" s="74">
        <v>1.45</v>
      </c>
      <c r="M1501" s="85">
        <v>2</v>
      </c>
      <c r="N1501" s="74">
        <v>0.22</v>
      </c>
      <c r="O1501">
        <v>3</v>
      </c>
      <c r="P1501" s="84">
        <v>0.22</v>
      </c>
      <c r="Q1501" s="86">
        <v>4.2</v>
      </c>
      <c r="R1501" s="85">
        <v>4.2</v>
      </c>
      <c r="S1501" s="87">
        <v>1340080</v>
      </c>
      <c r="T1501" s="1">
        <v>11</v>
      </c>
      <c r="U1501" s="88">
        <v>319066.66666666663</v>
      </c>
      <c r="V1501" s="59">
        <v>3.134141245298788</v>
      </c>
    </row>
    <row r="1502" spans="1:22">
      <c r="A1502" s="58">
        <v>1504</v>
      </c>
      <c r="B1502" s="58">
        <v>1504</v>
      </c>
      <c r="C1502" s="58" t="s">
        <v>2259</v>
      </c>
      <c r="D1502" s="58" t="s">
        <v>450</v>
      </c>
      <c r="E1502" s="58" t="s">
        <v>450</v>
      </c>
      <c r="F1502" s="58" t="s">
        <v>451</v>
      </c>
      <c r="G1502" s="58" t="s">
        <v>452</v>
      </c>
      <c r="H1502" s="58" t="s">
        <v>179</v>
      </c>
      <c r="I1502">
        <v>38000</v>
      </c>
      <c r="J1502">
        <v>38000</v>
      </c>
      <c r="K1502" s="58" t="s">
        <v>185</v>
      </c>
      <c r="L1502" s="74">
        <v>10.521000000000001</v>
      </c>
      <c r="M1502" s="85">
        <v>11</v>
      </c>
      <c r="N1502" s="74">
        <v>0.502</v>
      </c>
      <c r="O1502">
        <v>3</v>
      </c>
      <c r="P1502" s="84">
        <v>0.502</v>
      </c>
      <c r="Q1502" s="86">
        <v>4.2</v>
      </c>
      <c r="R1502" s="85">
        <v>4.2</v>
      </c>
      <c r="S1502" s="87">
        <v>1439840</v>
      </c>
      <c r="T1502" s="1">
        <v>1</v>
      </c>
      <c r="U1502" s="88">
        <v>342819.04761904763</v>
      </c>
      <c r="V1502" s="59">
        <v>2.9169907767529724</v>
      </c>
    </row>
    <row r="1503" spans="1:22">
      <c r="A1503" s="58">
        <v>1505</v>
      </c>
      <c r="B1503" s="58">
        <v>1505</v>
      </c>
      <c r="C1503" s="58" t="s">
        <v>2260</v>
      </c>
      <c r="D1503" s="58" t="s">
        <v>450</v>
      </c>
      <c r="E1503" s="58" t="s">
        <v>450</v>
      </c>
      <c r="F1503" s="58" t="s">
        <v>454</v>
      </c>
      <c r="G1503" s="58" t="s">
        <v>455</v>
      </c>
      <c r="H1503" s="58" t="s">
        <v>179</v>
      </c>
      <c r="I1503">
        <v>38000</v>
      </c>
      <c r="J1503">
        <v>38000</v>
      </c>
      <c r="K1503">
        <v>10000</v>
      </c>
      <c r="L1503" s="74">
        <v>5.23</v>
      </c>
      <c r="M1503" s="85">
        <v>6</v>
      </c>
      <c r="N1503" s="74">
        <v>0.14599999999999999</v>
      </c>
      <c r="O1503">
        <v>3</v>
      </c>
      <c r="P1503" s="84">
        <v>0.14599999999999999</v>
      </c>
      <c r="Q1503" s="86">
        <v>4.2</v>
      </c>
      <c r="R1503" s="85">
        <v>4.2</v>
      </c>
      <c r="S1503" s="87">
        <v>769410</v>
      </c>
      <c r="T1503" s="1">
        <v>4</v>
      </c>
      <c r="U1503" s="88">
        <v>183192.85714285713</v>
      </c>
      <c r="V1503" s="59">
        <v>5.4587281163488903</v>
      </c>
    </row>
    <row r="1504" spans="1:22">
      <c r="A1504" s="58">
        <v>1506</v>
      </c>
      <c r="B1504" s="58">
        <v>1506</v>
      </c>
      <c r="C1504" s="58" t="s">
        <v>2261</v>
      </c>
      <c r="D1504" s="58" t="s">
        <v>450</v>
      </c>
      <c r="E1504" s="58" t="s">
        <v>450</v>
      </c>
      <c r="F1504" s="58" t="s">
        <v>782</v>
      </c>
      <c r="G1504" s="58" t="s">
        <v>783</v>
      </c>
      <c r="H1504" s="58" t="s">
        <v>199</v>
      </c>
      <c r="I1504">
        <v>110000</v>
      </c>
      <c r="J1504">
        <v>110000</v>
      </c>
      <c r="K1504">
        <v>38000</v>
      </c>
      <c r="L1504" s="74">
        <v>9.3010000000000002</v>
      </c>
      <c r="M1504" s="85">
        <v>10</v>
      </c>
      <c r="N1504" s="74">
        <v>0.29899999999999999</v>
      </c>
      <c r="O1504">
        <v>3</v>
      </c>
      <c r="P1504" s="84">
        <v>0.29899999999999999</v>
      </c>
      <c r="Q1504" s="86">
        <v>4.2</v>
      </c>
      <c r="R1504" s="85">
        <v>4.2</v>
      </c>
      <c r="S1504" s="87">
        <v>1943470</v>
      </c>
      <c r="T1504" s="1">
        <v>7</v>
      </c>
      <c r="U1504" s="88">
        <v>462730.95238095237</v>
      </c>
      <c r="V1504" s="59">
        <v>2.1610830113148132</v>
      </c>
    </row>
    <row r="1505" spans="1:22">
      <c r="A1505" s="58">
        <v>1507</v>
      </c>
      <c r="B1505" s="58">
        <v>1507</v>
      </c>
      <c r="C1505" s="58" t="s">
        <v>2262</v>
      </c>
      <c r="D1505" s="58" t="s">
        <v>450</v>
      </c>
      <c r="E1505" s="58" t="s">
        <v>450</v>
      </c>
      <c r="F1505" s="58" t="s">
        <v>782</v>
      </c>
      <c r="G1505" s="58" t="s">
        <v>783</v>
      </c>
      <c r="H1505" s="58" t="s">
        <v>199</v>
      </c>
      <c r="I1505">
        <v>110000</v>
      </c>
      <c r="J1505">
        <v>110000</v>
      </c>
      <c r="K1505">
        <v>38000</v>
      </c>
      <c r="L1505" s="74">
        <v>8.5909999999999993</v>
      </c>
      <c r="M1505" s="85">
        <v>9</v>
      </c>
      <c r="N1505" s="74">
        <v>0.13300000000000001</v>
      </c>
      <c r="O1505">
        <v>3</v>
      </c>
      <c r="P1505" s="84">
        <v>0.13300000000000001</v>
      </c>
      <c r="Q1505" s="86">
        <v>4.2</v>
      </c>
      <c r="R1505" s="85">
        <v>4.2</v>
      </c>
      <c r="S1505" s="87">
        <v>1890770</v>
      </c>
      <c r="T1505" s="1">
        <v>7</v>
      </c>
      <c r="U1505" s="88">
        <v>450183.33333333331</v>
      </c>
      <c r="V1505" s="59">
        <v>2.2213172411239865</v>
      </c>
    </row>
    <row r="1506" spans="1:22">
      <c r="A1506" s="58">
        <v>1508</v>
      </c>
      <c r="B1506" s="58">
        <v>1508</v>
      </c>
      <c r="C1506" s="58" t="s">
        <v>2263</v>
      </c>
      <c r="D1506" s="58" t="s">
        <v>450</v>
      </c>
      <c r="E1506" s="58" t="s">
        <v>450</v>
      </c>
      <c r="F1506" s="58" t="s">
        <v>782</v>
      </c>
      <c r="G1506" s="58" t="s">
        <v>783</v>
      </c>
      <c r="H1506" s="58" t="s">
        <v>199</v>
      </c>
      <c r="I1506">
        <v>110000</v>
      </c>
      <c r="J1506">
        <v>110000</v>
      </c>
      <c r="K1506">
        <v>38000</v>
      </c>
      <c r="L1506" s="74">
        <v>9.7479999999999993</v>
      </c>
      <c r="M1506" s="85">
        <v>10</v>
      </c>
      <c r="N1506" s="74">
        <v>0.36399999999999999</v>
      </c>
      <c r="O1506">
        <v>3</v>
      </c>
      <c r="P1506" s="84">
        <v>0.36399999999999999</v>
      </c>
      <c r="Q1506" s="86">
        <v>4.2</v>
      </c>
      <c r="R1506" s="85">
        <v>4.2</v>
      </c>
      <c r="S1506" s="87">
        <v>1943470</v>
      </c>
      <c r="T1506" s="1">
        <v>7</v>
      </c>
      <c r="U1506" s="88">
        <v>462730.95238095237</v>
      </c>
      <c r="V1506" s="59">
        <v>2.1610830113148132</v>
      </c>
    </row>
    <row r="1507" spans="1:22">
      <c r="A1507" s="58">
        <v>1509</v>
      </c>
      <c r="B1507" s="58">
        <v>1509</v>
      </c>
      <c r="C1507" s="58" t="s">
        <v>2264</v>
      </c>
      <c r="D1507" s="58" t="s">
        <v>450</v>
      </c>
      <c r="E1507" s="58" t="s">
        <v>450</v>
      </c>
      <c r="F1507" s="58" t="s">
        <v>457</v>
      </c>
      <c r="G1507" s="58" t="s">
        <v>458</v>
      </c>
      <c r="H1507" s="58" t="s">
        <v>199</v>
      </c>
      <c r="I1507">
        <v>110000</v>
      </c>
      <c r="J1507">
        <v>110000</v>
      </c>
      <c r="K1507">
        <v>38000</v>
      </c>
      <c r="L1507" s="74">
        <v>8.2680000000000007</v>
      </c>
      <c r="M1507" s="85">
        <v>9</v>
      </c>
      <c r="N1507" s="74">
        <v>0.51</v>
      </c>
      <c r="O1507">
        <v>3</v>
      </c>
      <c r="P1507" s="84">
        <v>0.51</v>
      </c>
      <c r="Q1507" s="86">
        <v>4.2</v>
      </c>
      <c r="R1507" s="85">
        <v>4.2</v>
      </c>
      <c r="S1507" s="87">
        <v>1890770</v>
      </c>
      <c r="T1507" s="1">
        <v>7</v>
      </c>
      <c r="U1507" s="88">
        <v>450183.33333333331</v>
      </c>
      <c r="V1507" s="59">
        <v>2.2213172411239865</v>
      </c>
    </row>
    <row r="1508" spans="1:22">
      <c r="A1508" s="58">
        <v>1510</v>
      </c>
      <c r="B1508" s="58">
        <v>1510</v>
      </c>
      <c r="C1508" s="58" t="s">
        <v>2265</v>
      </c>
      <c r="D1508" s="58" t="s">
        <v>450</v>
      </c>
      <c r="E1508" s="58" t="s">
        <v>450</v>
      </c>
      <c r="F1508" s="58" t="s">
        <v>454</v>
      </c>
      <c r="G1508" s="58" t="s">
        <v>455</v>
      </c>
      <c r="H1508" s="58" t="s">
        <v>179</v>
      </c>
      <c r="I1508">
        <v>38000</v>
      </c>
      <c r="J1508">
        <v>38000</v>
      </c>
      <c r="K1508">
        <v>10000</v>
      </c>
      <c r="L1508" s="74">
        <v>12.407999999999999</v>
      </c>
      <c r="M1508" s="85">
        <v>13</v>
      </c>
      <c r="N1508" s="74">
        <v>0.16700000000000001</v>
      </c>
      <c r="O1508">
        <v>3</v>
      </c>
      <c r="P1508" s="84">
        <v>0.16700000000000001</v>
      </c>
      <c r="Q1508" s="86">
        <v>4.2</v>
      </c>
      <c r="R1508" s="85">
        <v>4.2</v>
      </c>
      <c r="S1508" s="87">
        <v>1545240</v>
      </c>
      <c r="T1508" s="1">
        <v>1</v>
      </c>
      <c r="U1508" s="88">
        <v>367914.28571428568</v>
      </c>
      <c r="V1508" s="59">
        <v>2.7180243845616214</v>
      </c>
    </row>
    <row r="1509" spans="1:22">
      <c r="A1509" s="58">
        <v>1511</v>
      </c>
      <c r="B1509" s="58">
        <v>1511</v>
      </c>
      <c r="C1509" s="58" t="s">
        <v>2266</v>
      </c>
      <c r="D1509" s="58" t="s">
        <v>450</v>
      </c>
      <c r="E1509" s="58" t="s">
        <v>450</v>
      </c>
      <c r="F1509" s="58" t="s">
        <v>454</v>
      </c>
      <c r="G1509" s="58" t="s">
        <v>455</v>
      </c>
      <c r="H1509" s="58" t="s">
        <v>179</v>
      </c>
      <c r="I1509">
        <v>38000</v>
      </c>
      <c r="J1509">
        <v>38000</v>
      </c>
      <c r="K1509">
        <v>10000</v>
      </c>
      <c r="L1509" s="74">
        <v>11.468999999999999</v>
      </c>
      <c r="M1509" s="85">
        <v>12</v>
      </c>
      <c r="N1509" s="74">
        <v>0.13300000000000001</v>
      </c>
      <c r="O1509">
        <v>3</v>
      </c>
      <c r="P1509" s="84">
        <v>0.13300000000000001</v>
      </c>
      <c r="Q1509" s="86">
        <v>4.2</v>
      </c>
      <c r="R1509" s="85">
        <v>4.2</v>
      </c>
      <c r="S1509" s="87">
        <v>1492540</v>
      </c>
      <c r="T1509" s="1">
        <v>1</v>
      </c>
      <c r="U1509" s="88">
        <v>355366.66666666663</v>
      </c>
      <c r="V1509" s="59">
        <v>2.8139949348091173</v>
      </c>
    </row>
    <row r="1510" spans="1:22">
      <c r="A1510" s="58">
        <v>1512</v>
      </c>
      <c r="B1510" s="58">
        <v>1512</v>
      </c>
      <c r="C1510" s="58" t="s">
        <v>2267</v>
      </c>
      <c r="D1510" s="58" t="s">
        <v>450</v>
      </c>
      <c r="E1510" s="58" t="s">
        <v>450</v>
      </c>
      <c r="F1510" s="58" t="s">
        <v>772</v>
      </c>
      <c r="G1510" s="58" t="s">
        <v>773</v>
      </c>
      <c r="H1510" s="58" t="s">
        <v>179</v>
      </c>
      <c r="I1510">
        <v>38000</v>
      </c>
      <c r="J1510">
        <v>38000</v>
      </c>
      <c r="K1510" s="58" t="s">
        <v>185</v>
      </c>
      <c r="L1510" s="74">
        <v>9.4359999999999999</v>
      </c>
      <c r="M1510" s="85">
        <v>10</v>
      </c>
      <c r="N1510" s="74">
        <v>0.217</v>
      </c>
      <c r="O1510">
        <v>3</v>
      </c>
      <c r="P1510" s="84">
        <v>0.217</v>
      </c>
      <c r="Q1510" s="86">
        <v>4.2</v>
      </c>
      <c r="R1510" s="85">
        <v>4.2</v>
      </c>
      <c r="S1510" s="87">
        <v>1387140</v>
      </c>
      <c r="T1510" s="1">
        <v>1</v>
      </c>
      <c r="U1510" s="88">
        <v>330271.42857142858</v>
      </c>
      <c r="V1510" s="59">
        <v>3.0278126216531858</v>
      </c>
    </row>
    <row r="1511" spans="1:22">
      <c r="A1511" s="58">
        <v>1513</v>
      </c>
      <c r="B1511" s="58">
        <v>1513</v>
      </c>
      <c r="C1511" s="58" t="s">
        <v>2268</v>
      </c>
      <c r="D1511" s="58" t="s">
        <v>450</v>
      </c>
      <c r="E1511" s="58" t="s">
        <v>450</v>
      </c>
      <c r="F1511" s="58" t="s">
        <v>782</v>
      </c>
      <c r="G1511" s="58" t="s">
        <v>783</v>
      </c>
      <c r="H1511" s="58" t="s">
        <v>199</v>
      </c>
      <c r="I1511">
        <v>110000</v>
      </c>
      <c r="J1511">
        <v>110000</v>
      </c>
      <c r="K1511">
        <v>38000</v>
      </c>
      <c r="L1511" s="74">
        <v>5.4480000000000004</v>
      </c>
      <c r="M1511" s="85">
        <v>6</v>
      </c>
      <c r="N1511" s="74">
        <v>0.28199999999999997</v>
      </c>
      <c r="O1511">
        <v>3</v>
      </c>
      <c r="P1511" s="84">
        <v>0.28199999999999997</v>
      </c>
      <c r="Q1511" s="86">
        <v>4.2</v>
      </c>
      <c r="R1511" s="85">
        <v>4.2</v>
      </c>
      <c r="S1511" s="87">
        <v>1732670</v>
      </c>
      <c r="T1511" s="1">
        <v>7</v>
      </c>
      <c r="U1511" s="88">
        <v>412540.47619047615</v>
      </c>
      <c r="V1511" s="59">
        <v>2.4240045709800482</v>
      </c>
    </row>
    <row r="1512" spans="1:22">
      <c r="A1512" s="58">
        <v>1514</v>
      </c>
      <c r="B1512" s="58">
        <v>1514</v>
      </c>
      <c r="C1512" s="58" t="s">
        <v>2269</v>
      </c>
      <c r="D1512" s="58" t="s">
        <v>450</v>
      </c>
      <c r="E1512" s="58" t="s">
        <v>450</v>
      </c>
      <c r="F1512" s="58" t="s">
        <v>457</v>
      </c>
      <c r="G1512" s="58" t="s">
        <v>458</v>
      </c>
      <c r="H1512" s="58" t="s">
        <v>199</v>
      </c>
      <c r="I1512">
        <v>110000</v>
      </c>
      <c r="J1512">
        <v>110000</v>
      </c>
      <c r="K1512">
        <v>38000</v>
      </c>
      <c r="L1512" s="74">
        <v>4.7549999999999999</v>
      </c>
      <c r="M1512" s="85">
        <v>5</v>
      </c>
      <c r="N1512" s="74">
        <v>0.16</v>
      </c>
      <c r="O1512">
        <v>3</v>
      </c>
      <c r="P1512" s="84">
        <v>0.16</v>
      </c>
      <c r="Q1512" s="86">
        <v>4.2</v>
      </c>
      <c r="R1512" s="85">
        <v>4.2</v>
      </c>
      <c r="S1512" s="87">
        <v>1679970</v>
      </c>
      <c r="T1512" s="1">
        <v>7</v>
      </c>
      <c r="U1512" s="88">
        <v>399992.8571428571</v>
      </c>
      <c r="V1512" s="59">
        <v>2.5000446436543511</v>
      </c>
    </row>
    <row r="1513" spans="1:22">
      <c r="A1513" s="58">
        <v>1515</v>
      </c>
      <c r="B1513" s="58">
        <v>1515</v>
      </c>
      <c r="C1513" s="58" t="s">
        <v>2270</v>
      </c>
      <c r="D1513" s="58" t="s">
        <v>215</v>
      </c>
      <c r="E1513" s="58" t="s">
        <v>775</v>
      </c>
      <c r="F1513" s="58" t="s">
        <v>776</v>
      </c>
      <c r="G1513" s="58" t="s">
        <v>777</v>
      </c>
      <c r="H1513" s="58" t="s">
        <v>179</v>
      </c>
      <c r="I1513">
        <v>38000</v>
      </c>
      <c r="J1513">
        <v>20000</v>
      </c>
      <c r="K1513">
        <v>38000</v>
      </c>
      <c r="L1513" s="74">
        <v>2.4319999999999999</v>
      </c>
      <c r="M1513" s="85">
        <v>3</v>
      </c>
      <c r="N1513" s="74">
        <v>0.21299999999999999</v>
      </c>
      <c r="O1513">
        <v>3</v>
      </c>
      <c r="P1513" s="84">
        <v>0.21299999999999999</v>
      </c>
      <c r="Q1513" s="86">
        <v>4.2</v>
      </c>
      <c r="R1513" s="85">
        <v>4.2</v>
      </c>
      <c r="S1513" s="87">
        <v>558600</v>
      </c>
      <c r="T1513" s="1">
        <v>4</v>
      </c>
      <c r="U1513" s="88">
        <v>133000</v>
      </c>
      <c r="V1513" s="59">
        <v>7.518796992481203</v>
      </c>
    </row>
    <row r="1514" spans="1:22">
      <c r="A1514" s="58">
        <v>1516</v>
      </c>
      <c r="B1514" s="58">
        <v>1516</v>
      </c>
      <c r="C1514" s="58" t="s">
        <v>2271</v>
      </c>
      <c r="D1514" s="58" t="s">
        <v>775</v>
      </c>
      <c r="E1514" s="58" t="s">
        <v>775</v>
      </c>
      <c r="F1514" s="58" t="s">
        <v>460</v>
      </c>
      <c r="G1514" s="58" t="s">
        <v>461</v>
      </c>
      <c r="H1514" s="58" t="s">
        <v>179</v>
      </c>
      <c r="I1514">
        <v>38000</v>
      </c>
      <c r="J1514">
        <v>38000</v>
      </c>
      <c r="K1514" s="58" t="s">
        <v>185</v>
      </c>
      <c r="L1514" s="74">
        <v>11.122</v>
      </c>
      <c r="M1514" s="85">
        <v>12</v>
      </c>
      <c r="N1514" s="74">
        <v>0.20699999999999999</v>
      </c>
      <c r="O1514">
        <v>3</v>
      </c>
      <c r="P1514" s="84">
        <v>0.20699999999999999</v>
      </c>
      <c r="Q1514" s="86">
        <v>4.2</v>
      </c>
      <c r="R1514" s="85">
        <v>4.2</v>
      </c>
      <c r="S1514" s="87">
        <v>1492540</v>
      </c>
      <c r="T1514" s="1">
        <v>1</v>
      </c>
      <c r="U1514" s="88">
        <v>355366.66666666663</v>
      </c>
      <c r="V1514" s="59">
        <v>2.8139949348091173</v>
      </c>
    </row>
    <row r="1515" spans="1:22">
      <c r="A1515" s="58">
        <v>1517</v>
      </c>
      <c r="B1515" s="58">
        <v>1517</v>
      </c>
      <c r="C1515" s="58" t="s">
        <v>2272</v>
      </c>
      <c r="D1515" s="58" t="s">
        <v>410</v>
      </c>
      <c r="E1515" s="58" t="s">
        <v>775</v>
      </c>
      <c r="F1515" s="58" t="s">
        <v>466</v>
      </c>
      <c r="G1515" s="58" t="s">
        <v>467</v>
      </c>
      <c r="H1515" s="58" t="s">
        <v>179</v>
      </c>
      <c r="I1515">
        <v>38000</v>
      </c>
      <c r="J1515">
        <v>38000</v>
      </c>
      <c r="K1515" s="58" t="s">
        <v>185</v>
      </c>
      <c r="L1515" s="74">
        <v>10.536</v>
      </c>
      <c r="M1515" s="85">
        <v>11</v>
      </c>
      <c r="N1515" s="74">
        <v>0.186</v>
      </c>
      <c r="O1515">
        <v>3</v>
      </c>
      <c r="P1515" s="84">
        <v>0.186</v>
      </c>
      <c r="Q1515" s="86">
        <v>4.2</v>
      </c>
      <c r="R1515" s="85">
        <v>4.2</v>
      </c>
      <c r="S1515" s="87">
        <v>1439840</v>
      </c>
      <c r="T1515" s="1">
        <v>1</v>
      </c>
      <c r="U1515" s="88">
        <v>342819.04761904763</v>
      </c>
      <c r="V1515" s="59">
        <v>2.9169907767529724</v>
      </c>
    </row>
    <row r="1516" spans="1:22">
      <c r="A1516" s="58">
        <v>1518</v>
      </c>
      <c r="B1516" s="58">
        <v>1518</v>
      </c>
      <c r="C1516" s="58" t="s">
        <v>2273</v>
      </c>
      <c r="D1516" s="58" t="s">
        <v>410</v>
      </c>
      <c r="E1516" s="58" t="s">
        <v>410</v>
      </c>
      <c r="F1516" s="58" t="s">
        <v>463</v>
      </c>
      <c r="G1516" s="58" t="s">
        <v>464</v>
      </c>
      <c r="H1516" s="58" t="s">
        <v>179</v>
      </c>
      <c r="I1516">
        <v>38000</v>
      </c>
      <c r="J1516">
        <v>38000</v>
      </c>
      <c r="K1516">
        <v>10000</v>
      </c>
      <c r="L1516" s="74">
        <v>4.593</v>
      </c>
      <c r="M1516" s="85">
        <v>5</v>
      </c>
      <c r="N1516" s="74">
        <v>0.439</v>
      </c>
      <c r="O1516">
        <v>3</v>
      </c>
      <c r="P1516" s="84">
        <v>0.439</v>
      </c>
      <c r="Q1516" s="86">
        <v>4.2</v>
      </c>
      <c r="R1516" s="85">
        <v>4.2</v>
      </c>
      <c r="S1516" s="87">
        <v>699140</v>
      </c>
      <c r="T1516" s="1">
        <v>4</v>
      </c>
      <c r="U1516" s="88">
        <v>166461.90476190476</v>
      </c>
      <c r="V1516" s="59">
        <v>6.0073804960379897</v>
      </c>
    </row>
    <row r="1517" spans="1:22">
      <c r="A1517" s="58">
        <v>1519</v>
      </c>
      <c r="B1517" s="58">
        <v>1519</v>
      </c>
      <c r="C1517" s="58" t="s">
        <v>2274</v>
      </c>
      <c r="D1517" s="58" t="s">
        <v>410</v>
      </c>
      <c r="E1517" s="58" t="s">
        <v>410</v>
      </c>
      <c r="F1517" s="58" t="s">
        <v>460</v>
      </c>
      <c r="G1517" s="58" t="s">
        <v>461</v>
      </c>
      <c r="H1517" s="58" t="s">
        <v>179</v>
      </c>
      <c r="I1517">
        <v>38000</v>
      </c>
      <c r="J1517">
        <v>38000</v>
      </c>
      <c r="K1517" s="58" t="s">
        <v>185</v>
      </c>
      <c r="L1517" s="74">
        <v>9.7530000000000001</v>
      </c>
      <c r="M1517" s="85">
        <v>10</v>
      </c>
      <c r="N1517" s="74">
        <v>0.20599999999999999</v>
      </c>
      <c r="O1517">
        <v>3</v>
      </c>
      <c r="P1517" s="84">
        <v>0.20599999999999999</v>
      </c>
      <c r="Q1517" s="86">
        <v>4.2</v>
      </c>
      <c r="R1517" s="85">
        <v>4.2</v>
      </c>
      <c r="S1517" s="87">
        <v>1387140</v>
      </c>
      <c r="T1517" s="1">
        <v>1</v>
      </c>
      <c r="U1517" s="88">
        <v>330271.42857142858</v>
      </c>
      <c r="V1517" s="59">
        <v>3.0278126216531858</v>
      </c>
    </row>
    <row r="1518" spans="1:22">
      <c r="A1518" s="58">
        <v>1520</v>
      </c>
      <c r="B1518" s="58">
        <v>1520</v>
      </c>
      <c r="C1518" s="58" t="s">
        <v>2275</v>
      </c>
      <c r="D1518" s="58" t="s">
        <v>215</v>
      </c>
      <c r="E1518" s="58" t="s">
        <v>215</v>
      </c>
      <c r="F1518" s="58" t="s">
        <v>1644</v>
      </c>
      <c r="G1518" s="58" t="s">
        <v>1645</v>
      </c>
      <c r="H1518" s="58" t="s">
        <v>179</v>
      </c>
      <c r="I1518">
        <v>38000</v>
      </c>
      <c r="J1518">
        <v>38000</v>
      </c>
      <c r="K1518" s="58" t="s">
        <v>185</v>
      </c>
      <c r="L1518" s="74">
        <v>4.6909999999999998</v>
      </c>
      <c r="M1518" s="85">
        <v>5</v>
      </c>
      <c r="N1518" s="74">
        <v>0.35899999999999999</v>
      </c>
      <c r="O1518">
        <v>3</v>
      </c>
      <c r="P1518" s="84">
        <v>0.35899999999999999</v>
      </c>
      <c r="Q1518" s="86">
        <v>4.2</v>
      </c>
      <c r="R1518" s="85">
        <v>4.2</v>
      </c>
      <c r="S1518" s="87">
        <v>699140</v>
      </c>
      <c r="T1518" s="1">
        <v>4</v>
      </c>
      <c r="U1518" s="88">
        <v>166461.90476190476</v>
      </c>
      <c r="V1518" s="59">
        <v>6.0073804960379897</v>
      </c>
    </row>
    <row r="1519" spans="1:22">
      <c r="A1519" s="58">
        <v>1521</v>
      </c>
      <c r="B1519" s="58">
        <v>1521</v>
      </c>
      <c r="C1519" s="58" t="s">
        <v>2276</v>
      </c>
      <c r="D1519" s="58" t="s">
        <v>215</v>
      </c>
      <c r="E1519" s="58" t="s">
        <v>215</v>
      </c>
      <c r="F1519" s="58" t="s">
        <v>1644</v>
      </c>
      <c r="G1519" s="58" t="s">
        <v>1645</v>
      </c>
      <c r="H1519" s="58" t="s">
        <v>179</v>
      </c>
      <c r="I1519">
        <v>38000</v>
      </c>
      <c r="J1519">
        <v>38000</v>
      </c>
      <c r="K1519" s="58" t="s">
        <v>185</v>
      </c>
      <c r="L1519" s="74">
        <v>3.8410000000000002</v>
      </c>
      <c r="M1519" s="85">
        <v>4</v>
      </c>
      <c r="N1519" s="74">
        <v>0.1</v>
      </c>
      <c r="O1519">
        <v>3</v>
      </c>
      <c r="P1519" s="84">
        <v>0.1</v>
      </c>
      <c r="Q1519" s="86">
        <v>4.2</v>
      </c>
      <c r="R1519" s="85">
        <v>4.2</v>
      </c>
      <c r="S1519" s="87">
        <v>628870</v>
      </c>
      <c r="T1519" s="1">
        <v>4</v>
      </c>
      <c r="U1519" s="88">
        <v>149730.95238095237</v>
      </c>
      <c r="V1519" s="59">
        <v>6.6786458250512828</v>
      </c>
    </row>
    <row r="1520" spans="1:22">
      <c r="A1520" s="58">
        <v>1522</v>
      </c>
      <c r="B1520" s="58">
        <v>1522</v>
      </c>
      <c r="C1520" s="58" t="s">
        <v>2277</v>
      </c>
      <c r="D1520" s="58" t="s">
        <v>380</v>
      </c>
      <c r="E1520" s="58" t="s">
        <v>380</v>
      </c>
      <c r="F1520" s="58" t="s">
        <v>469</v>
      </c>
      <c r="G1520" s="58" t="s">
        <v>470</v>
      </c>
      <c r="H1520" s="58" t="s">
        <v>179</v>
      </c>
      <c r="I1520">
        <v>38000</v>
      </c>
      <c r="J1520">
        <v>38000</v>
      </c>
      <c r="K1520" s="58" t="s">
        <v>185</v>
      </c>
      <c r="L1520" s="74">
        <v>8.9580000000000002</v>
      </c>
      <c r="M1520" s="85">
        <v>9</v>
      </c>
      <c r="N1520" s="74">
        <v>0.187</v>
      </c>
      <c r="O1520">
        <v>3</v>
      </c>
      <c r="P1520" s="84">
        <v>0.187</v>
      </c>
      <c r="Q1520" s="86">
        <v>4.2</v>
      </c>
      <c r="R1520" s="85">
        <v>4.2</v>
      </c>
      <c r="S1520" s="87">
        <v>1334440</v>
      </c>
      <c r="T1520" s="1">
        <v>1</v>
      </c>
      <c r="U1520" s="88">
        <v>317723.80952380953</v>
      </c>
      <c r="V1520" s="59">
        <v>3.1473876682353645</v>
      </c>
    </row>
    <row r="1521" spans="1:22">
      <c r="A1521" s="58">
        <v>1523</v>
      </c>
      <c r="B1521" s="58">
        <v>1523</v>
      </c>
      <c r="C1521" s="58" t="s">
        <v>2278</v>
      </c>
      <c r="D1521" s="58" t="s">
        <v>380</v>
      </c>
      <c r="E1521" s="58" t="s">
        <v>380</v>
      </c>
      <c r="F1521" s="58" t="s">
        <v>469</v>
      </c>
      <c r="G1521" s="58" t="s">
        <v>470</v>
      </c>
      <c r="H1521" s="58" t="s">
        <v>179</v>
      </c>
      <c r="I1521">
        <v>38000</v>
      </c>
      <c r="J1521">
        <v>38000</v>
      </c>
      <c r="K1521" s="58" t="s">
        <v>185</v>
      </c>
      <c r="L1521" s="74">
        <v>8.859</v>
      </c>
      <c r="M1521" s="85">
        <v>9</v>
      </c>
      <c r="N1521" s="74">
        <v>0.11600000000000001</v>
      </c>
      <c r="O1521">
        <v>3</v>
      </c>
      <c r="P1521" s="84">
        <v>0.11600000000000001</v>
      </c>
      <c r="Q1521" s="86">
        <v>4.2</v>
      </c>
      <c r="R1521" s="85">
        <v>4.2</v>
      </c>
      <c r="S1521" s="87">
        <v>1334440</v>
      </c>
      <c r="T1521" s="1">
        <v>1</v>
      </c>
      <c r="U1521" s="88">
        <v>317723.80952380953</v>
      </c>
      <c r="V1521" s="59">
        <v>3.1473876682353645</v>
      </c>
    </row>
    <row r="1522" spans="1:22">
      <c r="A1522" s="58">
        <v>1524</v>
      </c>
      <c r="B1522" s="58">
        <v>1524</v>
      </c>
      <c r="C1522" s="58" t="s">
        <v>2279</v>
      </c>
      <c r="D1522" s="58" t="s">
        <v>384</v>
      </c>
      <c r="E1522" s="58" t="s">
        <v>384</v>
      </c>
      <c r="F1522" s="58" t="s">
        <v>469</v>
      </c>
      <c r="G1522" s="58" t="s">
        <v>470</v>
      </c>
      <c r="H1522" s="58" t="s">
        <v>179</v>
      </c>
      <c r="I1522">
        <v>38000</v>
      </c>
      <c r="J1522">
        <v>38000</v>
      </c>
      <c r="K1522" s="58" t="s">
        <v>185</v>
      </c>
      <c r="L1522" s="74">
        <v>9.9130000000000003</v>
      </c>
      <c r="M1522" s="85">
        <v>10</v>
      </c>
      <c r="N1522" s="74">
        <v>0.115</v>
      </c>
      <c r="O1522">
        <v>3</v>
      </c>
      <c r="P1522" s="84">
        <v>0.115</v>
      </c>
      <c r="Q1522" s="86">
        <v>4.2</v>
      </c>
      <c r="R1522" s="85">
        <v>4.2</v>
      </c>
      <c r="S1522" s="87">
        <v>1387140</v>
      </c>
      <c r="T1522" s="1">
        <v>1</v>
      </c>
      <c r="U1522" s="88">
        <v>330271.42857142858</v>
      </c>
      <c r="V1522" s="59">
        <v>3.0278126216531858</v>
      </c>
    </row>
    <row r="1523" spans="1:22">
      <c r="A1523" s="58">
        <v>1525</v>
      </c>
      <c r="B1523" s="58">
        <v>1525</v>
      </c>
      <c r="C1523" s="58" t="s">
        <v>2280</v>
      </c>
      <c r="D1523" s="58" t="s">
        <v>410</v>
      </c>
      <c r="E1523" s="58" t="s">
        <v>410</v>
      </c>
      <c r="F1523" s="58" t="s">
        <v>1143</v>
      </c>
      <c r="G1523" s="58" t="s">
        <v>1144</v>
      </c>
      <c r="H1523" s="58" t="s">
        <v>179</v>
      </c>
      <c r="I1523">
        <v>38000</v>
      </c>
      <c r="J1523" s="58" t="s">
        <v>185</v>
      </c>
      <c r="K1523">
        <v>38000</v>
      </c>
      <c r="L1523" s="74">
        <v>1.806</v>
      </c>
      <c r="M1523" s="85">
        <v>2</v>
      </c>
      <c r="N1523" s="74">
        <v>0.182</v>
      </c>
      <c r="O1523">
        <v>3</v>
      </c>
      <c r="P1523" s="84">
        <v>0.182</v>
      </c>
      <c r="Q1523" s="86">
        <v>4.2</v>
      </c>
      <c r="R1523" s="85">
        <v>4.2</v>
      </c>
      <c r="S1523" s="87">
        <v>488330</v>
      </c>
      <c r="T1523" s="1">
        <v>4</v>
      </c>
      <c r="U1523" s="88">
        <v>116269.04761904762</v>
      </c>
      <c r="V1523" s="59">
        <v>8.6007413019884087</v>
      </c>
    </row>
    <row r="1524" spans="1:22">
      <c r="A1524" s="58">
        <v>1526</v>
      </c>
      <c r="B1524" s="58">
        <v>1526</v>
      </c>
      <c r="C1524" s="58" t="s">
        <v>2281</v>
      </c>
      <c r="D1524" s="58" t="s">
        <v>410</v>
      </c>
      <c r="E1524" s="58" t="s">
        <v>410</v>
      </c>
      <c r="F1524" s="58" t="s">
        <v>1143</v>
      </c>
      <c r="G1524" s="58" t="s">
        <v>1144</v>
      </c>
      <c r="H1524" s="58" t="s">
        <v>179</v>
      </c>
      <c r="I1524">
        <v>38000</v>
      </c>
      <c r="J1524" s="58" t="s">
        <v>185</v>
      </c>
      <c r="K1524">
        <v>38000</v>
      </c>
      <c r="L1524" s="74">
        <v>2.8479999999999999</v>
      </c>
      <c r="M1524" s="85">
        <v>3</v>
      </c>
      <c r="N1524" s="74">
        <v>0.497</v>
      </c>
      <c r="O1524">
        <v>3</v>
      </c>
      <c r="P1524" s="84">
        <v>0.497</v>
      </c>
      <c r="Q1524" s="86">
        <v>4.2</v>
      </c>
      <c r="R1524" s="85">
        <v>4.2</v>
      </c>
      <c r="S1524" s="87">
        <v>558600</v>
      </c>
      <c r="T1524" s="1">
        <v>4</v>
      </c>
      <c r="U1524" s="88">
        <v>133000</v>
      </c>
      <c r="V1524" s="59">
        <v>7.518796992481203</v>
      </c>
    </row>
    <row r="1525" spans="1:22">
      <c r="A1525" s="58">
        <v>1527</v>
      </c>
      <c r="B1525" s="58">
        <v>1527</v>
      </c>
      <c r="C1525" s="58" t="s">
        <v>2282</v>
      </c>
      <c r="D1525" s="58" t="s">
        <v>410</v>
      </c>
      <c r="E1525" s="58" t="s">
        <v>410</v>
      </c>
      <c r="F1525" s="58" t="s">
        <v>1143</v>
      </c>
      <c r="G1525" s="58" t="s">
        <v>1144</v>
      </c>
      <c r="H1525" s="58" t="s">
        <v>179</v>
      </c>
      <c r="I1525">
        <v>38000</v>
      </c>
      <c r="J1525" s="58" t="s">
        <v>185</v>
      </c>
      <c r="K1525">
        <v>38000</v>
      </c>
      <c r="L1525" s="74">
        <v>2.9289999999999998</v>
      </c>
      <c r="M1525" s="85">
        <v>3</v>
      </c>
      <c r="N1525" s="74">
        <v>0.109</v>
      </c>
      <c r="O1525">
        <v>3</v>
      </c>
      <c r="P1525" s="84">
        <v>0.109</v>
      </c>
      <c r="Q1525" s="86">
        <v>4.2</v>
      </c>
      <c r="R1525" s="85">
        <v>4.2</v>
      </c>
      <c r="S1525" s="87">
        <v>558600</v>
      </c>
      <c r="T1525" s="1">
        <v>4</v>
      </c>
      <c r="U1525" s="88">
        <v>133000</v>
      </c>
      <c r="V1525" s="59">
        <v>7.518796992481203</v>
      </c>
    </row>
    <row r="1526" spans="1:22">
      <c r="A1526" s="58">
        <v>1528</v>
      </c>
      <c r="B1526" s="58">
        <v>1528</v>
      </c>
      <c r="C1526" s="58" t="s">
        <v>2283</v>
      </c>
      <c r="D1526" s="58" t="s">
        <v>197</v>
      </c>
      <c r="E1526" s="58" t="s">
        <v>197</v>
      </c>
      <c r="F1526" s="58" t="s">
        <v>2284</v>
      </c>
      <c r="G1526" s="58" t="s">
        <v>2285</v>
      </c>
      <c r="H1526" s="58" t="s">
        <v>179</v>
      </c>
      <c r="I1526">
        <v>38000</v>
      </c>
      <c r="J1526">
        <v>38000</v>
      </c>
      <c r="K1526">
        <v>10000</v>
      </c>
      <c r="L1526" s="74">
        <v>2.6520000000000001</v>
      </c>
      <c r="M1526" s="85">
        <v>3</v>
      </c>
      <c r="N1526" s="74">
        <v>0.55300000000000005</v>
      </c>
      <c r="O1526">
        <v>3</v>
      </c>
      <c r="P1526" s="84">
        <v>0.55300000000000005</v>
      </c>
      <c r="Q1526" s="86">
        <v>4.2</v>
      </c>
      <c r="R1526" s="85">
        <v>4.2</v>
      </c>
      <c r="S1526" s="87">
        <v>558600</v>
      </c>
      <c r="T1526" s="1">
        <v>4</v>
      </c>
      <c r="U1526" s="88">
        <v>133000</v>
      </c>
      <c r="V1526" s="59">
        <v>7.518796992481203</v>
      </c>
    </row>
    <row r="1527" spans="1:22">
      <c r="A1527" s="58">
        <v>1529</v>
      </c>
      <c r="B1527" s="58">
        <v>1529</v>
      </c>
      <c r="C1527" s="58" t="s">
        <v>2286</v>
      </c>
      <c r="D1527" s="58" t="s">
        <v>410</v>
      </c>
      <c r="E1527" s="58" t="s">
        <v>410</v>
      </c>
      <c r="F1527" s="58" t="s">
        <v>1850</v>
      </c>
      <c r="G1527" s="58" t="s">
        <v>1851</v>
      </c>
      <c r="H1527" s="58" t="s">
        <v>199</v>
      </c>
      <c r="I1527">
        <v>110000</v>
      </c>
      <c r="J1527">
        <v>110000</v>
      </c>
      <c r="K1527">
        <v>38000</v>
      </c>
      <c r="L1527" s="74">
        <v>3.5950000000000002</v>
      </c>
      <c r="M1527" s="85">
        <v>4</v>
      </c>
      <c r="N1527" s="74">
        <v>0.41399999999999998</v>
      </c>
      <c r="O1527">
        <v>3</v>
      </c>
      <c r="P1527" s="84">
        <v>0.41399999999999998</v>
      </c>
      <c r="Q1527" s="86">
        <v>4.2</v>
      </c>
      <c r="R1527" s="85">
        <v>4.2</v>
      </c>
      <c r="S1527" s="87">
        <v>1627270</v>
      </c>
      <c r="T1527" s="1">
        <v>7</v>
      </c>
      <c r="U1527" s="88">
        <v>387445.23809523811</v>
      </c>
      <c r="V1527" s="59">
        <v>2.5810099123071155</v>
      </c>
    </row>
    <row r="1528" spans="1:22">
      <c r="A1528" s="58">
        <v>1530</v>
      </c>
      <c r="B1528" s="58">
        <v>1530</v>
      </c>
      <c r="C1528" s="58" t="s">
        <v>2287</v>
      </c>
      <c r="D1528" s="58" t="s">
        <v>489</v>
      </c>
      <c r="E1528" s="58" t="s">
        <v>489</v>
      </c>
      <c r="F1528" s="58" t="s">
        <v>1140</v>
      </c>
      <c r="G1528" s="58" t="s">
        <v>1141</v>
      </c>
      <c r="H1528" s="58" t="s">
        <v>179</v>
      </c>
      <c r="I1528">
        <v>38000</v>
      </c>
      <c r="J1528">
        <v>38000</v>
      </c>
      <c r="K1528" s="58" t="s">
        <v>185</v>
      </c>
      <c r="L1528" s="74">
        <v>8.6359999999999992</v>
      </c>
      <c r="M1528" s="85">
        <v>9</v>
      </c>
      <c r="N1528" s="74">
        <v>0.11700000000000001</v>
      </c>
      <c r="O1528">
        <v>3</v>
      </c>
      <c r="P1528" s="84">
        <v>0.11700000000000001</v>
      </c>
      <c r="Q1528" s="86">
        <v>4.2</v>
      </c>
      <c r="R1528" s="85">
        <v>4.2</v>
      </c>
      <c r="S1528" s="87">
        <v>1334440</v>
      </c>
      <c r="T1528" s="1">
        <v>1</v>
      </c>
      <c r="U1528" s="88">
        <v>317723.80952380953</v>
      </c>
      <c r="V1528" s="59">
        <v>3.1473876682353645</v>
      </c>
    </row>
    <row r="1529" spans="1:22">
      <c r="A1529" s="58">
        <v>1531</v>
      </c>
      <c r="B1529" s="58">
        <v>1531</v>
      </c>
      <c r="C1529" s="58" t="s">
        <v>2288</v>
      </c>
      <c r="D1529" s="58" t="s">
        <v>410</v>
      </c>
      <c r="E1529" s="58" t="s">
        <v>410</v>
      </c>
      <c r="F1529" s="58" t="s">
        <v>1654</v>
      </c>
      <c r="G1529" s="58" t="s">
        <v>1655</v>
      </c>
      <c r="H1529" s="58" t="s">
        <v>199</v>
      </c>
      <c r="I1529">
        <v>110000</v>
      </c>
      <c r="J1529">
        <v>110000</v>
      </c>
      <c r="K1529">
        <v>38000</v>
      </c>
      <c r="L1529" s="74">
        <v>5.1349999999999998</v>
      </c>
      <c r="M1529" s="85">
        <v>6</v>
      </c>
      <c r="N1529" s="74">
        <v>0.30299999999999999</v>
      </c>
      <c r="O1529">
        <v>3</v>
      </c>
      <c r="P1529" s="84">
        <v>0.30299999999999999</v>
      </c>
      <c r="Q1529" s="86">
        <v>4.2</v>
      </c>
      <c r="R1529" s="85">
        <v>4.2</v>
      </c>
      <c r="S1529" s="87">
        <v>1732670</v>
      </c>
      <c r="T1529" s="1">
        <v>7</v>
      </c>
      <c r="U1529" s="88">
        <v>412540.47619047615</v>
      </c>
      <c r="V1529" s="59">
        <v>2.4240045709800482</v>
      </c>
    </row>
    <row r="1530" spans="1:22">
      <c r="A1530" s="58">
        <v>1532</v>
      </c>
      <c r="B1530" s="58">
        <v>1532</v>
      </c>
      <c r="C1530" s="58" t="s">
        <v>2289</v>
      </c>
      <c r="D1530" s="58" t="s">
        <v>410</v>
      </c>
      <c r="E1530" s="58" t="s">
        <v>410</v>
      </c>
      <c r="F1530" s="58" t="s">
        <v>1654</v>
      </c>
      <c r="G1530" s="58" t="s">
        <v>1655</v>
      </c>
      <c r="H1530" s="58" t="s">
        <v>199</v>
      </c>
      <c r="I1530">
        <v>110000</v>
      </c>
      <c r="J1530">
        <v>110000</v>
      </c>
      <c r="K1530">
        <v>38000</v>
      </c>
      <c r="L1530" s="74">
        <v>9.3629999999999995</v>
      </c>
      <c r="M1530" s="85">
        <v>10</v>
      </c>
      <c r="N1530" s="74">
        <v>0.14299999999999999</v>
      </c>
      <c r="O1530">
        <v>3</v>
      </c>
      <c r="P1530" s="84">
        <v>0.14299999999999999</v>
      </c>
      <c r="Q1530" s="86">
        <v>4.2</v>
      </c>
      <c r="R1530" s="85">
        <v>4.2</v>
      </c>
      <c r="S1530" s="87">
        <v>1943470</v>
      </c>
      <c r="T1530" s="1">
        <v>7</v>
      </c>
      <c r="U1530" s="88">
        <v>462730.95238095237</v>
      </c>
      <c r="V1530" s="59">
        <v>2.1610830113148132</v>
      </c>
    </row>
    <row r="1531" spans="1:22">
      <c r="A1531" s="58">
        <v>1533</v>
      </c>
      <c r="B1531" s="58">
        <v>1533</v>
      </c>
      <c r="C1531" s="58" t="s">
        <v>2290</v>
      </c>
      <c r="D1531" s="58" t="s">
        <v>410</v>
      </c>
      <c r="E1531" s="58" t="s">
        <v>410</v>
      </c>
      <c r="F1531" s="58" t="s">
        <v>1654</v>
      </c>
      <c r="G1531" s="58" t="s">
        <v>1655</v>
      </c>
      <c r="H1531" s="58" t="s">
        <v>199</v>
      </c>
      <c r="I1531">
        <v>110000</v>
      </c>
      <c r="J1531">
        <v>110000</v>
      </c>
      <c r="K1531">
        <v>38000</v>
      </c>
      <c r="L1531" s="74">
        <v>10.211</v>
      </c>
      <c r="M1531" s="85">
        <v>11</v>
      </c>
      <c r="N1531" s="74">
        <v>0.127</v>
      </c>
      <c r="O1531">
        <v>3</v>
      </c>
      <c r="P1531" s="84">
        <v>0.127</v>
      </c>
      <c r="Q1531" s="86">
        <v>4.2</v>
      </c>
      <c r="R1531" s="85">
        <v>4.2</v>
      </c>
      <c r="S1531" s="87">
        <v>1996170</v>
      </c>
      <c r="T1531" s="1">
        <v>7</v>
      </c>
      <c r="U1531" s="88">
        <v>475278.57142857142</v>
      </c>
      <c r="V1531" s="59">
        <v>2.1040292159485414</v>
      </c>
    </row>
    <row r="1532" spans="1:22">
      <c r="A1532" s="58">
        <v>1534</v>
      </c>
      <c r="B1532" s="58">
        <v>1534</v>
      </c>
      <c r="C1532" s="58" t="s">
        <v>2291</v>
      </c>
      <c r="D1532" s="58" t="s">
        <v>410</v>
      </c>
      <c r="E1532" s="58" t="s">
        <v>410</v>
      </c>
      <c r="F1532" s="58" t="s">
        <v>1866</v>
      </c>
      <c r="G1532" s="58" t="s">
        <v>1867</v>
      </c>
      <c r="H1532" s="58" t="s">
        <v>179</v>
      </c>
      <c r="I1532">
        <v>38000</v>
      </c>
      <c r="J1532">
        <v>38000</v>
      </c>
      <c r="K1532" s="58" t="s">
        <v>185</v>
      </c>
      <c r="L1532" s="74">
        <v>8.2789999999999999</v>
      </c>
      <c r="M1532" s="85">
        <v>9</v>
      </c>
      <c r="N1532" s="74">
        <v>0.53500000000000003</v>
      </c>
      <c r="O1532">
        <v>3</v>
      </c>
      <c r="P1532" s="84">
        <v>0.53500000000000003</v>
      </c>
      <c r="Q1532" s="86">
        <v>4.2</v>
      </c>
      <c r="R1532" s="85">
        <v>4.2</v>
      </c>
      <c r="S1532" s="87">
        <v>1334440</v>
      </c>
      <c r="T1532" s="1">
        <v>1</v>
      </c>
      <c r="U1532" s="88">
        <v>317723.80952380953</v>
      </c>
      <c r="V1532" s="59">
        <v>3.1473876682353645</v>
      </c>
    </row>
    <row r="1533" spans="1:22">
      <c r="A1533" s="58">
        <v>1535</v>
      </c>
      <c r="B1533" s="58">
        <v>1535</v>
      </c>
      <c r="C1533" s="58" t="s">
        <v>2292</v>
      </c>
      <c r="D1533" s="58" t="s">
        <v>1169</v>
      </c>
      <c r="E1533" s="58" t="s">
        <v>1169</v>
      </c>
      <c r="F1533" s="58" t="s">
        <v>1976</v>
      </c>
      <c r="G1533" s="58" t="s">
        <v>1977</v>
      </c>
      <c r="H1533" s="58" t="s">
        <v>179</v>
      </c>
      <c r="I1533">
        <v>38000</v>
      </c>
      <c r="J1533">
        <v>38000</v>
      </c>
      <c r="K1533" s="58" t="s">
        <v>185</v>
      </c>
      <c r="L1533" s="74">
        <v>9.5960000000000001</v>
      </c>
      <c r="M1533" s="85">
        <v>10</v>
      </c>
      <c r="N1533" s="74">
        <v>0.26600000000000001</v>
      </c>
      <c r="O1533">
        <v>3</v>
      </c>
      <c r="P1533" s="84">
        <v>0.26600000000000001</v>
      </c>
      <c r="Q1533" s="86">
        <v>4.2</v>
      </c>
      <c r="R1533" s="85">
        <v>4.2</v>
      </c>
      <c r="S1533" s="87">
        <v>1387140</v>
      </c>
      <c r="T1533" s="1">
        <v>1</v>
      </c>
      <c r="U1533" s="88">
        <v>330271.42857142858</v>
      </c>
      <c r="V1533" s="59">
        <v>3.0278126216531858</v>
      </c>
    </row>
    <row r="1534" spans="1:22">
      <c r="A1534" s="58">
        <v>1536</v>
      </c>
      <c r="B1534" s="58">
        <v>1536</v>
      </c>
      <c r="C1534" s="58" t="s">
        <v>2293</v>
      </c>
      <c r="D1534" s="58" t="s">
        <v>1169</v>
      </c>
      <c r="E1534" s="58" t="s">
        <v>1169</v>
      </c>
      <c r="F1534" s="58" t="s">
        <v>1976</v>
      </c>
      <c r="G1534" s="58" t="s">
        <v>1977</v>
      </c>
      <c r="H1534" s="58" t="s">
        <v>179</v>
      </c>
      <c r="I1534">
        <v>38000</v>
      </c>
      <c r="J1534">
        <v>38000</v>
      </c>
      <c r="K1534" s="58" t="s">
        <v>185</v>
      </c>
      <c r="L1534" s="74">
        <v>11.076000000000001</v>
      </c>
      <c r="M1534" s="85">
        <v>12</v>
      </c>
      <c r="N1534" s="74">
        <v>0.32100000000000001</v>
      </c>
      <c r="O1534">
        <v>3</v>
      </c>
      <c r="P1534" s="84">
        <v>0.32100000000000001</v>
      </c>
      <c r="Q1534" s="86">
        <v>4.2</v>
      </c>
      <c r="R1534" s="85">
        <v>4.2</v>
      </c>
      <c r="S1534" s="87">
        <v>1492540</v>
      </c>
      <c r="T1534" s="1">
        <v>1</v>
      </c>
      <c r="U1534" s="88">
        <v>355366.66666666663</v>
      </c>
      <c r="V1534" s="59">
        <v>2.8139949348091173</v>
      </c>
    </row>
    <row r="1535" spans="1:22">
      <c r="A1535" s="58">
        <v>1537</v>
      </c>
      <c r="B1535" s="58">
        <v>1537</v>
      </c>
      <c r="C1535" s="58" t="s">
        <v>2294</v>
      </c>
      <c r="D1535" s="58" t="s">
        <v>882</v>
      </c>
      <c r="E1535" s="58" t="s">
        <v>882</v>
      </c>
      <c r="F1535" s="58" t="s">
        <v>1149</v>
      </c>
      <c r="G1535" s="58" t="s">
        <v>1150</v>
      </c>
      <c r="H1535" s="58" t="s">
        <v>179</v>
      </c>
      <c r="I1535">
        <v>38000</v>
      </c>
      <c r="J1535">
        <v>38000</v>
      </c>
      <c r="K1535" s="58" t="s">
        <v>185</v>
      </c>
      <c r="L1535" s="74">
        <v>11.522</v>
      </c>
      <c r="M1535" s="85">
        <v>12</v>
      </c>
      <c r="N1535" s="74">
        <v>0.10299999999999999</v>
      </c>
      <c r="O1535">
        <v>3</v>
      </c>
      <c r="P1535" s="84">
        <v>0.10299999999999999</v>
      </c>
      <c r="Q1535" s="86">
        <v>4.2</v>
      </c>
      <c r="R1535" s="85">
        <v>4.2</v>
      </c>
      <c r="S1535" s="87">
        <v>1492540</v>
      </c>
      <c r="T1535" s="1">
        <v>1</v>
      </c>
      <c r="U1535" s="88">
        <v>355366.66666666663</v>
      </c>
      <c r="V1535" s="59">
        <v>2.8139949348091173</v>
      </c>
    </row>
    <row r="1536" spans="1:22">
      <c r="A1536" s="58">
        <v>1538</v>
      </c>
      <c r="B1536" s="58">
        <v>1538</v>
      </c>
      <c r="C1536" s="58" t="s">
        <v>2295</v>
      </c>
      <c r="D1536" s="58" t="s">
        <v>182</v>
      </c>
      <c r="E1536" s="58" t="s">
        <v>182</v>
      </c>
      <c r="F1536" s="58" t="s">
        <v>1839</v>
      </c>
      <c r="G1536" s="58" t="s">
        <v>1840</v>
      </c>
      <c r="H1536" s="58" t="s">
        <v>179</v>
      </c>
      <c r="I1536">
        <v>38000</v>
      </c>
      <c r="J1536">
        <v>38000</v>
      </c>
      <c r="K1536" s="58" t="s">
        <v>185</v>
      </c>
      <c r="L1536" s="74">
        <v>10.087999999999999</v>
      </c>
      <c r="M1536" s="85">
        <v>11</v>
      </c>
      <c r="N1536" s="74">
        <v>0.115</v>
      </c>
      <c r="O1536">
        <v>3</v>
      </c>
      <c r="P1536" s="84">
        <v>0.115</v>
      </c>
      <c r="Q1536" s="86">
        <v>4.2</v>
      </c>
      <c r="R1536" s="85">
        <v>4.2</v>
      </c>
      <c r="S1536" s="87">
        <v>1439840</v>
      </c>
      <c r="T1536" s="1">
        <v>1</v>
      </c>
      <c r="U1536" s="88">
        <v>342819.04761904763</v>
      </c>
      <c r="V1536" s="59">
        <v>2.9169907767529724</v>
      </c>
    </row>
    <row r="1537" spans="1:22">
      <c r="A1537" s="58">
        <v>1539</v>
      </c>
      <c r="B1537" s="58">
        <v>1539</v>
      </c>
      <c r="C1537" s="58" t="s">
        <v>2296</v>
      </c>
      <c r="D1537" s="58" t="s">
        <v>182</v>
      </c>
      <c r="E1537" s="58" t="s">
        <v>182</v>
      </c>
      <c r="F1537" s="58" t="s">
        <v>1839</v>
      </c>
      <c r="G1537" s="58" t="s">
        <v>1840</v>
      </c>
      <c r="H1537" s="58" t="s">
        <v>179</v>
      </c>
      <c r="I1537">
        <v>38000</v>
      </c>
      <c r="J1537">
        <v>38000</v>
      </c>
      <c r="K1537" s="58" t="s">
        <v>185</v>
      </c>
      <c r="L1537" s="74">
        <v>7.87</v>
      </c>
      <c r="M1537" s="85">
        <v>8</v>
      </c>
      <c r="N1537" s="74">
        <v>0.43</v>
      </c>
      <c r="O1537">
        <v>3</v>
      </c>
      <c r="P1537" s="84">
        <v>0.43</v>
      </c>
      <c r="Q1537" s="86">
        <v>4.2</v>
      </c>
      <c r="R1537" s="85">
        <v>4.2</v>
      </c>
      <c r="S1537" s="87">
        <v>909950</v>
      </c>
      <c r="T1537" s="1">
        <v>4</v>
      </c>
      <c r="U1537" s="88">
        <v>216654.76190476189</v>
      </c>
      <c r="V1537" s="59">
        <v>4.6156382218803227</v>
      </c>
    </row>
    <row r="1538" spans="1:22">
      <c r="A1538" s="58">
        <v>1540</v>
      </c>
      <c r="B1538" s="58">
        <v>1540</v>
      </c>
      <c r="C1538" s="58" t="s">
        <v>2297</v>
      </c>
      <c r="D1538" s="58" t="s">
        <v>215</v>
      </c>
      <c r="E1538" s="58" t="s">
        <v>215</v>
      </c>
      <c r="F1538" s="58" t="s">
        <v>713</v>
      </c>
      <c r="G1538" s="58" t="s">
        <v>714</v>
      </c>
      <c r="H1538" s="58" t="s">
        <v>199</v>
      </c>
      <c r="I1538">
        <v>110000</v>
      </c>
      <c r="J1538" s="58" t="s">
        <v>185</v>
      </c>
      <c r="K1538">
        <v>110000</v>
      </c>
      <c r="L1538" s="74">
        <v>11.217000000000001</v>
      </c>
      <c r="M1538" s="85">
        <v>12</v>
      </c>
      <c r="N1538" s="74">
        <v>0.109</v>
      </c>
      <c r="O1538">
        <v>3</v>
      </c>
      <c r="P1538" s="84">
        <v>0.109</v>
      </c>
      <c r="Q1538" s="86">
        <v>4.2</v>
      </c>
      <c r="R1538" s="85">
        <v>4.2</v>
      </c>
      <c r="S1538" s="87">
        <v>2048870</v>
      </c>
      <c r="T1538" s="1">
        <v>7</v>
      </c>
      <c r="U1538" s="88">
        <v>487826.19047619047</v>
      </c>
      <c r="V1538" s="59">
        <v>2.0499104384367968</v>
      </c>
    </row>
    <row r="1539" spans="1:22">
      <c r="A1539" s="58">
        <v>1541</v>
      </c>
      <c r="B1539" s="58">
        <v>1541</v>
      </c>
      <c r="C1539" s="58" t="s">
        <v>2298</v>
      </c>
      <c r="D1539" s="58" t="s">
        <v>489</v>
      </c>
      <c r="E1539" s="58" t="s">
        <v>489</v>
      </c>
      <c r="F1539" s="58" t="s">
        <v>1664</v>
      </c>
      <c r="G1539" s="58" t="s">
        <v>1665</v>
      </c>
      <c r="H1539" s="58" t="s">
        <v>179</v>
      </c>
      <c r="I1539">
        <v>38000</v>
      </c>
      <c r="J1539">
        <v>38000</v>
      </c>
      <c r="K1539" s="58" t="s">
        <v>185</v>
      </c>
      <c r="L1539" s="74">
        <v>10.085000000000001</v>
      </c>
      <c r="M1539" s="85">
        <v>11</v>
      </c>
      <c r="N1539" s="74">
        <v>0.38800000000000001</v>
      </c>
      <c r="O1539">
        <v>3</v>
      </c>
      <c r="P1539" s="84">
        <v>0.38800000000000001</v>
      </c>
      <c r="Q1539" s="86">
        <v>4.2</v>
      </c>
      <c r="R1539" s="85">
        <v>4.2</v>
      </c>
      <c r="S1539" s="87">
        <v>1439840</v>
      </c>
      <c r="T1539" s="1">
        <v>1</v>
      </c>
      <c r="U1539" s="88">
        <v>342819.04761904763</v>
      </c>
      <c r="V1539" s="59">
        <v>2.9169907767529724</v>
      </c>
    </row>
    <row r="1540" spans="1:22">
      <c r="A1540" s="58">
        <v>1542</v>
      </c>
      <c r="B1540" s="58">
        <v>1542</v>
      </c>
      <c r="C1540" s="58" t="s">
        <v>2299</v>
      </c>
      <c r="D1540" s="58" t="s">
        <v>775</v>
      </c>
      <c r="E1540" s="58" t="s">
        <v>775</v>
      </c>
      <c r="F1540" s="58" t="s">
        <v>1107</v>
      </c>
      <c r="G1540" s="58" t="s">
        <v>1108</v>
      </c>
      <c r="H1540" s="58" t="s">
        <v>179</v>
      </c>
      <c r="I1540">
        <v>38000</v>
      </c>
      <c r="J1540">
        <v>38000</v>
      </c>
      <c r="K1540" s="58" t="s">
        <v>185</v>
      </c>
      <c r="L1540" s="74">
        <v>7.9219999999999997</v>
      </c>
      <c r="M1540" s="85">
        <v>8</v>
      </c>
      <c r="N1540" s="74">
        <v>0.255</v>
      </c>
      <c r="O1540">
        <v>3</v>
      </c>
      <c r="P1540" s="84">
        <v>0.255</v>
      </c>
      <c r="Q1540" s="86">
        <v>4.2</v>
      </c>
      <c r="R1540" s="85">
        <v>4.2</v>
      </c>
      <c r="S1540" s="87">
        <v>909950</v>
      </c>
      <c r="T1540" s="1">
        <v>4</v>
      </c>
      <c r="U1540" s="88">
        <v>216654.76190476189</v>
      </c>
      <c r="V1540" s="59">
        <v>4.6156382218803227</v>
      </c>
    </row>
    <row r="1541" spans="1:22">
      <c r="A1541" s="58">
        <v>1543</v>
      </c>
      <c r="B1541" s="58">
        <v>1543</v>
      </c>
      <c r="C1541" s="58" t="s">
        <v>2300</v>
      </c>
      <c r="D1541" s="58" t="s">
        <v>1169</v>
      </c>
      <c r="E1541" s="58" t="s">
        <v>1169</v>
      </c>
      <c r="F1541" s="58" t="s">
        <v>2301</v>
      </c>
      <c r="G1541" s="58" t="s">
        <v>2302</v>
      </c>
      <c r="H1541" s="58" t="s">
        <v>179</v>
      </c>
      <c r="I1541">
        <v>38000</v>
      </c>
      <c r="J1541">
        <v>38000</v>
      </c>
      <c r="K1541" s="58" t="s">
        <v>185</v>
      </c>
      <c r="L1541" s="74">
        <v>5.0190000000000001</v>
      </c>
      <c r="M1541" s="85">
        <v>6</v>
      </c>
      <c r="N1541" s="74">
        <v>0.29199999999999998</v>
      </c>
      <c r="O1541">
        <v>3</v>
      </c>
      <c r="P1541" s="84">
        <v>0.29199999999999998</v>
      </c>
      <c r="Q1541" s="86">
        <v>4.2</v>
      </c>
      <c r="R1541" s="85">
        <v>4.2</v>
      </c>
      <c r="S1541" s="87">
        <v>769410</v>
      </c>
      <c r="T1541" s="1">
        <v>4</v>
      </c>
      <c r="U1541" s="88">
        <v>183192.85714285713</v>
      </c>
      <c r="V1541" s="59">
        <v>5.4587281163488903</v>
      </c>
    </row>
    <row r="1542" spans="1:22">
      <c r="A1542" s="58">
        <v>1544</v>
      </c>
      <c r="B1542" s="58">
        <v>1544</v>
      </c>
      <c r="C1542" s="58" t="s">
        <v>2303</v>
      </c>
      <c r="D1542" s="58" t="s">
        <v>1811</v>
      </c>
      <c r="E1542" s="58" t="s">
        <v>1811</v>
      </c>
      <c r="F1542" s="58" t="s">
        <v>1812</v>
      </c>
      <c r="G1542" s="58" t="s">
        <v>1813</v>
      </c>
      <c r="H1542" s="58" t="s">
        <v>179</v>
      </c>
      <c r="I1542">
        <v>38000</v>
      </c>
      <c r="J1542">
        <v>38000</v>
      </c>
      <c r="K1542" s="58" t="s">
        <v>185</v>
      </c>
      <c r="L1542" s="74">
        <v>4.0970000000000004</v>
      </c>
      <c r="M1542" s="85">
        <v>5</v>
      </c>
      <c r="N1542" s="74">
        <v>0.41699999999999998</v>
      </c>
      <c r="O1542">
        <v>3</v>
      </c>
      <c r="P1542" s="84">
        <v>0.41699999999999998</v>
      </c>
      <c r="Q1542" s="86">
        <v>4.2</v>
      </c>
      <c r="R1542" s="85">
        <v>4.2</v>
      </c>
      <c r="S1542" s="87">
        <v>699140</v>
      </c>
      <c r="T1542" s="1">
        <v>4</v>
      </c>
      <c r="U1542" s="88">
        <v>166461.90476190476</v>
      </c>
      <c r="V1542" s="59">
        <v>6.0073804960379897</v>
      </c>
    </row>
    <row r="1543" spans="1:22">
      <c r="A1543" s="58">
        <v>1545</v>
      </c>
      <c r="B1543" s="58">
        <v>1545</v>
      </c>
      <c r="C1543" s="58" t="s">
        <v>2304</v>
      </c>
      <c r="D1543" s="58" t="s">
        <v>384</v>
      </c>
      <c r="E1543" s="58" t="s">
        <v>384</v>
      </c>
      <c r="F1543" s="58" t="s">
        <v>476</v>
      </c>
      <c r="G1543" s="58" t="s">
        <v>477</v>
      </c>
      <c r="H1543" s="58" t="s">
        <v>179</v>
      </c>
      <c r="I1543">
        <v>38000</v>
      </c>
      <c r="J1543">
        <v>20000</v>
      </c>
      <c r="K1543">
        <v>38000</v>
      </c>
      <c r="L1543" s="74">
        <v>7.4290000000000003</v>
      </c>
      <c r="M1543" s="85">
        <v>8</v>
      </c>
      <c r="N1543" s="74">
        <v>0.20499999999999999</v>
      </c>
      <c r="O1543">
        <v>3</v>
      </c>
      <c r="P1543" s="84">
        <v>0.20499999999999999</v>
      </c>
      <c r="Q1543" s="86">
        <v>4.2</v>
      </c>
      <c r="R1543" s="85">
        <v>4.2</v>
      </c>
      <c r="S1543" s="87">
        <v>909950</v>
      </c>
      <c r="T1543" s="1">
        <v>4</v>
      </c>
      <c r="U1543" s="88">
        <v>216654.76190476189</v>
      </c>
      <c r="V1543" s="59">
        <v>4.6156382218803227</v>
      </c>
    </row>
    <row r="1544" spans="1:22">
      <c r="A1544" s="58">
        <v>1546</v>
      </c>
      <c r="B1544" s="58">
        <v>1546</v>
      </c>
      <c r="C1544" s="58" t="s">
        <v>2305</v>
      </c>
      <c r="D1544" s="58" t="s">
        <v>215</v>
      </c>
      <c r="E1544" s="58" t="s">
        <v>215</v>
      </c>
      <c r="F1544" s="58" t="s">
        <v>1157</v>
      </c>
      <c r="G1544" s="58" t="s">
        <v>1158</v>
      </c>
      <c r="H1544" s="58" t="s">
        <v>199</v>
      </c>
      <c r="I1544">
        <v>110000</v>
      </c>
      <c r="J1544">
        <v>110000</v>
      </c>
      <c r="K1544">
        <v>38000</v>
      </c>
      <c r="L1544" s="74">
        <v>8.157</v>
      </c>
      <c r="M1544" s="85">
        <v>9</v>
      </c>
      <c r="N1544" s="74">
        <v>0.27900000000000003</v>
      </c>
      <c r="O1544">
        <v>3</v>
      </c>
      <c r="P1544" s="84">
        <v>0.27900000000000003</v>
      </c>
      <c r="Q1544" s="86">
        <v>4.2</v>
      </c>
      <c r="R1544" s="85">
        <v>4.2</v>
      </c>
      <c r="S1544" s="87">
        <v>1890770</v>
      </c>
      <c r="T1544" s="1">
        <v>7</v>
      </c>
      <c r="U1544" s="88">
        <v>450183.33333333331</v>
      </c>
      <c r="V1544" s="59">
        <v>2.2213172411239865</v>
      </c>
    </row>
    <row r="1545" spans="1:22">
      <c r="A1545" s="58">
        <v>1547</v>
      </c>
      <c r="B1545" s="58">
        <v>1547</v>
      </c>
      <c r="C1545" s="58" t="s">
        <v>2306</v>
      </c>
      <c r="D1545" s="58" t="s">
        <v>197</v>
      </c>
      <c r="E1545" s="58" t="s">
        <v>197</v>
      </c>
      <c r="F1545" s="58" t="s">
        <v>486</v>
      </c>
      <c r="G1545" s="58" t="s">
        <v>487</v>
      </c>
      <c r="H1545" s="58" t="s">
        <v>179</v>
      </c>
      <c r="I1545">
        <v>38000</v>
      </c>
      <c r="J1545">
        <v>38000</v>
      </c>
      <c r="K1545" s="58" t="s">
        <v>185</v>
      </c>
      <c r="L1545" s="74">
        <v>10.397</v>
      </c>
      <c r="M1545" s="85">
        <v>11</v>
      </c>
      <c r="N1545" s="74">
        <v>0.51500000000000001</v>
      </c>
      <c r="O1545">
        <v>3</v>
      </c>
      <c r="P1545" s="84">
        <v>0.51500000000000001</v>
      </c>
      <c r="Q1545" s="86">
        <v>4.2</v>
      </c>
      <c r="R1545" s="85">
        <v>4.2</v>
      </c>
      <c r="S1545" s="87">
        <v>1439840</v>
      </c>
      <c r="T1545" s="1">
        <v>1</v>
      </c>
      <c r="U1545" s="88">
        <v>342819.04761904763</v>
      </c>
      <c r="V1545" s="59">
        <v>2.9169907767529724</v>
      </c>
    </row>
    <row r="1546" spans="1:22">
      <c r="A1546" s="58">
        <v>1548</v>
      </c>
      <c r="B1546" s="58">
        <v>1548</v>
      </c>
      <c r="C1546" s="58" t="s">
        <v>2307</v>
      </c>
      <c r="D1546" s="58" t="s">
        <v>197</v>
      </c>
      <c r="E1546" s="58" t="s">
        <v>197</v>
      </c>
      <c r="F1546" s="58" t="s">
        <v>486</v>
      </c>
      <c r="G1546" s="58" t="s">
        <v>487</v>
      </c>
      <c r="H1546" s="58" t="s">
        <v>179</v>
      </c>
      <c r="I1546">
        <v>38000</v>
      </c>
      <c r="J1546">
        <v>38000</v>
      </c>
      <c r="K1546" s="58" t="s">
        <v>185</v>
      </c>
      <c r="L1546" s="74">
        <v>11.042</v>
      </c>
      <c r="M1546" s="85">
        <v>12</v>
      </c>
      <c r="N1546" s="74">
        <v>0.22</v>
      </c>
      <c r="O1546">
        <v>3</v>
      </c>
      <c r="P1546" s="84">
        <v>0.22</v>
      </c>
      <c r="Q1546" s="86">
        <v>4.2</v>
      </c>
      <c r="R1546" s="85">
        <v>4.2</v>
      </c>
      <c r="S1546" s="87">
        <v>1492540</v>
      </c>
      <c r="T1546" s="1">
        <v>1</v>
      </c>
      <c r="U1546" s="88">
        <v>355366.66666666663</v>
      </c>
      <c r="V1546" s="59">
        <v>2.8139949348091173</v>
      </c>
    </row>
    <row r="1547" spans="1:22">
      <c r="A1547" s="58">
        <v>1549</v>
      </c>
      <c r="B1547" s="58">
        <v>1549</v>
      </c>
      <c r="C1547" s="58" t="s">
        <v>2308</v>
      </c>
      <c r="D1547" s="58" t="s">
        <v>450</v>
      </c>
      <c r="E1547" s="58" t="s">
        <v>450</v>
      </c>
      <c r="F1547" s="58" t="s">
        <v>769</v>
      </c>
      <c r="G1547" s="58" t="s">
        <v>770</v>
      </c>
      <c r="H1547" s="58" t="s">
        <v>179</v>
      </c>
      <c r="I1547">
        <v>38000</v>
      </c>
      <c r="J1547" s="58" t="s">
        <v>185</v>
      </c>
      <c r="K1547">
        <v>38000</v>
      </c>
      <c r="L1547" s="74">
        <v>4.9969999999999999</v>
      </c>
      <c r="M1547" s="85">
        <v>5</v>
      </c>
      <c r="N1547" s="74">
        <v>0.14499999999999999</v>
      </c>
      <c r="O1547">
        <v>3</v>
      </c>
      <c r="P1547" s="84">
        <v>0.14499999999999999</v>
      </c>
      <c r="Q1547" s="86">
        <v>4.2</v>
      </c>
      <c r="R1547" s="85">
        <v>4.2</v>
      </c>
      <c r="S1547" s="87">
        <v>699140</v>
      </c>
      <c r="T1547" s="1">
        <v>4</v>
      </c>
      <c r="U1547" s="88">
        <v>166461.90476190476</v>
      </c>
      <c r="V1547" s="59">
        <v>6.0073804960379897</v>
      </c>
    </row>
    <row r="1548" spans="1:22">
      <c r="A1548" s="58">
        <v>1550</v>
      </c>
      <c r="B1548" s="58">
        <v>1550</v>
      </c>
      <c r="C1548" s="58" t="s">
        <v>2309</v>
      </c>
      <c r="D1548" s="58" t="s">
        <v>489</v>
      </c>
      <c r="E1548" s="58" t="s">
        <v>489</v>
      </c>
      <c r="F1548" s="58" t="s">
        <v>2310</v>
      </c>
      <c r="G1548" s="58" t="s">
        <v>2311</v>
      </c>
      <c r="H1548" s="58" t="s">
        <v>179</v>
      </c>
      <c r="I1548">
        <v>38000</v>
      </c>
      <c r="J1548">
        <v>38000</v>
      </c>
      <c r="K1548" s="58" t="s">
        <v>185</v>
      </c>
      <c r="L1548" s="74">
        <v>10.551</v>
      </c>
      <c r="M1548" s="85">
        <v>11</v>
      </c>
      <c r="N1548" s="74">
        <v>0.222</v>
      </c>
      <c r="O1548">
        <v>3</v>
      </c>
      <c r="P1548" s="84">
        <v>0.222</v>
      </c>
      <c r="Q1548" s="86">
        <v>4.2</v>
      </c>
      <c r="R1548" s="85">
        <v>4.2</v>
      </c>
      <c r="S1548" s="87">
        <v>1439840</v>
      </c>
      <c r="T1548" s="1">
        <v>1</v>
      </c>
      <c r="U1548" s="88">
        <v>342819.04761904763</v>
      </c>
      <c r="V1548" s="59">
        <v>2.9169907767529724</v>
      </c>
    </row>
    <row r="1549" spans="1:22">
      <c r="A1549" s="58">
        <v>1551</v>
      </c>
      <c r="B1549" s="58">
        <v>1551</v>
      </c>
      <c r="C1549" s="58" t="s">
        <v>2312</v>
      </c>
      <c r="D1549" s="58" t="s">
        <v>489</v>
      </c>
      <c r="E1549" s="58" t="s">
        <v>489</v>
      </c>
      <c r="F1549" s="58" t="s">
        <v>1161</v>
      </c>
      <c r="G1549" s="58" t="s">
        <v>1162</v>
      </c>
      <c r="H1549" s="58" t="s">
        <v>179</v>
      </c>
      <c r="I1549">
        <v>38000</v>
      </c>
      <c r="J1549">
        <v>38000</v>
      </c>
      <c r="K1549" s="58" t="s">
        <v>185</v>
      </c>
      <c r="L1549" s="74">
        <v>2.2570000000000001</v>
      </c>
      <c r="M1549" s="85">
        <v>3</v>
      </c>
      <c r="N1549" s="74">
        <v>0.38</v>
      </c>
      <c r="O1549">
        <v>3</v>
      </c>
      <c r="P1549" s="84">
        <v>0.38</v>
      </c>
      <c r="Q1549" s="86">
        <v>4.2</v>
      </c>
      <c r="R1549" s="85">
        <v>4.2</v>
      </c>
      <c r="S1549" s="87">
        <v>558600</v>
      </c>
      <c r="T1549" s="1">
        <v>4</v>
      </c>
      <c r="U1549" s="88">
        <v>133000</v>
      </c>
      <c r="V1549" s="59">
        <v>7.518796992481203</v>
      </c>
    </row>
    <row r="1550" spans="1:22">
      <c r="A1550" s="58">
        <v>1552</v>
      </c>
      <c r="B1550" s="58">
        <v>1552</v>
      </c>
      <c r="C1550" s="58" t="s">
        <v>2313</v>
      </c>
      <c r="D1550" s="58" t="s">
        <v>489</v>
      </c>
      <c r="E1550" s="58" t="s">
        <v>489</v>
      </c>
      <c r="F1550" s="58" t="s">
        <v>1161</v>
      </c>
      <c r="G1550" s="58" t="s">
        <v>1162</v>
      </c>
      <c r="H1550" s="58" t="s">
        <v>179</v>
      </c>
      <c r="I1550">
        <v>38000</v>
      </c>
      <c r="J1550">
        <v>38000</v>
      </c>
      <c r="K1550" s="58" t="s">
        <v>185</v>
      </c>
      <c r="L1550" s="74">
        <v>7.835</v>
      </c>
      <c r="M1550" s="85">
        <v>8</v>
      </c>
      <c r="N1550" s="74">
        <v>0.156</v>
      </c>
      <c r="O1550">
        <v>3</v>
      </c>
      <c r="P1550" s="84">
        <v>0.156</v>
      </c>
      <c r="Q1550" s="86">
        <v>4.2</v>
      </c>
      <c r="R1550" s="85">
        <v>4.2</v>
      </c>
      <c r="S1550" s="87">
        <v>909950</v>
      </c>
      <c r="T1550" s="1">
        <v>4</v>
      </c>
      <c r="U1550" s="88">
        <v>216654.76190476189</v>
      </c>
      <c r="V1550" s="59">
        <v>4.6156382218803227</v>
      </c>
    </row>
    <row r="1551" spans="1:22">
      <c r="A1551" s="58">
        <v>1553</v>
      </c>
      <c r="B1551" s="58">
        <v>1553</v>
      </c>
      <c r="C1551" s="58" t="s">
        <v>2314</v>
      </c>
      <c r="D1551" s="58" t="s">
        <v>182</v>
      </c>
      <c r="E1551" s="58" t="s">
        <v>182</v>
      </c>
      <c r="F1551" s="58" t="s">
        <v>1866</v>
      </c>
      <c r="G1551" s="58" t="s">
        <v>1867</v>
      </c>
      <c r="H1551" s="58" t="s">
        <v>179</v>
      </c>
      <c r="I1551">
        <v>38000</v>
      </c>
      <c r="J1551">
        <v>38000</v>
      </c>
      <c r="K1551" s="58" t="s">
        <v>185</v>
      </c>
      <c r="L1551" s="74">
        <v>4.617</v>
      </c>
      <c r="M1551" s="85">
        <v>5</v>
      </c>
      <c r="N1551" s="74">
        <v>0.35899999999999999</v>
      </c>
      <c r="O1551">
        <v>3</v>
      </c>
      <c r="P1551" s="84">
        <v>0.35899999999999999</v>
      </c>
      <c r="Q1551" s="86">
        <v>4.2</v>
      </c>
      <c r="R1551" s="85">
        <v>4.2</v>
      </c>
      <c r="S1551" s="87">
        <v>699140</v>
      </c>
      <c r="T1551" s="1">
        <v>4</v>
      </c>
      <c r="U1551" s="88">
        <v>166461.90476190476</v>
      </c>
      <c r="V1551" s="59">
        <v>6.0073804960379897</v>
      </c>
    </row>
    <row r="1552" spans="1:22">
      <c r="A1552" s="58">
        <v>1554</v>
      </c>
      <c r="B1552" s="58">
        <v>1554</v>
      </c>
      <c r="C1552" s="58" t="s">
        <v>2315</v>
      </c>
      <c r="D1552" s="58" t="s">
        <v>197</v>
      </c>
      <c r="E1552" s="58" t="s">
        <v>197</v>
      </c>
      <c r="F1552" s="58" t="s">
        <v>494</v>
      </c>
      <c r="G1552" s="58" t="s">
        <v>495</v>
      </c>
      <c r="H1552" s="58" t="s">
        <v>179</v>
      </c>
      <c r="I1552">
        <v>38000</v>
      </c>
      <c r="J1552">
        <v>38000</v>
      </c>
      <c r="K1552">
        <v>10000</v>
      </c>
      <c r="L1552" s="74">
        <v>4.9889999999999999</v>
      </c>
      <c r="M1552" s="85">
        <v>5</v>
      </c>
      <c r="N1552" s="74">
        <v>0.72499999999999998</v>
      </c>
      <c r="O1552">
        <v>3</v>
      </c>
      <c r="P1552" s="84">
        <v>0.72499999999999998</v>
      </c>
      <c r="Q1552" s="86">
        <v>4.2</v>
      </c>
      <c r="R1552" s="85">
        <v>4.2</v>
      </c>
      <c r="S1552" s="87">
        <v>699140</v>
      </c>
      <c r="T1552" s="1">
        <v>4</v>
      </c>
      <c r="U1552" s="88">
        <v>166461.90476190476</v>
      </c>
      <c r="V1552" s="59">
        <v>6.0073804960379897</v>
      </c>
    </row>
    <row r="1553" spans="1:22">
      <c r="A1553" s="58">
        <v>1555</v>
      </c>
      <c r="B1553" s="58">
        <v>1555</v>
      </c>
      <c r="C1553" s="58" t="s">
        <v>2316</v>
      </c>
      <c r="D1553" s="58" t="s">
        <v>197</v>
      </c>
      <c r="E1553" s="58" t="s">
        <v>197</v>
      </c>
      <c r="F1553" s="58" t="s">
        <v>494</v>
      </c>
      <c r="G1553" s="58" t="s">
        <v>495</v>
      </c>
      <c r="H1553" s="58" t="s">
        <v>179</v>
      </c>
      <c r="I1553">
        <v>38000</v>
      </c>
      <c r="J1553">
        <v>38000</v>
      </c>
      <c r="K1553">
        <v>10000</v>
      </c>
      <c r="L1553" s="74">
        <v>7.306</v>
      </c>
      <c r="M1553" s="85">
        <v>8</v>
      </c>
      <c r="N1553" s="74">
        <v>0.26500000000000001</v>
      </c>
      <c r="O1553">
        <v>3</v>
      </c>
      <c r="P1553" s="84">
        <v>0.26500000000000001</v>
      </c>
      <c r="Q1553" s="86">
        <v>4.2</v>
      </c>
      <c r="R1553" s="85">
        <v>4.2</v>
      </c>
      <c r="S1553" s="87">
        <v>909950</v>
      </c>
      <c r="T1553" s="1">
        <v>4</v>
      </c>
      <c r="U1553" s="88">
        <v>216654.76190476189</v>
      </c>
      <c r="V1553" s="59">
        <v>4.6156382218803227</v>
      </c>
    </row>
    <row r="1554" spans="1:22">
      <c r="A1554" s="58">
        <v>1556</v>
      </c>
      <c r="B1554" s="58">
        <v>1556</v>
      </c>
      <c r="C1554" s="58" t="s">
        <v>2317</v>
      </c>
      <c r="D1554" s="58" t="s">
        <v>197</v>
      </c>
      <c r="E1554" s="58" t="s">
        <v>197</v>
      </c>
      <c r="F1554" s="58" t="s">
        <v>1701</v>
      </c>
      <c r="G1554" s="58" t="s">
        <v>1702</v>
      </c>
      <c r="H1554" s="58" t="s">
        <v>179</v>
      </c>
      <c r="I1554">
        <v>38000</v>
      </c>
      <c r="J1554">
        <v>38000</v>
      </c>
      <c r="K1554" s="58" t="s">
        <v>185</v>
      </c>
      <c r="L1554" s="74">
        <v>7.14</v>
      </c>
      <c r="M1554" s="85">
        <v>8</v>
      </c>
      <c r="N1554" s="74">
        <v>0.23899999999999999</v>
      </c>
      <c r="O1554">
        <v>3</v>
      </c>
      <c r="P1554" s="84">
        <v>0.23899999999999999</v>
      </c>
      <c r="Q1554" s="86">
        <v>4.2</v>
      </c>
      <c r="R1554" s="85">
        <v>4.2</v>
      </c>
      <c r="S1554" s="87">
        <v>909950</v>
      </c>
      <c r="T1554" s="1">
        <v>4</v>
      </c>
      <c r="U1554" s="88">
        <v>216654.76190476189</v>
      </c>
      <c r="V1554" s="59">
        <v>4.6156382218803227</v>
      </c>
    </row>
    <row r="1555" spans="1:22">
      <c r="A1555" s="58">
        <v>1557</v>
      </c>
      <c r="B1555" s="58">
        <v>1557</v>
      </c>
      <c r="C1555" s="58" t="s">
        <v>2318</v>
      </c>
      <c r="D1555" s="58" t="s">
        <v>410</v>
      </c>
      <c r="E1555" s="58" t="s">
        <v>775</v>
      </c>
      <c r="F1555" s="58" t="s">
        <v>466</v>
      </c>
      <c r="G1555" s="58" t="s">
        <v>467</v>
      </c>
      <c r="H1555" s="58" t="s">
        <v>179</v>
      </c>
      <c r="I1555">
        <v>38000</v>
      </c>
      <c r="J1555">
        <v>38000</v>
      </c>
      <c r="K1555" s="58" t="s">
        <v>185</v>
      </c>
      <c r="L1555" s="74">
        <v>9.5120000000000005</v>
      </c>
      <c r="M1555" s="85">
        <v>10</v>
      </c>
      <c r="N1555" s="74">
        <v>0.215</v>
      </c>
      <c r="O1555">
        <v>3</v>
      </c>
      <c r="P1555" s="84">
        <v>0.215</v>
      </c>
      <c r="Q1555" s="86">
        <v>4.2</v>
      </c>
      <c r="R1555" s="85">
        <v>4.2</v>
      </c>
      <c r="S1555" s="87">
        <v>1387140</v>
      </c>
      <c r="T1555" s="1">
        <v>1</v>
      </c>
      <c r="U1555" s="88">
        <v>330271.42857142858</v>
      </c>
      <c r="V1555" s="59">
        <v>3.0278126216531858</v>
      </c>
    </row>
    <row r="1556" spans="1:22">
      <c r="A1556" s="58">
        <v>1558</v>
      </c>
      <c r="B1556" s="58">
        <v>1558</v>
      </c>
      <c r="C1556" s="58" t="s">
        <v>2319</v>
      </c>
      <c r="D1556" s="58" t="s">
        <v>1169</v>
      </c>
      <c r="E1556" s="58" t="s">
        <v>1169</v>
      </c>
      <c r="F1556" s="58" t="s">
        <v>1698</v>
      </c>
      <c r="G1556" s="58" t="s">
        <v>1699</v>
      </c>
      <c r="H1556" s="58" t="s">
        <v>199</v>
      </c>
      <c r="I1556">
        <v>110000</v>
      </c>
      <c r="J1556">
        <v>110000</v>
      </c>
      <c r="K1556">
        <v>38000</v>
      </c>
      <c r="L1556" s="74">
        <v>12.085000000000001</v>
      </c>
      <c r="M1556" s="85">
        <v>13</v>
      </c>
      <c r="N1556" s="74">
        <v>0.214</v>
      </c>
      <c r="O1556">
        <v>3</v>
      </c>
      <c r="P1556" s="84">
        <v>0.214</v>
      </c>
      <c r="Q1556" s="86">
        <v>4.2</v>
      </c>
      <c r="R1556" s="85">
        <v>4.2</v>
      </c>
      <c r="S1556" s="87">
        <v>2101570</v>
      </c>
      <c r="T1556" s="1">
        <v>7</v>
      </c>
      <c r="U1556" s="88">
        <v>500373.80952380953</v>
      </c>
      <c r="V1556" s="59">
        <v>1.9985058789381271</v>
      </c>
    </row>
    <row r="1557" spans="1:22">
      <c r="A1557" s="58">
        <v>1559</v>
      </c>
      <c r="B1557" s="58">
        <v>1559</v>
      </c>
      <c r="C1557" s="58" t="s">
        <v>2320</v>
      </c>
      <c r="D1557" s="58" t="s">
        <v>1190</v>
      </c>
      <c r="E1557" s="58" t="s">
        <v>1190</v>
      </c>
      <c r="F1557" s="58" t="s">
        <v>2321</v>
      </c>
      <c r="G1557" s="58" t="s">
        <v>1926</v>
      </c>
      <c r="H1557" s="58" t="s">
        <v>179</v>
      </c>
      <c r="I1557">
        <v>38000</v>
      </c>
      <c r="J1557">
        <v>38000</v>
      </c>
      <c r="K1557" s="58" t="s">
        <v>2322</v>
      </c>
      <c r="L1557" s="74">
        <v>6.2190000000000003</v>
      </c>
      <c r="M1557" s="85">
        <v>7</v>
      </c>
      <c r="N1557" s="74">
        <v>0.54900000000000004</v>
      </c>
      <c r="O1557">
        <v>3</v>
      </c>
      <c r="P1557" s="84">
        <v>0.54900000000000004</v>
      </c>
      <c r="Q1557" s="86">
        <v>4.2</v>
      </c>
      <c r="R1557" s="85">
        <v>4.2</v>
      </c>
      <c r="S1557" s="87">
        <v>839680</v>
      </c>
      <c r="T1557" s="1">
        <v>4</v>
      </c>
      <c r="U1557" s="88">
        <v>199923.80952380953</v>
      </c>
      <c r="V1557" s="59">
        <v>5.0019054878048781</v>
      </c>
    </row>
    <row r="1558" spans="1:22">
      <c r="A1558" s="58">
        <v>1560</v>
      </c>
      <c r="B1558" s="58">
        <v>1560</v>
      </c>
      <c r="C1558" s="58" t="s">
        <v>2323</v>
      </c>
      <c r="D1558" s="58" t="s">
        <v>1811</v>
      </c>
      <c r="E1558" s="58" t="s">
        <v>1811</v>
      </c>
      <c r="F1558" s="58" t="s">
        <v>1830</v>
      </c>
      <c r="G1558" s="58" t="s">
        <v>1831</v>
      </c>
      <c r="H1558" s="58" t="s">
        <v>199</v>
      </c>
      <c r="I1558">
        <v>110000</v>
      </c>
      <c r="J1558">
        <v>110000</v>
      </c>
      <c r="K1558">
        <v>20000</v>
      </c>
      <c r="L1558" s="74">
        <v>7.8120000000000003</v>
      </c>
      <c r="M1558" s="85">
        <v>8</v>
      </c>
      <c r="N1558" s="74">
        <v>0.26200000000000001</v>
      </c>
      <c r="O1558">
        <v>3</v>
      </c>
      <c r="P1558" s="84">
        <v>0.26200000000000001</v>
      </c>
      <c r="Q1558" s="86">
        <v>4.2</v>
      </c>
      <c r="R1558" s="85">
        <v>4.2</v>
      </c>
      <c r="S1558" s="87">
        <v>1838070</v>
      </c>
      <c r="T1558" s="1">
        <v>7</v>
      </c>
      <c r="U1558" s="88">
        <v>437635.71428571426</v>
      </c>
      <c r="V1558" s="59">
        <v>2.2850054676916547</v>
      </c>
    </row>
    <row r="1559" spans="1:22">
      <c r="A1559" s="58">
        <v>1561</v>
      </c>
      <c r="B1559" s="58">
        <v>1561</v>
      </c>
      <c r="C1559" s="58" t="s">
        <v>2324</v>
      </c>
      <c r="D1559" s="58" t="s">
        <v>234</v>
      </c>
      <c r="E1559" s="58" t="s">
        <v>234</v>
      </c>
      <c r="F1559" s="58" t="s">
        <v>595</v>
      </c>
      <c r="G1559" s="58" t="s">
        <v>596</v>
      </c>
      <c r="H1559" s="58" t="s">
        <v>179</v>
      </c>
      <c r="I1559">
        <v>38000</v>
      </c>
      <c r="J1559">
        <v>38000</v>
      </c>
      <c r="K1559" s="58" t="s">
        <v>185</v>
      </c>
      <c r="L1559" s="74">
        <v>12.217000000000001</v>
      </c>
      <c r="M1559" s="85">
        <v>13</v>
      </c>
      <c r="N1559" s="74">
        <v>9.0999999999999998E-2</v>
      </c>
      <c r="O1559">
        <v>3</v>
      </c>
      <c r="P1559" s="84">
        <v>9.0999999999999998E-2</v>
      </c>
      <c r="Q1559" s="86">
        <v>4.2</v>
      </c>
      <c r="R1559" s="85">
        <v>4.2</v>
      </c>
      <c r="S1559" s="87">
        <v>1545240</v>
      </c>
      <c r="T1559" s="1">
        <v>1</v>
      </c>
      <c r="U1559" s="88">
        <v>367914.28571428568</v>
      </c>
      <c r="V1559" s="59">
        <v>2.7180243845616214</v>
      </c>
    </row>
    <row r="1560" spans="1:22">
      <c r="A1560" s="58">
        <v>1562</v>
      </c>
      <c r="B1560" s="58">
        <v>1562</v>
      </c>
      <c r="C1560" s="58" t="s">
        <v>2325</v>
      </c>
      <c r="D1560" s="58" t="s">
        <v>346</v>
      </c>
      <c r="E1560" s="58" t="s">
        <v>346</v>
      </c>
      <c r="F1560" s="58" t="s">
        <v>1417</v>
      </c>
      <c r="G1560" s="58" t="s">
        <v>1418</v>
      </c>
      <c r="H1560" s="58" t="s">
        <v>179</v>
      </c>
      <c r="I1560">
        <v>38000</v>
      </c>
      <c r="J1560">
        <v>38000</v>
      </c>
      <c r="K1560" s="58" t="s">
        <v>185</v>
      </c>
      <c r="L1560" s="74">
        <v>5.5019999999999998</v>
      </c>
      <c r="M1560" s="85">
        <v>6</v>
      </c>
      <c r="N1560" s="74">
        <v>0.42399999999999999</v>
      </c>
      <c r="O1560">
        <v>3</v>
      </c>
      <c r="P1560" s="84">
        <v>0.42399999999999999</v>
      </c>
      <c r="Q1560" s="86">
        <v>4.2</v>
      </c>
      <c r="R1560" s="85">
        <v>4.2</v>
      </c>
      <c r="S1560" s="87">
        <v>769410</v>
      </c>
      <c r="T1560" s="1">
        <v>4</v>
      </c>
      <c r="U1560" s="88">
        <v>183192.85714285713</v>
      </c>
      <c r="V1560" s="59">
        <v>5.4587281163488903</v>
      </c>
    </row>
    <row r="1561" spans="1:22">
      <c r="A1561" s="58">
        <v>1563</v>
      </c>
      <c r="B1561" s="58">
        <v>1563</v>
      </c>
      <c r="C1561" s="58" t="s">
        <v>2326</v>
      </c>
      <c r="D1561" s="58" t="s">
        <v>351</v>
      </c>
      <c r="E1561" s="58" t="s">
        <v>351</v>
      </c>
      <c r="F1561" s="58" t="s">
        <v>514</v>
      </c>
      <c r="G1561" s="58" t="s">
        <v>515</v>
      </c>
      <c r="H1561" s="58" t="s">
        <v>179</v>
      </c>
      <c r="I1561">
        <v>38000</v>
      </c>
      <c r="J1561">
        <v>38000</v>
      </c>
      <c r="K1561">
        <v>20000</v>
      </c>
      <c r="L1561" s="74">
        <v>5.8109999999999999</v>
      </c>
      <c r="M1561" s="85">
        <v>6</v>
      </c>
      <c r="N1561" s="74">
        <v>9.7000000000000003E-2</v>
      </c>
      <c r="O1561">
        <v>3</v>
      </c>
      <c r="P1561" s="84">
        <v>9.7000000000000003E-2</v>
      </c>
      <c r="Q1561" s="86">
        <v>4.2</v>
      </c>
      <c r="R1561" s="85">
        <v>4.2</v>
      </c>
      <c r="S1561" s="87">
        <v>769410</v>
      </c>
      <c r="T1561" s="1">
        <v>4</v>
      </c>
      <c r="U1561" s="88">
        <v>183192.85714285713</v>
      </c>
      <c r="V1561" s="59">
        <v>5.4587281163488903</v>
      </c>
    </row>
    <row r="1562" spans="1:22">
      <c r="A1562" s="58">
        <v>1564</v>
      </c>
      <c r="B1562" s="58">
        <v>1564</v>
      </c>
      <c r="C1562" s="58" t="s">
        <v>2327</v>
      </c>
      <c r="D1562" s="58" t="s">
        <v>182</v>
      </c>
      <c r="E1562" s="58" t="s">
        <v>182</v>
      </c>
      <c r="F1562" s="58" t="s">
        <v>1839</v>
      </c>
      <c r="G1562" s="58" t="s">
        <v>1840</v>
      </c>
      <c r="H1562" s="58" t="s">
        <v>179</v>
      </c>
      <c r="I1562">
        <v>38000</v>
      </c>
      <c r="J1562">
        <v>38000</v>
      </c>
      <c r="K1562" s="58" t="s">
        <v>185</v>
      </c>
      <c r="L1562" s="74">
        <v>8.4930000000000003</v>
      </c>
      <c r="M1562" s="85">
        <v>9</v>
      </c>
      <c r="N1562" s="74">
        <v>0.21099999999999999</v>
      </c>
      <c r="O1562">
        <v>3</v>
      </c>
      <c r="P1562" s="84">
        <v>0.21099999999999999</v>
      </c>
      <c r="Q1562" s="86">
        <v>4.2</v>
      </c>
      <c r="R1562" s="85">
        <v>4.2</v>
      </c>
      <c r="S1562" s="87">
        <v>1334440</v>
      </c>
      <c r="T1562" s="1">
        <v>1</v>
      </c>
      <c r="U1562" s="88">
        <v>317723.80952380953</v>
      </c>
      <c r="V1562" s="59">
        <v>3.1473876682353645</v>
      </c>
    </row>
    <row r="1563" spans="1:22">
      <c r="A1563" s="58">
        <v>1565</v>
      </c>
      <c r="B1563" s="58">
        <v>1565</v>
      </c>
      <c r="C1563" s="58" t="s">
        <v>2328</v>
      </c>
      <c r="D1563" s="58" t="s">
        <v>1190</v>
      </c>
      <c r="E1563" s="58" t="s">
        <v>1190</v>
      </c>
      <c r="F1563" s="58" t="s">
        <v>1191</v>
      </c>
      <c r="G1563" s="58" t="s">
        <v>1192</v>
      </c>
      <c r="H1563" s="58" t="s">
        <v>179</v>
      </c>
      <c r="I1563">
        <v>38000</v>
      </c>
      <c r="J1563">
        <v>38000</v>
      </c>
      <c r="K1563">
        <v>10000</v>
      </c>
      <c r="L1563" s="74">
        <v>5.8280000000000003</v>
      </c>
      <c r="M1563" s="85">
        <v>6</v>
      </c>
      <c r="N1563" s="74">
        <v>0.105</v>
      </c>
      <c r="O1563">
        <v>3</v>
      </c>
      <c r="P1563" s="84">
        <v>0.105</v>
      </c>
      <c r="Q1563" s="86">
        <v>4.2</v>
      </c>
      <c r="R1563" s="85">
        <v>4.2</v>
      </c>
      <c r="S1563" s="87">
        <v>769410</v>
      </c>
      <c r="T1563" s="1">
        <v>4</v>
      </c>
      <c r="U1563" s="88">
        <v>183192.85714285713</v>
      </c>
      <c r="V1563" s="59">
        <v>5.4587281163488903</v>
      </c>
    </row>
    <row r="1564" spans="1:22">
      <c r="A1564" s="58">
        <v>1566</v>
      </c>
      <c r="B1564" s="58">
        <v>1566</v>
      </c>
      <c r="C1564" s="58" t="s">
        <v>2329</v>
      </c>
      <c r="D1564" s="58" t="s">
        <v>249</v>
      </c>
      <c r="E1564" s="58" t="s">
        <v>249</v>
      </c>
      <c r="F1564" s="58" t="s">
        <v>2065</v>
      </c>
      <c r="G1564" s="58" t="s">
        <v>2066</v>
      </c>
      <c r="H1564" s="58" t="s">
        <v>179</v>
      </c>
      <c r="I1564">
        <v>38000</v>
      </c>
      <c r="J1564">
        <v>38000</v>
      </c>
      <c r="K1564" s="58" t="s">
        <v>185</v>
      </c>
      <c r="L1564" s="74">
        <v>3.7</v>
      </c>
      <c r="M1564" s="85">
        <v>4</v>
      </c>
      <c r="N1564" s="74">
        <v>0.307</v>
      </c>
      <c r="O1564">
        <v>3</v>
      </c>
      <c r="P1564" s="84">
        <v>0.307</v>
      </c>
      <c r="Q1564" s="86">
        <v>4.2</v>
      </c>
      <c r="R1564" s="85">
        <v>4.2</v>
      </c>
      <c r="S1564" s="87">
        <v>628870</v>
      </c>
      <c r="T1564" s="1">
        <v>4</v>
      </c>
      <c r="U1564" s="88">
        <v>149730.95238095237</v>
      </c>
      <c r="V1564" s="59">
        <v>6.6786458250512828</v>
      </c>
    </row>
    <row r="1565" spans="1:22">
      <c r="A1565" s="58">
        <v>1567</v>
      </c>
      <c r="B1565" s="58">
        <v>1567</v>
      </c>
      <c r="C1565" s="58" t="s">
        <v>2330</v>
      </c>
      <c r="D1565" s="58" t="s">
        <v>249</v>
      </c>
      <c r="E1565" s="58" t="s">
        <v>249</v>
      </c>
      <c r="F1565" s="58" t="s">
        <v>2065</v>
      </c>
      <c r="G1565" s="58" t="s">
        <v>2066</v>
      </c>
      <c r="H1565" s="58" t="s">
        <v>179</v>
      </c>
      <c r="I1565">
        <v>38000</v>
      </c>
      <c r="J1565">
        <v>38000</v>
      </c>
      <c r="K1565" s="58" t="s">
        <v>185</v>
      </c>
      <c r="L1565" s="74">
        <v>4.5270000000000001</v>
      </c>
      <c r="M1565" s="85">
        <v>5</v>
      </c>
      <c r="N1565" s="74">
        <v>0.28299999999999997</v>
      </c>
      <c r="O1565">
        <v>3</v>
      </c>
      <c r="P1565" s="84">
        <v>0.28299999999999997</v>
      </c>
      <c r="Q1565" s="86">
        <v>4.2</v>
      </c>
      <c r="R1565" s="85">
        <v>4.2</v>
      </c>
      <c r="S1565" s="87">
        <v>699140</v>
      </c>
      <c r="T1565" s="1">
        <v>4</v>
      </c>
      <c r="U1565" s="88">
        <v>166461.90476190476</v>
      </c>
      <c r="V1565" s="59">
        <v>6.0073804960379897</v>
      </c>
    </row>
    <row r="1566" spans="1:22">
      <c r="A1566" s="58">
        <v>1568</v>
      </c>
      <c r="B1566" s="58">
        <v>1568</v>
      </c>
      <c r="C1566" s="58" t="s">
        <v>2331</v>
      </c>
      <c r="D1566" s="58" t="s">
        <v>536</v>
      </c>
      <c r="E1566" s="58" t="s">
        <v>536</v>
      </c>
      <c r="F1566" s="58" t="s">
        <v>2332</v>
      </c>
      <c r="G1566" s="58" t="s">
        <v>2333</v>
      </c>
      <c r="H1566" s="58" t="s">
        <v>199</v>
      </c>
      <c r="I1566">
        <v>110000</v>
      </c>
      <c r="L1566" s="74">
        <v>8.0020000000000007</v>
      </c>
      <c r="M1566" s="85">
        <v>9</v>
      </c>
      <c r="N1566" s="74">
        <v>0.14199999999999999</v>
      </c>
      <c r="O1566">
        <v>3</v>
      </c>
      <c r="P1566" s="84">
        <v>0.14199999999999999</v>
      </c>
      <c r="Q1566" s="86">
        <v>4.2</v>
      </c>
      <c r="R1566" s="85">
        <v>4.2</v>
      </c>
      <c r="S1566" s="87">
        <v>1890770</v>
      </c>
      <c r="T1566" s="1">
        <v>7</v>
      </c>
      <c r="U1566" s="88">
        <v>450183.33333333331</v>
      </c>
      <c r="V1566" s="59">
        <v>2.2213172411239865</v>
      </c>
    </row>
    <row r="1567" spans="1:22">
      <c r="A1567" s="58">
        <v>1569</v>
      </c>
      <c r="B1567" s="58">
        <v>1569</v>
      </c>
      <c r="C1567" s="58" t="s">
        <v>2334</v>
      </c>
      <c r="D1567" s="58" t="s">
        <v>852</v>
      </c>
      <c r="E1567" s="58" t="s">
        <v>852</v>
      </c>
      <c r="F1567" s="58" t="s">
        <v>2335</v>
      </c>
      <c r="G1567" s="58" t="s">
        <v>2336</v>
      </c>
      <c r="H1567" s="58" t="s">
        <v>179</v>
      </c>
      <c r="I1567">
        <v>38000</v>
      </c>
      <c r="J1567">
        <v>38000</v>
      </c>
      <c r="K1567" s="58" t="s">
        <v>185</v>
      </c>
      <c r="L1567" s="74">
        <v>2.0649999999999999</v>
      </c>
      <c r="M1567" s="85">
        <v>3</v>
      </c>
      <c r="N1567" s="74">
        <v>0.497</v>
      </c>
      <c r="O1567">
        <v>3</v>
      </c>
      <c r="P1567" s="84">
        <v>0.497</v>
      </c>
      <c r="Q1567" s="86">
        <v>4.2</v>
      </c>
      <c r="R1567" s="85">
        <v>4.2</v>
      </c>
      <c r="S1567" s="87">
        <v>558600</v>
      </c>
      <c r="T1567" s="1">
        <v>4</v>
      </c>
      <c r="U1567" s="88">
        <v>133000</v>
      </c>
      <c r="V1567" s="59">
        <v>7.518796992481203</v>
      </c>
    </row>
    <row r="1568" spans="1:22">
      <c r="A1568" s="58">
        <v>1570</v>
      </c>
      <c r="B1568" s="58">
        <v>1570</v>
      </c>
      <c r="C1568" s="58" t="s">
        <v>2337</v>
      </c>
      <c r="D1568" s="58" t="s">
        <v>1190</v>
      </c>
      <c r="E1568" s="58" t="s">
        <v>1190</v>
      </c>
      <c r="F1568" s="58" t="s">
        <v>2120</v>
      </c>
      <c r="G1568" s="58" t="s">
        <v>2121</v>
      </c>
      <c r="H1568" s="58" t="s">
        <v>179</v>
      </c>
      <c r="I1568">
        <v>38000</v>
      </c>
      <c r="J1568">
        <v>38000</v>
      </c>
      <c r="K1568" s="58" t="s">
        <v>185</v>
      </c>
      <c r="L1568" s="74">
        <v>9.0429999999999993</v>
      </c>
      <c r="M1568" s="85">
        <v>10</v>
      </c>
      <c r="N1568" s="74">
        <v>0.53600000000000003</v>
      </c>
      <c r="O1568">
        <v>3</v>
      </c>
      <c r="P1568" s="84">
        <v>0.53600000000000003</v>
      </c>
      <c r="Q1568" s="86">
        <v>4.2</v>
      </c>
      <c r="R1568" s="85">
        <v>4.2</v>
      </c>
      <c r="S1568" s="87">
        <v>1387140</v>
      </c>
      <c r="T1568" s="1">
        <v>1</v>
      </c>
      <c r="U1568" s="88">
        <v>330271.42857142858</v>
      </c>
      <c r="V1568" s="59">
        <v>3.0278126216531858</v>
      </c>
    </row>
    <row r="1569" spans="1:22">
      <c r="A1569" s="58">
        <v>1571</v>
      </c>
      <c r="B1569" s="58">
        <v>1571</v>
      </c>
      <c r="C1569" s="58" t="s">
        <v>2338</v>
      </c>
      <c r="D1569" s="58" t="s">
        <v>187</v>
      </c>
      <c r="E1569" s="58" t="s">
        <v>187</v>
      </c>
      <c r="F1569" s="58" t="s">
        <v>800</v>
      </c>
      <c r="G1569" s="58" t="s">
        <v>801</v>
      </c>
      <c r="H1569" s="58" t="s">
        <v>199</v>
      </c>
      <c r="I1569">
        <v>110000</v>
      </c>
      <c r="J1569">
        <v>20000</v>
      </c>
      <c r="K1569">
        <v>110000</v>
      </c>
      <c r="L1569" s="74">
        <v>3.4860000000000002</v>
      </c>
      <c r="M1569" s="85">
        <v>4</v>
      </c>
      <c r="N1569" s="74">
        <v>3.6589999999999998</v>
      </c>
      <c r="O1569">
        <v>3</v>
      </c>
      <c r="P1569" s="84">
        <v>2.7442500000000001</v>
      </c>
      <c r="Q1569" s="86">
        <v>16.8</v>
      </c>
      <c r="R1569" s="85">
        <v>16.8</v>
      </c>
      <c r="S1569" s="87">
        <v>1875790</v>
      </c>
      <c r="T1569" s="1">
        <v>8</v>
      </c>
      <c r="U1569" s="88">
        <v>111654.16666666666</v>
      </c>
      <c r="V1569" s="59">
        <v>8.9562264432585739</v>
      </c>
    </row>
    <row r="1570" spans="1:22">
      <c r="A1570" s="58">
        <v>1572</v>
      </c>
      <c r="B1570" s="58">
        <v>1572</v>
      </c>
      <c r="C1570" s="58" t="s">
        <v>2339</v>
      </c>
      <c r="D1570" s="58" t="s">
        <v>187</v>
      </c>
      <c r="E1570" s="58" t="s">
        <v>187</v>
      </c>
      <c r="F1570" s="58" t="s">
        <v>859</v>
      </c>
      <c r="G1570" s="58" t="s">
        <v>860</v>
      </c>
      <c r="H1570" s="58" t="s">
        <v>179</v>
      </c>
      <c r="I1570">
        <v>38000</v>
      </c>
      <c r="J1570">
        <v>38000</v>
      </c>
      <c r="K1570" s="58" t="s">
        <v>185</v>
      </c>
      <c r="L1570" s="74">
        <v>8.9450000000000003</v>
      </c>
      <c r="M1570" s="85">
        <v>9</v>
      </c>
      <c r="N1570" s="74">
        <v>1.018</v>
      </c>
      <c r="O1570">
        <v>3</v>
      </c>
      <c r="P1570" s="84">
        <v>1.018</v>
      </c>
      <c r="Q1570" s="86">
        <v>4.2</v>
      </c>
      <c r="R1570" s="85">
        <v>4.2</v>
      </c>
      <c r="S1570" s="87">
        <v>1334440</v>
      </c>
      <c r="T1570" s="1">
        <v>1</v>
      </c>
      <c r="U1570" s="88">
        <v>317723.80952380953</v>
      </c>
      <c r="V1570" s="59">
        <v>3.1473876682353645</v>
      </c>
    </row>
    <row r="1571" spans="1:22">
      <c r="A1571" s="58">
        <v>1573</v>
      </c>
      <c r="B1571" s="58">
        <v>1573</v>
      </c>
      <c r="C1571" s="58" t="s">
        <v>2340</v>
      </c>
      <c r="D1571" s="58" t="s">
        <v>187</v>
      </c>
      <c r="E1571" s="58" t="s">
        <v>187</v>
      </c>
      <c r="F1571" s="58" t="s">
        <v>859</v>
      </c>
      <c r="G1571" s="58" t="s">
        <v>860</v>
      </c>
      <c r="H1571" s="58" t="s">
        <v>179</v>
      </c>
      <c r="I1571">
        <v>38000</v>
      </c>
      <c r="J1571">
        <v>38000</v>
      </c>
      <c r="K1571" s="58" t="s">
        <v>185</v>
      </c>
      <c r="L1571" s="74">
        <v>8.7680000000000007</v>
      </c>
      <c r="M1571" s="85">
        <v>9</v>
      </c>
      <c r="N1571" s="74">
        <v>0.48499999999999999</v>
      </c>
      <c r="O1571">
        <v>3</v>
      </c>
      <c r="P1571" s="84">
        <v>0.48499999999999999</v>
      </c>
      <c r="Q1571" s="86">
        <v>4.2</v>
      </c>
      <c r="R1571" s="85">
        <v>4.2</v>
      </c>
      <c r="S1571" s="87">
        <v>1334440</v>
      </c>
      <c r="T1571" s="1">
        <v>1</v>
      </c>
      <c r="U1571" s="88">
        <v>317723.80952380953</v>
      </c>
      <c r="V1571" s="59">
        <v>3.1473876682353645</v>
      </c>
    </row>
    <row r="1572" spans="1:22">
      <c r="A1572" s="58">
        <v>1574</v>
      </c>
      <c r="B1572" s="58">
        <v>1574</v>
      </c>
      <c r="C1572" s="58" t="s">
        <v>2341</v>
      </c>
      <c r="D1572" s="58" t="s">
        <v>187</v>
      </c>
      <c r="E1572" s="58" t="s">
        <v>187</v>
      </c>
      <c r="F1572" s="58" t="s">
        <v>435</v>
      </c>
      <c r="G1572" s="58" t="s">
        <v>436</v>
      </c>
      <c r="H1572" s="58" t="s">
        <v>199</v>
      </c>
      <c r="I1572">
        <v>110000</v>
      </c>
      <c r="J1572">
        <v>38000</v>
      </c>
      <c r="K1572">
        <v>110000</v>
      </c>
      <c r="L1572" s="74">
        <v>6.6139999999999999</v>
      </c>
      <c r="M1572" s="85">
        <v>7</v>
      </c>
      <c r="N1572" s="74">
        <v>0.73699999999999999</v>
      </c>
      <c r="O1572">
        <v>3</v>
      </c>
      <c r="P1572" s="84">
        <v>0.73699999999999999</v>
      </c>
      <c r="Q1572" s="86">
        <v>4.2</v>
      </c>
      <c r="R1572" s="85">
        <v>4.2</v>
      </c>
      <c r="S1572" s="87">
        <v>1785370</v>
      </c>
      <c r="T1572" s="1">
        <v>7</v>
      </c>
      <c r="U1572" s="88">
        <v>425088.09523809521</v>
      </c>
      <c r="V1572" s="59">
        <v>2.3524535530450272</v>
      </c>
    </row>
    <row r="1573" spans="1:22">
      <c r="A1573" s="58">
        <v>1575</v>
      </c>
      <c r="B1573" s="58">
        <v>1575</v>
      </c>
      <c r="C1573" s="58" t="s">
        <v>2342</v>
      </c>
      <c r="D1573" s="58" t="s">
        <v>187</v>
      </c>
      <c r="E1573" s="58" t="s">
        <v>187</v>
      </c>
      <c r="F1573" s="58" t="s">
        <v>435</v>
      </c>
      <c r="G1573" s="58" t="s">
        <v>436</v>
      </c>
      <c r="H1573" s="58" t="s">
        <v>199</v>
      </c>
      <c r="I1573">
        <v>110000</v>
      </c>
      <c r="J1573">
        <v>38000</v>
      </c>
      <c r="K1573">
        <v>110000</v>
      </c>
      <c r="L1573" s="74">
        <v>4.88</v>
      </c>
      <c r="M1573" s="85">
        <v>5</v>
      </c>
      <c r="N1573" s="74">
        <v>0.60299999999999998</v>
      </c>
      <c r="O1573">
        <v>3</v>
      </c>
      <c r="P1573" s="84">
        <v>0.60299999999999998</v>
      </c>
      <c r="Q1573" s="86">
        <v>4.2</v>
      </c>
      <c r="R1573" s="85">
        <v>4.2</v>
      </c>
      <c r="S1573" s="87">
        <v>1679970</v>
      </c>
      <c r="T1573" s="1">
        <v>7</v>
      </c>
      <c r="U1573" s="88">
        <v>399992.8571428571</v>
      </c>
      <c r="V1573" s="59">
        <v>2.5000446436543511</v>
      </c>
    </row>
    <row r="1574" spans="1:22">
      <c r="A1574" s="58">
        <v>1576</v>
      </c>
      <c r="B1574" s="58">
        <v>1576</v>
      </c>
      <c r="C1574" s="58" t="s">
        <v>2343</v>
      </c>
      <c r="D1574" s="58" t="s">
        <v>187</v>
      </c>
      <c r="E1574" s="58" t="s">
        <v>187</v>
      </c>
      <c r="F1574" s="58" t="s">
        <v>246</v>
      </c>
      <c r="G1574" s="58" t="s">
        <v>247</v>
      </c>
      <c r="H1574" s="58" t="s">
        <v>199</v>
      </c>
      <c r="I1574">
        <v>110000</v>
      </c>
      <c r="J1574">
        <v>33000</v>
      </c>
      <c r="K1574">
        <v>110000</v>
      </c>
      <c r="L1574" s="74">
        <v>6.7569999999999997</v>
      </c>
      <c r="M1574" s="85">
        <v>7</v>
      </c>
      <c r="N1574" s="74">
        <v>4.484</v>
      </c>
      <c r="O1574">
        <v>3</v>
      </c>
      <c r="P1574" s="84">
        <v>3.363</v>
      </c>
      <c r="Q1574" s="86">
        <v>21</v>
      </c>
      <c r="R1574" s="85">
        <v>21</v>
      </c>
      <c r="S1574" s="87">
        <v>2086600</v>
      </c>
      <c r="T1574" s="1">
        <v>8</v>
      </c>
      <c r="U1574" s="88">
        <v>99361.904761904763</v>
      </c>
      <c r="V1574" s="59">
        <v>10.064219304131122</v>
      </c>
    </row>
    <row r="1575" spans="1:22">
      <c r="A1575" s="58">
        <v>1577</v>
      </c>
      <c r="B1575" s="58">
        <v>1577</v>
      </c>
      <c r="C1575" s="58" t="s">
        <v>2344</v>
      </c>
      <c r="D1575" s="58" t="s">
        <v>187</v>
      </c>
      <c r="E1575" s="58" t="s">
        <v>187</v>
      </c>
      <c r="F1575" s="58" t="s">
        <v>246</v>
      </c>
      <c r="G1575" s="58" t="s">
        <v>247</v>
      </c>
      <c r="H1575" s="58" t="s">
        <v>199</v>
      </c>
      <c r="I1575">
        <v>110000</v>
      </c>
      <c r="J1575">
        <v>33000</v>
      </c>
      <c r="K1575">
        <v>110000</v>
      </c>
      <c r="L1575" s="74">
        <v>11.409000000000001</v>
      </c>
      <c r="M1575" s="85">
        <v>12</v>
      </c>
      <c r="N1575" s="74">
        <v>2.52</v>
      </c>
      <c r="O1575">
        <v>3</v>
      </c>
      <c r="P1575" s="84">
        <v>1.8900000000000001</v>
      </c>
      <c r="Q1575" s="86">
        <v>12.600000000000001</v>
      </c>
      <c r="R1575" s="85">
        <v>12.600000000000001</v>
      </c>
      <c r="S1575" s="87">
        <v>2048870</v>
      </c>
      <c r="T1575" s="1">
        <v>7</v>
      </c>
      <c r="U1575" s="88">
        <v>162608.73015873015</v>
      </c>
      <c r="V1575" s="59">
        <v>6.1497313153103912</v>
      </c>
    </row>
    <row r="1576" spans="1:22">
      <c r="A1576" s="58">
        <v>1578</v>
      </c>
      <c r="B1576" s="58">
        <v>1578</v>
      </c>
      <c r="C1576" s="58" t="s">
        <v>2345</v>
      </c>
      <c r="D1576" s="58" t="s">
        <v>187</v>
      </c>
      <c r="E1576" s="58" t="s">
        <v>187</v>
      </c>
      <c r="F1576" s="58" t="s">
        <v>1213</v>
      </c>
      <c r="G1576" s="58" t="s">
        <v>1214</v>
      </c>
      <c r="H1576" s="58" t="s">
        <v>199</v>
      </c>
      <c r="I1576">
        <v>110000</v>
      </c>
      <c r="J1576" s="58" t="s">
        <v>185</v>
      </c>
      <c r="K1576">
        <v>110000</v>
      </c>
      <c r="L1576" s="74">
        <v>3.306</v>
      </c>
      <c r="M1576" s="85">
        <v>4</v>
      </c>
      <c r="N1576" s="74">
        <v>1.921</v>
      </c>
      <c r="O1576">
        <v>3</v>
      </c>
      <c r="P1576" s="84">
        <v>1.44075</v>
      </c>
      <c r="Q1576" s="86">
        <v>8.4</v>
      </c>
      <c r="R1576" s="85">
        <v>8.4</v>
      </c>
      <c r="S1576" s="87">
        <v>1627270</v>
      </c>
      <c r="T1576" s="1">
        <v>7</v>
      </c>
      <c r="U1576" s="88">
        <v>193722.61904761905</v>
      </c>
      <c r="V1576" s="59">
        <v>5.162019824614231</v>
      </c>
    </row>
    <row r="1577" spans="1:22">
      <c r="A1577" s="58">
        <v>1579</v>
      </c>
      <c r="B1577" s="58">
        <v>1579</v>
      </c>
      <c r="C1577" s="58" t="s">
        <v>2346</v>
      </c>
      <c r="D1577" s="58" t="s">
        <v>249</v>
      </c>
      <c r="E1577" s="58" t="s">
        <v>249</v>
      </c>
      <c r="F1577" s="58" t="s">
        <v>250</v>
      </c>
      <c r="G1577" s="58" t="s">
        <v>251</v>
      </c>
      <c r="H1577" s="58" t="s">
        <v>199</v>
      </c>
      <c r="I1577">
        <v>110000</v>
      </c>
      <c r="L1577" s="74">
        <v>4.6109999999999998</v>
      </c>
      <c r="M1577" s="85">
        <v>5</v>
      </c>
      <c r="N1577" s="74">
        <v>2.859</v>
      </c>
      <c r="O1577">
        <v>3</v>
      </c>
      <c r="P1577" s="84">
        <v>2.14425</v>
      </c>
      <c r="Q1577" s="86">
        <v>12.600000000000001</v>
      </c>
      <c r="R1577" s="85">
        <v>12.600000000000001</v>
      </c>
      <c r="S1577" s="87">
        <v>1679970</v>
      </c>
      <c r="T1577" s="1">
        <v>7</v>
      </c>
      <c r="U1577" s="88">
        <v>133330.95238095237</v>
      </c>
      <c r="V1577" s="59">
        <v>7.5001339309630541</v>
      </c>
    </row>
    <row r="1578" spans="1:22">
      <c r="A1578" s="58">
        <v>1580</v>
      </c>
      <c r="B1578" s="58">
        <v>1580</v>
      </c>
      <c r="C1578" s="58" t="s">
        <v>2347</v>
      </c>
      <c r="D1578" s="58" t="s">
        <v>249</v>
      </c>
      <c r="E1578" s="58" t="s">
        <v>249</v>
      </c>
      <c r="F1578" s="58" t="s">
        <v>250</v>
      </c>
      <c r="G1578" s="58" t="s">
        <v>251</v>
      </c>
      <c r="H1578" s="58" t="s">
        <v>199</v>
      </c>
      <c r="I1578">
        <v>110000</v>
      </c>
      <c r="L1578" s="74">
        <v>8.7430000000000003</v>
      </c>
      <c r="M1578" s="85">
        <v>9</v>
      </c>
      <c r="N1578" s="74">
        <v>2.3959999999999999</v>
      </c>
      <c r="O1578">
        <v>3</v>
      </c>
      <c r="P1578" s="84">
        <v>1.7969999999999999</v>
      </c>
      <c r="Q1578" s="86">
        <v>12.600000000000001</v>
      </c>
      <c r="R1578" s="85">
        <v>12.600000000000001</v>
      </c>
      <c r="S1578" s="87">
        <v>1890770</v>
      </c>
      <c r="T1578" s="1">
        <v>7</v>
      </c>
      <c r="U1578" s="88">
        <v>150061.11111111109</v>
      </c>
      <c r="V1578" s="59">
        <v>6.6639517233719605</v>
      </c>
    </row>
    <row r="1579" spans="1:22">
      <c r="A1579" s="58">
        <v>1581</v>
      </c>
      <c r="B1579" s="58">
        <v>1581</v>
      </c>
      <c r="C1579" s="58" t="s">
        <v>2348</v>
      </c>
      <c r="D1579" s="58" t="s">
        <v>249</v>
      </c>
      <c r="E1579" s="58" t="s">
        <v>249</v>
      </c>
      <c r="F1579" s="58" t="s">
        <v>1223</v>
      </c>
      <c r="G1579" s="58" t="s">
        <v>1224</v>
      </c>
      <c r="H1579" s="58" t="s">
        <v>199</v>
      </c>
      <c r="I1579">
        <v>110000</v>
      </c>
      <c r="J1579">
        <v>110000</v>
      </c>
      <c r="K1579" s="58" t="s">
        <v>185</v>
      </c>
      <c r="L1579" s="74">
        <v>3.4540000000000002</v>
      </c>
      <c r="M1579" s="85">
        <v>4</v>
      </c>
      <c r="N1579" s="74">
        <v>0.96799999999999997</v>
      </c>
      <c r="O1579">
        <v>3</v>
      </c>
      <c r="P1579" s="84">
        <v>0.96799999999999997</v>
      </c>
      <c r="Q1579" s="86">
        <v>4.2</v>
      </c>
      <c r="R1579" s="85">
        <v>4.2</v>
      </c>
      <c r="S1579" s="87">
        <v>1627270</v>
      </c>
      <c r="T1579" s="1">
        <v>7</v>
      </c>
      <c r="U1579" s="88">
        <v>387445.23809523811</v>
      </c>
      <c r="V1579" s="59">
        <v>2.5810099123071155</v>
      </c>
    </row>
    <row r="1580" spans="1:22">
      <c r="A1580" s="58">
        <v>1582</v>
      </c>
      <c r="B1580" s="58">
        <v>1582</v>
      </c>
      <c r="C1580" s="58" t="s">
        <v>2349</v>
      </c>
      <c r="D1580" s="58" t="s">
        <v>249</v>
      </c>
      <c r="E1580" s="58" t="s">
        <v>249</v>
      </c>
      <c r="F1580" s="58" t="s">
        <v>250</v>
      </c>
      <c r="G1580" s="58" t="s">
        <v>251</v>
      </c>
      <c r="H1580" s="58" t="s">
        <v>199</v>
      </c>
      <c r="I1580">
        <v>110000</v>
      </c>
      <c r="L1580" s="74">
        <v>5.2249999999999996</v>
      </c>
      <c r="M1580" s="85">
        <v>6</v>
      </c>
      <c r="N1580" s="74">
        <v>3.9359999999999999</v>
      </c>
      <c r="O1580">
        <v>3</v>
      </c>
      <c r="P1580" s="84">
        <v>2.952</v>
      </c>
      <c r="Q1580" s="86">
        <v>21</v>
      </c>
      <c r="R1580" s="85">
        <v>21</v>
      </c>
      <c r="S1580" s="87">
        <v>2016330</v>
      </c>
      <c r="T1580" s="1">
        <v>8</v>
      </c>
      <c r="U1580" s="88">
        <v>96015.71428571429</v>
      </c>
      <c r="V1580" s="59">
        <v>10.414961836604128</v>
      </c>
    </row>
    <row r="1581" spans="1:22">
      <c r="A1581" s="58">
        <v>1583</v>
      </c>
      <c r="B1581" s="58">
        <v>1583</v>
      </c>
      <c r="C1581" s="58" t="s">
        <v>2350</v>
      </c>
      <c r="D1581" s="58" t="s">
        <v>253</v>
      </c>
      <c r="E1581" s="58" t="s">
        <v>253</v>
      </c>
      <c r="F1581" s="58" t="s">
        <v>254</v>
      </c>
      <c r="G1581" s="58" t="s">
        <v>255</v>
      </c>
      <c r="H1581" s="58" t="s">
        <v>179</v>
      </c>
      <c r="I1581">
        <v>38000</v>
      </c>
      <c r="J1581">
        <v>38000</v>
      </c>
      <c r="K1581" s="58" t="s">
        <v>185</v>
      </c>
      <c r="L1581" s="74">
        <v>4.3840000000000003</v>
      </c>
      <c r="M1581" s="85">
        <v>5</v>
      </c>
      <c r="N1581" s="74">
        <v>1.3360000000000001</v>
      </c>
      <c r="O1581">
        <v>3</v>
      </c>
      <c r="P1581" s="84">
        <v>1.002</v>
      </c>
      <c r="Q1581" s="86">
        <v>4.2</v>
      </c>
      <c r="R1581" s="85">
        <v>4.2</v>
      </c>
      <c r="S1581" s="87">
        <v>699140</v>
      </c>
      <c r="T1581" s="1">
        <v>4</v>
      </c>
      <c r="U1581" s="88">
        <v>166461.90476190476</v>
      </c>
      <c r="V1581" s="59">
        <v>6.0073804960379897</v>
      </c>
    </row>
    <row r="1582" spans="1:22">
      <c r="A1582" s="58">
        <v>1584</v>
      </c>
      <c r="B1582" s="58">
        <v>1584</v>
      </c>
      <c r="C1582" s="58" t="s">
        <v>2351</v>
      </c>
      <c r="D1582" s="58" t="s">
        <v>176</v>
      </c>
      <c r="E1582" s="58" t="s">
        <v>176</v>
      </c>
      <c r="F1582" s="58" t="s">
        <v>257</v>
      </c>
      <c r="G1582" s="58" t="s">
        <v>258</v>
      </c>
      <c r="H1582" s="58" t="s">
        <v>179</v>
      </c>
      <c r="I1582">
        <v>38000</v>
      </c>
      <c r="J1582">
        <v>38000</v>
      </c>
      <c r="K1582">
        <v>20000</v>
      </c>
      <c r="L1582" s="74">
        <v>12.561</v>
      </c>
      <c r="M1582" s="85">
        <v>13</v>
      </c>
      <c r="N1582" s="74">
        <v>3.33</v>
      </c>
      <c r="O1582">
        <v>3</v>
      </c>
      <c r="P1582" s="84">
        <v>2.4975000000000001</v>
      </c>
      <c r="Q1582" s="86">
        <v>16.8</v>
      </c>
      <c r="R1582" s="85">
        <v>16.8</v>
      </c>
      <c r="S1582" s="87">
        <v>1261300</v>
      </c>
      <c r="T1582" s="1">
        <v>4</v>
      </c>
      <c r="U1582" s="88">
        <v>75077.380952380947</v>
      </c>
      <c r="V1582" s="59">
        <v>13.319590898279554</v>
      </c>
    </row>
    <row r="1583" spans="1:22">
      <c r="A1583" s="58">
        <v>1585</v>
      </c>
      <c r="B1583" s="58">
        <v>1585</v>
      </c>
      <c r="C1583" s="58" t="s">
        <v>2352</v>
      </c>
      <c r="D1583" s="58" t="s">
        <v>176</v>
      </c>
      <c r="E1583" s="58" t="s">
        <v>176</v>
      </c>
      <c r="F1583" s="58" t="s">
        <v>257</v>
      </c>
      <c r="G1583" s="58" t="s">
        <v>258</v>
      </c>
      <c r="H1583" s="58" t="s">
        <v>179</v>
      </c>
      <c r="I1583">
        <v>38000</v>
      </c>
      <c r="J1583">
        <v>38000</v>
      </c>
      <c r="K1583">
        <v>20000</v>
      </c>
      <c r="L1583" s="74">
        <v>12.401999999999999</v>
      </c>
      <c r="M1583" s="85">
        <v>13</v>
      </c>
      <c r="N1583" s="74">
        <v>2.1960000000000002</v>
      </c>
      <c r="O1583">
        <v>3</v>
      </c>
      <c r="P1583" s="84">
        <v>1.6470000000000002</v>
      </c>
      <c r="Q1583" s="86">
        <v>8.4</v>
      </c>
      <c r="R1583" s="85">
        <v>8.4</v>
      </c>
      <c r="S1583" s="87">
        <v>1590600</v>
      </c>
      <c r="T1583" s="1">
        <v>2</v>
      </c>
      <c r="U1583" s="88">
        <v>189357.14285714284</v>
      </c>
      <c r="V1583" s="59">
        <v>5.2810260279139944</v>
      </c>
    </row>
    <row r="1584" spans="1:22">
      <c r="A1584" s="58">
        <v>1586</v>
      </c>
      <c r="B1584" s="58">
        <v>1586</v>
      </c>
      <c r="C1584" s="58" t="s">
        <v>2353</v>
      </c>
      <c r="D1584" s="58" t="s">
        <v>176</v>
      </c>
      <c r="E1584" s="58" t="s">
        <v>176</v>
      </c>
      <c r="F1584" s="58" t="s">
        <v>257</v>
      </c>
      <c r="G1584" s="58" t="s">
        <v>258</v>
      </c>
      <c r="H1584" s="58" t="s">
        <v>179</v>
      </c>
      <c r="I1584">
        <v>38000</v>
      </c>
      <c r="J1584">
        <v>38000</v>
      </c>
      <c r="K1584">
        <v>20000</v>
      </c>
      <c r="L1584" s="74">
        <v>13.715</v>
      </c>
      <c r="M1584" s="85">
        <v>14</v>
      </c>
      <c r="N1584" s="74">
        <v>0.98299999999999998</v>
      </c>
      <c r="O1584">
        <v>3</v>
      </c>
      <c r="P1584" s="84">
        <v>0.98299999999999998</v>
      </c>
      <c r="Q1584" s="86">
        <v>4.2</v>
      </c>
      <c r="R1584" s="85">
        <v>4.2</v>
      </c>
      <c r="S1584" s="87">
        <v>1597940</v>
      </c>
      <c r="T1584" s="1">
        <v>1</v>
      </c>
      <c r="U1584" s="88">
        <v>380461.90476190473</v>
      </c>
      <c r="V1584" s="59">
        <v>2.6283840444572388</v>
      </c>
    </row>
    <row r="1585" spans="1:22">
      <c r="A1585" s="58">
        <v>1587</v>
      </c>
      <c r="B1585" s="58">
        <v>1587</v>
      </c>
      <c r="C1585" s="58" t="s">
        <v>2354</v>
      </c>
      <c r="D1585" s="58" t="s">
        <v>176</v>
      </c>
      <c r="E1585" s="58" t="s">
        <v>176</v>
      </c>
      <c r="F1585" s="58" t="s">
        <v>257</v>
      </c>
      <c r="G1585" s="58" t="s">
        <v>258</v>
      </c>
      <c r="H1585" s="58" t="s">
        <v>179</v>
      </c>
      <c r="I1585">
        <v>38000</v>
      </c>
      <c r="J1585">
        <v>38000</v>
      </c>
      <c r="K1585">
        <v>20000</v>
      </c>
      <c r="L1585" s="74">
        <v>10.518000000000001</v>
      </c>
      <c r="M1585" s="85">
        <v>11</v>
      </c>
      <c r="N1585" s="74">
        <v>0.94099999999999995</v>
      </c>
      <c r="O1585">
        <v>3</v>
      </c>
      <c r="P1585" s="84">
        <v>0.94099999999999995</v>
      </c>
      <c r="Q1585" s="86">
        <v>4.2</v>
      </c>
      <c r="R1585" s="85">
        <v>4.2</v>
      </c>
      <c r="S1585" s="87">
        <v>1439840</v>
      </c>
      <c r="T1585" s="1">
        <v>1</v>
      </c>
      <c r="U1585" s="88">
        <v>342819.04761904763</v>
      </c>
      <c r="V1585" s="59">
        <v>2.9169907767529724</v>
      </c>
    </row>
    <row r="1586" spans="1:22">
      <c r="A1586" s="58">
        <v>1588</v>
      </c>
      <c r="B1586" s="58">
        <v>1588</v>
      </c>
      <c r="C1586" s="58" t="s">
        <v>2355</v>
      </c>
      <c r="D1586" s="58" t="s">
        <v>176</v>
      </c>
      <c r="E1586" s="58" t="s">
        <v>176</v>
      </c>
      <c r="F1586" s="58" t="s">
        <v>257</v>
      </c>
      <c r="G1586" s="58" t="s">
        <v>258</v>
      </c>
      <c r="H1586" s="58" t="s">
        <v>179</v>
      </c>
      <c r="I1586">
        <v>38000</v>
      </c>
      <c r="J1586">
        <v>38000</v>
      </c>
      <c r="K1586">
        <v>20000</v>
      </c>
      <c r="L1586" s="74">
        <v>10.278</v>
      </c>
      <c r="M1586" s="85">
        <v>11</v>
      </c>
      <c r="N1586" s="74">
        <v>0.33200000000000002</v>
      </c>
      <c r="O1586">
        <v>3</v>
      </c>
      <c r="P1586" s="84">
        <v>0.33200000000000002</v>
      </c>
      <c r="Q1586" s="86">
        <v>4.2</v>
      </c>
      <c r="R1586" s="85">
        <v>4.2</v>
      </c>
      <c r="S1586" s="87">
        <v>1439840</v>
      </c>
      <c r="T1586" s="1">
        <v>1</v>
      </c>
      <c r="U1586" s="88">
        <v>342819.04761904763</v>
      </c>
      <c r="V1586" s="59">
        <v>2.9169907767529724</v>
      </c>
    </row>
    <row r="1587" spans="1:22">
      <c r="A1587" s="58">
        <v>1589</v>
      </c>
      <c r="B1587" s="58">
        <v>1589</v>
      </c>
      <c r="C1587" s="58" t="s">
        <v>2356</v>
      </c>
      <c r="D1587" s="58" t="s">
        <v>176</v>
      </c>
      <c r="E1587" s="58" t="s">
        <v>176</v>
      </c>
      <c r="F1587" s="58" t="s">
        <v>257</v>
      </c>
      <c r="G1587" s="58" t="s">
        <v>258</v>
      </c>
      <c r="H1587" s="58" t="s">
        <v>179</v>
      </c>
      <c r="I1587">
        <v>38000</v>
      </c>
      <c r="J1587">
        <v>38000</v>
      </c>
      <c r="K1587">
        <v>20000</v>
      </c>
      <c r="L1587" s="74">
        <v>7.0179999999999998</v>
      </c>
      <c r="M1587" s="85">
        <v>8</v>
      </c>
      <c r="N1587" s="74">
        <v>0.57999999999999996</v>
      </c>
      <c r="O1587">
        <v>3</v>
      </c>
      <c r="P1587" s="84">
        <v>0.57999999999999996</v>
      </c>
      <c r="Q1587" s="86">
        <v>4.2</v>
      </c>
      <c r="R1587" s="85">
        <v>4.2</v>
      </c>
      <c r="S1587" s="87">
        <v>909950</v>
      </c>
      <c r="T1587" s="1">
        <v>4</v>
      </c>
      <c r="U1587" s="88">
        <v>216654.76190476189</v>
      </c>
      <c r="V1587" s="59">
        <v>4.6156382218803227</v>
      </c>
    </row>
    <row r="1588" spans="1:22">
      <c r="A1588" s="58">
        <v>1590</v>
      </c>
      <c r="B1588" s="58">
        <v>1590</v>
      </c>
      <c r="C1588" s="58" t="s">
        <v>2357</v>
      </c>
      <c r="D1588" s="58" t="s">
        <v>176</v>
      </c>
      <c r="E1588" s="58" t="s">
        <v>176</v>
      </c>
      <c r="F1588" s="58" t="s">
        <v>257</v>
      </c>
      <c r="G1588" s="58" t="s">
        <v>258</v>
      </c>
      <c r="H1588" s="58" t="s">
        <v>179</v>
      </c>
      <c r="I1588">
        <v>38000</v>
      </c>
      <c r="J1588">
        <v>38000</v>
      </c>
      <c r="K1588">
        <v>20000</v>
      </c>
      <c r="L1588" s="74">
        <v>8.8510000000000009</v>
      </c>
      <c r="M1588" s="85">
        <v>9</v>
      </c>
      <c r="N1588" s="74">
        <v>1.702</v>
      </c>
      <c r="O1588">
        <v>3</v>
      </c>
      <c r="P1588" s="84">
        <v>1.2765</v>
      </c>
      <c r="Q1588" s="86">
        <v>8.4</v>
      </c>
      <c r="R1588" s="85">
        <v>8.4</v>
      </c>
      <c r="S1588" s="87">
        <v>1379800</v>
      </c>
      <c r="T1588" s="1">
        <v>2</v>
      </c>
      <c r="U1588" s="88">
        <v>164261.90476190476</v>
      </c>
      <c r="V1588" s="59">
        <v>6.087838817219887</v>
      </c>
    </row>
    <row r="1589" spans="1:22">
      <c r="A1589" s="58">
        <v>1591</v>
      </c>
      <c r="B1589" s="58">
        <v>1591</v>
      </c>
      <c r="C1589" s="58" t="s">
        <v>2358</v>
      </c>
      <c r="D1589" s="58" t="s">
        <v>215</v>
      </c>
      <c r="E1589" s="58" t="s">
        <v>215</v>
      </c>
      <c r="F1589" s="58" t="s">
        <v>257</v>
      </c>
      <c r="G1589" s="58" t="s">
        <v>258</v>
      </c>
      <c r="H1589" s="58" t="s">
        <v>179</v>
      </c>
      <c r="I1589">
        <v>38000</v>
      </c>
      <c r="J1589">
        <v>38000</v>
      </c>
      <c r="K1589">
        <v>20000</v>
      </c>
      <c r="L1589" s="74">
        <v>8.7110000000000003</v>
      </c>
      <c r="M1589" s="85">
        <v>9</v>
      </c>
      <c r="N1589" s="74">
        <v>1.1419999999999999</v>
      </c>
      <c r="O1589">
        <v>3</v>
      </c>
      <c r="P1589" s="84">
        <v>1.1419999999999999</v>
      </c>
      <c r="Q1589" s="86">
        <v>4.2</v>
      </c>
      <c r="R1589" s="85">
        <v>4.2</v>
      </c>
      <c r="S1589" s="87">
        <v>1334440</v>
      </c>
      <c r="T1589" s="1">
        <v>1</v>
      </c>
      <c r="U1589" s="88">
        <v>317723.80952380953</v>
      </c>
      <c r="V1589" s="59">
        <v>3.1473876682353645</v>
      </c>
    </row>
    <row r="1590" spans="1:22">
      <c r="A1590" s="58">
        <v>1592</v>
      </c>
      <c r="B1590" s="58">
        <v>1592</v>
      </c>
      <c r="C1590" s="58" t="s">
        <v>2359</v>
      </c>
      <c r="D1590" s="58" t="s">
        <v>215</v>
      </c>
      <c r="E1590" s="58" t="s">
        <v>215</v>
      </c>
      <c r="F1590" s="58" t="s">
        <v>257</v>
      </c>
      <c r="G1590" s="58" t="s">
        <v>258</v>
      </c>
      <c r="H1590" s="58" t="s">
        <v>179</v>
      </c>
      <c r="I1590">
        <v>38000</v>
      </c>
      <c r="J1590">
        <v>38000</v>
      </c>
      <c r="K1590">
        <v>20000</v>
      </c>
      <c r="L1590" s="74">
        <v>7.0590000000000002</v>
      </c>
      <c r="M1590" s="85">
        <v>8</v>
      </c>
      <c r="N1590" s="74">
        <v>2.992</v>
      </c>
      <c r="O1590">
        <v>3</v>
      </c>
      <c r="P1590" s="84">
        <v>2.2439999999999998</v>
      </c>
      <c r="Q1590" s="86">
        <v>12.600000000000001</v>
      </c>
      <c r="R1590" s="85">
        <v>12.600000000000001</v>
      </c>
      <c r="S1590" s="87">
        <v>909950</v>
      </c>
      <c r="T1590" s="1">
        <v>4</v>
      </c>
      <c r="U1590" s="88">
        <v>72218.253968253965</v>
      </c>
      <c r="V1590" s="59">
        <v>13.846914665640972</v>
      </c>
    </row>
    <row r="1591" spans="1:22">
      <c r="A1591" s="58">
        <v>1593</v>
      </c>
      <c r="B1591" s="58">
        <v>1593</v>
      </c>
      <c r="C1591" s="58" t="s">
        <v>2360</v>
      </c>
      <c r="D1591" s="58" t="s">
        <v>176</v>
      </c>
      <c r="E1591" s="58" t="s">
        <v>176</v>
      </c>
      <c r="F1591" s="58" t="s">
        <v>225</v>
      </c>
      <c r="G1591" s="58" t="s">
        <v>226</v>
      </c>
      <c r="H1591" s="58" t="s">
        <v>179</v>
      </c>
      <c r="I1591">
        <v>38000</v>
      </c>
      <c r="J1591">
        <v>38000</v>
      </c>
      <c r="K1591">
        <v>20000</v>
      </c>
      <c r="L1591" s="74">
        <v>9.3490000000000002</v>
      </c>
      <c r="M1591" s="85">
        <v>10</v>
      </c>
      <c r="N1591" s="74">
        <v>1.5580000000000001</v>
      </c>
      <c r="O1591">
        <v>3</v>
      </c>
      <c r="P1591" s="84">
        <v>1.1685000000000001</v>
      </c>
      <c r="Q1591" s="86">
        <v>4.2</v>
      </c>
      <c r="R1591" s="85">
        <v>4.2</v>
      </c>
      <c r="S1591" s="87">
        <v>1387140</v>
      </c>
      <c r="T1591" s="1">
        <v>1</v>
      </c>
      <c r="U1591" s="88">
        <v>330271.42857142858</v>
      </c>
      <c r="V1591" s="59">
        <v>3.0278126216531858</v>
      </c>
    </row>
    <row r="1592" spans="1:22">
      <c r="A1592" s="58">
        <v>1594</v>
      </c>
      <c r="B1592" s="58">
        <v>1594</v>
      </c>
      <c r="C1592" s="58" t="s">
        <v>2361</v>
      </c>
      <c r="D1592" s="58" t="s">
        <v>215</v>
      </c>
      <c r="E1592" s="58" t="s">
        <v>215</v>
      </c>
      <c r="F1592" s="58" t="s">
        <v>225</v>
      </c>
      <c r="G1592" s="58" t="s">
        <v>226</v>
      </c>
      <c r="H1592" s="58" t="s">
        <v>179</v>
      </c>
      <c r="I1592">
        <v>38000</v>
      </c>
      <c r="J1592">
        <v>38000</v>
      </c>
      <c r="K1592">
        <v>20000</v>
      </c>
      <c r="L1592" s="74">
        <v>12.241</v>
      </c>
      <c r="M1592" s="85">
        <v>13</v>
      </c>
      <c r="N1592" s="74">
        <v>0.76800000000000002</v>
      </c>
      <c r="O1592">
        <v>3</v>
      </c>
      <c r="P1592" s="84">
        <v>0.76800000000000002</v>
      </c>
      <c r="Q1592" s="86">
        <v>4.2</v>
      </c>
      <c r="R1592" s="85">
        <v>4.2</v>
      </c>
      <c r="S1592" s="87">
        <v>1545240</v>
      </c>
      <c r="T1592" s="1">
        <v>1</v>
      </c>
      <c r="U1592" s="88">
        <v>367914.28571428568</v>
      </c>
      <c r="V1592" s="59">
        <v>2.7180243845616214</v>
      </c>
    </row>
    <row r="1593" spans="1:22">
      <c r="A1593" s="58">
        <v>1595</v>
      </c>
      <c r="B1593" s="58">
        <v>1595</v>
      </c>
      <c r="C1593" s="58" t="s">
        <v>2362</v>
      </c>
      <c r="D1593" s="58" t="s">
        <v>215</v>
      </c>
      <c r="E1593" s="58" t="s">
        <v>215</v>
      </c>
      <c r="F1593" s="58" t="s">
        <v>225</v>
      </c>
      <c r="G1593" s="58" t="s">
        <v>226</v>
      </c>
      <c r="H1593" s="58" t="s">
        <v>179</v>
      </c>
      <c r="I1593">
        <v>38000</v>
      </c>
      <c r="J1593">
        <v>38000</v>
      </c>
      <c r="K1593">
        <v>20000</v>
      </c>
      <c r="L1593" s="74">
        <v>4.1989999999999998</v>
      </c>
      <c r="M1593" s="85">
        <v>5</v>
      </c>
      <c r="N1593" s="74">
        <v>0.79100000000000004</v>
      </c>
      <c r="O1593">
        <v>3</v>
      </c>
      <c r="P1593" s="84">
        <v>0.79100000000000004</v>
      </c>
      <c r="Q1593" s="86">
        <v>4.2</v>
      </c>
      <c r="R1593" s="85">
        <v>4.2</v>
      </c>
      <c r="S1593" s="87">
        <v>699140</v>
      </c>
      <c r="T1593" s="1">
        <v>4</v>
      </c>
      <c r="U1593" s="88">
        <v>166461.90476190476</v>
      </c>
      <c r="V1593" s="59">
        <v>6.0073804960379897</v>
      </c>
    </row>
    <row r="1594" spans="1:22">
      <c r="A1594" s="58">
        <v>1596</v>
      </c>
      <c r="B1594" s="58">
        <v>1596</v>
      </c>
      <c r="C1594" s="58" t="s">
        <v>2363</v>
      </c>
      <c r="D1594" s="58" t="s">
        <v>215</v>
      </c>
      <c r="E1594" s="58" t="s">
        <v>215</v>
      </c>
      <c r="F1594" s="58" t="s">
        <v>225</v>
      </c>
      <c r="G1594" s="58" t="s">
        <v>226</v>
      </c>
      <c r="H1594" s="58" t="s">
        <v>179</v>
      </c>
      <c r="I1594">
        <v>38000</v>
      </c>
      <c r="J1594">
        <v>38000</v>
      </c>
      <c r="K1594">
        <v>20000</v>
      </c>
      <c r="L1594" s="74">
        <v>3.9969999999999999</v>
      </c>
      <c r="M1594" s="85">
        <v>4</v>
      </c>
      <c r="N1594" s="74">
        <v>0.61199999999999999</v>
      </c>
      <c r="O1594">
        <v>3</v>
      </c>
      <c r="P1594" s="84">
        <v>0.61199999999999999</v>
      </c>
      <c r="Q1594" s="86">
        <v>4.2</v>
      </c>
      <c r="R1594" s="85">
        <v>4.2</v>
      </c>
      <c r="S1594" s="87">
        <v>628870</v>
      </c>
      <c r="T1594" s="1">
        <v>4</v>
      </c>
      <c r="U1594" s="88">
        <v>149730.95238095237</v>
      </c>
      <c r="V1594" s="59">
        <v>6.6786458250512828</v>
      </c>
    </row>
    <row r="1595" spans="1:22">
      <c r="A1595" s="58">
        <v>1597</v>
      </c>
      <c r="B1595" s="58">
        <v>1597</v>
      </c>
      <c r="C1595" s="58" t="s">
        <v>2364</v>
      </c>
      <c r="D1595" s="58" t="s">
        <v>215</v>
      </c>
      <c r="E1595" s="58" t="s">
        <v>215</v>
      </c>
      <c r="F1595" s="58" t="s">
        <v>225</v>
      </c>
      <c r="G1595" s="58" t="s">
        <v>226</v>
      </c>
      <c r="H1595" s="58" t="s">
        <v>179</v>
      </c>
      <c r="I1595">
        <v>38000</v>
      </c>
      <c r="J1595">
        <v>38000</v>
      </c>
      <c r="K1595">
        <v>20000</v>
      </c>
      <c r="L1595" s="74">
        <v>6.65</v>
      </c>
      <c r="M1595" s="85">
        <v>7</v>
      </c>
      <c r="N1595" s="74">
        <v>0.92200000000000004</v>
      </c>
      <c r="O1595">
        <v>3</v>
      </c>
      <c r="P1595" s="84">
        <v>0.92200000000000004</v>
      </c>
      <c r="Q1595" s="86">
        <v>4.2</v>
      </c>
      <c r="R1595" s="85">
        <v>4.2</v>
      </c>
      <c r="S1595" s="87">
        <v>839680</v>
      </c>
      <c r="T1595" s="1">
        <v>4</v>
      </c>
      <c r="U1595" s="88">
        <v>199923.80952380953</v>
      </c>
      <c r="V1595" s="59">
        <v>5.0019054878048781</v>
      </c>
    </row>
    <row r="1596" spans="1:22">
      <c r="A1596" s="58">
        <v>1598</v>
      </c>
      <c r="B1596" s="58">
        <v>1598</v>
      </c>
      <c r="C1596" s="58" t="s">
        <v>2365</v>
      </c>
      <c r="D1596" s="58" t="s">
        <v>176</v>
      </c>
      <c r="E1596" s="58" t="s">
        <v>176</v>
      </c>
      <c r="F1596" s="58" t="s">
        <v>262</v>
      </c>
      <c r="G1596" s="58" t="s">
        <v>263</v>
      </c>
      <c r="H1596" s="58" t="s">
        <v>179</v>
      </c>
      <c r="I1596">
        <v>38000</v>
      </c>
      <c r="J1596" s="58" t="s">
        <v>185</v>
      </c>
      <c r="K1596">
        <v>38000</v>
      </c>
      <c r="L1596" s="74">
        <v>9.9079999999999995</v>
      </c>
      <c r="M1596" s="85">
        <v>10</v>
      </c>
      <c r="N1596" s="74">
        <v>1.1970000000000001</v>
      </c>
      <c r="O1596">
        <v>3</v>
      </c>
      <c r="P1596" s="84">
        <v>1.1970000000000001</v>
      </c>
      <c r="Q1596" s="86">
        <v>4.2</v>
      </c>
      <c r="R1596" s="85">
        <v>4.2</v>
      </c>
      <c r="S1596" s="87">
        <v>1387140</v>
      </c>
      <c r="T1596" s="1">
        <v>1</v>
      </c>
      <c r="U1596" s="88">
        <v>330271.42857142858</v>
      </c>
      <c r="V1596" s="59">
        <v>3.0278126216531858</v>
      </c>
    </row>
    <row r="1597" spans="1:22">
      <c r="A1597" s="58">
        <v>1599</v>
      </c>
      <c r="B1597" s="58">
        <v>1599</v>
      </c>
      <c r="C1597" s="58" t="s">
        <v>2366</v>
      </c>
      <c r="D1597" s="58" t="s">
        <v>176</v>
      </c>
      <c r="E1597" s="58" t="s">
        <v>176</v>
      </c>
      <c r="F1597" s="58" t="s">
        <v>262</v>
      </c>
      <c r="G1597" s="58" t="s">
        <v>263</v>
      </c>
      <c r="H1597" s="58" t="s">
        <v>179</v>
      </c>
      <c r="I1597">
        <v>38000</v>
      </c>
      <c r="J1597" s="58" t="s">
        <v>185</v>
      </c>
      <c r="K1597">
        <v>38000</v>
      </c>
      <c r="L1597" s="74">
        <v>13.387</v>
      </c>
      <c r="M1597" s="85">
        <v>14</v>
      </c>
      <c r="N1597" s="74">
        <v>4.1079999999999997</v>
      </c>
      <c r="O1597">
        <v>3</v>
      </c>
      <c r="P1597" s="84">
        <v>3.0809999999999995</v>
      </c>
      <c r="Q1597" s="86">
        <v>21</v>
      </c>
      <c r="R1597" s="85">
        <v>21</v>
      </c>
      <c r="S1597" s="87">
        <v>1331570</v>
      </c>
      <c r="T1597" s="1">
        <v>4</v>
      </c>
      <c r="U1597" s="88">
        <v>63408.095238095237</v>
      </c>
      <c r="V1597" s="59">
        <v>15.770856958327387</v>
      </c>
    </row>
    <row r="1598" spans="1:22">
      <c r="A1598" s="58">
        <v>1600</v>
      </c>
      <c r="B1598" s="58">
        <v>1600</v>
      </c>
      <c r="C1598" s="58" t="s">
        <v>2367</v>
      </c>
      <c r="D1598" s="58" t="s">
        <v>176</v>
      </c>
      <c r="E1598" s="58" t="s">
        <v>176</v>
      </c>
      <c r="F1598" s="58" t="s">
        <v>262</v>
      </c>
      <c r="G1598" s="58" t="s">
        <v>263</v>
      </c>
      <c r="H1598" s="58" t="s">
        <v>179</v>
      </c>
      <c r="I1598">
        <v>38000</v>
      </c>
      <c r="J1598" s="58" t="s">
        <v>185</v>
      </c>
      <c r="K1598">
        <v>38000</v>
      </c>
      <c r="L1598" s="74">
        <v>18.146000000000001</v>
      </c>
      <c r="M1598" s="85">
        <v>19</v>
      </c>
      <c r="N1598" s="74">
        <v>1.9930000000000001</v>
      </c>
      <c r="O1598">
        <v>3</v>
      </c>
      <c r="P1598" s="84">
        <v>1.49475</v>
      </c>
      <c r="Q1598" s="86">
        <v>8.4</v>
      </c>
      <c r="R1598" s="85">
        <v>8.4</v>
      </c>
      <c r="S1598" s="87">
        <v>1906800</v>
      </c>
      <c r="T1598" s="1">
        <v>2</v>
      </c>
      <c r="U1598" s="88">
        <v>227000</v>
      </c>
      <c r="V1598" s="59">
        <v>4.4052863436123344</v>
      </c>
    </row>
    <row r="1599" spans="1:22">
      <c r="A1599" s="58">
        <v>1601</v>
      </c>
      <c r="B1599" s="58">
        <v>1601</v>
      </c>
      <c r="C1599" s="58" t="s">
        <v>2368</v>
      </c>
      <c r="D1599" s="58" t="s">
        <v>176</v>
      </c>
      <c r="E1599" s="58" t="s">
        <v>176</v>
      </c>
      <c r="F1599" s="58" t="s">
        <v>265</v>
      </c>
      <c r="G1599" s="58" t="s">
        <v>266</v>
      </c>
      <c r="H1599" s="58" t="s">
        <v>179</v>
      </c>
      <c r="I1599">
        <v>38000</v>
      </c>
      <c r="J1599">
        <v>38000</v>
      </c>
      <c r="K1599" s="58" t="s">
        <v>185</v>
      </c>
      <c r="L1599" s="74">
        <v>15.718</v>
      </c>
      <c r="M1599" s="85">
        <v>16</v>
      </c>
      <c r="N1599" s="74">
        <v>3.601</v>
      </c>
      <c r="O1599">
        <v>3</v>
      </c>
      <c r="P1599" s="84">
        <v>2.7007500000000002</v>
      </c>
      <c r="Q1599" s="86">
        <v>16.8</v>
      </c>
      <c r="R1599" s="85">
        <v>16.8</v>
      </c>
      <c r="S1599" s="87">
        <v>1472110</v>
      </c>
      <c r="T1599" s="1">
        <v>4</v>
      </c>
      <c r="U1599" s="88">
        <v>87625.595238095237</v>
      </c>
      <c r="V1599" s="59">
        <v>11.412190665099756</v>
      </c>
    </row>
    <row r="1600" spans="1:22">
      <c r="A1600" s="58">
        <v>1602</v>
      </c>
      <c r="B1600" s="58">
        <v>1602</v>
      </c>
      <c r="C1600" s="58" t="s">
        <v>2369</v>
      </c>
      <c r="D1600" s="58" t="s">
        <v>176</v>
      </c>
      <c r="E1600" s="58" t="s">
        <v>176</v>
      </c>
      <c r="F1600" s="58" t="s">
        <v>269</v>
      </c>
      <c r="G1600" s="58" t="s">
        <v>270</v>
      </c>
      <c r="H1600" s="58" t="s">
        <v>179</v>
      </c>
      <c r="I1600">
        <v>38000</v>
      </c>
      <c r="J1600">
        <v>38000</v>
      </c>
      <c r="K1600">
        <v>20000</v>
      </c>
      <c r="L1600" s="74">
        <v>17.503</v>
      </c>
      <c r="M1600" s="85">
        <v>18</v>
      </c>
      <c r="N1600" s="74">
        <v>1.262</v>
      </c>
      <c r="O1600">
        <v>3</v>
      </c>
      <c r="P1600" s="84">
        <v>0.94650000000000001</v>
      </c>
      <c r="Q1600" s="86">
        <v>4.2</v>
      </c>
      <c r="R1600" s="85">
        <v>4.2</v>
      </c>
      <c r="S1600" s="87">
        <v>1808740</v>
      </c>
      <c r="T1600" s="1">
        <v>1</v>
      </c>
      <c r="U1600" s="88">
        <v>430652.38095238095</v>
      </c>
      <c r="V1600" s="59">
        <v>2.3220584495284009</v>
      </c>
    </row>
    <row r="1601" spans="1:22">
      <c r="A1601" s="58">
        <v>1603</v>
      </c>
      <c r="B1601" s="58">
        <v>1603</v>
      </c>
      <c r="C1601" s="58" t="s">
        <v>2370</v>
      </c>
      <c r="D1601" s="58" t="s">
        <v>176</v>
      </c>
      <c r="E1601" s="58" t="s">
        <v>176</v>
      </c>
      <c r="F1601" s="58" t="s">
        <v>269</v>
      </c>
      <c r="G1601" s="58" t="s">
        <v>270</v>
      </c>
      <c r="H1601" s="58" t="s">
        <v>179</v>
      </c>
      <c r="I1601">
        <v>38000</v>
      </c>
      <c r="J1601">
        <v>38000</v>
      </c>
      <c r="K1601">
        <v>20000</v>
      </c>
      <c r="L1601" s="74">
        <v>17.597000000000001</v>
      </c>
      <c r="M1601" s="85">
        <v>18</v>
      </c>
      <c r="N1601" s="74">
        <v>1.0960000000000001</v>
      </c>
      <c r="O1601">
        <v>3</v>
      </c>
      <c r="P1601" s="84">
        <v>1.0960000000000001</v>
      </c>
      <c r="Q1601" s="86">
        <v>4.2</v>
      </c>
      <c r="R1601" s="85">
        <v>4.2</v>
      </c>
      <c r="S1601" s="87">
        <v>1808740</v>
      </c>
      <c r="T1601" s="1">
        <v>1</v>
      </c>
      <c r="U1601" s="88">
        <v>430652.38095238095</v>
      </c>
      <c r="V1601" s="59">
        <v>2.3220584495284009</v>
      </c>
    </row>
    <row r="1602" spans="1:22">
      <c r="A1602" s="58">
        <v>1604</v>
      </c>
      <c r="B1602" s="58">
        <v>1604</v>
      </c>
      <c r="C1602" s="58" t="s">
        <v>2371</v>
      </c>
      <c r="D1602" s="58" t="s">
        <v>176</v>
      </c>
      <c r="E1602" s="58" t="s">
        <v>176</v>
      </c>
      <c r="F1602" s="58" t="s">
        <v>272</v>
      </c>
      <c r="G1602" s="58" t="s">
        <v>273</v>
      </c>
      <c r="H1602" s="58" t="s">
        <v>179</v>
      </c>
      <c r="I1602">
        <v>38000</v>
      </c>
      <c r="J1602">
        <v>38000</v>
      </c>
      <c r="K1602" s="58" t="s">
        <v>185</v>
      </c>
      <c r="L1602" s="74">
        <v>11.51</v>
      </c>
      <c r="M1602" s="85">
        <v>12</v>
      </c>
      <c r="N1602" s="74">
        <v>1.123</v>
      </c>
      <c r="O1602">
        <v>3</v>
      </c>
      <c r="P1602" s="84">
        <v>1.123</v>
      </c>
      <c r="Q1602" s="86">
        <v>4.2</v>
      </c>
      <c r="R1602" s="85">
        <v>4.2</v>
      </c>
      <c r="S1602" s="87">
        <v>1492540</v>
      </c>
      <c r="T1602" s="1">
        <v>1</v>
      </c>
      <c r="U1602" s="88">
        <v>355366.66666666663</v>
      </c>
      <c r="V1602" s="59">
        <v>2.8139949348091173</v>
      </c>
    </row>
    <row r="1603" spans="1:22">
      <c r="A1603" s="58">
        <v>1605</v>
      </c>
      <c r="B1603" s="58">
        <v>1605</v>
      </c>
      <c r="C1603" s="58" t="s">
        <v>2372</v>
      </c>
      <c r="D1603" s="58" t="s">
        <v>176</v>
      </c>
      <c r="E1603" s="58" t="s">
        <v>176</v>
      </c>
      <c r="F1603" s="58" t="s">
        <v>265</v>
      </c>
      <c r="G1603" s="58" t="s">
        <v>266</v>
      </c>
      <c r="H1603" s="58" t="s">
        <v>179</v>
      </c>
      <c r="I1603">
        <v>38000</v>
      </c>
      <c r="J1603">
        <v>38000</v>
      </c>
      <c r="K1603" s="58" t="s">
        <v>185</v>
      </c>
      <c r="L1603" s="74">
        <v>13.58</v>
      </c>
      <c r="M1603" s="85">
        <v>14</v>
      </c>
      <c r="N1603" s="74">
        <v>0.76700000000000002</v>
      </c>
      <c r="O1603">
        <v>3</v>
      </c>
      <c r="P1603" s="84">
        <v>0.76700000000000002</v>
      </c>
      <c r="Q1603" s="86">
        <v>4.2</v>
      </c>
      <c r="R1603" s="85">
        <v>4.2</v>
      </c>
      <c r="S1603" s="87">
        <v>1597940</v>
      </c>
      <c r="T1603" s="1">
        <v>1</v>
      </c>
      <c r="U1603" s="88">
        <v>380461.90476190473</v>
      </c>
      <c r="V1603" s="59">
        <v>2.6283840444572388</v>
      </c>
    </row>
    <row r="1604" spans="1:22">
      <c r="A1604" s="58">
        <v>1606</v>
      </c>
      <c r="B1604" s="58">
        <v>1606</v>
      </c>
      <c r="C1604" s="58" t="s">
        <v>2373</v>
      </c>
      <c r="D1604" s="58" t="s">
        <v>176</v>
      </c>
      <c r="E1604" s="58" t="s">
        <v>176</v>
      </c>
      <c r="F1604" s="58" t="s">
        <v>265</v>
      </c>
      <c r="G1604" s="58" t="s">
        <v>266</v>
      </c>
      <c r="H1604" s="58" t="s">
        <v>179</v>
      </c>
      <c r="I1604">
        <v>38000</v>
      </c>
      <c r="J1604">
        <v>38000</v>
      </c>
      <c r="K1604" s="58" t="s">
        <v>185</v>
      </c>
      <c r="L1604" s="74">
        <v>13.536</v>
      </c>
      <c r="M1604" s="85">
        <v>14</v>
      </c>
      <c r="N1604" s="74">
        <v>0.504</v>
      </c>
      <c r="O1604">
        <v>3</v>
      </c>
      <c r="P1604" s="84">
        <v>0.504</v>
      </c>
      <c r="Q1604" s="86">
        <v>4.2</v>
      </c>
      <c r="R1604" s="85">
        <v>4.2</v>
      </c>
      <c r="S1604" s="87">
        <v>1597940</v>
      </c>
      <c r="T1604" s="1">
        <v>1</v>
      </c>
      <c r="U1604" s="88">
        <v>380461.90476190473</v>
      </c>
      <c r="V1604" s="59">
        <v>2.6283840444572388</v>
      </c>
    </row>
    <row r="1605" spans="1:22">
      <c r="A1605" s="58">
        <v>1607</v>
      </c>
      <c r="B1605" s="58">
        <v>1607</v>
      </c>
      <c r="C1605" s="58" t="s">
        <v>2374</v>
      </c>
      <c r="D1605" s="58" t="s">
        <v>176</v>
      </c>
      <c r="E1605" s="58" t="s">
        <v>176</v>
      </c>
      <c r="F1605" s="58" t="s">
        <v>265</v>
      </c>
      <c r="G1605" s="58" t="s">
        <v>266</v>
      </c>
      <c r="H1605" s="58" t="s">
        <v>179</v>
      </c>
      <c r="I1605">
        <v>38000</v>
      </c>
      <c r="J1605">
        <v>38000</v>
      </c>
      <c r="K1605" s="58" t="s">
        <v>185</v>
      </c>
      <c r="L1605" s="74">
        <v>13.622</v>
      </c>
      <c r="M1605" s="85">
        <v>14</v>
      </c>
      <c r="N1605" s="74">
        <v>1.8839999999999999</v>
      </c>
      <c r="O1605">
        <v>3</v>
      </c>
      <c r="P1605" s="84">
        <v>1.4129999999999998</v>
      </c>
      <c r="Q1605" s="86">
        <v>8.4</v>
      </c>
      <c r="R1605" s="85">
        <v>8.4</v>
      </c>
      <c r="S1605" s="87">
        <v>1643300</v>
      </c>
      <c r="T1605" s="1">
        <v>2</v>
      </c>
      <c r="U1605" s="88">
        <v>195630.95238095237</v>
      </c>
      <c r="V1605" s="59">
        <v>5.1116655510253759</v>
      </c>
    </row>
    <row r="1606" spans="1:22">
      <c r="A1606" s="58">
        <v>1608</v>
      </c>
      <c r="B1606" s="58">
        <v>1608</v>
      </c>
      <c r="C1606" s="58" t="s">
        <v>2375</v>
      </c>
      <c r="D1606" s="58" t="s">
        <v>176</v>
      </c>
      <c r="E1606" s="58" t="s">
        <v>176</v>
      </c>
      <c r="F1606" s="58" t="s">
        <v>265</v>
      </c>
      <c r="G1606" s="58" t="s">
        <v>266</v>
      </c>
      <c r="H1606" s="58" t="s">
        <v>179</v>
      </c>
      <c r="I1606">
        <v>38000</v>
      </c>
      <c r="J1606">
        <v>38000</v>
      </c>
      <c r="K1606" s="58" t="s">
        <v>185</v>
      </c>
      <c r="L1606" s="74">
        <v>9.4079999999999995</v>
      </c>
      <c r="M1606" s="85">
        <v>10</v>
      </c>
      <c r="N1606" s="74">
        <v>2.99</v>
      </c>
      <c r="O1606">
        <v>3</v>
      </c>
      <c r="P1606" s="84">
        <v>2.2425000000000002</v>
      </c>
      <c r="Q1606" s="86">
        <v>12.600000000000001</v>
      </c>
      <c r="R1606" s="85">
        <v>12.600000000000001</v>
      </c>
      <c r="S1606" s="87">
        <v>1469550</v>
      </c>
      <c r="T1606" s="1">
        <v>3</v>
      </c>
      <c r="U1606" s="88">
        <v>116630.95238095237</v>
      </c>
      <c r="V1606" s="59">
        <v>8.5740532816168233</v>
      </c>
    </row>
    <row r="1607" spans="1:22">
      <c r="A1607" s="58">
        <v>1609</v>
      </c>
      <c r="B1607" s="58">
        <v>1609</v>
      </c>
      <c r="C1607" s="58" t="s">
        <v>2376</v>
      </c>
      <c r="D1607" s="58" t="s">
        <v>176</v>
      </c>
      <c r="E1607" s="58" t="s">
        <v>176</v>
      </c>
      <c r="F1607" s="58" t="s">
        <v>265</v>
      </c>
      <c r="G1607" s="58" t="s">
        <v>266</v>
      </c>
      <c r="H1607" s="58" t="s">
        <v>179</v>
      </c>
      <c r="I1607">
        <v>38000</v>
      </c>
      <c r="J1607">
        <v>38000</v>
      </c>
      <c r="K1607" s="58" t="s">
        <v>185</v>
      </c>
      <c r="L1607" s="74">
        <v>12.75</v>
      </c>
      <c r="M1607" s="85">
        <v>13</v>
      </c>
      <c r="N1607" s="74">
        <v>0.61499999999999999</v>
      </c>
      <c r="O1607">
        <v>3</v>
      </c>
      <c r="P1607" s="84">
        <v>0.61499999999999999</v>
      </c>
      <c r="Q1607" s="86">
        <v>4.2</v>
      </c>
      <c r="R1607" s="85">
        <v>4.2</v>
      </c>
      <c r="S1607" s="87">
        <v>1545240</v>
      </c>
      <c r="T1607" s="1">
        <v>1</v>
      </c>
      <c r="U1607" s="88">
        <v>367914.28571428568</v>
      </c>
      <c r="V1607" s="59">
        <v>2.7180243845616214</v>
      </c>
    </row>
    <row r="1608" spans="1:22">
      <c r="A1608" s="58">
        <v>1610</v>
      </c>
      <c r="B1608" s="58">
        <v>1610</v>
      </c>
      <c r="C1608" s="58" t="s">
        <v>2377</v>
      </c>
      <c r="D1608" s="58" t="s">
        <v>176</v>
      </c>
      <c r="E1608" s="58" t="s">
        <v>176</v>
      </c>
      <c r="F1608" s="58" t="s">
        <v>265</v>
      </c>
      <c r="G1608" s="58" t="s">
        <v>266</v>
      </c>
      <c r="H1608" s="58" t="s">
        <v>179</v>
      </c>
      <c r="I1608">
        <v>38000</v>
      </c>
      <c r="J1608">
        <v>38000</v>
      </c>
      <c r="K1608" s="58" t="s">
        <v>185</v>
      </c>
      <c r="L1608" s="74">
        <v>9.8140000000000001</v>
      </c>
      <c r="M1608" s="85">
        <v>10</v>
      </c>
      <c r="N1608" s="74">
        <v>0.85799999999999998</v>
      </c>
      <c r="O1608">
        <v>3</v>
      </c>
      <c r="P1608" s="84">
        <v>0.85799999999999998</v>
      </c>
      <c r="Q1608" s="86">
        <v>4.2</v>
      </c>
      <c r="R1608" s="85">
        <v>4.2</v>
      </c>
      <c r="S1608" s="87">
        <v>1387140</v>
      </c>
      <c r="T1608" s="1">
        <v>1</v>
      </c>
      <c r="U1608" s="88">
        <v>330271.42857142858</v>
      </c>
      <c r="V1608" s="59">
        <v>3.0278126216531858</v>
      </c>
    </row>
    <row r="1609" spans="1:22">
      <c r="A1609" s="58">
        <v>1611</v>
      </c>
      <c r="B1609" s="58">
        <v>1611</v>
      </c>
      <c r="C1609" s="58" t="s">
        <v>2378</v>
      </c>
      <c r="D1609" s="58" t="s">
        <v>176</v>
      </c>
      <c r="E1609" s="58" t="s">
        <v>176</v>
      </c>
      <c r="F1609" s="58" t="s">
        <v>265</v>
      </c>
      <c r="G1609" s="58" t="s">
        <v>266</v>
      </c>
      <c r="H1609" s="58" t="s">
        <v>179</v>
      </c>
      <c r="I1609">
        <v>38000</v>
      </c>
      <c r="J1609">
        <v>38000</v>
      </c>
      <c r="K1609" s="58" t="s">
        <v>185</v>
      </c>
      <c r="L1609" s="74">
        <v>12.334</v>
      </c>
      <c r="M1609" s="85">
        <v>13</v>
      </c>
      <c r="N1609" s="74">
        <v>0.33700000000000002</v>
      </c>
      <c r="O1609">
        <v>3</v>
      </c>
      <c r="P1609" s="84">
        <v>0.33700000000000002</v>
      </c>
      <c r="Q1609" s="86">
        <v>4.2</v>
      </c>
      <c r="R1609" s="85">
        <v>4.2</v>
      </c>
      <c r="S1609" s="87">
        <v>1545240</v>
      </c>
      <c r="T1609" s="1">
        <v>1</v>
      </c>
      <c r="U1609" s="88">
        <v>367914.28571428568</v>
      </c>
      <c r="V1609" s="59">
        <v>2.7180243845616214</v>
      </c>
    </row>
    <row r="1610" spans="1:22">
      <c r="A1610" s="58">
        <v>1612</v>
      </c>
      <c r="B1610" s="58">
        <v>1612</v>
      </c>
      <c r="C1610" s="58" t="s">
        <v>2379</v>
      </c>
      <c r="D1610" s="58" t="s">
        <v>176</v>
      </c>
      <c r="E1610" s="58" t="s">
        <v>176</v>
      </c>
      <c r="F1610" s="58" t="s">
        <v>265</v>
      </c>
      <c r="G1610" s="58" t="s">
        <v>266</v>
      </c>
      <c r="H1610" s="58" t="s">
        <v>179</v>
      </c>
      <c r="I1610">
        <v>38000</v>
      </c>
      <c r="J1610">
        <v>38000</v>
      </c>
      <c r="K1610" s="58" t="s">
        <v>185</v>
      </c>
      <c r="L1610" s="74">
        <v>16.18</v>
      </c>
      <c r="M1610" s="85">
        <v>17</v>
      </c>
      <c r="N1610" s="74">
        <v>2.2770000000000001</v>
      </c>
      <c r="O1610">
        <v>3</v>
      </c>
      <c r="P1610" s="84">
        <v>1.7077500000000001</v>
      </c>
      <c r="Q1610" s="86">
        <v>8.4</v>
      </c>
      <c r="R1610" s="85">
        <v>8.4</v>
      </c>
      <c r="S1610" s="87">
        <v>1801400</v>
      </c>
      <c r="T1610" s="1">
        <v>2</v>
      </c>
      <c r="U1610" s="88">
        <v>214452.38095238095</v>
      </c>
      <c r="V1610" s="59">
        <v>4.6630398578883092</v>
      </c>
    </row>
    <row r="1611" spans="1:22">
      <c r="A1611" s="58">
        <v>1613</v>
      </c>
      <c r="B1611" s="58">
        <v>1613</v>
      </c>
      <c r="C1611" s="58" t="s">
        <v>2380</v>
      </c>
      <c r="D1611" s="58" t="s">
        <v>176</v>
      </c>
      <c r="E1611" s="58" t="s">
        <v>176</v>
      </c>
      <c r="F1611" s="58" t="s">
        <v>262</v>
      </c>
      <c r="G1611" s="58" t="s">
        <v>263</v>
      </c>
      <c r="H1611" s="58" t="s">
        <v>179</v>
      </c>
      <c r="I1611">
        <v>38000</v>
      </c>
      <c r="J1611" s="58" t="s">
        <v>185</v>
      </c>
      <c r="K1611">
        <v>38000</v>
      </c>
      <c r="L1611" s="74">
        <v>17.927</v>
      </c>
      <c r="M1611" s="85">
        <v>18</v>
      </c>
      <c r="N1611" s="74">
        <v>1.7250000000000001</v>
      </c>
      <c r="O1611">
        <v>3</v>
      </c>
      <c r="P1611" s="84">
        <v>1.2937500000000002</v>
      </c>
      <c r="Q1611" s="86">
        <v>8.4</v>
      </c>
      <c r="R1611" s="85">
        <v>8.4</v>
      </c>
      <c r="S1611" s="87">
        <v>1854100</v>
      </c>
      <c r="T1611" s="1">
        <v>2</v>
      </c>
      <c r="U1611" s="88">
        <v>220726.19047619047</v>
      </c>
      <c r="V1611" s="59">
        <v>4.5304999730327387</v>
      </c>
    </row>
    <row r="1612" spans="1:22">
      <c r="A1612" s="58">
        <v>1614</v>
      </c>
      <c r="B1612" s="58">
        <v>1614</v>
      </c>
      <c r="C1612" s="58" t="s">
        <v>2381</v>
      </c>
      <c r="D1612" s="58" t="s">
        <v>176</v>
      </c>
      <c r="E1612" s="58" t="s">
        <v>176</v>
      </c>
      <c r="F1612" s="58" t="s">
        <v>262</v>
      </c>
      <c r="G1612" s="58" t="s">
        <v>263</v>
      </c>
      <c r="H1612" s="58" t="s">
        <v>179</v>
      </c>
      <c r="I1612">
        <v>38000</v>
      </c>
      <c r="J1612" s="58" t="s">
        <v>185</v>
      </c>
      <c r="K1612">
        <v>38000</v>
      </c>
      <c r="L1612" s="74">
        <v>17.832000000000001</v>
      </c>
      <c r="M1612" s="85">
        <v>18</v>
      </c>
      <c r="N1612" s="74">
        <v>0.48199999999999998</v>
      </c>
      <c r="O1612">
        <v>3</v>
      </c>
      <c r="P1612" s="84">
        <v>0.48199999999999998</v>
      </c>
      <c r="Q1612" s="86">
        <v>4.2</v>
      </c>
      <c r="R1612" s="85">
        <v>4.2</v>
      </c>
      <c r="S1612" s="87">
        <v>1808740</v>
      </c>
      <c r="T1612" s="1">
        <v>1</v>
      </c>
      <c r="U1612" s="88">
        <v>430652.38095238095</v>
      </c>
      <c r="V1612" s="59">
        <v>2.3220584495284009</v>
      </c>
    </row>
    <row r="1613" spans="1:22">
      <c r="A1613" s="58">
        <v>1615</v>
      </c>
      <c r="B1613" s="58">
        <v>1615</v>
      </c>
      <c r="C1613" s="58" t="s">
        <v>2382</v>
      </c>
      <c r="D1613" s="58" t="s">
        <v>176</v>
      </c>
      <c r="E1613" s="58" t="s">
        <v>176</v>
      </c>
      <c r="F1613" s="58" t="s">
        <v>265</v>
      </c>
      <c r="G1613" s="58" t="s">
        <v>266</v>
      </c>
      <c r="H1613" s="58" t="s">
        <v>179</v>
      </c>
      <c r="I1613">
        <v>38000</v>
      </c>
      <c r="J1613">
        <v>38000</v>
      </c>
      <c r="K1613" s="58" t="s">
        <v>185</v>
      </c>
      <c r="L1613" s="74">
        <v>16.210999999999999</v>
      </c>
      <c r="M1613" s="85">
        <v>17</v>
      </c>
      <c r="N1613" s="74">
        <v>0.97599999999999998</v>
      </c>
      <c r="O1613">
        <v>3</v>
      </c>
      <c r="P1613" s="84">
        <v>0.97599999999999998</v>
      </c>
      <c r="Q1613" s="86">
        <v>4.2</v>
      </c>
      <c r="R1613" s="85">
        <v>4.2</v>
      </c>
      <c r="S1613" s="87">
        <v>1756040</v>
      </c>
      <c r="T1613" s="1">
        <v>1</v>
      </c>
      <c r="U1613" s="88">
        <v>418104.76190476189</v>
      </c>
      <c r="V1613" s="59">
        <v>2.3917450627548349</v>
      </c>
    </row>
    <row r="1614" spans="1:22">
      <c r="A1614" s="58">
        <v>1616</v>
      </c>
      <c r="B1614" s="58">
        <v>1616</v>
      </c>
      <c r="C1614" s="58" t="s">
        <v>2383</v>
      </c>
      <c r="D1614" s="58" t="s">
        <v>176</v>
      </c>
      <c r="E1614" s="58" t="s">
        <v>176</v>
      </c>
      <c r="F1614" s="58" t="s">
        <v>262</v>
      </c>
      <c r="G1614" s="58" t="s">
        <v>263</v>
      </c>
      <c r="H1614" s="58" t="s">
        <v>179</v>
      </c>
      <c r="I1614">
        <v>38000</v>
      </c>
      <c r="J1614" s="58" t="s">
        <v>185</v>
      </c>
      <c r="K1614">
        <v>38000</v>
      </c>
      <c r="L1614" s="74">
        <v>15.74</v>
      </c>
      <c r="M1614" s="85">
        <v>16</v>
      </c>
      <c r="N1614" s="74">
        <v>2.1560000000000001</v>
      </c>
      <c r="O1614">
        <v>3</v>
      </c>
      <c r="P1614" s="84">
        <v>1.617</v>
      </c>
      <c r="Q1614" s="86">
        <v>8.4</v>
      </c>
      <c r="R1614" s="85">
        <v>8.4</v>
      </c>
      <c r="S1614" s="87">
        <v>1748700</v>
      </c>
      <c r="T1614" s="1">
        <v>2</v>
      </c>
      <c r="U1614" s="88">
        <v>208178.57142857142</v>
      </c>
      <c r="V1614" s="59">
        <v>4.8035683650711958</v>
      </c>
    </row>
    <row r="1615" spans="1:22">
      <c r="A1615" s="58">
        <v>1617</v>
      </c>
      <c r="B1615" s="58">
        <v>1617</v>
      </c>
      <c r="C1615" s="58" t="s">
        <v>2384</v>
      </c>
      <c r="D1615" s="58" t="s">
        <v>176</v>
      </c>
      <c r="E1615" s="58" t="s">
        <v>176</v>
      </c>
      <c r="F1615" s="58" t="s">
        <v>262</v>
      </c>
      <c r="G1615" s="58" t="s">
        <v>263</v>
      </c>
      <c r="H1615" s="58" t="s">
        <v>179</v>
      </c>
      <c r="I1615">
        <v>38000</v>
      </c>
      <c r="J1615" s="58" t="s">
        <v>185</v>
      </c>
      <c r="K1615">
        <v>38000</v>
      </c>
      <c r="L1615" s="74">
        <v>12.906000000000001</v>
      </c>
      <c r="M1615" s="85">
        <v>13</v>
      </c>
      <c r="N1615" s="74">
        <v>7.55</v>
      </c>
      <c r="O1615">
        <v>3</v>
      </c>
      <c r="P1615" s="84">
        <v>5.6624999999999996</v>
      </c>
      <c r="Q1615" s="86">
        <v>37.800000000000004</v>
      </c>
      <c r="R1615" s="85">
        <v>37.800000000000004</v>
      </c>
      <c r="S1615" s="87">
        <v>1794170</v>
      </c>
      <c r="T1615" s="1">
        <v>6</v>
      </c>
      <c r="U1615" s="88">
        <v>47464.81481481481</v>
      </c>
      <c r="V1615" s="59">
        <v>21.068237680933247</v>
      </c>
    </row>
    <row r="1616" spans="1:22">
      <c r="A1616" s="58">
        <v>1618</v>
      </c>
      <c r="B1616" s="58">
        <v>1618</v>
      </c>
      <c r="C1616" s="58" t="s">
        <v>2385</v>
      </c>
      <c r="D1616" s="58" t="s">
        <v>176</v>
      </c>
      <c r="E1616" s="58" t="s">
        <v>176</v>
      </c>
      <c r="F1616" s="58" t="s">
        <v>262</v>
      </c>
      <c r="G1616" s="58" t="s">
        <v>263</v>
      </c>
      <c r="H1616" s="58" t="s">
        <v>179</v>
      </c>
      <c r="I1616">
        <v>38000</v>
      </c>
      <c r="J1616" s="58" t="s">
        <v>185</v>
      </c>
      <c r="K1616">
        <v>38000</v>
      </c>
      <c r="L1616" s="74">
        <v>12.709</v>
      </c>
      <c r="M1616" s="85">
        <v>13</v>
      </c>
      <c r="N1616" s="74">
        <v>1.7949999999999999</v>
      </c>
      <c r="O1616">
        <v>3</v>
      </c>
      <c r="P1616" s="84">
        <v>1.3462499999999999</v>
      </c>
      <c r="Q1616" s="86">
        <v>8.4</v>
      </c>
      <c r="R1616" s="85">
        <v>8.4</v>
      </c>
      <c r="S1616" s="87">
        <v>1590600</v>
      </c>
      <c r="T1616" s="1">
        <v>2</v>
      </c>
      <c r="U1616" s="88">
        <v>189357.14285714284</v>
      </c>
      <c r="V1616" s="59">
        <v>5.2810260279139944</v>
      </c>
    </row>
    <row r="1617" spans="1:22">
      <c r="A1617" s="58">
        <v>1619</v>
      </c>
      <c r="B1617" s="58">
        <v>1619</v>
      </c>
      <c r="C1617" s="58" t="s">
        <v>2386</v>
      </c>
      <c r="D1617" s="58" t="s">
        <v>176</v>
      </c>
      <c r="E1617" s="58" t="s">
        <v>176</v>
      </c>
      <c r="F1617" s="58" t="s">
        <v>262</v>
      </c>
      <c r="G1617" s="58" t="s">
        <v>263</v>
      </c>
      <c r="H1617" s="58" t="s">
        <v>179</v>
      </c>
      <c r="I1617">
        <v>38000</v>
      </c>
      <c r="J1617" s="58" t="s">
        <v>185</v>
      </c>
      <c r="K1617">
        <v>38000</v>
      </c>
      <c r="L1617" s="74">
        <v>13.119</v>
      </c>
      <c r="M1617" s="85">
        <v>14</v>
      </c>
      <c r="N1617" s="74">
        <v>1.1020000000000001</v>
      </c>
      <c r="O1617">
        <v>3</v>
      </c>
      <c r="P1617" s="84">
        <v>1.1020000000000001</v>
      </c>
      <c r="Q1617" s="86">
        <v>4.2</v>
      </c>
      <c r="R1617" s="85">
        <v>4.2</v>
      </c>
      <c r="S1617" s="87">
        <v>1597940</v>
      </c>
      <c r="T1617" s="1">
        <v>1</v>
      </c>
      <c r="U1617" s="88">
        <v>380461.90476190473</v>
      </c>
      <c r="V1617" s="59">
        <v>2.6283840444572388</v>
      </c>
    </row>
    <row r="1618" spans="1:22">
      <c r="A1618" s="58">
        <v>1620</v>
      </c>
      <c r="B1618" s="58">
        <v>1620</v>
      </c>
      <c r="C1618" s="58" t="s">
        <v>2387</v>
      </c>
      <c r="D1618" s="58" t="s">
        <v>176</v>
      </c>
      <c r="E1618" s="58" t="s">
        <v>176</v>
      </c>
      <c r="F1618" s="58" t="s">
        <v>269</v>
      </c>
      <c r="G1618" s="58" t="s">
        <v>270</v>
      </c>
      <c r="H1618" s="58" t="s">
        <v>179</v>
      </c>
      <c r="I1618">
        <v>38000</v>
      </c>
      <c r="J1618">
        <v>38000</v>
      </c>
      <c r="K1618">
        <v>20000</v>
      </c>
      <c r="L1618" s="74">
        <v>15.273999999999999</v>
      </c>
      <c r="M1618" s="85">
        <v>16</v>
      </c>
      <c r="N1618" s="74">
        <v>1.0349999999999999</v>
      </c>
      <c r="O1618">
        <v>3</v>
      </c>
      <c r="P1618" s="84">
        <v>1.0349999999999999</v>
      </c>
      <c r="Q1618" s="86">
        <v>4.2</v>
      </c>
      <c r="R1618" s="85">
        <v>4.2</v>
      </c>
      <c r="S1618" s="87">
        <v>1703340</v>
      </c>
      <c r="T1618" s="1">
        <v>1</v>
      </c>
      <c r="U1618" s="88">
        <v>405557.14285714284</v>
      </c>
      <c r="V1618" s="59">
        <v>2.4657437739969708</v>
      </c>
    </row>
    <row r="1619" spans="1:22">
      <c r="A1619" s="58">
        <v>1621</v>
      </c>
      <c r="B1619" s="58">
        <v>1621</v>
      </c>
      <c r="C1619" s="58" t="s">
        <v>2388</v>
      </c>
      <c r="D1619" s="58" t="s">
        <v>176</v>
      </c>
      <c r="E1619" s="58" t="s">
        <v>176</v>
      </c>
      <c r="F1619" s="58" t="s">
        <v>1269</v>
      </c>
      <c r="G1619" s="58" t="s">
        <v>1270</v>
      </c>
      <c r="H1619" s="58" t="s">
        <v>199</v>
      </c>
      <c r="I1619">
        <v>110000</v>
      </c>
      <c r="J1619">
        <v>110000</v>
      </c>
      <c r="K1619">
        <v>38000</v>
      </c>
      <c r="L1619" s="74">
        <v>14.717000000000001</v>
      </c>
      <c r="M1619" s="85">
        <v>15</v>
      </c>
      <c r="N1619" s="74">
        <v>2.7949999999999999</v>
      </c>
      <c r="O1619">
        <v>3</v>
      </c>
      <c r="P1619" s="84">
        <v>2.0962499999999999</v>
      </c>
      <c r="Q1619" s="86">
        <v>12.600000000000001</v>
      </c>
      <c r="R1619" s="85">
        <v>12.600000000000001</v>
      </c>
      <c r="S1619" s="87">
        <v>2206970</v>
      </c>
      <c r="T1619" s="1">
        <v>7</v>
      </c>
      <c r="U1619" s="88">
        <v>175156.34920634917</v>
      </c>
      <c r="V1619" s="59">
        <v>5.7091849911870129</v>
      </c>
    </row>
    <row r="1620" spans="1:22">
      <c r="A1620" s="58">
        <v>1622</v>
      </c>
      <c r="B1620" s="58">
        <v>1622</v>
      </c>
      <c r="C1620" s="58" t="s">
        <v>2389</v>
      </c>
      <c r="D1620" s="58" t="s">
        <v>176</v>
      </c>
      <c r="E1620" s="58" t="s">
        <v>176</v>
      </c>
      <c r="F1620" s="58" t="s">
        <v>262</v>
      </c>
      <c r="G1620" s="58" t="s">
        <v>263</v>
      </c>
      <c r="H1620" s="58" t="s">
        <v>179</v>
      </c>
      <c r="I1620">
        <v>38000</v>
      </c>
      <c r="J1620" s="58" t="s">
        <v>185</v>
      </c>
      <c r="K1620">
        <v>38000</v>
      </c>
      <c r="L1620" s="74">
        <v>13.176</v>
      </c>
      <c r="M1620" s="85">
        <v>14</v>
      </c>
      <c r="N1620" s="74">
        <v>0.502</v>
      </c>
      <c r="O1620">
        <v>3</v>
      </c>
      <c r="P1620" s="84">
        <v>0.502</v>
      </c>
      <c r="Q1620" s="86">
        <v>4.2</v>
      </c>
      <c r="R1620" s="85">
        <v>4.2</v>
      </c>
      <c r="S1620" s="87">
        <v>1597940</v>
      </c>
      <c r="T1620" s="1">
        <v>1</v>
      </c>
      <c r="U1620" s="88">
        <v>380461.90476190473</v>
      </c>
      <c r="V1620" s="59">
        <v>2.6283840444572388</v>
      </c>
    </row>
    <row r="1621" spans="1:22">
      <c r="A1621" s="58">
        <v>1623</v>
      </c>
      <c r="B1621" s="58">
        <v>1623</v>
      </c>
      <c r="C1621" s="58" t="s">
        <v>2390</v>
      </c>
      <c r="D1621" s="58" t="s">
        <v>176</v>
      </c>
      <c r="E1621" s="58" t="s">
        <v>176</v>
      </c>
      <c r="F1621" s="58" t="s">
        <v>262</v>
      </c>
      <c r="G1621" s="58" t="s">
        <v>263</v>
      </c>
      <c r="H1621" s="58" t="s">
        <v>179</v>
      </c>
      <c r="I1621">
        <v>38000</v>
      </c>
      <c r="J1621" s="58" t="s">
        <v>185</v>
      </c>
      <c r="K1621">
        <v>38000</v>
      </c>
      <c r="L1621" s="74">
        <v>12.147</v>
      </c>
      <c r="M1621" s="85">
        <v>13</v>
      </c>
      <c r="N1621" s="74">
        <v>8.3629999999999995</v>
      </c>
      <c r="O1621">
        <v>3</v>
      </c>
      <c r="P1621" s="84">
        <v>6.2722499999999997</v>
      </c>
      <c r="Q1621" s="86">
        <v>42</v>
      </c>
      <c r="R1621" s="85">
        <v>42</v>
      </c>
      <c r="S1621" s="87">
        <v>1794170</v>
      </c>
      <c r="T1621" s="1">
        <v>6</v>
      </c>
      <c r="U1621" s="88">
        <v>42718.333333333336</v>
      </c>
      <c r="V1621" s="59">
        <v>23.409152978814717</v>
      </c>
    </row>
    <row r="1622" spans="1:22">
      <c r="A1622" s="58">
        <v>1624</v>
      </c>
      <c r="B1622" s="58">
        <v>1624</v>
      </c>
      <c r="C1622" s="58" t="s">
        <v>2391</v>
      </c>
      <c r="D1622" s="58" t="s">
        <v>176</v>
      </c>
      <c r="E1622" s="58" t="s">
        <v>176</v>
      </c>
      <c r="F1622" s="58" t="s">
        <v>262</v>
      </c>
      <c r="G1622" s="58" t="s">
        <v>263</v>
      </c>
      <c r="H1622" s="58" t="s">
        <v>179</v>
      </c>
      <c r="I1622">
        <v>38000</v>
      </c>
      <c r="J1622" s="58" t="s">
        <v>185</v>
      </c>
      <c r="K1622">
        <v>38000</v>
      </c>
      <c r="L1622" s="74">
        <v>10.162000000000001</v>
      </c>
      <c r="M1622" s="85">
        <v>11</v>
      </c>
      <c r="N1622" s="74">
        <v>0.81200000000000006</v>
      </c>
      <c r="O1622">
        <v>3</v>
      </c>
      <c r="P1622" s="84">
        <v>0.81200000000000006</v>
      </c>
      <c r="Q1622" s="86">
        <v>4.2</v>
      </c>
      <c r="R1622" s="85">
        <v>4.2</v>
      </c>
      <c r="S1622" s="87">
        <v>1439840</v>
      </c>
      <c r="T1622" s="1">
        <v>1</v>
      </c>
      <c r="U1622" s="88">
        <v>342819.04761904763</v>
      </c>
      <c r="V1622" s="59">
        <v>2.9169907767529724</v>
      </c>
    </row>
    <row r="1623" spans="1:22">
      <c r="A1623" s="58">
        <v>1625</v>
      </c>
      <c r="B1623" s="58">
        <v>1625</v>
      </c>
      <c r="C1623" s="58" t="s">
        <v>2392</v>
      </c>
      <c r="D1623" s="58" t="s">
        <v>176</v>
      </c>
      <c r="E1623" s="58" t="s">
        <v>176</v>
      </c>
      <c r="F1623" s="58" t="s">
        <v>262</v>
      </c>
      <c r="G1623" s="58" t="s">
        <v>263</v>
      </c>
      <c r="H1623" s="58" t="s">
        <v>179</v>
      </c>
      <c r="I1623">
        <v>38000</v>
      </c>
      <c r="J1623" s="58" t="s">
        <v>185</v>
      </c>
      <c r="K1623">
        <v>38000</v>
      </c>
      <c r="L1623" s="74">
        <v>9.9510000000000005</v>
      </c>
      <c r="M1623" s="85">
        <v>10</v>
      </c>
      <c r="N1623" s="74">
        <v>2.419</v>
      </c>
      <c r="O1623">
        <v>3</v>
      </c>
      <c r="P1623" s="84">
        <v>1.8142499999999999</v>
      </c>
      <c r="Q1623" s="86">
        <v>12.600000000000001</v>
      </c>
      <c r="R1623" s="85">
        <v>12.600000000000001</v>
      </c>
      <c r="S1623" s="87">
        <v>1469550</v>
      </c>
      <c r="T1623" s="1">
        <v>3</v>
      </c>
      <c r="U1623" s="88">
        <v>116630.95238095237</v>
      </c>
      <c r="V1623" s="59">
        <v>8.5740532816168233</v>
      </c>
    </row>
    <row r="1624" spans="1:22">
      <c r="A1624" s="58">
        <v>1626</v>
      </c>
      <c r="B1624" s="58">
        <v>1626</v>
      </c>
      <c r="C1624" s="58" t="s">
        <v>2393</v>
      </c>
      <c r="D1624" s="58" t="s">
        <v>176</v>
      </c>
      <c r="E1624" s="58" t="s">
        <v>176</v>
      </c>
      <c r="F1624" s="58" t="s">
        <v>262</v>
      </c>
      <c r="G1624" s="58" t="s">
        <v>263</v>
      </c>
      <c r="H1624" s="58" t="s">
        <v>179</v>
      </c>
      <c r="I1624">
        <v>38000</v>
      </c>
      <c r="J1624" s="58" t="s">
        <v>185</v>
      </c>
      <c r="K1624">
        <v>38000</v>
      </c>
      <c r="L1624" s="74">
        <v>9.19</v>
      </c>
      <c r="M1624" s="85">
        <v>10</v>
      </c>
      <c r="N1624" s="74">
        <v>1.2190000000000001</v>
      </c>
      <c r="O1624">
        <v>3</v>
      </c>
      <c r="P1624" s="84">
        <v>0.91425000000000001</v>
      </c>
      <c r="Q1624" s="86">
        <v>4.2</v>
      </c>
      <c r="R1624" s="85">
        <v>4.2</v>
      </c>
      <c r="S1624" s="87">
        <v>1387140</v>
      </c>
      <c r="T1624" s="1">
        <v>1</v>
      </c>
      <c r="U1624" s="88">
        <v>330271.42857142858</v>
      </c>
      <c r="V1624" s="59">
        <v>3.0278126216531858</v>
      </c>
    </row>
    <row r="1625" spans="1:22">
      <c r="A1625" s="58">
        <v>1627</v>
      </c>
      <c r="B1625" s="58">
        <v>1627</v>
      </c>
      <c r="C1625" s="58" t="s">
        <v>2394</v>
      </c>
      <c r="D1625" s="58" t="s">
        <v>176</v>
      </c>
      <c r="E1625" s="58" t="s">
        <v>176</v>
      </c>
      <c r="F1625" s="58" t="s">
        <v>262</v>
      </c>
      <c r="G1625" s="58" t="s">
        <v>263</v>
      </c>
      <c r="H1625" s="58" t="s">
        <v>179</v>
      </c>
      <c r="I1625">
        <v>38000</v>
      </c>
      <c r="J1625" s="58" t="s">
        <v>185</v>
      </c>
      <c r="K1625">
        <v>38000</v>
      </c>
      <c r="L1625" s="74">
        <v>10.49</v>
      </c>
      <c r="M1625" s="85">
        <v>11</v>
      </c>
      <c r="N1625" s="74">
        <v>5.2279999999999998</v>
      </c>
      <c r="O1625">
        <v>3</v>
      </c>
      <c r="P1625" s="84">
        <v>3.9209999999999998</v>
      </c>
      <c r="Q1625" s="86">
        <v>25.200000000000003</v>
      </c>
      <c r="R1625" s="85">
        <v>25.200000000000003</v>
      </c>
      <c r="S1625" s="87">
        <v>1324920</v>
      </c>
      <c r="T1625" s="1">
        <v>5</v>
      </c>
      <c r="U1625" s="88">
        <v>52576.190476190473</v>
      </c>
      <c r="V1625" s="59">
        <v>19.02001630287112</v>
      </c>
    </row>
    <row r="1626" spans="1:22">
      <c r="A1626" s="58">
        <v>1628</v>
      </c>
      <c r="B1626" s="58">
        <v>1628</v>
      </c>
      <c r="C1626" s="58" t="s">
        <v>2395</v>
      </c>
      <c r="D1626" s="58" t="s">
        <v>176</v>
      </c>
      <c r="E1626" s="58" t="s">
        <v>176</v>
      </c>
      <c r="F1626" s="58" t="s">
        <v>564</v>
      </c>
      <c r="G1626" s="58" t="s">
        <v>565</v>
      </c>
      <c r="H1626" s="58" t="s">
        <v>199</v>
      </c>
      <c r="I1626">
        <v>110000</v>
      </c>
      <c r="L1626" s="74">
        <v>7.5579999999999998</v>
      </c>
      <c r="M1626" s="85">
        <v>8</v>
      </c>
      <c r="N1626" s="74">
        <v>2.8159999999999998</v>
      </c>
      <c r="O1626">
        <v>3</v>
      </c>
      <c r="P1626" s="84">
        <v>2.1120000000000001</v>
      </c>
      <c r="Q1626" s="86">
        <v>12.600000000000001</v>
      </c>
      <c r="R1626" s="85">
        <v>12.600000000000001</v>
      </c>
      <c r="S1626" s="87">
        <v>1838070</v>
      </c>
      <c r="T1626" s="1">
        <v>7</v>
      </c>
      <c r="U1626" s="88">
        <v>145878.57142857142</v>
      </c>
      <c r="V1626" s="59">
        <v>6.8550164030749654</v>
      </c>
    </row>
    <row r="1627" spans="1:22">
      <c r="A1627" s="58">
        <v>1629</v>
      </c>
      <c r="B1627" s="58">
        <v>1629</v>
      </c>
      <c r="C1627" s="58" t="s">
        <v>2396</v>
      </c>
      <c r="D1627" s="58" t="s">
        <v>176</v>
      </c>
      <c r="E1627" s="58" t="s">
        <v>176</v>
      </c>
      <c r="F1627" s="58" t="s">
        <v>285</v>
      </c>
      <c r="G1627" s="58" t="s">
        <v>286</v>
      </c>
      <c r="H1627" s="58" t="s">
        <v>179</v>
      </c>
      <c r="I1627">
        <v>38000</v>
      </c>
      <c r="J1627">
        <v>38000</v>
      </c>
      <c r="K1627">
        <v>20000</v>
      </c>
      <c r="L1627" s="74">
        <v>6.399</v>
      </c>
      <c r="M1627" s="85">
        <v>7</v>
      </c>
      <c r="N1627" s="74">
        <v>1.865</v>
      </c>
      <c r="O1627">
        <v>3</v>
      </c>
      <c r="P1627" s="84">
        <v>1.3987499999999999</v>
      </c>
      <c r="Q1627" s="86">
        <v>8.4</v>
      </c>
      <c r="R1627" s="85">
        <v>8.4</v>
      </c>
      <c r="S1627" s="87">
        <v>839680</v>
      </c>
      <c r="T1627" s="1">
        <v>4</v>
      </c>
      <c r="U1627" s="88">
        <v>99961.904761904763</v>
      </c>
      <c r="V1627" s="59">
        <v>10.003810975609756</v>
      </c>
    </row>
    <row r="1628" spans="1:22">
      <c r="A1628" s="58">
        <v>1630</v>
      </c>
      <c r="B1628" s="58">
        <v>1630</v>
      </c>
      <c r="C1628" s="58" t="s">
        <v>2397</v>
      </c>
      <c r="D1628" s="58" t="s">
        <v>176</v>
      </c>
      <c r="E1628" s="58" t="s">
        <v>176</v>
      </c>
      <c r="F1628" s="58" t="s">
        <v>285</v>
      </c>
      <c r="G1628" s="58" t="s">
        <v>286</v>
      </c>
      <c r="H1628" s="58" t="s">
        <v>179</v>
      </c>
      <c r="I1628">
        <v>38000</v>
      </c>
      <c r="J1628">
        <v>38000</v>
      </c>
      <c r="K1628">
        <v>20000</v>
      </c>
      <c r="L1628" s="74">
        <v>5.5910000000000002</v>
      </c>
      <c r="M1628" s="85">
        <v>6</v>
      </c>
      <c r="N1628" s="74">
        <v>0.91300000000000003</v>
      </c>
      <c r="O1628">
        <v>3</v>
      </c>
      <c r="P1628" s="84">
        <v>0.91300000000000003</v>
      </c>
      <c r="Q1628" s="86">
        <v>4.2</v>
      </c>
      <c r="R1628" s="85">
        <v>4.2</v>
      </c>
      <c r="S1628" s="87">
        <v>769410</v>
      </c>
      <c r="T1628" s="1">
        <v>4</v>
      </c>
      <c r="U1628" s="88">
        <v>183192.85714285713</v>
      </c>
      <c r="V1628" s="59">
        <v>5.4587281163488903</v>
      </c>
    </row>
    <row r="1629" spans="1:22">
      <c r="A1629" s="58">
        <v>1631</v>
      </c>
      <c r="B1629" s="58">
        <v>1631</v>
      </c>
      <c r="C1629" s="58" t="s">
        <v>2398</v>
      </c>
      <c r="D1629" s="58" t="s">
        <v>176</v>
      </c>
      <c r="E1629" s="58" t="s">
        <v>176</v>
      </c>
      <c r="F1629" s="58" t="s">
        <v>285</v>
      </c>
      <c r="G1629" s="58" t="s">
        <v>286</v>
      </c>
      <c r="H1629" s="58" t="s">
        <v>179</v>
      </c>
      <c r="I1629">
        <v>38000</v>
      </c>
      <c r="J1629">
        <v>38000</v>
      </c>
      <c r="K1629">
        <v>20000</v>
      </c>
      <c r="L1629" s="74">
        <v>6.4269999999999996</v>
      </c>
      <c r="M1629" s="85">
        <v>7</v>
      </c>
      <c r="N1629" s="74">
        <v>2.819</v>
      </c>
      <c r="O1629">
        <v>3</v>
      </c>
      <c r="P1629" s="84">
        <v>2.1142500000000002</v>
      </c>
      <c r="Q1629" s="86">
        <v>12.600000000000001</v>
      </c>
      <c r="R1629" s="85">
        <v>12.600000000000001</v>
      </c>
      <c r="S1629" s="87">
        <v>839680</v>
      </c>
      <c r="T1629" s="1">
        <v>4</v>
      </c>
      <c r="U1629" s="88">
        <v>66641.269841269837</v>
      </c>
      <c r="V1629" s="59">
        <v>15.005716463414636</v>
      </c>
    </row>
    <row r="1630" spans="1:22">
      <c r="A1630" s="58">
        <v>1632</v>
      </c>
      <c r="B1630" s="58">
        <v>1632</v>
      </c>
      <c r="C1630" s="58" t="s">
        <v>2399</v>
      </c>
      <c r="D1630" s="58" t="s">
        <v>176</v>
      </c>
      <c r="E1630" s="58" t="s">
        <v>176</v>
      </c>
      <c r="F1630" s="58" t="s">
        <v>265</v>
      </c>
      <c r="G1630" s="58" t="s">
        <v>266</v>
      </c>
      <c r="H1630" s="58" t="s">
        <v>179</v>
      </c>
      <c r="I1630">
        <v>38000</v>
      </c>
      <c r="J1630">
        <v>38000</v>
      </c>
      <c r="K1630" s="58" t="s">
        <v>185</v>
      </c>
      <c r="L1630" s="74">
        <v>4.4889999999999999</v>
      </c>
      <c r="M1630" s="85">
        <v>5</v>
      </c>
      <c r="N1630" s="74">
        <v>1.0660000000000001</v>
      </c>
      <c r="O1630">
        <v>3</v>
      </c>
      <c r="P1630" s="84">
        <v>1.0660000000000001</v>
      </c>
      <c r="Q1630" s="86">
        <v>4.2</v>
      </c>
      <c r="R1630" s="85">
        <v>4.2</v>
      </c>
      <c r="S1630" s="87">
        <v>699140</v>
      </c>
      <c r="T1630" s="1">
        <v>4</v>
      </c>
      <c r="U1630" s="88">
        <v>166461.90476190476</v>
      </c>
      <c r="V1630" s="59">
        <v>6.0073804960379897</v>
      </c>
    </row>
    <row r="1631" spans="1:22">
      <c r="A1631" s="58">
        <v>1633</v>
      </c>
      <c r="B1631" s="58">
        <v>1633</v>
      </c>
      <c r="C1631" s="58" t="s">
        <v>2400</v>
      </c>
      <c r="D1631" s="58" t="s">
        <v>176</v>
      </c>
      <c r="E1631" s="58" t="s">
        <v>176</v>
      </c>
      <c r="F1631" s="58" t="s">
        <v>265</v>
      </c>
      <c r="G1631" s="58" t="s">
        <v>266</v>
      </c>
      <c r="H1631" s="58" t="s">
        <v>179</v>
      </c>
      <c r="I1631">
        <v>38000</v>
      </c>
      <c r="J1631">
        <v>38000</v>
      </c>
      <c r="K1631" s="58" t="s">
        <v>185</v>
      </c>
      <c r="L1631" s="74">
        <v>5.4580000000000002</v>
      </c>
      <c r="M1631" s="85">
        <v>6</v>
      </c>
      <c r="N1631" s="74">
        <v>1.827</v>
      </c>
      <c r="O1631">
        <v>3</v>
      </c>
      <c r="P1631" s="84">
        <v>1.37025</v>
      </c>
      <c r="Q1631" s="86">
        <v>8.4</v>
      </c>
      <c r="R1631" s="85">
        <v>8.4</v>
      </c>
      <c r="S1631" s="87">
        <v>769410</v>
      </c>
      <c r="T1631" s="1">
        <v>4</v>
      </c>
      <c r="U1631" s="88">
        <v>91596.428571428565</v>
      </c>
      <c r="V1631" s="59">
        <v>10.917456232697781</v>
      </c>
    </row>
    <row r="1632" spans="1:22">
      <c r="A1632" s="58">
        <v>1634</v>
      </c>
      <c r="B1632" s="58">
        <v>1634</v>
      </c>
      <c r="C1632" s="58" t="s">
        <v>2401</v>
      </c>
      <c r="D1632" s="58" t="s">
        <v>176</v>
      </c>
      <c r="E1632" s="58" t="s">
        <v>176</v>
      </c>
      <c r="F1632" s="58" t="s">
        <v>2402</v>
      </c>
      <c r="G1632" s="58" t="s">
        <v>2403</v>
      </c>
      <c r="H1632" s="58" t="s">
        <v>179</v>
      </c>
      <c r="I1632">
        <v>38000</v>
      </c>
      <c r="J1632">
        <v>38000</v>
      </c>
      <c r="K1632">
        <v>10000</v>
      </c>
      <c r="L1632" s="74">
        <v>7.96</v>
      </c>
      <c r="M1632" s="85">
        <v>8</v>
      </c>
      <c r="N1632" s="74">
        <v>2.69</v>
      </c>
      <c r="O1632">
        <v>3</v>
      </c>
      <c r="P1632" s="84">
        <v>2.0175000000000001</v>
      </c>
      <c r="Q1632" s="86">
        <v>12.600000000000001</v>
      </c>
      <c r="R1632" s="85">
        <v>12.600000000000001</v>
      </c>
      <c r="S1632" s="87">
        <v>909950</v>
      </c>
      <c r="T1632" s="1">
        <v>4</v>
      </c>
      <c r="U1632" s="88">
        <v>72218.253968253965</v>
      </c>
      <c r="V1632" s="59">
        <v>13.846914665640972</v>
      </c>
    </row>
    <row r="1633" spans="1:22">
      <c r="A1633" s="58">
        <v>1635</v>
      </c>
      <c r="B1633" s="58">
        <v>1635</v>
      </c>
      <c r="C1633" s="58" t="s">
        <v>2404</v>
      </c>
      <c r="D1633" s="58" t="s">
        <v>176</v>
      </c>
      <c r="E1633" s="58" t="s">
        <v>176</v>
      </c>
      <c r="F1633" s="58" t="s">
        <v>265</v>
      </c>
      <c r="G1633" s="58" t="s">
        <v>266</v>
      </c>
      <c r="H1633" s="58" t="s">
        <v>179</v>
      </c>
      <c r="I1633">
        <v>38000</v>
      </c>
      <c r="J1633">
        <v>38000</v>
      </c>
      <c r="K1633" s="58" t="s">
        <v>185</v>
      </c>
      <c r="L1633" s="74">
        <v>4.93</v>
      </c>
      <c r="M1633" s="85">
        <v>5</v>
      </c>
      <c r="N1633" s="74">
        <v>2.3039999999999998</v>
      </c>
      <c r="O1633">
        <v>3</v>
      </c>
      <c r="P1633" s="84">
        <v>1.7279999999999998</v>
      </c>
      <c r="Q1633" s="86">
        <v>8.4</v>
      </c>
      <c r="R1633" s="85">
        <v>8.4</v>
      </c>
      <c r="S1633" s="87">
        <v>699140</v>
      </c>
      <c r="T1633" s="1">
        <v>4</v>
      </c>
      <c r="U1633" s="88">
        <v>83230.952380952382</v>
      </c>
      <c r="V1633" s="59">
        <v>12.014760992075979</v>
      </c>
    </row>
    <row r="1634" spans="1:22">
      <c r="A1634" s="58">
        <v>1636</v>
      </c>
      <c r="B1634" s="58">
        <v>1636</v>
      </c>
      <c r="C1634" s="58" t="s">
        <v>2405</v>
      </c>
      <c r="D1634" s="58" t="s">
        <v>176</v>
      </c>
      <c r="E1634" s="58" t="s">
        <v>176</v>
      </c>
      <c r="F1634" s="58" t="s">
        <v>265</v>
      </c>
      <c r="G1634" s="58" t="s">
        <v>266</v>
      </c>
      <c r="H1634" s="58" t="s">
        <v>179</v>
      </c>
      <c r="I1634">
        <v>38000</v>
      </c>
      <c r="J1634">
        <v>38000</v>
      </c>
      <c r="K1634" s="58" t="s">
        <v>185</v>
      </c>
      <c r="L1634" s="74">
        <v>14.023999999999999</v>
      </c>
      <c r="M1634" s="85">
        <v>15</v>
      </c>
      <c r="N1634" s="74">
        <v>1.44</v>
      </c>
      <c r="O1634">
        <v>3</v>
      </c>
      <c r="P1634" s="84">
        <v>1.08</v>
      </c>
      <c r="Q1634" s="86">
        <v>4.2</v>
      </c>
      <c r="R1634" s="85">
        <v>4.2</v>
      </c>
      <c r="S1634" s="87">
        <v>1650640</v>
      </c>
      <c r="T1634" s="1">
        <v>1</v>
      </c>
      <c r="U1634" s="88">
        <v>393009.52380952379</v>
      </c>
      <c r="V1634" s="59">
        <v>2.5444676004458877</v>
      </c>
    </row>
    <row r="1635" spans="1:22">
      <c r="A1635" s="58">
        <v>1637</v>
      </c>
      <c r="B1635" s="58">
        <v>1637</v>
      </c>
      <c r="C1635" s="58" t="s">
        <v>2406</v>
      </c>
      <c r="D1635" s="58" t="s">
        <v>176</v>
      </c>
      <c r="E1635" s="58" t="s">
        <v>176</v>
      </c>
      <c r="F1635" s="58" t="s">
        <v>265</v>
      </c>
      <c r="G1635" s="58" t="s">
        <v>266</v>
      </c>
      <c r="H1635" s="58" t="s">
        <v>179</v>
      </c>
      <c r="I1635">
        <v>38000</v>
      </c>
      <c r="J1635">
        <v>38000</v>
      </c>
      <c r="K1635" s="58" t="s">
        <v>185</v>
      </c>
      <c r="L1635" s="74">
        <v>16.667999999999999</v>
      </c>
      <c r="M1635" s="85">
        <v>17</v>
      </c>
      <c r="N1635" s="74">
        <v>2.46</v>
      </c>
      <c r="O1635">
        <v>3</v>
      </c>
      <c r="P1635" s="84">
        <v>1.845</v>
      </c>
      <c r="Q1635" s="86">
        <v>12.600000000000001</v>
      </c>
      <c r="R1635" s="85">
        <v>12.600000000000001</v>
      </c>
      <c r="S1635" s="87">
        <v>1838450</v>
      </c>
      <c r="T1635" s="1">
        <v>3</v>
      </c>
      <c r="U1635" s="88">
        <v>145908.73015873015</v>
      </c>
      <c r="V1635" s="59">
        <v>6.8535994995784506</v>
      </c>
    </row>
    <row r="1636" spans="1:22">
      <c r="A1636" s="58">
        <v>1638</v>
      </c>
      <c r="B1636" s="58">
        <v>1638</v>
      </c>
      <c r="C1636" s="58" t="s">
        <v>2407</v>
      </c>
      <c r="D1636" s="58" t="s">
        <v>176</v>
      </c>
      <c r="E1636" s="58" t="s">
        <v>176</v>
      </c>
      <c r="F1636" s="58" t="s">
        <v>262</v>
      </c>
      <c r="G1636" s="58" t="s">
        <v>263</v>
      </c>
      <c r="H1636" s="58" t="s">
        <v>179</v>
      </c>
      <c r="I1636">
        <v>38000</v>
      </c>
      <c r="J1636" s="58" t="s">
        <v>185</v>
      </c>
      <c r="K1636">
        <v>38000</v>
      </c>
      <c r="L1636" s="74">
        <v>15.478</v>
      </c>
      <c r="M1636" s="85">
        <v>16</v>
      </c>
      <c r="N1636" s="74">
        <v>1.1970000000000001</v>
      </c>
      <c r="O1636">
        <v>3</v>
      </c>
      <c r="P1636" s="84">
        <v>1.1970000000000001</v>
      </c>
      <c r="Q1636" s="86">
        <v>4.2</v>
      </c>
      <c r="R1636" s="85">
        <v>4.2</v>
      </c>
      <c r="S1636" s="87">
        <v>1703340</v>
      </c>
      <c r="T1636" s="1">
        <v>1</v>
      </c>
      <c r="U1636" s="88">
        <v>405557.14285714284</v>
      </c>
      <c r="V1636" s="59">
        <v>2.4657437739969708</v>
      </c>
    </row>
    <row r="1637" spans="1:22">
      <c r="A1637" s="58">
        <v>1639</v>
      </c>
      <c r="B1637" s="58">
        <v>1639</v>
      </c>
      <c r="C1637" s="58" t="s">
        <v>2408</v>
      </c>
      <c r="D1637" s="58" t="s">
        <v>176</v>
      </c>
      <c r="E1637" s="58" t="s">
        <v>176</v>
      </c>
      <c r="F1637" s="58" t="s">
        <v>262</v>
      </c>
      <c r="G1637" s="58" t="s">
        <v>263</v>
      </c>
      <c r="H1637" s="58" t="s">
        <v>179</v>
      </c>
      <c r="I1637">
        <v>38000</v>
      </c>
      <c r="J1637" s="58" t="s">
        <v>185</v>
      </c>
      <c r="K1637">
        <v>38000</v>
      </c>
      <c r="L1637" s="74">
        <v>12.103999999999999</v>
      </c>
      <c r="M1637" s="85">
        <v>13</v>
      </c>
      <c r="N1637" s="74">
        <v>4.149</v>
      </c>
      <c r="O1637">
        <v>3</v>
      </c>
      <c r="P1637" s="84">
        <v>3.1117499999999998</v>
      </c>
      <c r="Q1637" s="86">
        <v>21</v>
      </c>
      <c r="R1637" s="85">
        <v>21</v>
      </c>
      <c r="S1637" s="87">
        <v>1261300</v>
      </c>
      <c r="T1637" s="1">
        <v>4</v>
      </c>
      <c r="U1637" s="88">
        <v>60061.904761904763</v>
      </c>
      <c r="V1637" s="59">
        <v>16.649488622849439</v>
      </c>
    </row>
    <row r="1638" spans="1:22">
      <c r="A1638" s="58">
        <v>1640</v>
      </c>
      <c r="B1638" s="58">
        <v>1640</v>
      </c>
      <c r="C1638" s="58" t="s">
        <v>2409</v>
      </c>
      <c r="D1638" s="58" t="s">
        <v>176</v>
      </c>
      <c r="E1638" s="58" t="s">
        <v>176</v>
      </c>
      <c r="F1638" s="58" t="s">
        <v>262</v>
      </c>
      <c r="G1638" s="58" t="s">
        <v>263</v>
      </c>
      <c r="H1638" s="58" t="s">
        <v>179</v>
      </c>
      <c r="I1638">
        <v>38000</v>
      </c>
      <c r="J1638" s="58" t="s">
        <v>185</v>
      </c>
      <c r="K1638">
        <v>38000</v>
      </c>
      <c r="L1638" s="74">
        <v>8.3160000000000007</v>
      </c>
      <c r="M1638" s="85">
        <v>9</v>
      </c>
      <c r="N1638" s="74">
        <v>2.383</v>
      </c>
      <c r="O1638">
        <v>3</v>
      </c>
      <c r="P1638" s="84">
        <v>1.78725</v>
      </c>
      <c r="Q1638" s="86">
        <v>12.600000000000001</v>
      </c>
      <c r="R1638" s="85">
        <v>12.600000000000001</v>
      </c>
      <c r="S1638" s="87">
        <v>1416850</v>
      </c>
      <c r="T1638" s="1">
        <v>3</v>
      </c>
      <c r="U1638" s="88">
        <v>112448.41269841269</v>
      </c>
      <c r="V1638" s="59">
        <v>8.8929667925327323</v>
      </c>
    </row>
    <row r="1639" spans="1:22">
      <c r="A1639" s="58">
        <v>1641</v>
      </c>
      <c r="B1639" s="58">
        <v>1641</v>
      </c>
      <c r="C1639" s="58" t="s">
        <v>2410</v>
      </c>
      <c r="D1639" s="58" t="s">
        <v>176</v>
      </c>
      <c r="E1639" s="58" t="s">
        <v>176</v>
      </c>
      <c r="F1639" s="58" t="s">
        <v>262</v>
      </c>
      <c r="G1639" s="58" t="s">
        <v>263</v>
      </c>
      <c r="H1639" s="58" t="s">
        <v>179</v>
      </c>
      <c r="I1639">
        <v>38000</v>
      </c>
      <c r="J1639" s="58" t="s">
        <v>185</v>
      </c>
      <c r="K1639">
        <v>38000</v>
      </c>
      <c r="L1639" s="74">
        <v>10.914999999999999</v>
      </c>
      <c r="M1639" s="85">
        <v>11</v>
      </c>
      <c r="N1639" s="74">
        <v>1.3939999999999999</v>
      </c>
      <c r="O1639">
        <v>3</v>
      </c>
      <c r="P1639" s="84">
        <v>1.0454999999999999</v>
      </c>
      <c r="Q1639" s="86">
        <v>4.2</v>
      </c>
      <c r="R1639" s="85">
        <v>4.2</v>
      </c>
      <c r="S1639" s="87">
        <v>1439840</v>
      </c>
      <c r="T1639" s="1">
        <v>1</v>
      </c>
      <c r="U1639" s="88">
        <v>342819.04761904763</v>
      </c>
      <c r="V1639" s="59">
        <v>2.9169907767529724</v>
      </c>
    </row>
    <row r="1640" spans="1:22">
      <c r="A1640" s="58">
        <v>1642</v>
      </c>
      <c r="B1640" s="58">
        <v>1642</v>
      </c>
      <c r="C1640" s="58" t="s">
        <v>2411</v>
      </c>
      <c r="D1640" s="58" t="s">
        <v>176</v>
      </c>
      <c r="E1640" s="58" t="s">
        <v>176</v>
      </c>
      <c r="F1640" s="58" t="s">
        <v>262</v>
      </c>
      <c r="G1640" s="58" t="s">
        <v>263</v>
      </c>
      <c r="H1640" s="58" t="s">
        <v>179</v>
      </c>
      <c r="I1640">
        <v>38000</v>
      </c>
      <c r="J1640" s="58" t="s">
        <v>185</v>
      </c>
      <c r="K1640">
        <v>38000</v>
      </c>
      <c r="L1640" s="74">
        <v>9.1850000000000005</v>
      </c>
      <c r="M1640" s="85">
        <v>10</v>
      </c>
      <c r="N1640" s="74">
        <v>2.7810000000000001</v>
      </c>
      <c r="O1640">
        <v>3</v>
      </c>
      <c r="P1640" s="84">
        <v>2.08575</v>
      </c>
      <c r="Q1640" s="86">
        <v>12.600000000000001</v>
      </c>
      <c r="R1640" s="85">
        <v>12.600000000000001</v>
      </c>
      <c r="S1640" s="87">
        <v>1469550</v>
      </c>
      <c r="T1640" s="1">
        <v>3</v>
      </c>
      <c r="U1640" s="88">
        <v>116630.95238095237</v>
      </c>
      <c r="V1640" s="59">
        <v>8.5740532816168233</v>
      </c>
    </row>
    <row r="1641" spans="1:22">
      <c r="A1641" s="58">
        <v>1643</v>
      </c>
      <c r="B1641" s="58">
        <v>1643</v>
      </c>
      <c r="C1641" s="58" t="s">
        <v>2412</v>
      </c>
      <c r="D1641" s="58" t="s">
        <v>176</v>
      </c>
      <c r="E1641" s="58" t="s">
        <v>176</v>
      </c>
      <c r="F1641" s="58" t="s">
        <v>262</v>
      </c>
      <c r="G1641" s="58" t="s">
        <v>263</v>
      </c>
      <c r="H1641" s="58" t="s">
        <v>179</v>
      </c>
      <c r="I1641">
        <v>38000</v>
      </c>
      <c r="J1641" s="58" t="s">
        <v>185</v>
      </c>
      <c r="K1641">
        <v>38000</v>
      </c>
      <c r="L1641" s="74">
        <v>9.8680000000000003</v>
      </c>
      <c r="M1641" s="85">
        <v>10</v>
      </c>
      <c r="N1641" s="74">
        <v>1.379</v>
      </c>
      <c r="O1641">
        <v>3</v>
      </c>
      <c r="P1641" s="84">
        <v>1.0342500000000001</v>
      </c>
      <c r="Q1641" s="86">
        <v>4.2</v>
      </c>
      <c r="R1641" s="85">
        <v>4.2</v>
      </c>
      <c r="S1641" s="87">
        <v>1387140</v>
      </c>
      <c r="T1641" s="1">
        <v>1</v>
      </c>
      <c r="U1641" s="88">
        <v>330271.42857142858</v>
      </c>
      <c r="V1641" s="59">
        <v>3.0278126216531858</v>
      </c>
    </row>
    <row r="1642" spans="1:22">
      <c r="A1642" s="58">
        <v>1644</v>
      </c>
      <c r="B1642" s="58">
        <v>1644</v>
      </c>
      <c r="C1642" s="58" t="s">
        <v>2413</v>
      </c>
      <c r="D1642" s="58" t="s">
        <v>176</v>
      </c>
      <c r="E1642" s="58" t="s">
        <v>176</v>
      </c>
      <c r="F1642" s="58" t="s">
        <v>262</v>
      </c>
      <c r="G1642" s="58" t="s">
        <v>263</v>
      </c>
      <c r="H1642" s="58" t="s">
        <v>179</v>
      </c>
      <c r="I1642">
        <v>38000</v>
      </c>
      <c r="J1642" s="58" t="s">
        <v>185</v>
      </c>
      <c r="K1642">
        <v>38000</v>
      </c>
      <c r="L1642" s="74">
        <v>7.4539999999999997</v>
      </c>
      <c r="M1642" s="85">
        <v>8</v>
      </c>
      <c r="N1642" s="74">
        <v>0.45100000000000001</v>
      </c>
      <c r="O1642">
        <v>3</v>
      </c>
      <c r="P1642" s="84">
        <v>0.45100000000000001</v>
      </c>
      <c r="Q1642" s="86">
        <v>4.2</v>
      </c>
      <c r="R1642" s="85">
        <v>4.2</v>
      </c>
      <c r="S1642" s="87">
        <v>909950</v>
      </c>
      <c r="T1642" s="1">
        <v>4</v>
      </c>
      <c r="U1642" s="88">
        <v>216654.76190476189</v>
      </c>
      <c r="V1642" s="59">
        <v>4.6156382218803227</v>
      </c>
    </row>
    <row r="1643" spans="1:22">
      <c r="A1643" s="58">
        <v>1645</v>
      </c>
      <c r="B1643" s="58">
        <v>1645</v>
      </c>
      <c r="C1643" s="58" t="s">
        <v>2414</v>
      </c>
      <c r="D1643" s="58" t="s">
        <v>176</v>
      </c>
      <c r="E1643" s="58" t="s">
        <v>176</v>
      </c>
      <c r="F1643" s="58" t="s">
        <v>262</v>
      </c>
      <c r="G1643" s="58" t="s">
        <v>263</v>
      </c>
      <c r="H1643" s="58" t="s">
        <v>179</v>
      </c>
      <c r="I1643">
        <v>38000</v>
      </c>
      <c r="J1643" s="58" t="s">
        <v>185</v>
      </c>
      <c r="K1643">
        <v>38000</v>
      </c>
      <c r="L1643" s="74">
        <v>6.4950000000000001</v>
      </c>
      <c r="M1643" s="85">
        <v>7</v>
      </c>
      <c r="N1643" s="74">
        <v>1.2669999999999999</v>
      </c>
      <c r="O1643">
        <v>3</v>
      </c>
      <c r="P1643" s="84">
        <v>0.95024999999999993</v>
      </c>
      <c r="Q1643" s="86">
        <v>4.2</v>
      </c>
      <c r="R1643" s="85">
        <v>4.2</v>
      </c>
      <c r="S1643" s="87">
        <v>839680</v>
      </c>
      <c r="T1643" s="1">
        <v>4</v>
      </c>
      <c r="U1643" s="88">
        <v>199923.80952380953</v>
      </c>
      <c r="V1643" s="59">
        <v>5.0019054878048781</v>
      </c>
    </row>
    <row r="1644" spans="1:22">
      <c r="A1644" s="58">
        <v>1646</v>
      </c>
      <c r="B1644" s="58">
        <v>1646</v>
      </c>
      <c r="C1644" s="58" t="s">
        <v>2415</v>
      </c>
      <c r="D1644" s="58" t="s">
        <v>176</v>
      </c>
      <c r="E1644" s="58" t="s">
        <v>176</v>
      </c>
      <c r="F1644" s="58" t="s">
        <v>262</v>
      </c>
      <c r="G1644" s="58" t="s">
        <v>263</v>
      </c>
      <c r="H1644" s="58" t="s">
        <v>179</v>
      </c>
      <c r="I1644">
        <v>38000</v>
      </c>
      <c r="J1644" s="58" t="s">
        <v>185</v>
      </c>
      <c r="K1644">
        <v>38000</v>
      </c>
      <c r="L1644" s="74">
        <v>3.8239999999999998</v>
      </c>
      <c r="M1644" s="85">
        <v>4</v>
      </c>
      <c r="N1644" s="74">
        <v>2.0880000000000001</v>
      </c>
      <c r="O1644">
        <v>3</v>
      </c>
      <c r="P1644" s="84">
        <v>1.5660000000000001</v>
      </c>
      <c r="Q1644" s="86">
        <v>8.4</v>
      </c>
      <c r="R1644" s="85">
        <v>8.4</v>
      </c>
      <c r="S1644" s="87">
        <v>628870</v>
      </c>
      <c r="T1644" s="1">
        <v>4</v>
      </c>
      <c r="U1644" s="88">
        <v>74865.476190476184</v>
      </c>
      <c r="V1644" s="59">
        <v>13.357291650102566</v>
      </c>
    </row>
    <row r="1645" spans="1:22">
      <c r="A1645" s="58">
        <v>1647</v>
      </c>
      <c r="B1645" s="58">
        <v>1647</v>
      </c>
      <c r="C1645" s="58" t="s">
        <v>2416</v>
      </c>
      <c r="D1645" s="58" t="s">
        <v>176</v>
      </c>
      <c r="E1645" s="58" t="s">
        <v>176</v>
      </c>
      <c r="F1645" s="58" t="s">
        <v>262</v>
      </c>
      <c r="G1645" s="58" t="s">
        <v>263</v>
      </c>
      <c r="H1645" s="58" t="s">
        <v>179</v>
      </c>
      <c r="I1645">
        <v>38000</v>
      </c>
      <c r="J1645" s="58" t="s">
        <v>185</v>
      </c>
      <c r="K1645">
        <v>38000</v>
      </c>
      <c r="L1645" s="74">
        <v>4.359</v>
      </c>
      <c r="M1645" s="85">
        <v>5</v>
      </c>
      <c r="N1645" s="74">
        <v>2.1190000000000002</v>
      </c>
      <c r="O1645">
        <v>3</v>
      </c>
      <c r="P1645" s="84">
        <v>1.5892500000000003</v>
      </c>
      <c r="Q1645" s="86">
        <v>8.4</v>
      </c>
      <c r="R1645" s="85">
        <v>8.4</v>
      </c>
      <c r="S1645" s="87">
        <v>699140</v>
      </c>
      <c r="T1645" s="1">
        <v>4</v>
      </c>
      <c r="U1645" s="88">
        <v>83230.952380952382</v>
      </c>
      <c r="V1645" s="59">
        <v>12.014760992075979</v>
      </c>
    </row>
    <row r="1646" spans="1:22">
      <c r="A1646" s="58">
        <v>1648</v>
      </c>
      <c r="B1646" s="58">
        <v>1648</v>
      </c>
      <c r="C1646" s="58" t="s">
        <v>2417</v>
      </c>
      <c r="D1646" s="58" t="s">
        <v>176</v>
      </c>
      <c r="E1646" s="58" t="s">
        <v>176</v>
      </c>
      <c r="F1646" s="58" t="s">
        <v>262</v>
      </c>
      <c r="G1646" s="58" t="s">
        <v>263</v>
      </c>
      <c r="H1646" s="58" t="s">
        <v>179</v>
      </c>
      <c r="I1646">
        <v>38000</v>
      </c>
      <c r="J1646" s="58" t="s">
        <v>185</v>
      </c>
      <c r="K1646">
        <v>38000</v>
      </c>
      <c r="L1646" s="74">
        <v>1.577</v>
      </c>
      <c r="M1646" s="85">
        <v>2</v>
      </c>
      <c r="N1646" s="74">
        <v>1.2649999999999999</v>
      </c>
      <c r="O1646">
        <v>3</v>
      </c>
      <c r="P1646" s="84">
        <v>0.94874999999999998</v>
      </c>
      <c r="Q1646" s="86">
        <v>4.2</v>
      </c>
      <c r="R1646" s="85">
        <v>4.2</v>
      </c>
      <c r="S1646" s="87">
        <v>488330</v>
      </c>
      <c r="T1646" s="1">
        <v>4</v>
      </c>
      <c r="U1646" s="88">
        <v>116269.04761904762</v>
      </c>
      <c r="V1646" s="59">
        <v>8.6007413019884087</v>
      </c>
    </row>
    <row r="1647" spans="1:22">
      <c r="A1647" s="58">
        <v>1649</v>
      </c>
      <c r="B1647" s="58">
        <v>1649</v>
      </c>
      <c r="C1647" s="58" t="s">
        <v>2418</v>
      </c>
      <c r="D1647" s="58" t="s">
        <v>215</v>
      </c>
      <c r="E1647" s="58" t="s">
        <v>215</v>
      </c>
      <c r="F1647" s="58" t="s">
        <v>406</v>
      </c>
      <c r="G1647" s="58" t="s">
        <v>407</v>
      </c>
      <c r="H1647" s="58" t="s">
        <v>179</v>
      </c>
      <c r="I1647">
        <v>38000</v>
      </c>
      <c r="J1647" s="58" t="s">
        <v>185</v>
      </c>
      <c r="K1647">
        <v>38000</v>
      </c>
      <c r="L1647" s="74">
        <v>7.1310000000000002</v>
      </c>
      <c r="M1647" s="85">
        <v>8</v>
      </c>
      <c r="N1647" s="74">
        <v>0.59499999999999997</v>
      </c>
      <c r="O1647">
        <v>3</v>
      </c>
      <c r="P1647" s="84">
        <v>0.59499999999999997</v>
      </c>
      <c r="Q1647" s="86">
        <v>4.2</v>
      </c>
      <c r="R1647" s="85">
        <v>4.2</v>
      </c>
      <c r="S1647" s="87">
        <v>909950</v>
      </c>
      <c r="T1647" s="1">
        <v>4</v>
      </c>
      <c r="U1647" s="88">
        <v>216654.76190476189</v>
      </c>
      <c r="V1647" s="59">
        <v>4.6156382218803227</v>
      </c>
    </row>
    <row r="1648" spans="1:22">
      <c r="A1648" s="58">
        <v>1650</v>
      </c>
      <c r="B1648" s="58">
        <v>1650</v>
      </c>
      <c r="C1648" s="58" t="s">
        <v>2419</v>
      </c>
      <c r="D1648" s="58" t="s">
        <v>215</v>
      </c>
      <c r="E1648" s="58" t="s">
        <v>215</v>
      </c>
      <c r="F1648" s="58" t="s">
        <v>257</v>
      </c>
      <c r="G1648" s="58" t="s">
        <v>258</v>
      </c>
      <c r="H1648" s="58" t="s">
        <v>179</v>
      </c>
      <c r="I1648">
        <v>38000</v>
      </c>
      <c r="J1648">
        <v>38000</v>
      </c>
      <c r="K1648">
        <v>20000</v>
      </c>
      <c r="L1648" s="74">
        <v>4.1660000000000004</v>
      </c>
      <c r="M1648" s="85">
        <v>5</v>
      </c>
      <c r="N1648" s="74">
        <v>1.736</v>
      </c>
      <c r="O1648">
        <v>3</v>
      </c>
      <c r="P1648" s="84">
        <v>1.302</v>
      </c>
      <c r="Q1648" s="86">
        <v>8.4</v>
      </c>
      <c r="R1648" s="85">
        <v>8.4</v>
      </c>
      <c r="S1648" s="87">
        <v>699140</v>
      </c>
      <c r="T1648" s="1">
        <v>4</v>
      </c>
      <c r="U1648" s="88">
        <v>83230.952380952382</v>
      </c>
      <c r="V1648" s="59">
        <v>12.014760992075979</v>
      </c>
    </row>
    <row r="1649" spans="1:22">
      <c r="A1649" s="58">
        <v>1651</v>
      </c>
      <c r="B1649" s="58">
        <v>1651</v>
      </c>
      <c r="C1649" s="58" t="s">
        <v>2420</v>
      </c>
      <c r="D1649" s="58" t="s">
        <v>215</v>
      </c>
      <c r="E1649" s="58" t="s">
        <v>215</v>
      </c>
      <c r="F1649" s="58" t="s">
        <v>257</v>
      </c>
      <c r="G1649" s="58" t="s">
        <v>258</v>
      </c>
      <c r="H1649" s="58" t="s">
        <v>179</v>
      </c>
      <c r="I1649">
        <v>38000</v>
      </c>
      <c r="J1649">
        <v>38000</v>
      </c>
      <c r="K1649">
        <v>20000</v>
      </c>
      <c r="L1649" s="74">
        <v>2.7829999999999999</v>
      </c>
      <c r="M1649" s="85">
        <v>3</v>
      </c>
      <c r="N1649" s="74">
        <v>1.0129999999999999</v>
      </c>
      <c r="O1649">
        <v>3</v>
      </c>
      <c r="P1649" s="84">
        <v>1.0129999999999999</v>
      </c>
      <c r="Q1649" s="86">
        <v>4.2</v>
      </c>
      <c r="R1649" s="85">
        <v>4.2</v>
      </c>
      <c r="S1649" s="87">
        <v>558600</v>
      </c>
      <c r="T1649" s="1">
        <v>4</v>
      </c>
      <c r="U1649" s="88">
        <v>133000</v>
      </c>
      <c r="V1649" s="59">
        <v>7.518796992481203</v>
      </c>
    </row>
    <row r="1650" spans="1:22">
      <c r="A1650" s="58">
        <v>1652</v>
      </c>
      <c r="B1650" s="58">
        <v>1652</v>
      </c>
      <c r="C1650" s="58" t="s">
        <v>2421</v>
      </c>
      <c r="D1650" s="58" t="s">
        <v>176</v>
      </c>
      <c r="E1650" s="58" t="s">
        <v>176</v>
      </c>
      <c r="F1650" s="58" t="s">
        <v>257</v>
      </c>
      <c r="G1650" s="58" t="s">
        <v>258</v>
      </c>
      <c r="H1650" s="58" t="s">
        <v>179</v>
      </c>
      <c r="I1650">
        <v>38000</v>
      </c>
      <c r="J1650">
        <v>38000</v>
      </c>
      <c r="K1650">
        <v>20000</v>
      </c>
      <c r="L1650" s="74">
        <v>4.8490000000000002</v>
      </c>
      <c r="M1650" s="85">
        <v>5</v>
      </c>
      <c r="N1650" s="74">
        <v>1.5569999999999999</v>
      </c>
      <c r="O1650">
        <v>3</v>
      </c>
      <c r="P1650" s="84">
        <v>1.1677499999999998</v>
      </c>
      <c r="Q1650" s="86">
        <v>4.2</v>
      </c>
      <c r="R1650" s="85">
        <v>4.2</v>
      </c>
      <c r="S1650" s="87">
        <v>699140</v>
      </c>
      <c r="T1650" s="1">
        <v>4</v>
      </c>
      <c r="U1650" s="88">
        <v>166461.90476190476</v>
      </c>
      <c r="V1650" s="59">
        <v>6.0073804960379897</v>
      </c>
    </row>
    <row r="1651" spans="1:22">
      <c r="A1651" s="58">
        <v>1653</v>
      </c>
      <c r="B1651" s="58">
        <v>1653</v>
      </c>
      <c r="C1651" s="58" t="s">
        <v>2422</v>
      </c>
      <c r="D1651" s="58" t="s">
        <v>176</v>
      </c>
      <c r="E1651" s="58" t="s">
        <v>176</v>
      </c>
      <c r="F1651" s="58" t="s">
        <v>257</v>
      </c>
      <c r="G1651" s="58" t="s">
        <v>258</v>
      </c>
      <c r="H1651" s="58" t="s">
        <v>179</v>
      </c>
      <c r="I1651">
        <v>38000</v>
      </c>
      <c r="J1651">
        <v>38000</v>
      </c>
      <c r="K1651">
        <v>20000</v>
      </c>
      <c r="L1651" s="74">
        <v>6.8710000000000004</v>
      </c>
      <c r="M1651" s="85">
        <v>7</v>
      </c>
      <c r="N1651" s="74">
        <v>1.5569999999999999</v>
      </c>
      <c r="O1651">
        <v>3</v>
      </c>
      <c r="P1651" s="84">
        <v>1.1677499999999998</v>
      </c>
      <c r="Q1651" s="86">
        <v>4.2</v>
      </c>
      <c r="R1651" s="85">
        <v>4.2</v>
      </c>
      <c r="S1651" s="87">
        <v>839680</v>
      </c>
      <c r="T1651" s="1">
        <v>4</v>
      </c>
      <c r="U1651" s="88">
        <v>199923.80952380953</v>
      </c>
      <c r="V1651" s="59">
        <v>5.0019054878048781</v>
      </c>
    </row>
    <row r="1652" spans="1:22">
      <c r="A1652" s="58">
        <v>1654</v>
      </c>
      <c r="B1652" s="58">
        <v>1654</v>
      </c>
      <c r="C1652" s="58" t="s">
        <v>2423</v>
      </c>
      <c r="D1652" s="58" t="s">
        <v>176</v>
      </c>
      <c r="E1652" s="58" t="s">
        <v>176</v>
      </c>
      <c r="F1652" s="58" t="s">
        <v>285</v>
      </c>
      <c r="G1652" s="58" t="s">
        <v>286</v>
      </c>
      <c r="H1652" s="58" t="s">
        <v>179</v>
      </c>
      <c r="I1652">
        <v>38000</v>
      </c>
      <c r="J1652">
        <v>38000</v>
      </c>
      <c r="K1652">
        <v>20000</v>
      </c>
      <c r="L1652" s="74">
        <v>8.6370000000000005</v>
      </c>
      <c r="M1652" s="85">
        <v>9</v>
      </c>
      <c r="N1652" s="74">
        <v>0.89700000000000002</v>
      </c>
      <c r="O1652">
        <v>3</v>
      </c>
      <c r="P1652" s="84">
        <v>0.89700000000000002</v>
      </c>
      <c r="Q1652" s="86">
        <v>4.2</v>
      </c>
      <c r="R1652" s="85">
        <v>4.2</v>
      </c>
      <c r="S1652" s="87">
        <v>1334440</v>
      </c>
      <c r="T1652" s="1">
        <v>1</v>
      </c>
      <c r="U1652" s="88">
        <v>317723.80952380953</v>
      </c>
      <c r="V1652" s="59">
        <v>3.1473876682353645</v>
      </c>
    </row>
    <row r="1653" spans="1:22">
      <c r="A1653" s="58">
        <v>1655</v>
      </c>
      <c r="B1653" s="58">
        <v>1655</v>
      </c>
      <c r="C1653" s="58" t="s">
        <v>2424</v>
      </c>
      <c r="D1653" s="58" t="s">
        <v>176</v>
      </c>
      <c r="E1653" s="58" t="s">
        <v>176</v>
      </c>
      <c r="F1653" s="58" t="s">
        <v>285</v>
      </c>
      <c r="G1653" s="58" t="s">
        <v>286</v>
      </c>
      <c r="H1653" s="58" t="s">
        <v>179</v>
      </c>
      <c r="I1653">
        <v>38000</v>
      </c>
      <c r="J1653">
        <v>38000</v>
      </c>
      <c r="K1653">
        <v>20000</v>
      </c>
      <c r="L1653" s="74">
        <v>7.0709999999999997</v>
      </c>
      <c r="M1653" s="85">
        <v>8</v>
      </c>
      <c r="N1653" s="74">
        <v>1.8029999999999999</v>
      </c>
      <c r="O1653">
        <v>3</v>
      </c>
      <c r="P1653" s="84">
        <v>1.35225</v>
      </c>
      <c r="Q1653" s="86">
        <v>8.4</v>
      </c>
      <c r="R1653" s="85">
        <v>8.4</v>
      </c>
      <c r="S1653" s="87">
        <v>909950</v>
      </c>
      <c r="T1653" s="1">
        <v>4</v>
      </c>
      <c r="U1653" s="88">
        <v>108327.38095238095</v>
      </c>
      <c r="V1653" s="59">
        <v>9.2312764437606454</v>
      </c>
    </row>
    <row r="1654" spans="1:22">
      <c r="A1654" s="58">
        <v>1656</v>
      </c>
      <c r="B1654" s="58">
        <v>1656</v>
      </c>
      <c r="C1654" s="58" t="s">
        <v>2425</v>
      </c>
      <c r="D1654" s="58" t="s">
        <v>176</v>
      </c>
      <c r="E1654" s="58" t="s">
        <v>176</v>
      </c>
      <c r="F1654" s="58" t="s">
        <v>269</v>
      </c>
      <c r="G1654" s="58" t="s">
        <v>270</v>
      </c>
      <c r="H1654" s="58" t="s">
        <v>179</v>
      </c>
      <c r="I1654">
        <v>38000</v>
      </c>
      <c r="J1654">
        <v>38000</v>
      </c>
      <c r="K1654">
        <v>20000</v>
      </c>
      <c r="L1654" s="74">
        <v>3.149</v>
      </c>
      <c r="M1654" s="85">
        <v>4</v>
      </c>
      <c r="N1654" s="74">
        <v>0.57699999999999996</v>
      </c>
      <c r="O1654">
        <v>3</v>
      </c>
      <c r="P1654" s="84">
        <v>0.57699999999999996</v>
      </c>
      <c r="Q1654" s="86">
        <v>4.2</v>
      </c>
      <c r="R1654" s="85">
        <v>4.2</v>
      </c>
      <c r="S1654" s="87">
        <v>628870</v>
      </c>
      <c r="T1654" s="1">
        <v>4</v>
      </c>
      <c r="U1654" s="88">
        <v>149730.95238095237</v>
      </c>
      <c r="V1654" s="59">
        <v>6.6786458250512828</v>
      </c>
    </row>
    <row r="1655" spans="1:22">
      <c r="A1655" s="58">
        <v>1657</v>
      </c>
      <c r="B1655" s="58">
        <v>1657</v>
      </c>
      <c r="C1655" s="58" t="s">
        <v>2426</v>
      </c>
      <c r="D1655" s="58" t="s">
        <v>176</v>
      </c>
      <c r="E1655" s="58" t="s">
        <v>176</v>
      </c>
      <c r="F1655" s="58" t="s">
        <v>222</v>
      </c>
      <c r="G1655" s="58" t="s">
        <v>223</v>
      </c>
      <c r="H1655" s="58" t="s">
        <v>179</v>
      </c>
      <c r="I1655">
        <v>38000</v>
      </c>
      <c r="J1655">
        <v>38000</v>
      </c>
      <c r="K1655">
        <v>20000</v>
      </c>
      <c r="L1655" s="74">
        <v>5.3079999999999998</v>
      </c>
      <c r="M1655" s="85">
        <v>6</v>
      </c>
      <c r="N1655" s="74">
        <v>3.9039999999999999</v>
      </c>
      <c r="O1655">
        <v>3</v>
      </c>
      <c r="P1655" s="84">
        <v>2.9279999999999999</v>
      </c>
      <c r="Q1655" s="86">
        <v>21</v>
      </c>
      <c r="R1655" s="85">
        <v>21</v>
      </c>
      <c r="S1655" s="87">
        <v>769410</v>
      </c>
      <c r="T1655" s="1">
        <v>4</v>
      </c>
      <c r="U1655" s="88">
        <v>36638.571428571428</v>
      </c>
      <c r="V1655" s="59">
        <v>27.293640581744455</v>
      </c>
    </row>
    <row r="1656" spans="1:22">
      <c r="A1656" s="58">
        <v>1658</v>
      </c>
      <c r="B1656" s="58">
        <v>1658</v>
      </c>
      <c r="C1656" s="58" t="s">
        <v>2427</v>
      </c>
      <c r="D1656" s="58" t="s">
        <v>176</v>
      </c>
      <c r="E1656" s="58" t="s">
        <v>176</v>
      </c>
      <c r="F1656" s="58" t="s">
        <v>222</v>
      </c>
      <c r="G1656" s="58" t="s">
        <v>223</v>
      </c>
      <c r="H1656" s="58" t="s">
        <v>179</v>
      </c>
      <c r="I1656">
        <v>38000</v>
      </c>
      <c r="J1656">
        <v>38000</v>
      </c>
      <c r="K1656">
        <v>20000</v>
      </c>
      <c r="L1656" s="74">
        <v>7.1630000000000003</v>
      </c>
      <c r="M1656" s="85">
        <v>8</v>
      </c>
      <c r="N1656" s="74">
        <v>3.1139999999999999</v>
      </c>
      <c r="O1656">
        <v>3</v>
      </c>
      <c r="P1656" s="84">
        <v>2.3354999999999997</v>
      </c>
      <c r="Q1656" s="86">
        <v>16.8</v>
      </c>
      <c r="R1656" s="85">
        <v>16.8</v>
      </c>
      <c r="S1656" s="87">
        <v>909950</v>
      </c>
      <c r="T1656" s="1">
        <v>4</v>
      </c>
      <c r="U1656" s="88">
        <v>54163.690476190473</v>
      </c>
      <c r="V1656" s="59">
        <v>18.462552887521291</v>
      </c>
    </row>
    <row r="1657" spans="1:22">
      <c r="A1657" s="58">
        <v>1659</v>
      </c>
      <c r="B1657" s="58">
        <v>1659</v>
      </c>
      <c r="C1657" s="58" t="s">
        <v>2428</v>
      </c>
      <c r="D1657" s="58" t="s">
        <v>176</v>
      </c>
      <c r="E1657" s="58" t="s">
        <v>176</v>
      </c>
      <c r="F1657" s="58" t="s">
        <v>222</v>
      </c>
      <c r="G1657" s="58" t="s">
        <v>223</v>
      </c>
      <c r="H1657" s="58" t="s">
        <v>179</v>
      </c>
      <c r="I1657">
        <v>38000</v>
      </c>
      <c r="J1657">
        <v>38000</v>
      </c>
      <c r="K1657">
        <v>20000</v>
      </c>
      <c r="L1657" s="74">
        <v>8.3209999999999997</v>
      </c>
      <c r="M1657" s="85">
        <v>9</v>
      </c>
      <c r="N1657" s="74">
        <v>3.456</v>
      </c>
      <c r="O1657">
        <v>3</v>
      </c>
      <c r="P1657" s="84">
        <v>2.5920000000000001</v>
      </c>
      <c r="Q1657" s="86">
        <v>16.8</v>
      </c>
      <c r="R1657" s="85">
        <v>16.8</v>
      </c>
      <c r="S1657" s="87">
        <v>980220</v>
      </c>
      <c r="T1657" s="1">
        <v>4</v>
      </c>
      <c r="U1657" s="88">
        <v>58346.428571428572</v>
      </c>
      <c r="V1657" s="59">
        <v>17.13900961008753</v>
      </c>
    </row>
    <row r="1658" spans="1:22">
      <c r="A1658" s="58">
        <v>1660</v>
      </c>
      <c r="B1658" s="58">
        <v>1660</v>
      </c>
      <c r="C1658" s="58" t="s">
        <v>2429</v>
      </c>
      <c r="D1658" s="58" t="s">
        <v>176</v>
      </c>
      <c r="E1658" s="58" t="s">
        <v>176</v>
      </c>
      <c r="F1658" s="58" t="s">
        <v>290</v>
      </c>
      <c r="G1658" s="58" t="s">
        <v>291</v>
      </c>
      <c r="H1658" s="58" t="s">
        <v>179</v>
      </c>
      <c r="I1658">
        <v>38000</v>
      </c>
      <c r="J1658">
        <v>38000</v>
      </c>
      <c r="K1658">
        <v>20000</v>
      </c>
      <c r="L1658" s="74">
        <v>7.5170000000000003</v>
      </c>
      <c r="M1658" s="85">
        <v>8</v>
      </c>
      <c r="N1658" s="74">
        <v>0.88400000000000001</v>
      </c>
      <c r="O1658">
        <v>3</v>
      </c>
      <c r="P1658" s="84">
        <v>0.88400000000000001</v>
      </c>
      <c r="Q1658" s="86">
        <v>4.2</v>
      </c>
      <c r="R1658" s="85">
        <v>4.2</v>
      </c>
      <c r="S1658" s="87">
        <v>909950</v>
      </c>
      <c r="T1658" s="1">
        <v>4</v>
      </c>
      <c r="U1658" s="88">
        <v>216654.76190476189</v>
      </c>
      <c r="V1658" s="59">
        <v>4.6156382218803227</v>
      </c>
    </row>
    <row r="1659" spans="1:22">
      <c r="A1659" s="58">
        <v>1661</v>
      </c>
      <c r="B1659" s="58">
        <v>1661</v>
      </c>
      <c r="C1659" s="58" t="s">
        <v>2430</v>
      </c>
      <c r="D1659" s="58" t="s">
        <v>176</v>
      </c>
      <c r="E1659" s="58" t="s">
        <v>176</v>
      </c>
      <c r="F1659" s="58" t="s">
        <v>222</v>
      </c>
      <c r="G1659" s="58" t="s">
        <v>223</v>
      </c>
      <c r="H1659" s="58" t="s">
        <v>179</v>
      </c>
      <c r="I1659">
        <v>38000</v>
      </c>
      <c r="J1659">
        <v>38000</v>
      </c>
      <c r="K1659">
        <v>20000</v>
      </c>
      <c r="L1659" s="74">
        <v>9.0210000000000008</v>
      </c>
      <c r="M1659" s="85">
        <v>10</v>
      </c>
      <c r="N1659" s="74">
        <v>1.764</v>
      </c>
      <c r="O1659">
        <v>3</v>
      </c>
      <c r="P1659" s="84">
        <v>1.323</v>
      </c>
      <c r="Q1659" s="86">
        <v>8.4</v>
      </c>
      <c r="R1659" s="85">
        <v>8.4</v>
      </c>
      <c r="S1659" s="87">
        <v>1432500</v>
      </c>
      <c r="T1659" s="1">
        <v>2</v>
      </c>
      <c r="U1659" s="88">
        <v>170535.71428571429</v>
      </c>
      <c r="V1659" s="59">
        <v>5.8638743455497382</v>
      </c>
    </row>
    <row r="1660" spans="1:22">
      <c r="A1660" s="58">
        <v>1662</v>
      </c>
      <c r="B1660" s="58">
        <v>1662</v>
      </c>
      <c r="C1660" s="58" t="s">
        <v>2431</v>
      </c>
      <c r="D1660" s="58" t="s">
        <v>176</v>
      </c>
      <c r="E1660" s="58" t="s">
        <v>176</v>
      </c>
      <c r="F1660" s="58" t="s">
        <v>290</v>
      </c>
      <c r="G1660" s="58" t="s">
        <v>291</v>
      </c>
      <c r="H1660" s="58" t="s">
        <v>179</v>
      </c>
      <c r="I1660">
        <v>38000</v>
      </c>
      <c r="J1660">
        <v>38000</v>
      </c>
      <c r="K1660">
        <v>20000</v>
      </c>
      <c r="L1660" s="74">
        <v>5.1520000000000001</v>
      </c>
      <c r="M1660" s="85">
        <v>6</v>
      </c>
      <c r="N1660" s="74">
        <v>2.335</v>
      </c>
      <c r="O1660">
        <v>3</v>
      </c>
      <c r="P1660" s="84">
        <v>1.75125</v>
      </c>
      <c r="Q1660" s="86">
        <v>8.4</v>
      </c>
      <c r="R1660" s="85">
        <v>8.4</v>
      </c>
      <c r="S1660" s="87">
        <v>769410</v>
      </c>
      <c r="T1660" s="1">
        <v>4</v>
      </c>
      <c r="U1660" s="88">
        <v>91596.428571428565</v>
      </c>
      <c r="V1660" s="59">
        <v>10.917456232697781</v>
      </c>
    </row>
    <row r="1661" spans="1:22">
      <c r="A1661" s="58">
        <v>1663</v>
      </c>
      <c r="B1661" s="58">
        <v>1663</v>
      </c>
      <c r="C1661" s="58" t="s">
        <v>2432</v>
      </c>
      <c r="D1661" s="58" t="s">
        <v>176</v>
      </c>
      <c r="E1661" s="58" t="s">
        <v>176</v>
      </c>
      <c r="F1661" s="58" t="s">
        <v>290</v>
      </c>
      <c r="G1661" s="58" t="s">
        <v>291</v>
      </c>
      <c r="H1661" s="58" t="s">
        <v>179</v>
      </c>
      <c r="I1661">
        <v>38000</v>
      </c>
      <c r="J1661">
        <v>38000</v>
      </c>
      <c r="K1661">
        <v>20000</v>
      </c>
      <c r="L1661" s="74">
        <v>9.8520000000000003</v>
      </c>
      <c r="M1661" s="85">
        <v>10</v>
      </c>
      <c r="N1661" s="74">
        <v>2.262</v>
      </c>
      <c r="O1661">
        <v>3</v>
      </c>
      <c r="P1661" s="84">
        <v>1.6964999999999999</v>
      </c>
      <c r="Q1661" s="86">
        <v>8.4</v>
      </c>
      <c r="R1661" s="85">
        <v>8.4</v>
      </c>
      <c r="S1661" s="87">
        <v>1432500</v>
      </c>
      <c r="T1661" s="1">
        <v>2</v>
      </c>
      <c r="U1661" s="88">
        <v>170535.71428571429</v>
      </c>
      <c r="V1661" s="59">
        <v>5.8638743455497382</v>
      </c>
    </row>
    <row r="1662" spans="1:22">
      <c r="A1662" s="58">
        <v>1664</v>
      </c>
      <c r="B1662" s="58">
        <v>1664</v>
      </c>
      <c r="C1662" s="58" t="s">
        <v>2433</v>
      </c>
      <c r="D1662" s="58" t="s">
        <v>176</v>
      </c>
      <c r="E1662" s="58" t="s">
        <v>176</v>
      </c>
      <c r="F1662" s="58" t="s">
        <v>269</v>
      </c>
      <c r="G1662" s="58" t="s">
        <v>270</v>
      </c>
      <c r="H1662" s="58" t="s">
        <v>179</v>
      </c>
      <c r="I1662">
        <v>38000</v>
      </c>
      <c r="J1662">
        <v>38000</v>
      </c>
      <c r="K1662">
        <v>20000</v>
      </c>
      <c r="L1662" s="74">
        <v>8.1039999999999992</v>
      </c>
      <c r="M1662" s="85">
        <v>9</v>
      </c>
      <c r="N1662" s="74">
        <v>1.605</v>
      </c>
      <c r="O1662">
        <v>3</v>
      </c>
      <c r="P1662" s="84">
        <v>1.2037499999999999</v>
      </c>
      <c r="Q1662" s="86">
        <v>8.4</v>
      </c>
      <c r="R1662" s="85">
        <v>8.4</v>
      </c>
      <c r="S1662" s="87">
        <v>1379800</v>
      </c>
      <c r="T1662" s="1">
        <v>2</v>
      </c>
      <c r="U1662" s="88">
        <v>164261.90476190476</v>
      </c>
      <c r="V1662" s="59">
        <v>6.087838817219887</v>
      </c>
    </row>
    <row r="1663" spans="1:22">
      <c r="A1663" s="58">
        <v>1665</v>
      </c>
      <c r="B1663" s="58">
        <v>1665</v>
      </c>
      <c r="C1663" s="58" t="s">
        <v>2434</v>
      </c>
      <c r="D1663" s="58" t="s">
        <v>176</v>
      </c>
      <c r="E1663" s="58" t="s">
        <v>176</v>
      </c>
      <c r="F1663" s="58" t="s">
        <v>269</v>
      </c>
      <c r="G1663" s="58" t="s">
        <v>270</v>
      </c>
      <c r="H1663" s="58" t="s">
        <v>179</v>
      </c>
      <c r="I1663">
        <v>38000</v>
      </c>
      <c r="J1663">
        <v>38000</v>
      </c>
      <c r="K1663">
        <v>20000</v>
      </c>
      <c r="L1663" s="74">
        <v>9.4879999999999995</v>
      </c>
      <c r="M1663" s="85">
        <v>10</v>
      </c>
      <c r="N1663" s="74">
        <v>0.871</v>
      </c>
      <c r="O1663">
        <v>3</v>
      </c>
      <c r="P1663" s="84">
        <v>0.871</v>
      </c>
      <c r="Q1663" s="86">
        <v>4.2</v>
      </c>
      <c r="R1663" s="85">
        <v>4.2</v>
      </c>
      <c r="S1663" s="87">
        <v>1387140</v>
      </c>
      <c r="T1663" s="1">
        <v>1</v>
      </c>
      <c r="U1663" s="88">
        <v>330271.42857142858</v>
      </c>
      <c r="V1663" s="59">
        <v>3.0278126216531858</v>
      </c>
    </row>
    <row r="1664" spans="1:22">
      <c r="A1664" s="58">
        <v>1666</v>
      </c>
      <c r="B1664" s="58">
        <v>1666</v>
      </c>
      <c r="C1664" s="58" t="s">
        <v>2435</v>
      </c>
      <c r="D1664" s="58" t="s">
        <v>176</v>
      </c>
      <c r="E1664" s="58" t="s">
        <v>176</v>
      </c>
      <c r="F1664" s="58" t="s">
        <v>290</v>
      </c>
      <c r="G1664" s="58" t="s">
        <v>291</v>
      </c>
      <c r="H1664" s="58" t="s">
        <v>179</v>
      </c>
      <c r="I1664">
        <v>38000</v>
      </c>
      <c r="J1664">
        <v>38000</v>
      </c>
      <c r="K1664">
        <v>20000</v>
      </c>
      <c r="L1664" s="74">
        <v>8.9649999999999999</v>
      </c>
      <c r="M1664" s="85">
        <v>9</v>
      </c>
      <c r="N1664" s="74">
        <v>1.2330000000000001</v>
      </c>
      <c r="O1664">
        <v>3</v>
      </c>
      <c r="P1664" s="84">
        <v>0.92475000000000007</v>
      </c>
      <c r="Q1664" s="86">
        <v>4.2</v>
      </c>
      <c r="R1664" s="85">
        <v>4.2</v>
      </c>
      <c r="S1664" s="87">
        <v>1334440</v>
      </c>
      <c r="T1664" s="1">
        <v>1</v>
      </c>
      <c r="U1664" s="88">
        <v>317723.80952380953</v>
      </c>
      <c r="V1664" s="59">
        <v>3.1473876682353645</v>
      </c>
    </row>
    <row r="1665" spans="1:22">
      <c r="A1665" s="58">
        <v>1667</v>
      </c>
      <c r="B1665" s="58">
        <v>1667</v>
      </c>
      <c r="C1665" s="58" t="s">
        <v>2436</v>
      </c>
      <c r="D1665" s="58" t="s">
        <v>176</v>
      </c>
      <c r="E1665" s="58" t="s">
        <v>176</v>
      </c>
      <c r="F1665" s="58" t="s">
        <v>290</v>
      </c>
      <c r="G1665" s="58" t="s">
        <v>291</v>
      </c>
      <c r="H1665" s="58" t="s">
        <v>179</v>
      </c>
      <c r="I1665">
        <v>38000</v>
      </c>
      <c r="J1665">
        <v>38000</v>
      </c>
      <c r="K1665">
        <v>20000</v>
      </c>
      <c r="L1665" s="74">
        <v>2.2770000000000001</v>
      </c>
      <c r="M1665" s="85">
        <v>3</v>
      </c>
      <c r="N1665" s="74">
        <v>0.622</v>
      </c>
      <c r="O1665">
        <v>3</v>
      </c>
      <c r="P1665" s="84">
        <v>0.622</v>
      </c>
      <c r="Q1665" s="86">
        <v>4.2</v>
      </c>
      <c r="R1665" s="85">
        <v>4.2</v>
      </c>
      <c r="S1665" s="87">
        <v>558600</v>
      </c>
      <c r="T1665" s="1">
        <v>4</v>
      </c>
      <c r="U1665" s="88">
        <v>133000</v>
      </c>
      <c r="V1665" s="59">
        <v>7.518796992481203</v>
      </c>
    </row>
    <row r="1666" spans="1:22">
      <c r="A1666" s="58">
        <v>1668</v>
      </c>
      <c r="B1666" s="58">
        <v>1668</v>
      </c>
      <c r="C1666" s="58" t="s">
        <v>2437</v>
      </c>
      <c r="D1666" s="58" t="s">
        <v>176</v>
      </c>
      <c r="E1666" s="58" t="s">
        <v>176</v>
      </c>
      <c r="F1666" s="58" t="s">
        <v>290</v>
      </c>
      <c r="G1666" s="58" t="s">
        <v>291</v>
      </c>
      <c r="H1666" s="58" t="s">
        <v>179</v>
      </c>
      <c r="I1666">
        <v>38000</v>
      </c>
      <c r="J1666">
        <v>38000</v>
      </c>
      <c r="K1666">
        <v>20000</v>
      </c>
      <c r="L1666" s="74">
        <v>6.7779999999999996</v>
      </c>
      <c r="M1666" s="85">
        <v>7</v>
      </c>
      <c r="N1666" s="74">
        <v>0.25800000000000001</v>
      </c>
      <c r="O1666">
        <v>3</v>
      </c>
      <c r="P1666" s="84">
        <v>0.25800000000000001</v>
      </c>
      <c r="Q1666" s="86">
        <v>4.2</v>
      </c>
      <c r="R1666" s="85">
        <v>4.2</v>
      </c>
      <c r="S1666" s="87">
        <v>839680</v>
      </c>
      <c r="T1666" s="1">
        <v>4</v>
      </c>
      <c r="U1666" s="88">
        <v>199923.80952380953</v>
      </c>
      <c r="V1666" s="59">
        <v>5.0019054878048781</v>
      </c>
    </row>
    <row r="1667" spans="1:22">
      <c r="A1667" s="58">
        <v>1669</v>
      </c>
      <c r="B1667" s="58">
        <v>1669</v>
      </c>
      <c r="C1667" s="58" t="s">
        <v>2438</v>
      </c>
      <c r="D1667" s="58" t="s">
        <v>775</v>
      </c>
      <c r="E1667" s="58" t="s">
        <v>775</v>
      </c>
      <c r="F1667" s="58" t="s">
        <v>848</v>
      </c>
      <c r="G1667" s="58" t="s">
        <v>849</v>
      </c>
      <c r="H1667" s="58" t="s">
        <v>179</v>
      </c>
      <c r="I1667">
        <v>38000</v>
      </c>
      <c r="J1667">
        <v>38000</v>
      </c>
      <c r="K1667" s="58" t="s">
        <v>185</v>
      </c>
      <c r="L1667" s="74">
        <v>1.9550000000000001</v>
      </c>
      <c r="M1667" s="85">
        <v>2</v>
      </c>
      <c r="N1667" s="74">
        <v>0.70299999999999996</v>
      </c>
      <c r="O1667">
        <v>3</v>
      </c>
      <c r="P1667" s="84">
        <v>0.70299999999999996</v>
      </c>
      <c r="Q1667" s="86">
        <v>4.2</v>
      </c>
      <c r="R1667" s="85">
        <v>4.2</v>
      </c>
      <c r="S1667" s="87">
        <v>488330</v>
      </c>
      <c r="T1667" s="1">
        <v>4</v>
      </c>
      <c r="U1667" s="88">
        <v>116269.04761904762</v>
      </c>
      <c r="V1667" s="59">
        <v>8.6007413019884087</v>
      </c>
    </row>
    <row r="1668" spans="1:22">
      <c r="A1668" s="58">
        <v>1670</v>
      </c>
      <c r="B1668" s="58">
        <v>1670</v>
      </c>
      <c r="C1668" s="58" t="s">
        <v>2439</v>
      </c>
      <c r="D1668" s="58" t="s">
        <v>775</v>
      </c>
      <c r="E1668" s="58" t="s">
        <v>775</v>
      </c>
      <c r="F1668" s="58" t="s">
        <v>1764</v>
      </c>
      <c r="G1668" s="58" t="s">
        <v>1765</v>
      </c>
      <c r="H1668" s="58" t="s">
        <v>199</v>
      </c>
      <c r="I1668">
        <v>110000</v>
      </c>
      <c r="L1668" s="74">
        <v>6.6280000000000001</v>
      </c>
      <c r="M1668" s="85">
        <v>7</v>
      </c>
      <c r="N1668" s="74">
        <v>2.5670000000000002</v>
      </c>
      <c r="O1668">
        <v>3</v>
      </c>
      <c r="P1668" s="84">
        <v>1.9252500000000001</v>
      </c>
      <c r="Q1668" s="86">
        <v>12.600000000000001</v>
      </c>
      <c r="R1668" s="85">
        <v>12.600000000000001</v>
      </c>
      <c r="S1668" s="87">
        <v>1785370</v>
      </c>
      <c r="T1668" s="1">
        <v>7</v>
      </c>
      <c r="U1668" s="88">
        <v>141696.03174603172</v>
      </c>
      <c r="V1668" s="59">
        <v>7.0573606591350826</v>
      </c>
    </row>
    <row r="1669" spans="1:22">
      <c r="A1669" s="58">
        <v>1671</v>
      </c>
      <c r="B1669" s="58">
        <v>1671</v>
      </c>
      <c r="C1669" s="58" t="s">
        <v>2440</v>
      </c>
      <c r="D1669" s="58" t="s">
        <v>775</v>
      </c>
      <c r="E1669" s="58" t="s">
        <v>775</v>
      </c>
      <c r="F1669" s="58" t="s">
        <v>2441</v>
      </c>
      <c r="G1669" s="58" t="s">
        <v>2442</v>
      </c>
      <c r="H1669" s="58" t="s">
        <v>199</v>
      </c>
      <c r="I1669">
        <v>110000</v>
      </c>
      <c r="J1669">
        <v>110000</v>
      </c>
      <c r="K1669" s="58" t="s">
        <v>185</v>
      </c>
      <c r="L1669" s="74">
        <v>2.492</v>
      </c>
      <c r="M1669" s="85">
        <v>3</v>
      </c>
      <c r="N1669" s="74">
        <v>1.214</v>
      </c>
      <c r="O1669">
        <v>3</v>
      </c>
      <c r="P1669" s="84">
        <v>0.91049999999999998</v>
      </c>
      <c r="Q1669" s="86">
        <v>4.2</v>
      </c>
      <c r="R1669" s="85">
        <v>4.2</v>
      </c>
      <c r="S1669" s="87">
        <v>1574570</v>
      </c>
      <c r="T1669" s="1">
        <v>7</v>
      </c>
      <c r="U1669" s="88">
        <v>374897.61904761905</v>
      </c>
      <c r="V1669" s="59">
        <v>2.6673949078161021</v>
      </c>
    </row>
    <row r="1670" spans="1:22">
      <c r="A1670" s="58">
        <v>1672</v>
      </c>
      <c r="B1670" s="58">
        <v>1672</v>
      </c>
      <c r="C1670" s="58" t="s">
        <v>2443</v>
      </c>
      <c r="D1670" s="58" t="s">
        <v>197</v>
      </c>
      <c r="E1670" s="58" t="s">
        <v>197</v>
      </c>
      <c r="F1670" s="58" t="s">
        <v>1770</v>
      </c>
      <c r="G1670" s="58" t="s">
        <v>1771</v>
      </c>
      <c r="H1670" s="58" t="s">
        <v>179</v>
      </c>
      <c r="I1670">
        <v>38000</v>
      </c>
      <c r="J1670">
        <v>38000</v>
      </c>
      <c r="K1670">
        <v>10000</v>
      </c>
      <c r="L1670" s="74">
        <v>3.7229999999999999</v>
      </c>
      <c r="M1670" s="85">
        <v>4</v>
      </c>
      <c r="N1670" s="74">
        <v>0.60099999999999998</v>
      </c>
      <c r="O1670">
        <v>3</v>
      </c>
      <c r="P1670" s="84">
        <v>0.60099999999999998</v>
      </c>
      <c r="Q1670" s="86">
        <v>4.2</v>
      </c>
      <c r="R1670" s="85">
        <v>4.2</v>
      </c>
      <c r="S1670" s="87">
        <v>628870</v>
      </c>
      <c r="T1670" s="1">
        <v>4</v>
      </c>
      <c r="U1670" s="88">
        <v>149730.95238095237</v>
      </c>
      <c r="V1670" s="59">
        <v>6.6786458250512828</v>
      </c>
    </row>
    <row r="1671" spans="1:22">
      <c r="A1671" s="58">
        <v>1673</v>
      </c>
      <c r="B1671" s="58">
        <v>1673</v>
      </c>
      <c r="C1671" s="58" t="s">
        <v>2444</v>
      </c>
      <c r="D1671" s="58" t="s">
        <v>197</v>
      </c>
      <c r="E1671" s="58" t="s">
        <v>197</v>
      </c>
      <c r="F1671" s="58" t="s">
        <v>1770</v>
      </c>
      <c r="G1671" s="58" t="s">
        <v>1771</v>
      </c>
      <c r="H1671" s="58" t="s">
        <v>179</v>
      </c>
      <c r="I1671">
        <v>38000</v>
      </c>
      <c r="J1671">
        <v>38000</v>
      </c>
      <c r="K1671">
        <v>10000</v>
      </c>
      <c r="L1671" s="74">
        <v>3.032</v>
      </c>
      <c r="M1671" s="85">
        <v>4</v>
      </c>
      <c r="N1671" s="74">
        <v>1.018</v>
      </c>
      <c r="O1671">
        <v>3</v>
      </c>
      <c r="P1671" s="84">
        <v>1.018</v>
      </c>
      <c r="Q1671" s="86">
        <v>4.2</v>
      </c>
      <c r="R1671" s="85">
        <v>4.2</v>
      </c>
      <c r="S1671" s="87">
        <v>628870</v>
      </c>
      <c r="T1671" s="1">
        <v>4</v>
      </c>
      <c r="U1671" s="88">
        <v>149730.95238095237</v>
      </c>
      <c r="V1671" s="59">
        <v>6.6786458250512828</v>
      </c>
    </row>
    <row r="1672" spans="1:22">
      <c r="A1672" s="58">
        <v>1674</v>
      </c>
      <c r="B1672" s="58">
        <v>1674</v>
      </c>
      <c r="C1672" s="58" t="s">
        <v>2445</v>
      </c>
      <c r="D1672" s="58" t="s">
        <v>197</v>
      </c>
      <c r="E1672" s="58" t="s">
        <v>197</v>
      </c>
      <c r="F1672" s="58" t="s">
        <v>486</v>
      </c>
      <c r="G1672" s="58" t="s">
        <v>487</v>
      </c>
      <c r="H1672" s="58" t="s">
        <v>179</v>
      </c>
      <c r="I1672">
        <v>38000</v>
      </c>
      <c r="J1672">
        <v>38000</v>
      </c>
      <c r="K1672" s="58" t="s">
        <v>185</v>
      </c>
      <c r="L1672" s="74">
        <v>17.899999999999999</v>
      </c>
      <c r="M1672" s="85">
        <v>18</v>
      </c>
      <c r="N1672" s="74">
        <v>0.61199999999999999</v>
      </c>
      <c r="O1672">
        <v>3</v>
      </c>
      <c r="P1672" s="84">
        <v>0.61199999999999999</v>
      </c>
      <c r="Q1672" s="86">
        <v>4.2</v>
      </c>
      <c r="R1672" s="85">
        <v>4.2</v>
      </c>
      <c r="S1672" s="87">
        <v>1808740</v>
      </c>
      <c r="T1672" s="1">
        <v>1</v>
      </c>
      <c r="U1672" s="88">
        <v>430652.38095238095</v>
      </c>
      <c r="V1672" s="59">
        <v>2.3220584495284009</v>
      </c>
    </row>
    <row r="1673" spans="1:22">
      <c r="A1673" s="58">
        <v>1675</v>
      </c>
      <c r="B1673" s="58">
        <v>1675</v>
      </c>
      <c r="C1673" s="58" t="s">
        <v>2446</v>
      </c>
      <c r="D1673" s="58" t="s">
        <v>197</v>
      </c>
      <c r="E1673" s="58" t="s">
        <v>197</v>
      </c>
      <c r="F1673" s="58" t="s">
        <v>1783</v>
      </c>
      <c r="G1673" s="58" t="s">
        <v>1784</v>
      </c>
      <c r="H1673" s="58" t="s">
        <v>179</v>
      </c>
      <c r="I1673">
        <v>38000</v>
      </c>
      <c r="J1673">
        <v>38000</v>
      </c>
      <c r="K1673">
        <v>10000</v>
      </c>
      <c r="L1673" s="74">
        <v>13.238</v>
      </c>
      <c r="M1673" s="85">
        <v>14</v>
      </c>
      <c r="N1673" s="74">
        <v>3.1070000000000002</v>
      </c>
      <c r="O1673">
        <v>3</v>
      </c>
      <c r="P1673" s="84">
        <v>2.3302500000000004</v>
      </c>
      <c r="Q1673" s="86">
        <v>16.8</v>
      </c>
      <c r="R1673" s="85">
        <v>16.8</v>
      </c>
      <c r="S1673" s="87">
        <v>1331570</v>
      </c>
      <c r="T1673" s="1">
        <v>4</v>
      </c>
      <c r="U1673" s="88">
        <v>79260.119047619039</v>
      </c>
      <c r="V1673" s="59">
        <v>12.616685566661911</v>
      </c>
    </row>
    <row r="1674" spans="1:22">
      <c r="A1674" s="58">
        <v>1676</v>
      </c>
      <c r="B1674" s="58">
        <v>1676</v>
      </c>
      <c r="C1674" s="58" t="s">
        <v>2447</v>
      </c>
      <c r="D1674" s="58" t="s">
        <v>182</v>
      </c>
      <c r="E1674" s="58" t="s">
        <v>182</v>
      </c>
      <c r="F1674" s="58" t="s">
        <v>302</v>
      </c>
      <c r="G1674" s="58" t="s">
        <v>303</v>
      </c>
      <c r="H1674" s="58" t="s">
        <v>179</v>
      </c>
      <c r="I1674">
        <v>38000</v>
      </c>
      <c r="J1674">
        <v>38000</v>
      </c>
      <c r="K1674" s="58" t="s">
        <v>185</v>
      </c>
      <c r="L1674" s="74">
        <v>5.133</v>
      </c>
      <c r="M1674" s="85">
        <v>6</v>
      </c>
      <c r="N1674" s="74">
        <v>3.1909999999999998</v>
      </c>
      <c r="O1674">
        <v>3</v>
      </c>
      <c r="P1674" s="84">
        <v>2.3932500000000001</v>
      </c>
      <c r="Q1674" s="86">
        <v>16.8</v>
      </c>
      <c r="R1674" s="85">
        <v>16.8</v>
      </c>
      <c r="S1674" s="87">
        <v>769410</v>
      </c>
      <c r="T1674" s="1">
        <v>4</v>
      </c>
      <c r="U1674" s="88">
        <v>45798.214285714283</v>
      </c>
      <c r="V1674" s="59">
        <v>21.834912465395561</v>
      </c>
    </row>
    <row r="1675" spans="1:22">
      <c r="A1675" s="58">
        <v>1677</v>
      </c>
      <c r="B1675" s="58">
        <v>1677</v>
      </c>
      <c r="C1675" s="58" t="s">
        <v>2448</v>
      </c>
      <c r="D1675" s="58" t="s">
        <v>182</v>
      </c>
      <c r="E1675" s="58" t="s">
        <v>182</v>
      </c>
      <c r="F1675" s="58" t="s">
        <v>302</v>
      </c>
      <c r="G1675" s="58" t="s">
        <v>303</v>
      </c>
      <c r="H1675" s="58" t="s">
        <v>179</v>
      </c>
      <c r="I1675">
        <v>38000</v>
      </c>
      <c r="J1675">
        <v>38000</v>
      </c>
      <c r="K1675" s="58" t="s">
        <v>185</v>
      </c>
      <c r="L1675" s="74">
        <v>7.4550000000000001</v>
      </c>
      <c r="M1675" s="85">
        <v>8</v>
      </c>
      <c r="N1675" s="74">
        <v>2.5409999999999999</v>
      </c>
      <c r="O1675">
        <v>3</v>
      </c>
      <c r="P1675" s="84">
        <v>1.9057499999999998</v>
      </c>
      <c r="Q1675" s="86">
        <v>12.600000000000001</v>
      </c>
      <c r="R1675" s="85">
        <v>12.600000000000001</v>
      </c>
      <c r="S1675" s="87">
        <v>909950</v>
      </c>
      <c r="T1675" s="1">
        <v>4</v>
      </c>
      <c r="U1675" s="88">
        <v>72218.253968253965</v>
      </c>
      <c r="V1675" s="59">
        <v>13.846914665640972</v>
      </c>
    </row>
    <row r="1676" spans="1:22">
      <c r="A1676" s="89">
        <v>1678</v>
      </c>
      <c r="B1676" s="89">
        <v>1678</v>
      </c>
      <c r="C1676" s="89" t="s">
        <v>2449</v>
      </c>
      <c r="D1676" s="58" t="s">
        <v>182</v>
      </c>
      <c r="E1676" s="58" t="s">
        <v>182</v>
      </c>
      <c r="F1676" s="89" t="s">
        <v>302</v>
      </c>
      <c r="G1676" s="89" t="s">
        <v>303</v>
      </c>
      <c r="H1676" s="89" t="s">
        <v>179</v>
      </c>
      <c r="I1676" s="90">
        <v>38000</v>
      </c>
      <c r="J1676" s="90">
        <v>38000</v>
      </c>
      <c r="K1676" s="89" t="s">
        <v>185</v>
      </c>
      <c r="L1676" s="91">
        <v>5.9950000000000001</v>
      </c>
      <c r="M1676" s="92">
        <v>6</v>
      </c>
      <c r="N1676" s="91">
        <v>8.6950000000000003</v>
      </c>
      <c r="O1676" s="90">
        <v>3</v>
      </c>
      <c r="P1676" s="92">
        <v>6.5212500000000002</v>
      </c>
      <c r="Q1676" s="93">
        <v>46.2</v>
      </c>
      <c r="R1676" s="92">
        <v>46.2</v>
      </c>
      <c r="S1676" s="87">
        <v>2183320</v>
      </c>
      <c r="T1676" s="94">
        <v>11</v>
      </c>
      <c r="U1676" s="95">
        <v>47258.008658008657</v>
      </c>
      <c r="V1676" s="96">
        <v>21.160434567539344</v>
      </c>
    </row>
    <row r="1677" spans="1:22">
      <c r="A1677" s="58">
        <v>1679</v>
      </c>
      <c r="B1677" s="58">
        <v>1679</v>
      </c>
      <c r="C1677" s="58" t="s">
        <v>2450</v>
      </c>
      <c r="D1677" s="58" t="s">
        <v>182</v>
      </c>
      <c r="E1677" s="58" t="s">
        <v>182</v>
      </c>
      <c r="F1677" s="58" t="s">
        <v>302</v>
      </c>
      <c r="G1677" s="58" t="s">
        <v>303</v>
      </c>
      <c r="H1677" s="58" t="s">
        <v>179</v>
      </c>
      <c r="I1677">
        <v>38000</v>
      </c>
      <c r="J1677">
        <v>38000</v>
      </c>
      <c r="K1677" s="58" t="s">
        <v>185</v>
      </c>
      <c r="L1677" s="74">
        <v>11.087</v>
      </c>
      <c r="M1677" s="85">
        <v>12</v>
      </c>
      <c r="N1677" s="74">
        <v>5.5190000000000001</v>
      </c>
      <c r="O1677">
        <v>3</v>
      </c>
      <c r="P1677" s="84">
        <v>4.1392500000000005</v>
      </c>
      <c r="Q1677" s="86">
        <v>29.400000000000006</v>
      </c>
      <c r="R1677" s="85">
        <v>29.400000000000006</v>
      </c>
      <c r="S1677" s="87">
        <v>1413750</v>
      </c>
      <c r="T1677" s="1">
        <v>5</v>
      </c>
      <c r="U1677" s="88">
        <v>48086.734693877544</v>
      </c>
      <c r="V1677" s="59">
        <v>20.795755968169768</v>
      </c>
    </row>
    <row r="1678" spans="1:22">
      <c r="A1678" s="58">
        <v>1680</v>
      </c>
      <c r="B1678" s="58">
        <v>1680</v>
      </c>
      <c r="C1678" s="58" t="s">
        <v>2451</v>
      </c>
      <c r="D1678" s="58" t="s">
        <v>182</v>
      </c>
      <c r="E1678" s="58" t="s">
        <v>182</v>
      </c>
      <c r="F1678" s="58" t="s">
        <v>302</v>
      </c>
      <c r="G1678" s="58" t="s">
        <v>303</v>
      </c>
      <c r="H1678" s="58" t="s">
        <v>179</v>
      </c>
      <c r="I1678">
        <v>38000</v>
      </c>
      <c r="J1678">
        <v>38000</v>
      </c>
      <c r="K1678" s="58" t="s">
        <v>185</v>
      </c>
      <c r="L1678" s="74">
        <v>10.414</v>
      </c>
      <c r="M1678" s="85">
        <v>11</v>
      </c>
      <c r="N1678" s="74">
        <v>2.4980000000000002</v>
      </c>
      <c r="O1678">
        <v>3</v>
      </c>
      <c r="P1678" s="84">
        <v>1.8735000000000002</v>
      </c>
      <c r="Q1678" s="86">
        <v>12.600000000000001</v>
      </c>
      <c r="R1678" s="85">
        <v>12.600000000000001</v>
      </c>
      <c r="S1678" s="87">
        <v>1522250</v>
      </c>
      <c r="T1678" s="1">
        <v>3</v>
      </c>
      <c r="U1678" s="88">
        <v>120813.49206349206</v>
      </c>
      <c r="V1678" s="59">
        <v>8.2772212185909027</v>
      </c>
    </row>
    <row r="1679" spans="1:22">
      <c r="A1679" s="58">
        <v>1681</v>
      </c>
      <c r="B1679" s="58">
        <v>1681</v>
      </c>
      <c r="C1679" s="58" t="s">
        <v>2452</v>
      </c>
      <c r="D1679" s="58" t="s">
        <v>182</v>
      </c>
      <c r="E1679" s="58" t="s">
        <v>182</v>
      </c>
      <c r="F1679" s="58" t="s">
        <v>440</v>
      </c>
      <c r="G1679" s="58" t="s">
        <v>441</v>
      </c>
      <c r="H1679" s="58" t="s">
        <v>199</v>
      </c>
      <c r="I1679">
        <v>110000</v>
      </c>
      <c r="L1679" s="74">
        <v>12.726000000000001</v>
      </c>
      <c r="M1679" s="85">
        <v>13</v>
      </c>
      <c r="N1679" s="74">
        <v>1.0940000000000001</v>
      </c>
      <c r="O1679">
        <v>3</v>
      </c>
      <c r="P1679" s="84">
        <v>1.0940000000000001</v>
      </c>
      <c r="Q1679" s="86">
        <v>4.2</v>
      </c>
      <c r="R1679" s="85">
        <v>4.2</v>
      </c>
      <c r="S1679" s="87">
        <v>2101570</v>
      </c>
      <c r="T1679" s="1">
        <v>7</v>
      </c>
      <c r="U1679" s="88">
        <v>500373.80952380953</v>
      </c>
      <c r="V1679" s="59">
        <v>1.9985058789381271</v>
      </c>
    </row>
    <row r="1680" spans="1:22">
      <c r="A1680" s="58">
        <v>1682</v>
      </c>
      <c r="B1680" s="58">
        <v>1682</v>
      </c>
      <c r="C1680" s="58" t="s">
        <v>2453</v>
      </c>
      <c r="D1680" s="58" t="s">
        <v>182</v>
      </c>
      <c r="E1680" s="58" t="s">
        <v>182</v>
      </c>
      <c r="F1680" s="58" t="s">
        <v>302</v>
      </c>
      <c r="G1680" s="58" t="s">
        <v>303</v>
      </c>
      <c r="H1680" s="58" t="s">
        <v>179</v>
      </c>
      <c r="I1680">
        <v>38000</v>
      </c>
      <c r="J1680">
        <v>38000</v>
      </c>
      <c r="K1680" s="58" t="s">
        <v>185</v>
      </c>
      <c r="L1680" s="74">
        <v>10.096</v>
      </c>
      <c r="M1680" s="85">
        <v>11</v>
      </c>
      <c r="N1680" s="74">
        <v>1.141</v>
      </c>
      <c r="O1680">
        <v>3</v>
      </c>
      <c r="P1680" s="84">
        <v>1.141</v>
      </c>
      <c r="Q1680" s="86">
        <v>4.2</v>
      </c>
      <c r="R1680" s="85">
        <v>4.2</v>
      </c>
      <c r="S1680" s="87">
        <v>1439840</v>
      </c>
      <c r="T1680" s="1">
        <v>1</v>
      </c>
      <c r="U1680" s="88">
        <v>342819.04761904763</v>
      </c>
      <c r="V1680" s="59">
        <v>2.9169907767529724</v>
      </c>
    </row>
    <row r="1681" spans="1:22">
      <c r="A1681" s="58">
        <v>1683</v>
      </c>
      <c r="B1681" s="58">
        <v>1683</v>
      </c>
      <c r="C1681" s="58" t="s">
        <v>2454</v>
      </c>
      <c r="D1681" s="58" t="s">
        <v>182</v>
      </c>
      <c r="E1681" s="58" t="s">
        <v>182</v>
      </c>
      <c r="F1681" s="58" t="s">
        <v>302</v>
      </c>
      <c r="G1681" s="58" t="s">
        <v>303</v>
      </c>
      <c r="H1681" s="58" t="s">
        <v>179</v>
      </c>
      <c r="I1681">
        <v>38000</v>
      </c>
      <c r="J1681">
        <v>38000</v>
      </c>
      <c r="K1681" s="58" t="s">
        <v>185</v>
      </c>
      <c r="L1681" s="74">
        <v>6.72</v>
      </c>
      <c r="M1681" s="85">
        <v>7</v>
      </c>
      <c r="N1681" s="74">
        <v>3.5289999999999999</v>
      </c>
      <c r="O1681">
        <v>3</v>
      </c>
      <c r="P1681" s="84">
        <v>2.6467499999999999</v>
      </c>
      <c r="Q1681" s="86">
        <v>16.8</v>
      </c>
      <c r="R1681" s="85">
        <v>16.8</v>
      </c>
      <c r="S1681" s="87">
        <v>839680</v>
      </c>
      <c r="T1681" s="1">
        <v>4</v>
      </c>
      <c r="U1681" s="88">
        <v>49980.952380952382</v>
      </c>
      <c r="V1681" s="59">
        <v>20.007621951219512</v>
      </c>
    </row>
    <row r="1682" spans="1:22">
      <c r="A1682" s="58">
        <v>1684</v>
      </c>
      <c r="B1682" s="58">
        <v>1684</v>
      </c>
      <c r="C1682" s="58" t="s">
        <v>2455</v>
      </c>
      <c r="D1682" s="58" t="s">
        <v>182</v>
      </c>
      <c r="E1682" s="58" t="s">
        <v>182</v>
      </c>
      <c r="F1682" s="58" t="s">
        <v>302</v>
      </c>
      <c r="G1682" s="58" t="s">
        <v>303</v>
      </c>
      <c r="H1682" s="58" t="s">
        <v>179</v>
      </c>
      <c r="I1682">
        <v>38000</v>
      </c>
      <c r="J1682">
        <v>38000</v>
      </c>
      <c r="K1682" s="58" t="s">
        <v>185</v>
      </c>
      <c r="L1682" s="74">
        <v>9.6470000000000002</v>
      </c>
      <c r="M1682" s="85">
        <v>10</v>
      </c>
      <c r="N1682" s="74">
        <v>3.9630000000000001</v>
      </c>
      <c r="O1682">
        <v>3</v>
      </c>
      <c r="P1682" s="84">
        <v>2.9722499999999998</v>
      </c>
      <c r="Q1682" s="86">
        <v>21</v>
      </c>
      <c r="R1682" s="85">
        <v>21</v>
      </c>
      <c r="S1682" s="87">
        <v>1050490</v>
      </c>
      <c r="T1682" s="1">
        <v>4</v>
      </c>
      <c r="U1682" s="88">
        <v>50023.333333333336</v>
      </c>
      <c r="V1682" s="59">
        <v>19.990671020190579</v>
      </c>
    </row>
    <row r="1683" spans="1:22">
      <c r="A1683" s="58">
        <v>1685</v>
      </c>
      <c r="B1683" s="58">
        <v>1685</v>
      </c>
      <c r="C1683" s="58" t="s">
        <v>2456</v>
      </c>
      <c r="D1683" s="58" t="s">
        <v>234</v>
      </c>
      <c r="E1683" s="58" t="s">
        <v>234</v>
      </c>
      <c r="F1683" s="58" t="s">
        <v>302</v>
      </c>
      <c r="G1683" s="58" t="s">
        <v>303</v>
      </c>
      <c r="H1683" s="58" t="s">
        <v>179</v>
      </c>
      <c r="I1683">
        <v>38000</v>
      </c>
      <c r="J1683">
        <v>38000</v>
      </c>
      <c r="K1683" s="58" t="s">
        <v>185</v>
      </c>
      <c r="L1683" s="74">
        <v>20.501000000000001</v>
      </c>
      <c r="M1683" s="85">
        <v>21</v>
      </c>
      <c r="N1683" s="74">
        <v>3.887</v>
      </c>
      <c r="O1683">
        <v>3</v>
      </c>
      <c r="P1683" s="84">
        <v>2.9152499999999999</v>
      </c>
      <c r="Q1683" s="86">
        <v>21</v>
      </c>
      <c r="R1683" s="85">
        <v>21</v>
      </c>
      <c r="S1683" s="87">
        <v>1823460</v>
      </c>
      <c r="T1683" s="1">
        <v>4</v>
      </c>
      <c r="U1683" s="88">
        <v>86831.428571428565</v>
      </c>
      <c r="V1683" s="59">
        <v>11.516567404823796</v>
      </c>
    </row>
    <row r="1684" spans="1:22">
      <c r="A1684" s="58">
        <v>1686</v>
      </c>
      <c r="B1684" s="58">
        <v>1686</v>
      </c>
      <c r="C1684" s="58" t="s">
        <v>2457</v>
      </c>
      <c r="D1684" s="58" t="s">
        <v>234</v>
      </c>
      <c r="E1684" s="58" t="s">
        <v>182</v>
      </c>
      <c r="F1684" s="58" t="s">
        <v>595</v>
      </c>
      <c r="G1684" s="58" t="s">
        <v>596</v>
      </c>
      <c r="H1684" s="58" t="s">
        <v>179</v>
      </c>
      <c r="I1684">
        <v>38000</v>
      </c>
      <c r="J1684">
        <v>38000</v>
      </c>
      <c r="K1684" s="58" t="s">
        <v>185</v>
      </c>
      <c r="L1684" s="74">
        <v>19.670999999999999</v>
      </c>
      <c r="M1684" s="85">
        <v>20</v>
      </c>
      <c r="N1684" s="74">
        <v>0.94099999999999995</v>
      </c>
      <c r="O1684">
        <v>3</v>
      </c>
      <c r="P1684" s="84">
        <v>0.94099999999999995</v>
      </c>
      <c r="Q1684" s="86">
        <v>4.2</v>
      </c>
      <c r="R1684" s="85">
        <v>4.2</v>
      </c>
      <c r="S1684" s="87">
        <v>1914140</v>
      </c>
      <c r="T1684" s="1">
        <v>1</v>
      </c>
      <c r="U1684" s="88">
        <v>455747.61904761905</v>
      </c>
      <c r="V1684" s="59">
        <v>2.1941968717021743</v>
      </c>
    </row>
    <row r="1685" spans="1:22">
      <c r="A1685" s="58">
        <v>1687</v>
      </c>
      <c r="B1685" s="58">
        <v>1687</v>
      </c>
      <c r="C1685" s="58" t="s">
        <v>2458</v>
      </c>
      <c r="D1685" s="58" t="s">
        <v>182</v>
      </c>
      <c r="E1685" s="58" t="s">
        <v>182</v>
      </c>
      <c r="F1685" s="58" t="s">
        <v>302</v>
      </c>
      <c r="G1685" s="58" t="s">
        <v>303</v>
      </c>
      <c r="H1685" s="58" t="s">
        <v>179</v>
      </c>
      <c r="I1685">
        <v>38000</v>
      </c>
      <c r="J1685">
        <v>38000</v>
      </c>
      <c r="K1685" s="58" t="s">
        <v>185</v>
      </c>
      <c r="L1685" s="74">
        <v>17.823</v>
      </c>
      <c r="M1685" s="85">
        <v>18</v>
      </c>
      <c r="N1685" s="74">
        <v>2.3439999999999999</v>
      </c>
      <c r="O1685">
        <v>3</v>
      </c>
      <c r="P1685" s="84">
        <v>1.758</v>
      </c>
      <c r="Q1685" s="86">
        <v>8.4</v>
      </c>
      <c r="R1685" s="85">
        <v>8.4</v>
      </c>
      <c r="S1685" s="87">
        <v>1854100</v>
      </c>
      <c r="T1685" s="1">
        <v>2</v>
      </c>
      <c r="U1685" s="88">
        <v>220726.19047619047</v>
      </c>
      <c r="V1685" s="59">
        <v>4.5304999730327387</v>
      </c>
    </row>
    <row r="1686" spans="1:22">
      <c r="A1686" s="58">
        <v>1688</v>
      </c>
      <c r="B1686" s="58">
        <v>1688</v>
      </c>
      <c r="C1686" s="58" t="s">
        <v>2459</v>
      </c>
      <c r="D1686" s="58" t="s">
        <v>182</v>
      </c>
      <c r="E1686" s="58" t="s">
        <v>182</v>
      </c>
      <c r="F1686" s="58" t="s">
        <v>595</v>
      </c>
      <c r="G1686" s="58" t="s">
        <v>596</v>
      </c>
      <c r="H1686" s="58" t="s">
        <v>179</v>
      </c>
      <c r="I1686">
        <v>38000</v>
      </c>
      <c r="J1686">
        <v>38000</v>
      </c>
      <c r="K1686" s="58" t="s">
        <v>185</v>
      </c>
      <c r="L1686" s="74">
        <v>18.09</v>
      </c>
      <c r="M1686" s="85">
        <v>19</v>
      </c>
      <c r="N1686" s="74">
        <v>1.022</v>
      </c>
      <c r="O1686">
        <v>3</v>
      </c>
      <c r="P1686" s="84">
        <v>1.022</v>
      </c>
      <c r="Q1686" s="86">
        <v>4.2</v>
      </c>
      <c r="R1686" s="85">
        <v>4.2</v>
      </c>
      <c r="S1686" s="87">
        <v>1861440</v>
      </c>
      <c r="T1686" s="1">
        <v>1</v>
      </c>
      <c r="U1686" s="88">
        <v>443200</v>
      </c>
      <c r="V1686" s="59">
        <v>2.256317689530686</v>
      </c>
    </row>
    <row r="1687" spans="1:22">
      <c r="A1687" s="58">
        <v>1689</v>
      </c>
      <c r="B1687" s="58">
        <v>1689</v>
      </c>
      <c r="C1687" s="58" t="s">
        <v>2460</v>
      </c>
      <c r="D1687" s="58" t="s">
        <v>182</v>
      </c>
      <c r="E1687" s="58" t="s">
        <v>182</v>
      </c>
      <c r="F1687" s="58" t="s">
        <v>302</v>
      </c>
      <c r="G1687" s="58" t="s">
        <v>303</v>
      </c>
      <c r="H1687" s="58" t="s">
        <v>179</v>
      </c>
      <c r="I1687">
        <v>38000</v>
      </c>
      <c r="J1687">
        <v>38000</v>
      </c>
      <c r="K1687" s="58" t="s">
        <v>185</v>
      </c>
      <c r="L1687" s="74">
        <v>16.436</v>
      </c>
      <c r="M1687" s="85">
        <v>17</v>
      </c>
      <c r="N1687" s="74">
        <v>0.68799999999999994</v>
      </c>
      <c r="O1687">
        <v>3</v>
      </c>
      <c r="P1687" s="84">
        <v>0.68799999999999994</v>
      </c>
      <c r="Q1687" s="86">
        <v>4.2</v>
      </c>
      <c r="R1687" s="85">
        <v>4.2</v>
      </c>
      <c r="S1687" s="87">
        <v>1756040</v>
      </c>
      <c r="T1687" s="1">
        <v>1</v>
      </c>
      <c r="U1687" s="88">
        <v>418104.76190476189</v>
      </c>
      <c r="V1687" s="59">
        <v>2.3917450627548349</v>
      </c>
    </row>
    <row r="1688" spans="1:22">
      <c r="A1688" s="58">
        <v>1690</v>
      </c>
      <c r="B1688" s="58">
        <v>1690</v>
      </c>
      <c r="C1688" s="58" t="s">
        <v>2461</v>
      </c>
      <c r="D1688" s="58" t="s">
        <v>182</v>
      </c>
      <c r="E1688" s="58" t="s">
        <v>182</v>
      </c>
      <c r="F1688" s="58" t="s">
        <v>302</v>
      </c>
      <c r="G1688" s="58" t="s">
        <v>303</v>
      </c>
      <c r="H1688" s="58" t="s">
        <v>179</v>
      </c>
      <c r="I1688">
        <v>38000</v>
      </c>
      <c r="J1688">
        <v>38000</v>
      </c>
      <c r="K1688" s="58" t="s">
        <v>185</v>
      </c>
      <c r="L1688" s="74">
        <v>15.877000000000001</v>
      </c>
      <c r="M1688" s="85">
        <v>16</v>
      </c>
      <c r="N1688" s="74">
        <v>0.93899999999999995</v>
      </c>
      <c r="O1688">
        <v>3</v>
      </c>
      <c r="P1688" s="84">
        <v>0.93899999999999995</v>
      </c>
      <c r="Q1688" s="86">
        <v>4.2</v>
      </c>
      <c r="R1688" s="85">
        <v>4.2</v>
      </c>
      <c r="S1688" s="87">
        <v>1703340</v>
      </c>
      <c r="T1688" s="1">
        <v>1</v>
      </c>
      <c r="U1688" s="88">
        <v>405557.14285714284</v>
      </c>
      <c r="V1688" s="59">
        <v>2.4657437739969708</v>
      </c>
    </row>
    <row r="1689" spans="1:22">
      <c r="A1689" s="58">
        <v>1691</v>
      </c>
      <c r="B1689" s="58">
        <v>1691</v>
      </c>
      <c r="C1689" s="58" t="s">
        <v>2462</v>
      </c>
      <c r="D1689" s="58" t="s">
        <v>234</v>
      </c>
      <c r="E1689" s="58" t="s">
        <v>234</v>
      </c>
      <c r="F1689" s="58" t="s">
        <v>595</v>
      </c>
      <c r="G1689" s="58" t="s">
        <v>596</v>
      </c>
      <c r="H1689" s="58" t="s">
        <v>179</v>
      </c>
      <c r="I1689">
        <v>38000</v>
      </c>
      <c r="J1689">
        <v>38000</v>
      </c>
      <c r="K1689" s="58" t="s">
        <v>185</v>
      </c>
      <c r="L1689" s="74">
        <v>17.893999999999998</v>
      </c>
      <c r="M1689" s="85">
        <v>18</v>
      </c>
      <c r="N1689" s="74">
        <v>4.17</v>
      </c>
      <c r="O1689">
        <v>3</v>
      </c>
      <c r="P1689" s="84">
        <v>3.1274999999999999</v>
      </c>
      <c r="Q1689" s="86">
        <v>21</v>
      </c>
      <c r="R1689" s="85">
        <v>21</v>
      </c>
      <c r="S1689" s="87">
        <v>1612650</v>
      </c>
      <c r="T1689" s="1">
        <v>4</v>
      </c>
      <c r="U1689" s="88">
        <v>76792.857142857145</v>
      </c>
      <c r="V1689" s="59">
        <v>13.022044460980373</v>
      </c>
    </row>
    <row r="1690" spans="1:22">
      <c r="A1690" s="58">
        <v>1692</v>
      </c>
      <c r="B1690" s="58">
        <v>1692</v>
      </c>
      <c r="C1690" s="58" t="s">
        <v>2463</v>
      </c>
      <c r="D1690" s="58" t="s">
        <v>234</v>
      </c>
      <c r="E1690" s="58" t="s">
        <v>234</v>
      </c>
      <c r="F1690" s="58" t="s">
        <v>595</v>
      </c>
      <c r="G1690" s="58" t="s">
        <v>596</v>
      </c>
      <c r="H1690" s="58" t="s">
        <v>179</v>
      </c>
      <c r="I1690">
        <v>38000</v>
      </c>
      <c r="J1690">
        <v>38000</v>
      </c>
      <c r="K1690" s="58" t="s">
        <v>185</v>
      </c>
      <c r="L1690" s="74">
        <v>18.106999999999999</v>
      </c>
      <c r="M1690" s="85">
        <v>19</v>
      </c>
      <c r="N1690" s="74">
        <v>1.514</v>
      </c>
      <c r="O1690">
        <v>3</v>
      </c>
      <c r="P1690" s="84">
        <v>1.1355</v>
      </c>
      <c r="Q1690" s="86">
        <v>4.2</v>
      </c>
      <c r="R1690" s="85">
        <v>4.2</v>
      </c>
      <c r="S1690" s="87">
        <v>1861440</v>
      </c>
      <c r="T1690" s="1">
        <v>1</v>
      </c>
      <c r="U1690" s="88">
        <v>443200</v>
      </c>
      <c r="V1690" s="59">
        <v>2.256317689530686</v>
      </c>
    </row>
    <row r="1691" spans="1:22">
      <c r="A1691" s="58">
        <v>1693</v>
      </c>
      <c r="B1691" s="58">
        <v>1693</v>
      </c>
      <c r="C1691" s="58" t="s">
        <v>2464</v>
      </c>
      <c r="D1691" s="58" t="s">
        <v>234</v>
      </c>
      <c r="E1691" s="58" t="s">
        <v>234</v>
      </c>
      <c r="F1691" s="58" t="s">
        <v>309</v>
      </c>
      <c r="G1691" s="58" t="s">
        <v>310</v>
      </c>
      <c r="H1691" s="58" t="s">
        <v>179</v>
      </c>
      <c r="I1691">
        <v>38000</v>
      </c>
      <c r="J1691">
        <v>38000</v>
      </c>
      <c r="K1691">
        <v>20000</v>
      </c>
      <c r="L1691" s="74">
        <v>17.295999999999999</v>
      </c>
      <c r="M1691" s="85">
        <v>18</v>
      </c>
      <c r="N1691" s="74">
        <v>1.008</v>
      </c>
      <c r="O1691">
        <v>3</v>
      </c>
      <c r="P1691" s="84">
        <v>1.008</v>
      </c>
      <c r="Q1691" s="86">
        <v>4.2</v>
      </c>
      <c r="R1691" s="85">
        <v>4.2</v>
      </c>
      <c r="S1691" s="87">
        <v>1808740</v>
      </c>
      <c r="T1691" s="1">
        <v>1</v>
      </c>
      <c r="U1691" s="88">
        <v>430652.38095238095</v>
      </c>
      <c r="V1691" s="59">
        <v>2.3220584495284009</v>
      </c>
    </row>
    <row r="1692" spans="1:22">
      <c r="A1692" s="58">
        <v>1694</v>
      </c>
      <c r="B1692" s="58">
        <v>1694</v>
      </c>
      <c r="C1692" s="58" t="s">
        <v>2465</v>
      </c>
      <c r="D1692" s="58" t="s">
        <v>182</v>
      </c>
      <c r="E1692" s="58" t="s">
        <v>182</v>
      </c>
      <c r="F1692" s="58" t="s">
        <v>440</v>
      </c>
      <c r="G1692" s="58" t="s">
        <v>441</v>
      </c>
      <c r="H1692" s="58" t="s">
        <v>199</v>
      </c>
      <c r="I1692">
        <v>110000</v>
      </c>
      <c r="L1692" s="74">
        <v>12.464</v>
      </c>
      <c r="M1692" s="85">
        <v>13</v>
      </c>
      <c r="N1692" s="74">
        <v>1.151</v>
      </c>
      <c r="O1692">
        <v>3</v>
      </c>
      <c r="P1692" s="84">
        <v>1.151</v>
      </c>
      <c r="Q1692" s="86">
        <v>4.2</v>
      </c>
      <c r="R1692" s="85">
        <v>4.2</v>
      </c>
      <c r="S1692" s="87">
        <v>2101570</v>
      </c>
      <c r="T1692" s="1">
        <v>7</v>
      </c>
      <c r="U1692" s="88">
        <v>500373.80952380953</v>
      </c>
      <c r="V1692" s="59">
        <v>1.9985058789381271</v>
      </c>
    </row>
    <row r="1693" spans="1:22">
      <c r="A1693" s="58">
        <v>1695</v>
      </c>
      <c r="B1693" s="58">
        <v>1695</v>
      </c>
      <c r="C1693" s="58" t="s">
        <v>2466</v>
      </c>
      <c r="D1693" s="58" t="s">
        <v>234</v>
      </c>
      <c r="E1693" s="58" t="s">
        <v>234</v>
      </c>
      <c r="F1693" s="58" t="s">
        <v>316</v>
      </c>
      <c r="G1693" s="58" t="s">
        <v>317</v>
      </c>
      <c r="H1693" s="58" t="s">
        <v>199</v>
      </c>
      <c r="I1693">
        <v>110000</v>
      </c>
      <c r="J1693">
        <v>110000</v>
      </c>
      <c r="K1693">
        <v>38000</v>
      </c>
      <c r="L1693" s="74">
        <v>23.74</v>
      </c>
      <c r="M1693" s="85">
        <v>24</v>
      </c>
      <c r="N1693" s="74">
        <v>0.71899999999999997</v>
      </c>
      <c r="O1693">
        <v>3</v>
      </c>
      <c r="P1693" s="84">
        <v>0.71899999999999997</v>
      </c>
      <c r="Q1693" s="86">
        <v>4.2</v>
      </c>
      <c r="R1693" s="85">
        <v>4.2</v>
      </c>
      <c r="S1693" s="87">
        <v>2681270</v>
      </c>
      <c r="T1693" s="1">
        <v>7</v>
      </c>
      <c r="U1693" s="88">
        <v>638397.61904761905</v>
      </c>
      <c r="V1693" s="59">
        <v>1.5664218821677787</v>
      </c>
    </row>
    <row r="1694" spans="1:22">
      <c r="A1694" s="58">
        <v>1696</v>
      </c>
      <c r="B1694" s="58">
        <v>1696</v>
      </c>
      <c r="C1694" s="58" t="s">
        <v>2467</v>
      </c>
      <c r="D1694" s="58" t="s">
        <v>234</v>
      </c>
      <c r="E1694" s="58" t="s">
        <v>234</v>
      </c>
      <c r="F1694" s="58" t="s">
        <v>309</v>
      </c>
      <c r="G1694" s="58" t="s">
        <v>310</v>
      </c>
      <c r="H1694" s="58" t="s">
        <v>179</v>
      </c>
      <c r="I1694">
        <v>38000</v>
      </c>
      <c r="J1694">
        <v>38000</v>
      </c>
      <c r="K1694">
        <v>20000</v>
      </c>
      <c r="L1694" s="74">
        <v>20.670999999999999</v>
      </c>
      <c r="M1694" s="85">
        <v>21</v>
      </c>
      <c r="N1694" s="74">
        <v>0.84299999999999997</v>
      </c>
      <c r="O1694">
        <v>3</v>
      </c>
      <c r="P1694" s="84">
        <v>0.84299999999999997</v>
      </c>
      <c r="Q1694" s="86">
        <v>4.2</v>
      </c>
      <c r="R1694" s="85">
        <v>4.2</v>
      </c>
      <c r="S1694" s="87">
        <v>1966840</v>
      </c>
      <c r="T1694" s="1">
        <v>1</v>
      </c>
      <c r="U1694" s="88">
        <v>468295.23809523805</v>
      </c>
      <c r="V1694" s="59">
        <v>2.135405015151207</v>
      </c>
    </row>
    <row r="1695" spans="1:22">
      <c r="A1695" s="58">
        <v>1697</v>
      </c>
      <c r="B1695" s="58">
        <v>1697</v>
      </c>
      <c r="C1695" s="58" t="s">
        <v>2468</v>
      </c>
      <c r="D1695" s="58" t="s">
        <v>234</v>
      </c>
      <c r="E1695" s="58" t="s">
        <v>234</v>
      </c>
      <c r="F1695" s="58" t="s">
        <v>316</v>
      </c>
      <c r="G1695" s="58" t="s">
        <v>317</v>
      </c>
      <c r="H1695" s="58" t="s">
        <v>199</v>
      </c>
      <c r="I1695">
        <v>110000</v>
      </c>
      <c r="J1695">
        <v>110000</v>
      </c>
      <c r="K1695">
        <v>38000</v>
      </c>
      <c r="L1695" s="74">
        <v>23.227</v>
      </c>
      <c r="M1695" s="85">
        <v>24</v>
      </c>
      <c r="N1695" s="74">
        <v>0.81399999999999995</v>
      </c>
      <c r="O1695">
        <v>3</v>
      </c>
      <c r="P1695" s="84">
        <v>0.81399999999999995</v>
      </c>
      <c r="Q1695" s="86">
        <v>4.2</v>
      </c>
      <c r="R1695" s="85">
        <v>4.2</v>
      </c>
      <c r="S1695" s="87">
        <v>2681270</v>
      </c>
      <c r="T1695" s="1">
        <v>7</v>
      </c>
      <c r="U1695" s="88">
        <v>638397.61904761905</v>
      </c>
      <c r="V1695" s="59">
        <v>1.5664218821677787</v>
      </c>
    </row>
    <row r="1696" spans="1:22">
      <c r="A1696" s="58">
        <v>1698</v>
      </c>
      <c r="B1696" s="58">
        <v>1698</v>
      </c>
      <c r="C1696" s="58" t="s">
        <v>2469</v>
      </c>
      <c r="D1696" s="58" t="s">
        <v>234</v>
      </c>
      <c r="E1696" s="58" t="s">
        <v>234</v>
      </c>
      <c r="F1696" s="58" t="s">
        <v>316</v>
      </c>
      <c r="G1696" s="58" t="s">
        <v>317</v>
      </c>
      <c r="H1696" s="58" t="s">
        <v>199</v>
      </c>
      <c r="I1696">
        <v>110000</v>
      </c>
      <c r="J1696">
        <v>110000</v>
      </c>
      <c r="K1696">
        <v>38000</v>
      </c>
      <c r="L1696" s="74">
        <v>23.213999999999999</v>
      </c>
      <c r="M1696" s="85">
        <v>24</v>
      </c>
      <c r="N1696" s="74">
        <v>1.4870000000000001</v>
      </c>
      <c r="O1696">
        <v>3</v>
      </c>
      <c r="P1696" s="84">
        <v>1.1152500000000001</v>
      </c>
      <c r="Q1696" s="86">
        <v>4.2</v>
      </c>
      <c r="R1696" s="85">
        <v>4.2</v>
      </c>
      <c r="S1696" s="87">
        <v>2681270</v>
      </c>
      <c r="T1696" s="1">
        <v>7</v>
      </c>
      <c r="U1696" s="88">
        <v>638397.61904761905</v>
      </c>
      <c r="V1696" s="59">
        <v>1.5664218821677787</v>
      </c>
    </row>
    <row r="1697" spans="1:22">
      <c r="A1697" s="58">
        <v>1699</v>
      </c>
      <c r="B1697" s="58">
        <v>1699</v>
      </c>
      <c r="C1697" s="58" t="s">
        <v>2470</v>
      </c>
      <c r="D1697" s="58" t="s">
        <v>234</v>
      </c>
      <c r="E1697" s="58" t="s">
        <v>234</v>
      </c>
      <c r="F1697" s="58" t="s">
        <v>309</v>
      </c>
      <c r="G1697" s="58" t="s">
        <v>310</v>
      </c>
      <c r="H1697" s="58" t="s">
        <v>179</v>
      </c>
      <c r="I1697">
        <v>38000</v>
      </c>
      <c r="J1697">
        <v>38000</v>
      </c>
      <c r="K1697">
        <v>20000</v>
      </c>
      <c r="L1697" s="74">
        <v>18.716000000000001</v>
      </c>
      <c r="M1697" s="85">
        <v>19</v>
      </c>
      <c r="N1697" s="74">
        <v>1.534</v>
      </c>
      <c r="O1697">
        <v>3</v>
      </c>
      <c r="P1697" s="84">
        <v>1.1505000000000001</v>
      </c>
      <c r="Q1697" s="86">
        <v>4.2</v>
      </c>
      <c r="R1697" s="85">
        <v>4.2</v>
      </c>
      <c r="S1697" s="87">
        <v>1861440</v>
      </c>
      <c r="T1697" s="1">
        <v>1</v>
      </c>
      <c r="U1697" s="88">
        <v>443200</v>
      </c>
      <c r="V1697" s="59">
        <v>2.256317689530686</v>
      </c>
    </row>
    <row r="1698" spans="1:22">
      <c r="A1698" s="58">
        <v>1700</v>
      </c>
      <c r="B1698" s="58">
        <v>1700</v>
      </c>
      <c r="C1698" s="58" t="s">
        <v>2471</v>
      </c>
      <c r="D1698" s="58" t="s">
        <v>234</v>
      </c>
      <c r="E1698" s="58" t="s">
        <v>234</v>
      </c>
      <c r="F1698" s="58" t="s">
        <v>316</v>
      </c>
      <c r="G1698" s="58" t="s">
        <v>317</v>
      </c>
      <c r="H1698" s="58" t="s">
        <v>199</v>
      </c>
      <c r="I1698">
        <v>110000</v>
      </c>
      <c r="J1698">
        <v>110000</v>
      </c>
      <c r="K1698">
        <v>38000</v>
      </c>
      <c r="L1698" s="74">
        <v>29.766999999999999</v>
      </c>
      <c r="M1698" s="85">
        <v>30</v>
      </c>
      <c r="N1698" s="74">
        <v>1.22</v>
      </c>
      <c r="O1698">
        <v>3</v>
      </c>
      <c r="P1698" s="84">
        <v>0.91500000000000004</v>
      </c>
      <c r="Q1698" s="86">
        <v>4.2</v>
      </c>
      <c r="R1698" s="85">
        <v>4.2</v>
      </c>
      <c r="S1698" s="87">
        <v>2997470</v>
      </c>
      <c r="T1698" s="1">
        <v>7</v>
      </c>
      <c r="U1698" s="88">
        <v>713683.33333333326</v>
      </c>
      <c r="V1698" s="59">
        <v>1.4011816632026342</v>
      </c>
    </row>
    <row r="1699" spans="1:22">
      <c r="A1699" s="58">
        <v>1701</v>
      </c>
      <c r="B1699" s="58">
        <v>1701</v>
      </c>
      <c r="C1699" s="58" t="s">
        <v>2472</v>
      </c>
      <c r="D1699" s="58" t="s">
        <v>234</v>
      </c>
      <c r="E1699" s="58" t="s">
        <v>234</v>
      </c>
      <c r="F1699" s="58" t="s">
        <v>316</v>
      </c>
      <c r="G1699" s="58" t="s">
        <v>317</v>
      </c>
      <c r="H1699" s="58" t="s">
        <v>199</v>
      </c>
      <c r="I1699">
        <v>110000</v>
      </c>
      <c r="J1699">
        <v>110000</v>
      </c>
      <c r="K1699">
        <v>38000</v>
      </c>
      <c r="L1699" s="74">
        <v>25.087</v>
      </c>
      <c r="M1699" s="85">
        <v>26</v>
      </c>
      <c r="N1699" s="74">
        <v>4.0129999999999999</v>
      </c>
      <c r="O1699">
        <v>3</v>
      </c>
      <c r="P1699" s="84">
        <v>3.0097499999999999</v>
      </c>
      <c r="Q1699" s="86">
        <v>21</v>
      </c>
      <c r="R1699" s="85">
        <v>21</v>
      </c>
      <c r="S1699" s="87">
        <v>3421730</v>
      </c>
      <c r="T1699" s="1">
        <v>8</v>
      </c>
      <c r="U1699" s="88">
        <v>162939.52380952382</v>
      </c>
      <c r="V1699" s="59">
        <v>6.1372463636815295</v>
      </c>
    </row>
    <row r="1700" spans="1:22">
      <c r="A1700" s="58">
        <v>1702</v>
      </c>
      <c r="B1700" s="58">
        <v>1702</v>
      </c>
      <c r="C1700" s="58" t="s">
        <v>2473</v>
      </c>
      <c r="D1700" s="58" t="s">
        <v>234</v>
      </c>
      <c r="E1700" s="58" t="s">
        <v>234</v>
      </c>
      <c r="F1700" s="58" t="s">
        <v>316</v>
      </c>
      <c r="G1700" s="58" t="s">
        <v>317</v>
      </c>
      <c r="H1700" s="58" t="s">
        <v>199</v>
      </c>
      <c r="I1700">
        <v>110000</v>
      </c>
      <c r="J1700">
        <v>110000</v>
      </c>
      <c r="K1700">
        <v>38000</v>
      </c>
      <c r="L1700" s="74">
        <v>27.731000000000002</v>
      </c>
      <c r="M1700" s="85">
        <v>28</v>
      </c>
      <c r="N1700" s="74">
        <v>3.5550000000000002</v>
      </c>
      <c r="O1700">
        <v>3</v>
      </c>
      <c r="P1700" s="84">
        <v>2.6662500000000002</v>
      </c>
      <c r="Q1700" s="86">
        <v>16.8</v>
      </c>
      <c r="R1700" s="85">
        <v>16.8</v>
      </c>
      <c r="S1700" s="87">
        <v>3562270</v>
      </c>
      <c r="T1700" s="1">
        <v>8</v>
      </c>
      <c r="U1700" s="88">
        <v>212039.88095238095</v>
      </c>
      <c r="V1700" s="59">
        <v>4.7160939513287872</v>
      </c>
    </row>
    <row r="1701" spans="1:22">
      <c r="A1701" s="58">
        <v>1703</v>
      </c>
      <c r="B1701" s="58">
        <v>1703</v>
      </c>
      <c r="C1701" s="58" t="s">
        <v>2474</v>
      </c>
      <c r="D1701" s="58" t="s">
        <v>234</v>
      </c>
      <c r="E1701" s="58" t="s">
        <v>234</v>
      </c>
      <c r="F1701" s="58" t="s">
        <v>323</v>
      </c>
      <c r="G1701" s="58" t="s">
        <v>324</v>
      </c>
      <c r="H1701" s="58" t="s">
        <v>179</v>
      </c>
      <c r="I1701">
        <v>38000</v>
      </c>
      <c r="J1701">
        <v>38000</v>
      </c>
      <c r="K1701">
        <v>20000</v>
      </c>
      <c r="L1701" s="74">
        <v>11.898</v>
      </c>
      <c r="M1701" s="85">
        <v>12</v>
      </c>
      <c r="N1701" s="74">
        <v>2.2959999999999998</v>
      </c>
      <c r="O1701">
        <v>3</v>
      </c>
      <c r="P1701" s="84">
        <v>1.722</v>
      </c>
      <c r="Q1701" s="86">
        <v>8.4</v>
      </c>
      <c r="R1701" s="85">
        <v>8.4</v>
      </c>
      <c r="S1701" s="87">
        <v>1537900</v>
      </c>
      <c r="T1701" s="1">
        <v>2</v>
      </c>
      <c r="U1701" s="88">
        <v>183083.33333333331</v>
      </c>
      <c r="V1701" s="59">
        <v>5.4619936276741008</v>
      </c>
    </row>
    <row r="1702" spans="1:22">
      <c r="A1702" s="58">
        <v>1704</v>
      </c>
      <c r="B1702" s="58">
        <v>1704</v>
      </c>
      <c r="C1702" s="58" t="s">
        <v>2475</v>
      </c>
      <c r="D1702" s="58" t="s">
        <v>234</v>
      </c>
      <c r="E1702" s="58" t="s">
        <v>234</v>
      </c>
      <c r="F1702" s="58" t="s">
        <v>630</v>
      </c>
      <c r="G1702" s="58" t="s">
        <v>631</v>
      </c>
      <c r="H1702" s="58" t="s">
        <v>179</v>
      </c>
      <c r="I1702">
        <v>38000</v>
      </c>
      <c r="J1702" s="58" t="s">
        <v>185</v>
      </c>
      <c r="K1702">
        <v>38000</v>
      </c>
      <c r="L1702" s="74">
        <v>10.787000000000001</v>
      </c>
      <c r="M1702" s="85">
        <v>11</v>
      </c>
      <c r="N1702" s="74">
        <v>3.823</v>
      </c>
      <c r="O1702">
        <v>3</v>
      </c>
      <c r="P1702" s="84">
        <v>2.8672499999999999</v>
      </c>
      <c r="Q1702" s="86">
        <v>16.8</v>
      </c>
      <c r="R1702" s="85">
        <v>16.8</v>
      </c>
      <c r="S1702" s="87">
        <v>1120760</v>
      </c>
      <c r="T1702" s="1">
        <v>4</v>
      </c>
      <c r="U1702" s="88">
        <v>66711.904761904763</v>
      </c>
      <c r="V1702" s="59">
        <v>14.989828330775545</v>
      </c>
    </row>
    <row r="1703" spans="1:22">
      <c r="A1703" s="58">
        <v>1705</v>
      </c>
      <c r="B1703" s="58">
        <v>1705</v>
      </c>
      <c r="C1703" s="58" t="s">
        <v>2476</v>
      </c>
      <c r="D1703" s="58" t="s">
        <v>234</v>
      </c>
      <c r="E1703" s="58" t="s">
        <v>234</v>
      </c>
      <c r="F1703" s="58" t="s">
        <v>323</v>
      </c>
      <c r="G1703" s="58" t="s">
        <v>324</v>
      </c>
      <c r="H1703" s="58" t="s">
        <v>179</v>
      </c>
      <c r="I1703">
        <v>38000</v>
      </c>
      <c r="J1703">
        <v>38000</v>
      </c>
      <c r="K1703">
        <v>20000</v>
      </c>
      <c r="L1703" s="74">
        <v>9.9749999999999996</v>
      </c>
      <c r="M1703" s="85">
        <v>10</v>
      </c>
      <c r="N1703" s="74">
        <v>5.8460000000000001</v>
      </c>
      <c r="O1703">
        <v>3</v>
      </c>
      <c r="P1703" s="84">
        <v>4.3845000000000001</v>
      </c>
      <c r="Q1703" s="86">
        <v>29.400000000000006</v>
      </c>
      <c r="R1703" s="85">
        <v>29.400000000000006</v>
      </c>
      <c r="S1703" s="87">
        <v>1236090</v>
      </c>
      <c r="T1703" s="1">
        <v>5</v>
      </c>
      <c r="U1703" s="88">
        <v>42043.8775510204</v>
      </c>
      <c r="V1703" s="59">
        <v>23.78467587311604</v>
      </c>
    </row>
    <row r="1704" spans="1:22">
      <c r="A1704" s="58">
        <v>1706</v>
      </c>
      <c r="B1704" s="58">
        <v>1706</v>
      </c>
      <c r="C1704" s="58" t="s">
        <v>2477</v>
      </c>
      <c r="D1704" s="58" t="s">
        <v>234</v>
      </c>
      <c r="E1704" s="58" t="s">
        <v>234</v>
      </c>
      <c r="F1704" s="58" t="s">
        <v>326</v>
      </c>
      <c r="G1704" s="58" t="s">
        <v>327</v>
      </c>
      <c r="H1704" s="58" t="s">
        <v>199</v>
      </c>
      <c r="I1704">
        <v>110000</v>
      </c>
      <c r="J1704">
        <v>110000</v>
      </c>
      <c r="K1704">
        <v>38000</v>
      </c>
      <c r="L1704" s="74">
        <v>12.74</v>
      </c>
      <c r="M1704" s="85">
        <v>13</v>
      </c>
      <c r="N1704" s="74">
        <v>5.2670000000000003</v>
      </c>
      <c r="O1704">
        <v>3</v>
      </c>
      <c r="P1704" s="84">
        <v>3.9502500000000005</v>
      </c>
      <c r="Q1704" s="86">
        <v>25.200000000000003</v>
      </c>
      <c r="R1704" s="85">
        <v>25.200000000000003</v>
      </c>
      <c r="S1704" s="87">
        <v>3108640</v>
      </c>
      <c r="T1704" s="1">
        <v>9</v>
      </c>
      <c r="U1704" s="88">
        <v>123358.73015873015</v>
      </c>
      <c r="V1704" s="59">
        <v>8.1064388285552536</v>
      </c>
    </row>
    <row r="1705" spans="1:22">
      <c r="A1705" s="89">
        <v>1707</v>
      </c>
      <c r="B1705" s="89">
        <v>1707</v>
      </c>
      <c r="C1705" s="89" t="s">
        <v>2478</v>
      </c>
      <c r="D1705" s="58" t="s">
        <v>346</v>
      </c>
      <c r="E1705" s="58" t="s">
        <v>346</v>
      </c>
      <c r="F1705" s="89" t="s">
        <v>646</v>
      </c>
      <c r="G1705" s="89" t="s">
        <v>647</v>
      </c>
      <c r="H1705" s="89" t="s">
        <v>179</v>
      </c>
      <c r="I1705" s="90">
        <v>38000</v>
      </c>
      <c r="J1705" s="89" t="s">
        <v>185</v>
      </c>
      <c r="K1705" s="90">
        <v>38000</v>
      </c>
      <c r="L1705" s="91">
        <v>5.1189999999999998</v>
      </c>
      <c r="M1705" s="92">
        <v>6</v>
      </c>
      <c r="N1705" s="91">
        <v>9.4619999999999997</v>
      </c>
      <c r="O1705" s="90">
        <v>3</v>
      </c>
      <c r="P1705" s="92">
        <v>7.0964999999999998</v>
      </c>
      <c r="Q1705" s="93">
        <v>50.400000000000006</v>
      </c>
      <c r="R1705" s="92">
        <v>50.400000000000006</v>
      </c>
      <c r="S1705" s="87">
        <v>2183320</v>
      </c>
      <c r="T1705" s="94">
        <v>11</v>
      </c>
      <c r="U1705" s="95">
        <v>43319.841269841265</v>
      </c>
      <c r="V1705" s="96">
        <v>23.084110437315651</v>
      </c>
    </row>
    <row r="1706" spans="1:22">
      <c r="A1706" s="58">
        <v>1708</v>
      </c>
      <c r="B1706" s="58">
        <v>1708</v>
      </c>
      <c r="C1706" s="58" t="s">
        <v>2479</v>
      </c>
      <c r="D1706" s="58" t="s">
        <v>346</v>
      </c>
      <c r="E1706" s="58" t="s">
        <v>346</v>
      </c>
      <c r="F1706" s="58" t="s">
        <v>347</v>
      </c>
      <c r="G1706" s="58" t="s">
        <v>348</v>
      </c>
      <c r="H1706" s="58" t="s">
        <v>199</v>
      </c>
      <c r="I1706">
        <v>110000</v>
      </c>
      <c r="J1706">
        <v>110000</v>
      </c>
      <c r="K1706" s="58" t="s">
        <v>200</v>
      </c>
      <c r="L1706" s="74">
        <v>8.0350000000000001</v>
      </c>
      <c r="M1706" s="85">
        <v>9</v>
      </c>
      <c r="N1706" s="74">
        <v>3.5630000000000002</v>
      </c>
      <c r="O1706">
        <v>3</v>
      </c>
      <c r="P1706" s="84">
        <v>2.67225</v>
      </c>
      <c r="Q1706" s="86">
        <v>16.8</v>
      </c>
      <c r="R1706" s="85">
        <v>16.8</v>
      </c>
      <c r="S1706" s="87">
        <v>2227140</v>
      </c>
      <c r="T1706" s="1">
        <v>8</v>
      </c>
      <c r="U1706" s="88">
        <v>132567.85714285713</v>
      </c>
      <c r="V1706" s="59">
        <v>7.5433066623562057</v>
      </c>
    </row>
    <row r="1707" spans="1:22">
      <c r="A1707" s="58">
        <v>1709</v>
      </c>
      <c r="B1707" s="58">
        <v>1709</v>
      </c>
      <c r="C1707" s="58" t="s">
        <v>2480</v>
      </c>
      <c r="D1707" s="58" t="s">
        <v>346</v>
      </c>
      <c r="E1707" s="58" t="s">
        <v>346</v>
      </c>
      <c r="F1707" s="58" t="s">
        <v>1417</v>
      </c>
      <c r="G1707" s="58" t="s">
        <v>1418</v>
      </c>
      <c r="H1707" s="58" t="s">
        <v>179</v>
      </c>
      <c r="I1707">
        <v>38000</v>
      </c>
      <c r="J1707">
        <v>38000</v>
      </c>
      <c r="K1707" s="58" t="s">
        <v>185</v>
      </c>
      <c r="L1707" s="74">
        <v>8.2289999999999992</v>
      </c>
      <c r="M1707" s="85">
        <v>9</v>
      </c>
      <c r="N1707" s="74">
        <v>1.111</v>
      </c>
      <c r="O1707">
        <v>3</v>
      </c>
      <c r="P1707" s="84">
        <v>1.111</v>
      </c>
      <c r="Q1707" s="86">
        <v>4.2</v>
      </c>
      <c r="R1707" s="85">
        <v>4.2</v>
      </c>
      <c r="S1707" s="87">
        <v>1334440</v>
      </c>
      <c r="T1707" s="1">
        <v>1</v>
      </c>
      <c r="U1707" s="88">
        <v>317723.80952380953</v>
      </c>
      <c r="V1707" s="59">
        <v>3.1473876682353645</v>
      </c>
    </row>
    <row r="1708" spans="1:22">
      <c r="A1708" s="58">
        <v>1710</v>
      </c>
      <c r="B1708" s="58">
        <v>1710</v>
      </c>
      <c r="C1708" s="58" t="s">
        <v>2481</v>
      </c>
      <c r="D1708" s="58" t="s">
        <v>346</v>
      </c>
      <c r="E1708" s="58" t="s">
        <v>346</v>
      </c>
      <c r="F1708" s="58" t="s">
        <v>352</v>
      </c>
      <c r="G1708" s="58" t="s">
        <v>353</v>
      </c>
      <c r="H1708" s="58" t="s">
        <v>179</v>
      </c>
      <c r="I1708">
        <v>38000</v>
      </c>
      <c r="J1708">
        <v>38000</v>
      </c>
      <c r="K1708">
        <v>10000</v>
      </c>
      <c r="L1708" s="74">
        <v>11.682</v>
      </c>
      <c r="M1708" s="85">
        <v>12</v>
      </c>
      <c r="N1708" s="74">
        <v>4.1139999999999999</v>
      </c>
      <c r="O1708">
        <v>3</v>
      </c>
      <c r="P1708" s="84">
        <v>3.0854999999999997</v>
      </c>
      <c r="Q1708" s="86">
        <v>21</v>
      </c>
      <c r="R1708" s="85">
        <v>21</v>
      </c>
      <c r="S1708" s="87">
        <v>1191030</v>
      </c>
      <c r="T1708" s="1">
        <v>4</v>
      </c>
      <c r="U1708" s="88">
        <v>56715.714285714283</v>
      </c>
      <c r="V1708" s="59">
        <v>17.631797687715675</v>
      </c>
    </row>
    <row r="1709" spans="1:22">
      <c r="A1709" s="58">
        <v>1711</v>
      </c>
      <c r="B1709" s="58">
        <v>1711</v>
      </c>
      <c r="C1709" s="58" t="s">
        <v>2482</v>
      </c>
      <c r="D1709" s="58" t="s">
        <v>351</v>
      </c>
      <c r="E1709" s="58" t="s">
        <v>351</v>
      </c>
      <c r="F1709" s="58" t="s">
        <v>652</v>
      </c>
      <c r="G1709" s="58" t="s">
        <v>653</v>
      </c>
      <c r="H1709" s="58" t="s">
        <v>179</v>
      </c>
      <c r="I1709">
        <v>38000</v>
      </c>
      <c r="J1709">
        <v>38000</v>
      </c>
      <c r="K1709" s="58" t="s">
        <v>185</v>
      </c>
      <c r="L1709" s="74">
        <v>11.708</v>
      </c>
      <c r="M1709" s="85">
        <v>12</v>
      </c>
      <c r="N1709" s="74">
        <v>0.63600000000000001</v>
      </c>
      <c r="O1709">
        <v>3</v>
      </c>
      <c r="P1709" s="84">
        <v>0.63600000000000001</v>
      </c>
      <c r="Q1709" s="86">
        <v>4.2</v>
      </c>
      <c r="R1709" s="85">
        <v>4.2</v>
      </c>
      <c r="S1709" s="87">
        <v>1492540</v>
      </c>
      <c r="T1709" s="1">
        <v>1</v>
      </c>
      <c r="U1709" s="88">
        <v>355366.66666666663</v>
      </c>
      <c r="V1709" s="59">
        <v>2.8139949348091173</v>
      </c>
    </row>
    <row r="1710" spans="1:22">
      <c r="A1710" s="58">
        <v>1712</v>
      </c>
      <c r="B1710" s="58">
        <v>1712</v>
      </c>
      <c r="C1710" s="58" t="s">
        <v>2483</v>
      </c>
      <c r="D1710" s="58" t="s">
        <v>346</v>
      </c>
      <c r="E1710" s="58" t="s">
        <v>346</v>
      </c>
      <c r="F1710" s="58" t="s">
        <v>1427</v>
      </c>
      <c r="G1710" s="58" t="s">
        <v>1428</v>
      </c>
      <c r="H1710" s="58" t="s">
        <v>199</v>
      </c>
      <c r="I1710">
        <v>110000</v>
      </c>
      <c r="J1710">
        <v>110000</v>
      </c>
      <c r="K1710">
        <v>38000</v>
      </c>
      <c r="L1710" s="74">
        <v>4.0819999999999999</v>
      </c>
      <c r="M1710" s="85">
        <v>5</v>
      </c>
      <c r="N1710" s="74">
        <v>0.64400000000000002</v>
      </c>
      <c r="O1710">
        <v>3</v>
      </c>
      <c r="P1710" s="84">
        <v>0.64400000000000002</v>
      </c>
      <c r="Q1710" s="86">
        <v>4.2</v>
      </c>
      <c r="R1710" s="85">
        <v>4.2</v>
      </c>
      <c r="S1710" s="87">
        <v>1679970</v>
      </c>
      <c r="T1710" s="1">
        <v>7</v>
      </c>
      <c r="U1710" s="88">
        <v>399992.8571428571</v>
      </c>
      <c r="V1710" s="59">
        <v>2.5000446436543511</v>
      </c>
    </row>
    <row r="1711" spans="1:22">
      <c r="A1711" s="58">
        <v>1713</v>
      </c>
      <c r="B1711" s="58">
        <v>1713</v>
      </c>
      <c r="C1711" s="58" t="s">
        <v>2484</v>
      </c>
      <c r="D1711" s="58" t="s">
        <v>187</v>
      </c>
      <c r="E1711" s="58" t="s">
        <v>187</v>
      </c>
      <c r="F1711" s="58" t="s">
        <v>188</v>
      </c>
      <c r="G1711" s="58" t="s">
        <v>189</v>
      </c>
      <c r="H1711" s="58" t="s">
        <v>179</v>
      </c>
      <c r="I1711">
        <v>38000</v>
      </c>
      <c r="J1711">
        <v>38000</v>
      </c>
      <c r="K1711">
        <v>10000</v>
      </c>
      <c r="L1711" s="74">
        <v>5.0570000000000004</v>
      </c>
      <c r="M1711" s="85">
        <v>6</v>
      </c>
      <c r="N1711" s="74">
        <v>2.5</v>
      </c>
      <c r="O1711">
        <v>3</v>
      </c>
      <c r="P1711" s="84">
        <v>1.875</v>
      </c>
      <c r="Q1711" s="86">
        <v>12.600000000000001</v>
      </c>
      <c r="R1711" s="85">
        <v>12.600000000000001</v>
      </c>
      <c r="S1711" s="87">
        <v>769410</v>
      </c>
      <c r="T1711" s="1">
        <v>4</v>
      </c>
      <c r="U1711" s="88">
        <v>61064.28571428571</v>
      </c>
      <c r="V1711" s="59">
        <v>16.376184349046675</v>
      </c>
    </row>
    <row r="1712" spans="1:22">
      <c r="A1712" s="58">
        <v>1714</v>
      </c>
      <c r="B1712" s="58">
        <v>1714</v>
      </c>
      <c r="C1712" s="58" t="s">
        <v>2485</v>
      </c>
      <c r="D1712" s="58" t="s">
        <v>187</v>
      </c>
      <c r="E1712" s="58" t="s">
        <v>187</v>
      </c>
      <c r="F1712" s="58" t="s">
        <v>365</v>
      </c>
      <c r="G1712" s="58" t="s">
        <v>366</v>
      </c>
      <c r="H1712" s="58" t="s">
        <v>179</v>
      </c>
      <c r="I1712">
        <v>38000</v>
      </c>
      <c r="J1712">
        <v>38000</v>
      </c>
      <c r="K1712">
        <v>10000</v>
      </c>
      <c r="L1712" s="74">
        <v>3.8370000000000002</v>
      </c>
      <c r="M1712" s="85">
        <v>4</v>
      </c>
      <c r="N1712" s="74">
        <v>0.54500000000000004</v>
      </c>
      <c r="O1712">
        <v>3</v>
      </c>
      <c r="P1712" s="84">
        <v>0.54500000000000004</v>
      </c>
      <c r="Q1712" s="86">
        <v>4.2</v>
      </c>
      <c r="R1712" s="85">
        <v>4.2</v>
      </c>
      <c r="S1712" s="87">
        <v>628870</v>
      </c>
      <c r="T1712" s="1">
        <v>4</v>
      </c>
      <c r="U1712" s="88">
        <v>149730.95238095237</v>
      </c>
      <c r="V1712" s="59">
        <v>6.6786458250512828</v>
      </c>
    </row>
    <row r="1713" spans="1:22">
      <c r="A1713" s="58">
        <v>1715</v>
      </c>
      <c r="B1713" s="58">
        <v>1715</v>
      </c>
      <c r="C1713" s="58" t="s">
        <v>2486</v>
      </c>
      <c r="D1713" s="58" t="s">
        <v>234</v>
      </c>
      <c r="E1713" s="58" t="s">
        <v>234</v>
      </c>
      <c r="F1713" s="58" t="s">
        <v>235</v>
      </c>
      <c r="G1713" s="58" t="s">
        <v>236</v>
      </c>
      <c r="H1713" s="58" t="s">
        <v>179</v>
      </c>
      <c r="I1713">
        <v>38000</v>
      </c>
      <c r="J1713">
        <v>38000</v>
      </c>
      <c r="K1713">
        <v>20000</v>
      </c>
      <c r="L1713" s="74">
        <v>20.885000000000002</v>
      </c>
      <c r="M1713" s="85">
        <v>21</v>
      </c>
      <c r="N1713" s="74">
        <v>0.94699999999999995</v>
      </c>
      <c r="O1713">
        <v>3</v>
      </c>
      <c r="P1713" s="84">
        <v>0.94699999999999995</v>
      </c>
      <c r="Q1713" s="86">
        <v>4.2</v>
      </c>
      <c r="R1713" s="85">
        <v>4.2</v>
      </c>
      <c r="S1713" s="87">
        <v>1966840</v>
      </c>
      <c r="T1713" s="1">
        <v>1</v>
      </c>
      <c r="U1713" s="88">
        <v>468295.23809523805</v>
      </c>
      <c r="V1713" s="59">
        <v>2.135405015151207</v>
      </c>
    </row>
    <row r="1714" spans="1:22">
      <c r="A1714" s="58">
        <v>1716</v>
      </c>
      <c r="B1714" s="58">
        <v>1716</v>
      </c>
      <c r="C1714" s="58" t="s">
        <v>2487</v>
      </c>
      <c r="D1714" s="58" t="s">
        <v>852</v>
      </c>
      <c r="E1714" s="58" t="s">
        <v>852</v>
      </c>
      <c r="F1714" s="58" t="s">
        <v>517</v>
      </c>
      <c r="G1714" s="58" t="s">
        <v>518</v>
      </c>
      <c r="H1714" s="58" t="s">
        <v>179</v>
      </c>
      <c r="I1714">
        <v>38000</v>
      </c>
      <c r="J1714">
        <v>38000</v>
      </c>
      <c r="K1714">
        <v>10000</v>
      </c>
      <c r="L1714" s="74">
        <v>7.298</v>
      </c>
      <c r="M1714" s="85">
        <v>8</v>
      </c>
      <c r="N1714" s="74">
        <v>0.68400000000000005</v>
      </c>
      <c r="O1714">
        <v>3</v>
      </c>
      <c r="P1714" s="84">
        <v>0.68400000000000005</v>
      </c>
      <c r="Q1714" s="86">
        <v>4.2</v>
      </c>
      <c r="R1714" s="85">
        <v>4.2</v>
      </c>
      <c r="S1714" s="87">
        <v>909950</v>
      </c>
      <c r="T1714" s="1">
        <v>4</v>
      </c>
      <c r="U1714" s="88">
        <v>216654.76190476189</v>
      </c>
      <c r="V1714" s="59">
        <v>4.6156382218803227</v>
      </c>
    </row>
    <row r="1715" spans="1:22">
      <c r="A1715" s="58">
        <v>1717</v>
      </c>
      <c r="B1715" s="58">
        <v>1717</v>
      </c>
      <c r="C1715" s="58" t="s">
        <v>2488</v>
      </c>
      <c r="D1715" s="58" t="s">
        <v>852</v>
      </c>
      <c r="E1715" s="58" t="s">
        <v>852</v>
      </c>
      <c r="F1715" s="58" t="s">
        <v>2489</v>
      </c>
      <c r="G1715" s="58" t="s">
        <v>2490</v>
      </c>
      <c r="H1715" s="58" t="s">
        <v>199</v>
      </c>
      <c r="I1715">
        <v>110000</v>
      </c>
      <c r="J1715">
        <v>110000</v>
      </c>
      <c r="K1715">
        <v>38000</v>
      </c>
      <c r="L1715" s="74">
        <v>3.8769999999999998</v>
      </c>
      <c r="M1715" s="85">
        <v>4</v>
      </c>
      <c r="N1715" s="74">
        <v>0.90400000000000003</v>
      </c>
      <c r="O1715">
        <v>3</v>
      </c>
      <c r="P1715" s="84">
        <v>0.90400000000000003</v>
      </c>
      <c r="Q1715" s="86">
        <v>4.2</v>
      </c>
      <c r="R1715" s="85">
        <v>4.2</v>
      </c>
      <c r="S1715" s="87">
        <v>1627270</v>
      </c>
      <c r="T1715" s="1">
        <v>7</v>
      </c>
      <c r="U1715" s="88">
        <v>387445.23809523811</v>
      </c>
      <c r="V1715" s="59">
        <v>2.5810099123071155</v>
      </c>
    </row>
    <row r="1716" spans="1:22">
      <c r="A1716" s="58">
        <v>1718</v>
      </c>
      <c r="B1716" s="58">
        <v>1718</v>
      </c>
      <c r="C1716" s="58" t="s">
        <v>2491</v>
      </c>
      <c r="D1716" s="58" t="s">
        <v>346</v>
      </c>
      <c r="E1716" s="58" t="s">
        <v>351</v>
      </c>
      <c r="F1716" s="58" t="s">
        <v>1486</v>
      </c>
      <c r="G1716" s="58" t="s">
        <v>1487</v>
      </c>
      <c r="H1716" s="58" t="s">
        <v>199</v>
      </c>
      <c r="I1716">
        <v>110000</v>
      </c>
      <c r="J1716">
        <v>20000</v>
      </c>
      <c r="K1716">
        <v>110000</v>
      </c>
      <c r="L1716" s="74">
        <v>2.0760000000000001</v>
      </c>
      <c r="M1716" s="85">
        <v>3</v>
      </c>
      <c r="N1716" s="74">
        <v>4.4000000000000004</v>
      </c>
      <c r="O1716">
        <v>3</v>
      </c>
      <c r="P1716" s="84">
        <v>3.3000000000000003</v>
      </c>
      <c r="Q1716" s="86">
        <v>21</v>
      </c>
      <c r="R1716" s="85">
        <v>21</v>
      </c>
      <c r="S1716" s="87">
        <v>1550890</v>
      </c>
      <c r="T1716" s="1">
        <v>11</v>
      </c>
      <c r="U1716" s="88">
        <v>73851.904761904763</v>
      </c>
      <c r="V1716" s="59">
        <v>13.540612164628053</v>
      </c>
    </row>
    <row r="1717" spans="1:22">
      <c r="A1717" s="58">
        <v>1719</v>
      </c>
      <c r="B1717" s="58">
        <v>1719</v>
      </c>
      <c r="C1717" s="58" t="s">
        <v>2492</v>
      </c>
      <c r="D1717" s="58" t="s">
        <v>351</v>
      </c>
      <c r="E1717" s="58" t="s">
        <v>351</v>
      </c>
      <c r="F1717" s="58" t="s">
        <v>1486</v>
      </c>
      <c r="G1717" s="58" t="s">
        <v>1487</v>
      </c>
      <c r="H1717" s="58" t="s">
        <v>199</v>
      </c>
      <c r="I1717">
        <v>110000</v>
      </c>
      <c r="J1717">
        <v>20000</v>
      </c>
      <c r="K1717">
        <v>110000</v>
      </c>
      <c r="L1717" s="74">
        <v>3.9239999999999999</v>
      </c>
      <c r="M1717" s="85">
        <v>4</v>
      </c>
      <c r="N1717" s="74">
        <v>0.30499999999999999</v>
      </c>
      <c r="O1717">
        <v>3</v>
      </c>
      <c r="P1717" s="84">
        <v>0.30499999999999999</v>
      </c>
      <c r="Q1717" s="86">
        <v>4.2</v>
      </c>
      <c r="R1717" s="85">
        <v>4.2</v>
      </c>
      <c r="S1717" s="87">
        <v>1627270</v>
      </c>
      <c r="T1717" s="1">
        <v>7</v>
      </c>
      <c r="U1717" s="88">
        <v>387445.23809523811</v>
      </c>
      <c r="V1717" s="59">
        <v>2.5810099123071155</v>
      </c>
    </row>
    <row r="1718" spans="1:22">
      <c r="A1718" s="58">
        <v>1720</v>
      </c>
      <c r="B1718" s="58">
        <v>1720</v>
      </c>
      <c r="C1718" s="58" t="s">
        <v>2493</v>
      </c>
      <c r="D1718" s="58" t="s">
        <v>351</v>
      </c>
      <c r="E1718" s="58" t="s">
        <v>351</v>
      </c>
      <c r="F1718" s="58" t="s">
        <v>1078</v>
      </c>
      <c r="G1718" s="58" t="s">
        <v>1079</v>
      </c>
      <c r="H1718" s="58" t="s">
        <v>199</v>
      </c>
      <c r="I1718">
        <v>110000</v>
      </c>
      <c r="J1718">
        <v>20000</v>
      </c>
      <c r="K1718">
        <v>110000</v>
      </c>
      <c r="L1718" s="74">
        <v>1.4330000000000001</v>
      </c>
      <c r="M1718" s="85">
        <v>2</v>
      </c>
      <c r="N1718" s="74">
        <v>0.96</v>
      </c>
      <c r="O1718">
        <v>3</v>
      </c>
      <c r="P1718" s="84">
        <v>0.96</v>
      </c>
      <c r="Q1718" s="86">
        <v>4.2</v>
      </c>
      <c r="R1718" s="85">
        <v>4.2</v>
      </c>
      <c r="S1718" s="87">
        <v>1340080</v>
      </c>
      <c r="T1718" s="1">
        <v>11</v>
      </c>
      <c r="U1718" s="88">
        <v>319066.66666666663</v>
      </c>
      <c r="V1718" s="59">
        <v>3.134141245298788</v>
      </c>
    </row>
    <row r="1719" spans="1:22">
      <c r="A1719" s="58">
        <v>1721</v>
      </c>
      <c r="B1719" s="58">
        <v>1721</v>
      </c>
      <c r="C1719" s="58" t="s">
        <v>2494</v>
      </c>
      <c r="D1719" s="58" t="s">
        <v>380</v>
      </c>
      <c r="E1719" s="58" t="s">
        <v>380</v>
      </c>
      <c r="F1719" s="58" t="s">
        <v>381</v>
      </c>
      <c r="G1719" s="58" t="s">
        <v>382</v>
      </c>
      <c r="H1719" s="58" t="s">
        <v>199</v>
      </c>
      <c r="I1719">
        <v>110000</v>
      </c>
      <c r="J1719">
        <v>20000</v>
      </c>
      <c r="K1719">
        <v>110000</v>
      </c>
      <c r="L1719" s="74">
        <v>11.949</v>
      </c>
      <c r="M1719" s="85">
        <v>12</v>
      </c>
      <c r="N1719" s="74">
        <v>0.41399999999999998</v>
      </c>
      <c r="O1719">
        <v>3</v>
      </c>
      <c r="P1719" s="84">
        <v>0.41399999999999998</v>
      </c>
      <c r="Q1719" s="86">
        <v>4.2</v>
      </c>
      <c r="R1719" s="85">
        <v>4.2</v>
      </c>
      <c r="S1719" s="87">
        <v>2048870</v>
      </c>
      <c r="T1719" s="1">
        <v>7</v>
      </c>
      <c r="U1719" s="88">
        <v>487826.19047619047</v>
      </c>
      <c r="V1719" s="59">
        <v>2.0499104384367968</v>
      </c>
    </row>
    <row r="1720" spans="1:22">
      <c r="A1720" s="58">
        <v>1722</v>
      </c>
      <c r="B1720" s="58">
        <v>1722</v>
      </c>
      <c r="C1720" s="58" t="s">
        <v>2495</v>
      </c>
      <c r="D1720" s="58" t="s">
        <v>380</v>
      </c>
      <c r="E1720" s="58" t="s">
        <v>384</v>
      </c>
      <c r="F1720" s="58" t="s">
        <v>381</v>
      </c>
      <c r="G1720" s="58" t="s">
        <v>382</v>
      </c>
      <c r="H1720" s="58" t="s">
        <v>199</v>
      </c>
      <c r="I1720">
        <v>110000</v>
      </c>
      <c r="J1720">
        <v>20000</v>
      </c>
      <c r="K1720">
        <v>110000</v>
      </c>
      <c r="L1720" s="74">
        <v>9.6980000000000004</v>
      </c>
      <c r="M1720" s="85">
        <v>10</v>
      </c>
      <c r="N1720" s="74">
        <v>1.694</v>
      </c>
      <c r="O1720">
        <v>3</v>
      </c>
      <c r="P1720" s="84">
        <v>1.2705</v>
      </c>
      <c r="Q1720" s="86">
        <v>8.4</v>
      </c>
      <c r="R1720" s="85">
        <v>8.4</v>
      </c>
      <c r="S1720" s="87">
        <v>1943470</v>
      </c>
      <c r="T1720" s="1">
        <v>7</v>
      </c>
      <c r="U1720" s="88">
        <v>231365.47619047618</v>
      </c>
      <c r="V1720" s="59">
        <v>4.3221660226296263</v>
      </c>
    </row>
    <row r="1721" spans="1:22">
      <c r="A1721" s="58">
        <v>1723</v>
      </c>
      <c r="B1721" s="58">
        <v>1723</v>
      </c>
      <c r="C1721" s="58" t="s">
        <v>2496</v>
      </c>
      <c r="D1721" s="58" t="s">
        <v>207</v>
      </c>
      <c r="E1721" s="58" t="s">
        <v>207</v>
      </c>
      <c r="F1721" s="58" t="s">
        <v>393</v>
      </c>
      <c r="G1721" s="58" t="s">
        <v>394</v>
      </c>
      <c r="H1721" s="58" t="s">
        <v>179</v>
      </c>
      <c r="I1721">
        <v>38000</v>
      </c>
      <c r="J1721">
        <v>38000</v>
      </c>
      <c r="K1721" s="58" t="s">
        <v>185</v>
      </c>
      <c r="L1721" s="74">
        <v>10.561</v>
      </c>
      <c r="M1721" s="85">
        <v>11</v>
      </c>
      <c r="N1721" s="74">
        <v>0.59899999999999998</v>
      </c>
      <c r="O1721">
        <v>3</v>
      </c>
      <c r="P1721" s="84">
        <v>0.59899999999999998</v>
      </c>
      <c r="Q1721" s="86">
        <v>4.2</v>
      </c>
      <c r="R1721" s="85">
        <v>4.2</v>
      </c>
      <c r="S1721" s="87">
        <v>1439840</v>
      </c>
      <c r="T1721" s="1">
        <v>1</v>
      </c>
      <c r="U1721" s="88">
        <v>342819.04761904763</v>
      </c>
      <c r="V1721" s="59">
        <v>2.9169907767529724</v>
      </c>
    </row>
    <row r="1722" spans="1:22">
      <c r="A1722" s="58">
        <v>1724</v>
      </c>
      <c r="B1722" s="58">
        <v>1724</v>
      </c>
      <c r="C1722" s="58" t="s">
        <v>2497</v>
      </c>
      <c r="D1722" s="58" t="s">
        <v>207</v>
      </c>
      <c r="E1722" s="58" t="s">
        <v>207</v>
      </c>
      <c r="F1722" s="58" t="s">
        <v>393</v>
      </c>
      <c r="G1722" s="58" t="s">
        <v>394</v>
      </c>
      <c r="H1722" s="58" t="s">
        <v>179</v>
      </c>
      <c r="I1722">
        <v>38000</v>
      </c>
      <c r="J1722">
        <v>38000</v>
      </c>
      <c r="K1722" s="58" t="s">
        <v>185</v>
      </c>
      <c r="L1722" s="74">
        <v>7.19</v>
      </c>
      <c r="M1722" s="85">
        <v>8</v>
      </c>
      <c r="N1722" s="74">
        <v>1.071</v>
      </c>
      <c r="O1722">
        <v>3</v>
      </c>
      <c r="P1722" s="84">
        <v>1.071</v>
      </c>
      <c r="Q1722" s="86">
        <v>4.2</v>
      </c>
      <c r="R1722" s="85">
        <v>4.2</v>
      </c>
      <c r="S1722" s="87">
        <v>909950</v>
      </c>
      <c r="T1722" s="1">
        <v>4</v>
      </c>
      <c r="U1722" s="88">
        <v>216654.76190476189</v>
      </c>
      <c r="V1722" s="59">
        <v>4.6156382218803227</v>
      </c>
    </row>
    <row r="1723" spans="1:22">
      <c r="A1723" s="58">
        <v>1725</v>
      </c>
      <c r="B1723" s="58">
        <v>1725</v>
      </c>
      <c r="C1723" s="58" t="s">
        <v>2498</v>
      </c>
      <c r="D1723" s="58" t="s">
        <v>207</v>
      </c>
      <c r="E1723" s="58" t="s">
        <v>207</v>
      </c>
      <c r="F1723" s="58" t="s">
        <v>393</v>
      </c>
      <c r="G1723" s="58" t="s">
        <v>394</v>
      </c>
      <c r="H1723" s="58" t="s">
        <v>179</v>
      </c>
      <c r="I1723">
        <v>38000</v>
      </c>
      <c r="J1723">
        <v>38000</v>
      </c>
      <c r="K1723" s="58" t="s">
        <v>185</v>
      </c>
      <c r="L1723" s="74">
        <v>6.7220000000000004</v>
      </c>
      <c r="M1723" s="85">
        <v>7</v>
      </c>
      <c r="N1723" s="74">
        <v>1.0049999999999999</v>
      </c>
      <c r="O1723">
        <v>3</v>
      </c>
      <c r="P1723" s="84">
        <v>1.0049999999999999</v>
      </c>
      <c r="Q1723" s="86">
        <v>4.2</v>
      </c>
      <c r="R1723" s="85">
        <v>4.2</v>
      </c>
      <c r="S1723" s="87">
        <v>839680</v>
      </c>
      <c r="T1723" s="1">
        <v>4</v>
      </c>
      <c r="U1723" s="88">
        <v>199923.80952380953</v>
      </c>
      <c r="V1723" s="59">
        <v>5.0019054878048781</v>
      </c>
    </row>
    <row r="1724" spans="1:22">
      <c r="A1724" s="58">
        <v>1726</v>
      </c>
      <c r="B1724" s="58">
        <v>1726</v>
      </c>
      <c r="C1724" s="58" t="s">
        <v>2499</v>
      </c>
      <c r="D1724" s="58" t="s">
        <v>207</v>
      </c>
      <c r="E1724" s="58" t="s">
        <v>207</v>
      </c>
      <c r="F1724" s="58" t="s">
        <v>705</v>
      </c>
      <c r="G1724" s="58" t="s">
        <v>706</v>
      </c>
      <c r="H1724" s="58" t="s">
        <v>179</v>
      </c>
      <c r="I1724">
        <v>38000</v>
      </c>
      <c r="J1724" s="58" t="s">
        <v>185</v>
      </c>
      <c r="K1724">
        <v>38000</v>
      </c>
      <c r="L1724" s="74">
        <v>11.664999999999999</v>
      </c>
      <c r="M1724" s="85">
        <v>12</v>
      </c>
      <c r="N1724" s="74">
        <v>3.9470000000000001</v>
      </c>
      <c r="O1724">
        <v>3</v>
      </c>
      <c r="P1724" s="84">
        <v>2.9602500000000003</v>
      </c>
      <c r="Q1724" s="86">
        <v>21</v>
      </c>
      <c r="R1724" s="85">
        <v>21</v>
      </c>
      <c r="S1724" s="87">
        <v>1191030</v>
      </c>
      <c r="T1724" s="1">
        <v>4</v>
      </c>
      <c r="U1724" s="88">
        <v>56715.714285714283</v>
      </c>
      <c r="V1724" s="59">
        <v>17.631797687715675</v>
      </c>
    </row>
    <row r="1725" spans="1:22">
      <c r="A1725" s="58">
        <v>1727</v>
      </c>
      <c r="B1725" s="58">
        <v>1727</v>
      </c>
      <c r="C1725" s="58" t="s">
        <v>2500</v>
      </c>
      <c r="D1725" s="58" t="s">
        <v>207</v>
      </c>
      <c r="E1725" s="58" t="s">
        <v>207</v>
      </c>
      <c r="F1725" s="58" t="s">
        <v>389</v>
      </c>
      <c r="G1725" s="58" t="s">
        <v>390</v>
      </c>
      <c r="H1725" s="58" t="s">
        <v>199</v>
      </c>
      <c r="I1725">
        <v>110000</v>
      </c>
      <c r="J1725">
        <v>110000</v>
      </c>
      <c r="K1725">
        <v>38000</v>
      </c>
      <c r="L1725" s="74">
        <v>5.9480000000000004</v>
      </c>
      <c r="M1725" s="85">
        <v>6</v>
      </c>
      <c r="N1725" s="74">
        <v>1.028</v>
      </c>
      <c r="O1725">
        <v>3</v>
      </c>
      <c r="P1725" s="84">
        <v>1.028</v>
      </c>
      <c r="Q1725" s="86">
        <v>4.2</v>
      </c>
      <c r="R1725" s="85">
        <v>4.2</v>
      </c>
      <c r="S1725" s="87">
        <v>1732670</v>
      </c>
      <c r="T1725" s="1">
        <v>7</v>
      </c>
      <c r="U1725" s="88">
        <v>412540.47619047615</v>
      </c>
      <c r="V1725" s="59">
        <v>2.4240045709800482</v>
      </c>
    </row>
    <row r="1726" spans="1:22">
      <c r="A1726" s="58">
        <v>1728</v>
      </c>
      <c r="B1726" s="58">
        <v>1728</v>
      </c>
      <c r="C1726" s="58" t="s">
        <v>2501</v>
      </c>
      <c r="D1726" s="58" t="s">
        <v>207</v>
      </c>
      <c r="E1726" s="58" t="s">
        <v>207</v>
      </c>
      <c r="F1726" s="58" t="s">
        <v>208</v>
      </c>
      <c r="G1726" s="58" t="s">
        <v>209</v>
      </c>
      <c r="H1726" s="58" t="s">
        <v>199</v>
      </c>
      <c r="I1726">
        <v>110000</v>
      </c>
      <c r="J1726">
        <v>110000</v>
      </c>
      <c r="K1726">
        <v>38000</v>
      </c>
      <c r="L1726" s="74">
        <v>12.404999999999999</v>
      </c>
      <c r="M1726" s="85">
        <v>13</v>
      </c>
      <c r="N1726" s="74">
        <v>0.53500000000000003</v>
      </c>
      <c r="O1726">
        <v>3</v>
      </c>
      <c r="P1726" s="84">
        <v>0.53500000000000003</v>
      </c>
      <c r="Q1726" s="86">
        <v>4.2</v>
      </c>
      <c r="R1726" s="85">
        <v>4.2</v>
      </c>
      <c r="S1726" s="87">
        <v>2101570</v>
      </c>
      <c r="T1726" s="1">
        <v>7</v>
      </c>
      <c r="U1726" s="88">
        <v>500373.80952380953</v>
      </c>
      <c r="V1726" s="59">
        <v>1.9985058789381271</v>
      </c>
    </row>
    <row r="1727" spans="1:22">
      <c r="A1727" s="58">
        <v>1729</v>
      </c>
      <c r="B1727" s="58">
        <v>1729</v>
      </c>
      <c r="C1727" s="58" t="s">
        <v>2502</v>
      </c>
      <c r="D1727" s="58" t="s">
        <v>207</v>
      </c>
      <c r="E1727" s="58" t="s">
        <v>207</v>
      </c>
      <c r="F1727" s="58" t="s">
        <v>476</v>
      </c>
      <c r="G1727" s="58" t="s">
        <v>477</v>
      </c>
      <c r="H1727" s="58" t="s">
        <v>179</v>
      </c>
      <c r="I1727">
        <v>38000</v>
      </c>
      <c r="J1727">
        <v>20000</v>
      </c>
      <c r="K1727">
        <v>38000</v>
      </c>
      <c r="L1727" s="74">
        <v>2.4889999999999999</v>
      </c>
      <c r="M1727" s="85">
        <v>3</v>
      </c>
      <c r="N1727" s="74">
        <v>0.64800000000000002</v>
      </c>
      <c r="O1727">
        <v>3</v>
      </c>
      <c r="P1727" s="84">
        <v>0.64800000000000002</v>
      </c>
      <c r="Q1727" s="86">
        <v>4.2</v>
      </c>
      <c r="R1727" s="85">
        <v>4.2</v>
      </c>
      <c r="S1727" s="87">
        <v>558600</v>
      </c>
      <c r="T1727" s="1">
        <v>4</v>
      </c>
      <c r="U1727" s="88">
        <v>133000</v>
      </c>
      <c r="V1727" s="59">
        <v>7.518796992481203</v>
      </c>
    </row>
    <row r="1728" spans="1:22">
      <c r="A1728" s="58">
        <v>1730</v>
      </c>
      <c r="B1728" s="58">
        <v>1730</v>
      </c>
      <c r="C1728" s="58" t="s">
        <v>2503</v>
      </c>
      <c r="D1728" s="58" t="s">
        <v>207</v>
      </c>
      <c r="E1728" s="58" t="s">
        <v>207</v>
      </c>
      <c r="F1728" s="58" t="s">
        <v>705</v>
      </c>
      <c r="G1728" s="58" t="s">
        <v>706</v>
      </c>
      <c r="H1728" s="58" t="s">
        <v>179</v>
      </c>
      <c r="I1728">
        <v>38000</v>
      </c>
      <c r="J1728" s="58" t="s">
        <v>185</v>
      </c>
      <c r="K1728">
        <v>38000</v>
      </c>
      <c r="L1728" s="74">
        <v>1.9850000000000001</v>
      </c>
      <c r="M1728" s="85">
        <v>2</v>
      </c>
      <c r="N1728" s="74">
        <v>0.60699999999999998</v>
      </c>
      <c r="O1728">
        <v>3</v>
      </c>
      <c r="P1728" s="84">
        <v>0.60699999999999998</v>
      </c>
      <c r="Q1728" s="86">
        <v>4.2</v>
      </c>
      <c r="R1728" s="85">
        <v>4.2</v>
      </c>
      <c r="S1728" s="87">
        <v>488330</v>
      </c>
      <c r="T1728" s="1">
        <v>4</v>
      </c>
      <c r="U1728" s="88">
        <v>116269.04761904762</v>
      </c>
      <c r="V1728" s="59">
        <v>8.6007413019884087</v>
      </c>
    </row>
    <row r="1729" spans="1:22">
      <c r="A1729" s="58">
        <v>1731</v>
      </c>
      <c r="B1729" s="58">
        <v>1731</v>
      </c>
      <c r="C1729" s="58" t="s">
        <v>2504</v>
      </c>
      <c r="D1729" s="58" t="s">
        <v>176</v>
      </c>
      <c r="E1729" s="58" t="s">
        <v>176</v>
      </c>
      <c r="F1729" s="58" t="s">
        <v>285</v>
      </c>
      <c r="G1729" s="58" t="s">
        <v>286</v>
      </c>
      <c r="H1729" s="58" t="s">
        <v>179</v>
      </c>
      <c r="I1729">
        <v>38000</v>
      </c>
      <c r="J1729">
        <v>38000</v>
      </c>
      <c r="K1729">
        <v>20000</v>
      </c>
      <c r="L1729" s="74">
        <v>6.0590000000000002</v>
      </c>
      <c r="M1729" s="85">
        <v>7</v>
      </c>
      <c r="N1729" s="74">
        <v>0.65700000000000003</v>
      </c>
      <c r="O1729">
        <v>3</v>
      </c>
      <c r="P1729" s="84">
        <v>0.65700000000000003</v>
      </c>
      <c r="Q1729" s="86">
        <v>4.2</v>
      </c>
      <c r="R1729" s="85">
        <v>4.2</v>
      </c>
      <c r="S1729" s="87">
        <v>839680</v>
      </c>
      <c r="T1729" s="1">
        <v>4</v>
      </c>
      <c r="U1729" s="88">
        <v>199923.80952380953</v>
      </c>
      <c r="V1729" s="59">
        <v>5.0019054878048781</v>
      </c>
    </row>
    <row r="1730" spans="1:22">
      <c r="A1730" s="58">
        <v>1732</v>
      </c>
      <c r="B1730" s="58">
        <v>1732</v>
      </c>
      <c r="C1730" s="58" t="s">
        <v>2505</v>
      </c>
      <c r="D1730" s="58" t="s">
        <v>176</v>
      </c>
      <c r="E1730" s="58" t="s">
        <v>176</v>
      </c>
      <c r="F1730" s="58" t="s">
        <v>713</v>
      </c>
      <c r="G1730" s="58" t="s">
        <v>714</v>
      </c>
      <c r="H1730" s="58" t="s">
        <v>199</v>
      </c>
      <c r="I1730">
        <v>110000</v>
      </c>
      <c r="J1730" s="58" t="s">
        <v>185</v>
      </c>
      <c r="K1730">
        <v>110000</v>
      </c>
      <c r="L1730" s="74">
        <v>1.397</v>
      </c>
      <c r="M1730" s="85">
        <v>2</v>
      </c>
      <c r="N1730" s="74">
        <v>1.1970000000000001</v>
      </c>
      <c r="O1730">
        <v>3</v>
      </c>
      <c r="P1730" s="84">
        <v>1.1970000000000001</v>
      </c>
      <c r="Q1730" s="86">
        <v>4.2</v>
      </c>
      <c r="R1730" s="85">
        <v>4.2</v>
      </c>
      <c r="S1730" s="87">
        <v>1340080</v>
      </c>
      <c r="T1730" s="1">
        <v>11</v>
      </c>
      <c r="U1730" s="88">
        <v>319066.66666666663</v>
      </c>
      <c r="V1730" s="59">
        <v>3.134141245298788</v>
      </c>
    </row>
    <row r="1731" spans="1:22">
      <c r="A1731" s="58">
        <v>1733</v>
      </c>
      <c r="B1731" s="58">
        <v>1733</v>
      </c>
      <c r="C1731" s="58" t="s">
        <v>2506</v>
      </c>
      <c r="D1731" s="58" t="s">
        <v>215</v>
      </c>
      <c r="E1731" s="58" t="s">
        <v>215</v>
      </c>
      <c r="F1731" s="58" t="s">
        <v>406</v>
      </c>
      <c r="G1731" s="58" t="s">
        <v>407</v>
      </c>
      <c r="H1731" s="58" t="s">
        <v>179</v>
      </c>
      <c r="I1731">
        <v>38000</v>
      </c>
      <c r="J1731" s="58" t="s">
        <v>185</v>
      </c>
      <c r="K1731">
        <v>38000</v>
      </c>
      <c r="L1731" s="74">
        <v>3.31</v>
      </c>
      <c r="M1731" s="85">
        <v>4</v>
      </c>
      <c r="N1731" s="74">
        <v>1.4219999999999999</v>
      </c>
      <c r="O1731">
        <v>3</v>
      </c>
      <c r="P1731" s="84">
        <v>1.0665</v>
      </c>
      <c r="Q1731" s="86">
        <v>4.2</v>
      </c>
      <c r="R1731" s="85">
        <v>4.2</v>
      </c>
      <c r="S1731" s="87">
        <v>628870</v>
      </c>
      <c r="T1731" s="1">
        <v>4</v>
      </c>
      <c r="U1731" s="88">
        <v>149730.95238095237</v>
      </c>
      <c r="V1731" s="59">
        <v>6.6786458250512828</v>
      </c>
    </row>
    <row r="1732" spans="1:22">
      <c r="A1732" s="58">
        <v>1734</v>
      </c>
      <c r="B1732" s="58">
        <v>1734</v>
      </c>
      <c r="C1732" s="58" t="s">
        <v>2507</v>
      </c>
      <c r="D1732" s="58" t="s">
        <v>215</v>
      </c>
      <c r="E1732" s="58" t="s">
        <v>215</v>
      </c>
      <c r="F1732" s="58" t="s">
        <v>406</v>
      </c>
      <c r="G1732" s="58" t="s">
        <v>407</v>
      </c>
      <c r="H1732" s="58" t="s">
        <v>179</v>
      </c>
      <c r="I1732">
        <v>38000</v>
      </c>
      <c r="J1732" s="58" t="s">
        <v>185</v>
      </c>
      <c r="K1732">
        <v>38000</v>
      </c>
      <c r="L1732" s="74">
        <v>2.5190000000000001</v>
      </c>
      <c r="M1732" s="85">
        <v>3</v>
      </c>
      <c r="N1732" s="74">
        <v>0.66400000000000003</v>
      </c>
      <c r="O1732">
        <v>3</v>
      </c>
      <c r="P1732" s="84">
        <v>0.66400000000000003</v>
      </c>
      <c r="Q1732" s="86">
        <v>4.2</v>
      </c>
      <c r="R1732" s="85">
        <v>4.2</v>
      </c>
      <c r="S1732" s="87">
        <v>558600</v>
      </c>
      <c r="T1732" s="1">
        <v>4</v>
      </c>
      <c r="U1732" s="88">
        <v>133000</v>
      </c>
      <c r="V1732" s="59">
        <v>7.518796992481203</v>
      </c>
    </row>
    <row r="1733" spans="1:22">
      <c r="A1733" s="58">
        <v>1735</v>
      </c>
      <c r="B1733" s="58">
        <v>1735</v>
      </c>
      <c r="C1733" s="58" t="s">
        <v>2508</v>
      </c>
      <c r="D1733" s="58" t="s">
        <v>176</v>
      </c>
      <c r="E1733" s="58" t="s">
        <v>176</v>
      </c>
      <c r="F1733" s="58" t="s">
        <v>1523</v>
      </c>
      <c r="G1733" s="58" t="s">
        <v>1524</v>
      </c>
      <c r="H1733" s="58" t="s">
        <v>199</v>
      </c>
      <c r="I1733">
        <v>110000</v>
      </c>
      <c r="J1733" s="58" t="s">
        <v>1525</v>
      </c>
      <c r="K1733">
        <v>110000</v>
      </c>
      <c r="L1733" s="74">
        <v>2.6520000000000001</v>
      </c>
      <c r="M1733" s="85">
        <v>3</v>
      </c>
      <c r="N1733" s="74">
        <v>0.63900000000000001</v>
      </c>
      <c r="O1733">
        <v>3</v>
      </c>
      <c r="P1733" s="84">
        <v>0.63900000000000001</v>
      </c>
      <c r="Q1733" s="86">
        <v>4.2</v>
      </c>
      <c r="R1733" s="85">
        <v>4.2</v>
      </c>
      <c r="S1733" s="87">
        <v>1574570</v>
      </c>
      <c r="T1733" s="1">
        <v>7</v>
      </c>
      <c r="U1733" s="88">
        <v>374897.61904761905</v>
      </c>
      <c r="V1733" s="59">
        <v>2.6673949078161021</v>
      </c>
    </row>
    <row r="1734" spans="1:22">
      <c r="A1734" s="58">
        <v>1736</v>
      </c>
      <c r="B1734" s="58">
        <v>1736</v>
      </c>
      <c r="C1734" s="58" t="s">
        <v>2509</v>
      </c>
      <c r="D1734" s="58" t="s">
        <v>176</v>
      </c>
      <c r="E1734" s="58" t="s">
        <v>176</v>
      </c>
      <c r="F1734" s="58" t="s">
        <v>564</v>
      </c>
      <c r="G1734" s="58" t="s">
        <v>565</v>
      </c>
      <c r="H1734" s="58" t="s">
        <v>199</v>
      </c>
      <c r="I1734">
        <v>110000</v>
      </c>
      <c r="L1734" s="74">
        <v>2.391</v>
      </c>
      <c r="M1734" s="85">
        <v>3</v>
      </c>
      <c r="N1734" s="74">
        <v>0.82299999999999995</v>
      </c>
      <c r="O1734">
        <v>3</v>
      </c>
      <c r="P1734" s="84">
        <v>0.82299999999999995</v>
      </c>
      <c r="Q1734" s="86">
        <v>4.2</v>
      </c>
      <c r="R1734" s="85">
        <v>4.2</v>
      </c>
      <c r="S1734" s="87">
        <v>1574570</v>
      </c>
      <c r="T1734" s="1">
        <v>7</v>
      </c>
      <c r="U1734" s="88">
        <v>374897.61904761905</v>
      </c>
      <c r="V1734" s="59">
        <v>2.6673949078161021</v>
      </c>
    </row>
    <row r="1735" spans="1:22">
      <c r="A1735" s="58">
        <v>1737</v>
      </c>
      <c r="B1735" s="58">
        <v>1737</v>
      </c>
      <c r="C1735" s="58" t="s">
        <v>2510</v>
      </c>
      <c r="D1735" s="58" t="s">
        <v>176</v>
      </c>
      <c r="E1735" s="58" t="s">
        <v>176</v>
      </c>
      <c r="F1735" s="58" t="s">
        <v>564</v>
      </c>
      <c r="G1735" s="58" t="s">
        <v>565</v>
      </c>
      <c r="H1735" s="58" t="s">
        <v>199</v>
      </c>
      <c r="I1735">
        <v>110000</v>
      </c>
      <c r="L1735" s="74">
        <v>5.5279999999999996</v>
      </c>
      <c r="M1735" s="85">
        <v>6</v>
      </c>
      <c r="N1735" s="74">
        <v>1.123</v>
      </c>
      <c r="O1735">
        <v>3</v>
      </c>
      <c r="P1735" s="84">
        <v>1.123</v>
      </c>
      <c r="Q1735" s="86">
        <v>4.2</v>
      </c>
      <c r="R1735" s="85">
        <v>4.2</v>
      </c>
      <c r="S1735" s="87">
        <v>1732670</v>
      </c>
      <c r="T1735" s="1">
        <v>7</v>
      </c>
      <c r="U1735" s="88">
        <v>412540.47619047615</v>
      </c>
      <c r="V1735" s="59">
        <v>2.4240045709800482</v>
      </c>
    </row>
    <row r="1736" spans="1:22">
      <c r="A1736" s="58">
        <v>1738</v>
      </c>
      <c r="B1736" s="58">
        <v>1738</v>
      </c>
      <c r="C1736" s="58" t="s">
        <v>2511</v>
      </c>
      <c r="D1736" s="58" t="s">
        <v>176</v>
      </c>
      <c r="E1736" s="58" t="s">
        <v>176</v>
      </c>
      <c r="F1736" s="58" t="s">
        <v>719</v>
      </c>
      <c r="G1736" s="58" t="s">
        <v>720</v>
      </c>
      <c r="H1736" s="58" t="s">
        <v>199</v>
      </c>
      <c r="I1736">
        <v>110000</v>
      </c>
      <c r="J1736">
        <v>38000</v>
      </c>
      <c r="K1736">
        <v>110000</v>
      </c>
      <c r="L1736" s="74">
        <v>3.6110000000000002</v>
      </c>
      <c r="M1736" s="85">
        <v>4</v>
      </c>
      <c r="N1736" s="74">
        <v>1.05</v>
      </c>
      <c r="O1736">
        <v>3</v>
      </c>
      <c r="P1736" s="84">
        <v>1.05</v>
      </c>
      <c r="Q1736" s="86">
        <v>4.2</v>
      </c>
      <c r="R1736" s="85">
        <v>4.2</v>
      </c>
      <c r="S1736" s="87">
        <v>1627270</v>
      </c>
      <c r="T1736" s="1">
        <v>7</v>
      </c>
      <c r="U1736" s="88">
        <v>387445.23809523811</v>
      </c>
      <c r="V1736" s="59">
        <v>2.5810099123071155</v>
      </c>
    </row>
    <row r="1737" spans="1:22">
      <c r="A1737" s="58">
        <v>1739</v>
      </c>
      <c r="B1737" s="58">
        <v>1739</v>
      </c>
      <c r="C1737" s="58" t="s">
        <v>2512</v>
      </c>
      <c r="D1737" s="58" t="s">
        <v>176</v>
      </c>
      <c r="E1737" s="58" t="s">
        <v>176</v>
      </c>
      <c r="F1737" s="58" t="s">
        <v>564</v>
      </c>
      <c r="G1737" s="58" t="s">
        <v>565</v>
      </c>
      <c r="H1737" s="58" t="s">
        <v>199</v>
      </c>
      <c r="I1737">
        <v>110000</v>
      </c>
      <c r="L1737" s="74">
        <v>5.5369999999999999</v>
      </c>
      <c r="M1737" s="85">
        <v>6</v>
      </c>
      <c r="N1737" s="74">
        <v>1.101</v>
      </c>
      <c r="O1737">
        <v>3</v>
      </c>
      <c r="P1737" s="84">
        <v>1.101</v>
      </c>
      <c r="Q1737" s="86">
        <v>4.2</v>
      </c>
      <c r="R1737" s="85">
        <v>4.2</v>
      </c>
      <c r="S1737" s="87">
        <v>1732670</v>
      </c>
      <c r="T1737" s="1">
        <v>7</v>
      </c>
      <c r="U1737" s="88">
        <v>412540.47619047615</v>
      </c>
      <c r="V1737" s="59">
        <v>2.4240045709800482</v>
      </c>
    </row>
    <row r="1738" spans="1:22">
      <c r="A1738" s="58">
        <v>1740</v>
      </c>
      <c r="B1738" s="58">
        <v>1740</v>
      </c>
      <c r="C1738" s="58" t="s">
        <v>2513</v>
      </c>
      <c r="D1738" s="58" t="s">
        <v>215</v>
      </c>
      <c r="E1738" s="58" t="s">
        <v>176</v>
      </c>
      <c r="F1738" s="58" t="s">
        <v>2514</v>
      </c>
      <c r="G1738" s="58" t="s">
        <v>2515</v>
      </c>
      <c r="H1738" s="58" t="s">
        <v>179</v>
      </c>
      <c r="I1738">
        <v>38000</v>
      </c>
      <c r="J1738">
        <v>38000</v>
      </c>
      <c r="K1738" s="58" t="s">
        <v>185</v>
      </c>
      <c r="L1738" s="74">
        <v>6.2119999999999997</v>
      </c>
      <c r="M1738" s="85">
        <v>7</v>
      </c>
      <c r="N1738" s="74">
        <v>0.64600000000000002</v>
      </c>
      <c r="O1738">
        <v>3</v>
      </c>
      <c r="P1738" s="84">
        <v>0.64600000000000002</v>
      </c>
      <c r="Q1738" s="86">
        <v>4.2</v>
      </c>
      <c r="R1738" s="85">
        <v>4.2</v>
      </c>
      <c r="S1738" s="87">
        <v>839680</v>
      </c>
      <c r="T1738" s="1">
        <v>4</v>
      </c>
      <c r="U1738" s="88">
        <v>199923.80952380953</v>
      </c>
      <c r="V1738" s="59">
        <v>5.0019054878048781</v>
      </c>
    </row>
    <row r="1739" spans="1:22">
      <c r="A1739" s="58">
        <v>1741</v>
      </c>
      <c r="B1739" s="58">
        <v>1741</v>
      </c>
      <c r="C1739" s="58" t="s">
        <v>2516</v>
      </c>
      <c r="D1739" s="58" t="s">
        <v>215</v>
      </c>
      <c r="E1739" s="58" t="s">
        <v>215</v>
      </c>
      <c r="F1739" s="58" t="s">
        <v>724</v>
      </c>
      <c r="G1739" s="58" t="s">
        <v>725</v>
      </c>
      <c r="H1739" s="58" t="s">
        <v>179</v>
      </c>
      <c r="I1739">
        <v>38000</v>
      </c>
      <c r="J1739" s="58" t="s">
        <v>185</v>
      </c>
      <c r="K1739">
        <v>38000</v>
      </c>
      <c r="L1739" s="74">
        <v>7.1369999999999996</v>
      </c>
      <c r="M1739" s="85">
        <v>8</v>
      </c>
      <c r="N1739" s="74">
        <v>2.3159999999999998</v>
      </c>
      <c r="O1739">
        <v>3</v>
      </c>
      <c r="P1739" s="84">
        <v>1.7369999999999999</v>
      </c>
      <c r="Q1739" s="86">
        <v>8.4</v>
      </c>
      <c r="R1739" s="85">
        <v>8.4</v>
      </c>
      <c r="S1739" s="87">
        <v>909950</v>
      </c>
      <c r="T1739" s="1">
        <v>4</v>
      </c>
      <c r="U1739" s="88">
        <v>108327.38095238095</v>
      </c>
      <c r="V1739" s="59">
        <v>9.2312764437606454</v>
      </c>
    </row>
    <row r="1740" spans="1:22">
      <c r="A1740" s="58">
        <v>1742</v>
      </c>
      <c r="B1740" s="58">
        <v>1742</v>
      </c>
      <c r="C1740" s="58" t="s">
        <v>2517</v>
      </c>
      <c r="D1740" s="58" t="s">
        <v>215</v>
      </c>
      <c r="E1740" s="58" t="s">
        <v>215</v>
      </c>
      <c r="F1740" s="58" t="s">
        <v>845</v>
      </c>
      <c r="G1740" s="58" t="s">
        <v>846</v>
      </c>
      <c r="H1740" s="58" t="s">
        <v>199</v>
      </c>
      <c r="I1740">
        <v>110000</v>
      </c>
      <c r="L1740" s="74">
        <v>2.427</v>
      </c>
      <c r="M1740" s="85">
        <v>3</v>
      </c>
      <c r="N1740" s="74">
        <v>0.28399999999999997</v>
      </c>
      <c r="O1740">
        <v>3</v>
      </c>
      <c r="P1740" s="84">
        <v>0.28399999999999997</v>
      </c>
      <c r="Q1740" s="86">
        <v>4.2</v>
      </c>
      <c r="R1740" s="85">
        <v>4.2</v>
      </c>
      <c r="S1740" s="87">
        <v>1574570</v>
      </c>
      <c r="T1740" s="1">
        <v>7</v>
      </c>
      <c r="U1740" s="88">
        <v>374897.61904761905</v>
      </c>
      <c r="V1740" s="59">
        <v>2.6673949078161021</v>
      </c>
    </row>
    <row r="1741" spans="1:22">
      <c r="A1741" s="58">
        <v>1743</v>
      </c>
      <c r="B1741" s="58">
        <v>1743</v>
      </c>
      <c r="C1741" s="58" t="s">
        <v>2518</v>
      </c>
      <c r="D1741" s="58" t="s">
        <v>215</v>
      </c>
      <c r="E1741" s="58" t="s">
        <v>215</v>
      </c>
      <c r="F1741" s="58" t="s">
        <v>727</v>
      </c>
      <c r="G1741" s="58" t="s">
        <v>728</v>
      </c>
      <c r="H1741" s="58" t="s">
        <v>199</v>
      </c>
      <c r="I1741">
        <v>110000</v>
      </c>
      <c r="L1741" s="74">
        <v>4.2919999999999998</v>
      </c>
      <c r="M1741" s="85">
        <v>5</v>
      </c>
      <c r="N1741" s="74">
        <v>2.073</v>
      </c>
      <c r="O1741">
        <v>3</v>
      </c>
      <c r="P1741" s="84">
        <v>1.5547499999999999</v>
      </c>
      <c r="Q1741" s="86">
        <v>8.4</v>
      </c>
      <c r="R1741" s="85">
        <v>8.4</v>
      </c>
      <c r="S1741" s="87">
        <v>1679970</v>
      </c>
      <c r="T1741" s="1">
        <v>7</v>
      </c>
      <c r="U1741" s="88">
        <v>199996.42857142855</v>
      </c>
      <c r="V1741" s="59">
        <v>5.0000892873087022</v>
      </c>
    </row>
    <row r="1742" spans="1:22">
      <c r="A1742" s="58">
        <v>1744</v>
      </c>
      <c r="B1742" s="58">
        <v>1744</v>
      </c>
      <c r="C1742" s="58" t="s">
        <v>2519</v>
      </c>
      <c r="D1742" s="58" t="s">
        <v>215</v>
      </c>
      <c r="E1742" s="58" t="s">
        <v>215</v>
      </c>
      <c r="F1742" s="58" t="s">
        <v>845</v>
      </c>
      <c r="G1742" s="58" t="s">
        <v>846</v>
      </c>
      <c r="H1742" s="58" t="s">
        <v>199</v>
      </c>
      <c r="I1742">
        <v>110000</v>
      </c>
      <c r="L1742" s="74">
        <v>1.9430000000000001</v>
      </c>
      <c r="M1742" s="85">
        <v>2</v>
      </c>
      <c r="N1742" s="74">
        <v>0.44600000000000001</v>
      </c>
      <c r="O1742">
        <v>3</v>
      </c>
      <c r="P1742" s="84">
        <v>0.44600000000000001</v>
      </c>
      <c r="Q1742" s="86">
        <v>4.2</v>
      </c>
      <c r="R1742" s="85">
        <v>4.2</v>
      </c>
      <c r="S1742" s="87">
        <v>1340080</v>
      </c>
      <c r="T1742" s="1">
        <v>11</v>
      </c>
      <c r="U1742" s="88">
        <v>319066.66666666663</v>
      </c>
      <c r="V1742" s="59">
        <v>3.134141245298788</v>
      </c>
    </row>
    <row r="1743" spans="1:22">
      <c r="A1743" s="58">
        <v>1745</v>
      </c>
      <c r="B1743" s="58">
        <v>1745</v>
      </c>
      <c r="C1743" s="58" t="s">
        <v>2520</v>
      </c>
      <c r="D1743" s="58" t="s">
        <v>450</v>
      </c>
      <c r="E1743" s="58" t="s">
        <v>450</v>
      </c>
      <c r="F1743" s="58" t="s">
        <v>931</v>
      </c>
      <c r="G1743" s="58" t="s">
        <v>932</v>
      </c>
      <c r="H1743" s="58" t="s">
        <v>199</v>
      </c>
      <c r="I1743">
        <v>110000</v>
      </c>
      <c r="J1743">
        <v>20000</v>
      </c>
      <c r="K1743">
        <v>110000</v>
      </c>
      <c r="L1743" s="74">
        <v>1.716</v>
      </c>
      <c r="M1743" s="85">
        <v>2</v>
      </c>
      <c r="N1743" s="74">
        <v>0.877</v>
      </c>
      <c r="O1743">
        <v>3</v>
      </c>
      <c r="P1743" s="84">
        <v>0.877</v>
      </c>
      <c r="Q1743" s="86">
        <v>4.2</v>
      </c>
      <c r="R1743" s="85">
        <v>4.2</v>
      </c>
      <c r="S1743" s="87">
        <v>1340080</v>
      </c>
      <c r="T1743" s="1">
        <v>11</v>
      </c>
      <c r="U1743" s="88">
        <v>319066.66666666663</v>
      </c>
      <c r="V1743" s="59">
        <v>3.134141245298788</v>
      </c>
    </row>
    <row r="1744" spans="1:22">
      <c r="A1744" s="58">
        <v>1746</v>
      </c>
      <c r="B1744" s="58">
        <v>1746</v>
      </c>
      <c r="C1744" s="58" t="s">
        <v>2521</v>
      </c>
      <c r="D1744" s="58" t="s">
        <v>410</v>
      </c>
      <c r="E1744" s="58" t="s">
        <v>1169</v>
      </c>
      <c r="F1744" s="58" t="s">
        <v>1932</v>
      </c>
      <c r="G1744" s="58" t="s">
        <v>1711</v>
      </c>
      <c r="H1744" s="58" t="s">
        <v>179</v>
      </c>
      <c r="I1744">
        <v>38000</v>
      </c>
      <c r="J1744" s="58" t="s">
        <v>185</v>
      </c>
      <c r="K1744">
        <v>38000</v>
      </c>
      <c r="L1744" s="74">
        <v>3.4529999999999998</v>
      </c>
      <c r="M1744" s="85">
        <v>4</v>
      </c>
      <c r="N1744" s="74">
        <v>0.71899999999999997</v>
      </c>
      <c r="O1744">
        <v>3</v>
      </c>
      <c r="P1744" s="84">
        <v>0.71899999999999997</v>
      </c>
      <c r="Q1744" s="86">
        <v>4.2</v>
      </c>
      <c r="R1744" s="85">
        <v>4.2</v>
      </c>
      <c r="S1744" s="87">
        <v>628870</v>
      </c>
      <c r="T1744" s="1">
        <v>4</v>
      </c>
      <c r="U1744" s="88">
        <v>149730.95238095237</v>
      </c>
      <c r="V1744" s="59">
        <v>6.6786458250512828</v>
      </c>
    </row>
    <row r="1745" spans="1:22">
      <c r="A1745" s="58">
        <v>1747</v>
      </c>
      <c r="B1745" s="58">
        <v>1747</v>
      </c>
      <c r="C1745" s="58" t="s">
        <v>2522</v>
      </c>
      <c r="D1745" s="58" t="s">
        <v>410</v>
      </c>
      <c r="E1745" s="58" t="s">
        <v>410</v>
      </c>
      <c r="F1745" s="58" t="s">
        <v>1932</v>
      </c>
      <c r="G1745" s="58" t="s">
        <v>1711</v>
      </c>
      <c r="H1745" s="58" t="s">
        <v>179</v>
      </c>
      <c r="I1745">
        <v>38000</v>
      </c>
      <c r="J1745" s="58" t="s">
        <v>185</v>
      </c>
      <c r="K1745">
        <v>38000</v>
      </c>
      <c r="L1745" s="74">
        <v>1.258</v>
      </c>
      <c r="M1745" s="85">
        <v>2</v>
      </c>
      <c r="N1745" s="74">
        <v>0.40100000000000002</v>
      </c>
      <c r="O1745">
        <v>3</v>
      </c>
      <c r="P1745" s="84">
        <v>0.40100000000000002</v>
      </c>
      <c r="Q1745" s="86">
        <v>4.2</v>
      </c>
      <c r="R1745" s="85">
        <v>4.2</v>
      </c>
      <c r="S1745" s="87">
        <v>488330</v>
      </c>
      <c r="T1745" s="1">
        <v>4</v>
      </c>
      <c r="U1745" s="88">
        <v>116269.04761904762</v>
      </c>
      <c r="V1745" s="59">
        <v>8.6007413019884087</v>
      </c>
    </row>
    <row r="1746" spans="1:22">
      <c r="A1746" s="58">
        <v>1748</v>
      </c>
      <c r="B1746" s="58">
        <v>1748</v>
      </c>
      <c r="C1746" s="58" t="s">
        <v>2523</v>
      </c>
      <c r="D1746" s="58" t="s">
        <v>1811</v>
      </c>
      <c r="E1746" s="58" t="s">
        <v>1169</v>
      </c>
      <c r="F1746" s="58" t="s">
        <v>1698</v>
      </c>
      <c r="G1746" s="58" t="s">
        <v>1699</v>
      </c>
      <c r="H1746" s="58" t="s">
        <v>199</v>
      </c>
      <c r="I1746">
        <v>110000</v>
      </c>
      <c r="J1746">
        <v>110000</v>
      </c>
      <c r="K1746">
        <v>38000</v>
      </c>
      <c r="L1746" s="74">
        <v>6.7859999999999996</v>
      </c>
      <c r="M1746" s="85">
        <v>7</v>
      </c>
      <c r="N1746" s="74">
        <v>1.913</v>
      </c>
      <c r="O1746">
        <v>3</v>
      </c>
      <c r="P1746" s="84">
        <v>1.43475</v>
      </c>
      <c r="Q1746" s="86">
        <v>8.4</v>
      </c>
      <c r="R1746" s="85">
        <v>8.4</v>
      </c>
      <c r="S1746" s="87">
        <v>1785370</v>
      </c>
      <c r="T1746" s="1">
        <v>7</v>
      </c>
      <c r="U1746" s="88">
        <v>212544.0476190476</v>
      </c>
      <c r="V1746" s="59">
        <v>4.7049071060900545</v>
      </c>
    </row>
    <row r="1747" spans="1:22">
      <c r="A1747" s="58">
        <v>1749</v>
      </c>
      <c r="B1747" s="58">
        <v>1749</v>
      </c>
      <c r="C1747" s="58" t="s">
        <v>2524</v>
      </c>
      <c r="D1747" s="58" t="s">
        <v>775</v>
      </c>
      <c r="E1747" s="58" t="s">
        <v>775</v>
      </c>
      <c r="F1747" s="58" t="s">
        <v>1107</v>
      </c>
      <c r="G1747" s="58" t="s">
        <v>1108</v>
      </c>
      <c r="H1747" s="58" t="s">
        <v>179</v>
      </c>
      <c r="I1747">
        <v>38000</v>
      </c>
      <c r="J1747">
        <v>38000</v>
      </c>
      <c r="K1747" s="58" t="s">
        <v>185</v>
      </c>
      <c r="L1747" s="74">
        <v>4.7</v>
      </c>
      <c r="M1747" s="85">
        <v>5</v>
      </c>
      <c r="N1747" s="74">
        <v>0.46</v>
      </c>
      <c r="O1747">
        <v>3</v>
      </c>
      <c r="P1747" s="84">
        <v>0.46</v>
      </c>
      <c r="Q1747" s="86">
        <v>4.2</v>
      </c>
      <c r="R1747" s="85">
        <v>4.2</v>
      </c>
      <c r="S1747" s="87">
        <v>699140</v>
      </c>
      <c r="T1747" s="1">
        <v>4</v>
      </c>
      <c r="U1747" s="88">
        <v>166461.90476190476</v>
      </c>
      <c r="V1747" s="59">
        <v>6.0073804960379897</v>
      </c>
    </row>
    <row r="1748" spans="1:22">
      <c r="A1748" s="58">
        <v>1750</v>
      </c>
      <c r="B1748" s="58">
        <v>1750</v>
      </c>
      <c r="C1748" s="58" t="s">
        <v>2525</v>
      </c>
      <c r="D1748" s="58" t="s">
        <v>197</v>
      </c>
      <c r="E1748" s="58" t="s">
        <v>197</v>
      </c>
      <c r="F1748" s="58" t="s">
        <v>1543</v>
      </c>
      <c r="G1748" s="58" t="s">
        <v>1544</v>
      </c>
      <c r="H1748" s="58" t="s">
        <v>199</v>
      </c>
      <c r="I1748">
        <v>110000</v>
      </c>
      <c r="J1748" s="58" t="s">
        <v>185</v>
      </c>
      <c r="K1748">
        <v>110000</v>
      </c>
      <c r="L1748" s="74">
        <v>8.2850000000000001</v>
      </c>
      <c r="M1748" s="85">
        <v>9</v>
      </c>
      <c r="N1748" s="74">
        <v>1.2110000000000001</v>
      </c>
      <c r="O1748">
        <v>3</v>
      </c>
      <c r="P1748" s="84">
        <v>0.90825</v>
      </c>
      <c r="Q1748" s="86">
        <v>4.2</v>
      </c>
      <c r="R1748" s="85">
        <v>4.2</v>
      </c>
      <c r="S1748" s="87">
        <v>1890770</v>
      </c>
      <c r="T1748" s="1">
        <v>7</v>
      </c>
      <c r="U1748" s="88">
        <v>450183.33333333331</v>
      </c>
      <c r="V1748" s="59">
        <v>2.2213172411239865</v>
      </c>
    </row>
    <row r="1749" spans="1:22">
      <c r="A1749" s="58">
        <v>1751</v>
      </c>
      <c r="B1749" s="58">
        <v>1751</v>
      </c>
      <c r="C1749" s="58" t="s">
        <v>2526</v>
      </c>
      <c r="D1749" s="58" t="s">
        <v>182</v>
      </c>
      <c r="E1749" s="58" t="s">
        <v>182</v>
      </c>
      <c r="F1749" s="58" t="s">
        <v>1866</v>
      </c>
      <c r="G1749" s="58" t="s">
        <v>1867</v>
      </c>
      <c r="H1749" s="58" t="s">
        <v>179</v>
      </c>
      <c r="I1749">
        <v>38000</v>
      </c>
      <c r="J1749">
        <v>38000</v>
      </c>
      <c r="K1749" s="58" t="s">
        <v>185</v>
      </c>
      <c r="L1749" s="74">
        <v>2.476</v>
      </c>
      <c r="M1749" s="85">
        <v>3</v>
      </c>
      <c r="N1749" s="74">
        <v>0.83099999999999996</v>
      </c>
      <c r="O1749">
        <v>3</v>
      </c>
      <c r="P1749" s="84">
        <v>0.83099999999999996</v>
      </c>
      <c r="Q1749" s="86">
        <v>4.2</v>
      </c>
      <c r="R1749" s="85">
        <v>4.2</v>
      </c>
      <c r="S1749" s="87">
        <v>558600</v>
      </c>
      <c r="T1749" s="1">
        <v>4</v>
      </c>
      <c r="U1749" s="88">
        <v>133000</v>
      </c>
      <c r="V1749" s="59">
        <v>7.518796992481203</v>
      </c>
    </row>
    <row r="1750" spans="1:22">
      <c r="A1750" s="58">
        <v>1752</v>
      </c>
      <c r="B1750" s="58">
        <v>1752</v>
      </c>
      <c r="C1750" s="58" t="s">
        <v>2527</v>
      </c>
      <c r="D1750" s="58" t="s">
        <v>410</v>
      </c>
      <c r="E1750" s="58" t="s">
        <v>410</v>
      </c>
      <c r="F1750" s="58" t="s">
        <v>1701</v>
      </c>
      <c r="G1750" s="58" t="s">
        <v>1702</v>
      </c>
      <c r="H1750" s="58" t="s">
        <v>179</v>
      </c>
      <c r="I1750">
        <v>38000</v>
      </c>
      <c r="J1750">
        <v>38000</v>
      </c>
      <c r="K1750" s="58" t="s">
        <v>185</v>
      </c>
      <c r="L1750" s="74">
        <v>1.7989999999999999</v>
      </c>
      <c r="M1750" s="85">
        <v>2</v>
      </c>
      <c r="N1750" s="74">
        <v>0.33600000000000002</v>
      </c>
      <c r="O1750">
        <v>3</v>
      </c>
      <c r="P1750" s="84">
        <v>0.33600000000000002</v>
      </c>
      <c r="Q1750" s="86">
        <v>4.2</v>
      </c>
      <c r="R1750" s="85">
        <v>4.2</v>
      </c>
      <c r="S1750" s="87">
        <v>488330</v>
      </c>
      <c r="T1750" s="1">
        <v>4</v>
      </c>
      <c r="U1750" s="88">
        <v>116269.04761904762</v>
      </c>
      <c r="V1750" s="59">
        <v>8.6007413019884087</v>
      </c>
    </row>
    <row r="1751" spans="1:22">
      <c r="A1751" s="58">
        <v>1753</v>
      </c>
      <c r="B1751" s="58">
        <v>1753</v>
      </c>
      <c r="C1751" s="58" t="s">
        <v>2528</v>
      </c>
      <c r="D1751" s="58" t="s">
        <v>882</v>
      </c>
      <c r="E1751" s="58" t="s">
        <v>882</v>
      </c>
      <c r="F1751" s="58" t="s">
        <v>1850</v>
      </c>
      <c r="G1751" s="58" t="s">
        <v>1851</v>
      </c>
      <c r="H1751" s="58" t="s">
        <v>199</v>
      </c>
      <c r="I1751">
        <v>110000</v>
      </c>
      <c r="J1751">
        <v>110000</v>
      </c>
      <c r="K1751">
        <v>38000</v>
      </c>
      <c r="L1751" s="74">
        <v>4.9249999999999998</v>
      </c>
      <c r="M1751" s="85">
        <v>5</v>
      </c>
      <c r="N1751" s="74">
        <v>0.317</v>
      </c>
      <c r="O1751">
        <v>3</v>
      </c>
      <c r="P1751" s="84">
        <v>0.317</v>
      </c>
      <c r="Q1751" s="86">
        <v>4.2</v>
      </c>
      <c r="R1751" s="85">
        <v>4.2</v>
      </c>
      <c r="S1751" s="87">
        <v>1679970</v>
      </c>
      <c r="T1751" s="1">
        <v>7</v>
      </c>
      <c r="U1751" s="88">
        <v>399992.8571428571</v>
      </c>
      <c r="V1751" s="59">
        <v>2.5000446436543511</v>
      </c>
    </row>
    <row r="1752" spans="1:22">
      <c r="A1752" s="58">
        <v>1754</v>
      </c>
      <c r="B1752" s="58">
        <v>1754</v>
      </c>
      <c r="C1752" s="58" t="s">
        <v>2529</v>
      </c>
      <c r="D1752" s="58" t="s">
        <v>182</v>
      </c>
      <c r="E1752" s="58" t="s">
        <v>182</v>
      </c>
      <c r="F1752" s="58" t="s">
        <v>1866</v>
      </c>
      <c r="G1752" s="58" t="s">
        <v>1867</v>
      </c>
      <c r="H1752" s="58" t="s">
        <v>179</v>
      </c>
      <c r="I1752">
        <v>38000</v>
      </c>
      <c r="J1752">
        <v>38000</v>
      </c>
      <c r="K1752" s="58" t="s">
        <v>185</v>
      </c>
      <c r="L1752" s="74">
        <v>3.3769999999999998</v>
      </c>
      <c r="M1752" s="85">
        <v>4</v>
      </c>
      <c r="N1752" s="74">
        <v>0.436</v>
      </c>
      <c r="O1752">
        <v>3</v>
      </c>
      <c r="P1752" s="84">
        <v>0.436</v>
      </c>
      <c r="Q1752" s="86">
        <v>4.2</v>
      </c>
      <c r="R1752" s="85">
        <v>4.2</v>
      </c>
      <c r="S1752" s="87">
        <v>628870</v>
      </c>
      <c r="T1752" s="1">
        <v>4</v>
      </c>
      <c r="U1752" s="88">
        <v>149730.95238095237</v>
      </c>
      <c r="V1752" s="59">
        <v>6.6786458250512828</v>
      </c>
    </row>
    <row r="1753" spans="1:22">
      <c r="A1753" s="58">
        <v>1755</v>
      </c>
      <c r="B1753" s="58">
        <v>1755</v>
      </c>
      <c r="C1753" s="58" t="s">
        <v>2530</v>
      </c>
      <c r="D1753" s="58" t="s">
        <v>182</v>
      </c>
      <c r="E1753" s="58" t="s">
        <v>182</v>
      </c>
      <c r="F1753" s="58" t="s">
        <v>1793</v>
      </c>
      <c r="G1753" s="58" t="s">
        <v>1794</v>
      </c>
      <c r="H1753" s="58" t="s">
        <v>179</v>
      </c>
      <c r="I1753">
        <v>38000</v>
      </c>
      <c r="J1753">
        <v>38000</v>
      </c>
      <c r="K1753">
        <v>10000</v>
      </c>
      <c r="L1753" s="74">
        <v>2.734</v>
      </c>
      <c r="M1753" s="85">
        <v>3</v>
      </c>
      <c r="N1753" s="74">
        <v>0.41699999999999998</v>
      </c>
      <c r="O1753">
        <v>3</v>
      </c>
      <c r="P1753" s="84">
        <v>0.41699999999999998</v>
      </c>
      <c r="Q1753" s="86">
        <v>4.2</v>
      </c>
      <c r="R1753" s="85">
        <v>4.2</v>
      </c>
      <c r="S1753" s="87">
        <v>558600</v>
      </c>
      <c r="T1753" s="1">
        <v>4</v>
      </c>
      <c r="U1753" s="88">
        <v>133000</v>
      </c>
      <c r="V1753" s="59">
        <v>7.518796992481203</v>
      </c>
    </row>
    <row r="1754" spans="1:22">
      <c r="A1754" s="58">
        <v>1756</v>
      </c>
      <c r="B1754" s="58">
        <v>1756</v>
      </c>
      <c r="C1754" s="58" t="s">
        <v>2531</v>
      </c>
      <c r="D1754" s="58" t="s">
        <v>182</v>
      </c>
      <c r="E1754" s="58" t="s">
        <v>182</v>
      </c>
      <c r="F1754" s="58" t="s">
        <v>1796</v>
      </c>
      <c r="G1754" s="58" t="s">
        <v>1797</v>
      </c>
      <c r="H1754" s="58" t="s">
        <v>199</v>
      </c>
      <c r="I1754">
        <v>110000</v>
      </c>
      <c r="J1754" s="58" t="s">
        <v>185</v>
      </c>
      <c r="K1754">
        <v>110000</v>
      </c>
      <c r="L1754" s="74">
        <v>1.595</v>
      </c>
      <c r="M1754" s="85">
        <v>2</v>
      </c>
      <c r="N1754" s="74">
        <v>0.55400000000000005</v>
      </c>
      <c r="O1754">
        <v>3</v>
      </c>
      <c r="P1754" s="84">
        <v>0.55400000000000005</v>
      </c>
      <c r="Q1754" s="86">
        <v>4.2</v>
      </c>
      <c r="R1754" s="85">
        <v>4.2</v>
      </c>
      <c r="S1754" s="87">
        <v>1340080</v>
      </c>
      <c r="T1754" s="1">
        <v>11</v>
      </c>
      <c r="U1754" s="88">
        <v>319066.66666666663</v>
      </c>
      <c r="V1754" s="59">
        <v>3.134141245298788</v>
      </c>
    </row>
    <row r="1755" spans="1:22">
      <c r="A1755" s="58">
        <v>1757</v>
      </c>
      <c r="B1755" s="58">
        <v>1757</v>
      </c>
      <c r="C1755" s="58" t="s">
        <v>2532</v>
      </c>
      <c r="D1755" s="58" t="s">
        <v>182</v>
      </c>
      <c r="E1755" s="58" t="s">
        <v>182</v>
      </c>
      <c r="F1755" s="58" t="s">
        <v>2533</v>
      </c>
      <c r="G1755" s="58" t="s">
        <v>2534</v>
      </c>
      <c r="H1755" s="58" t="s">
        <v>179</v>
      </c>
      <c r="I1755">
        <v>38000</v>
      </c>
      <c r="J1755">
        <v>38000</v>
      </c>
      <c r="K1755" s="58" t="s">
        <v>185</v>
      </c>
      <c r="L1755" s="74">
        <v>2.1429999999999998</v>
      </c>
      <c r="M1755" s="85">
        <v>3</v>
      </c>
      <c r="N1755" s="74">
        <v>0.82499999999999996</v>
      </c>
      <c r="O1755">
        <v>3</v>
      </c>
      <c r="P1755" s="84">
        <v>0.82499999999999996</v>
      </c>
      <c r="Q1755" s="86">
        <v>4.2</v>
      </c>
      <c r="R1755" s="85">
        <v>4.2</v>
      </c>
      <c r="S1755" s="87">
        <v>558600</v>
      </c>
      <c r="T1755" s="1">
        <v>4</v>
      </c>
      <c r="U1755" s="88">
        <v>133000</v>
      </c>
      <c r="V1755" s="59">
        <v>7.518796992481203</v>
      </c>
    </row>
    <row r="1756" spans="1:22">
      <c r="A1756" s="58">
        <v>1758</v>
      </c>
      <c r="B1756" s="58">
        <v>1758</v>
      </c>
      <c r="C1756" s="58" t="s">
        <v>2535</v>
      </c>
      <c r="D1756" s="58" t="s">
        <v>182</v>
      </c>
      <c r="E1756" s="58" t="s">
        <v>182</v>
      </c>
      <c r="F1756" s="58" t="s">
        <v>1796</v>
      </c>
      <c r="G1756" s="58" t="s">
        <v>1797</v>
      </c>
      <c r="H1756" s="58" t="s">
        <v>199</v>
      </c>
      <c r="I1756">
        <v>110000</v>
      </c>
      <c r="J1756" s="58" t="s">
        <v>185</v>
      </c>
      <c r="K1756">
        <v>110000</v>
      </c>
      <c r="L1756" s="74">
        <v>4.2140000000000004</v>
      </c>
      <c r="M1756" s="85">
        <v>5</v>
      </c>
      <c r="N1756" s="74">
        <v>1.5880000000000001</v>
      </c>
      <c r="O1756">
        <v>3</v>
      </c>
      <c r="P1756" s="84">
        <v>1.1910000000000001</v>
      </c>
      <c r="Q1756" s="86">
        <v>4.2</v>
      </c>
      <c r="R1756" s="85">
        <v>4.2</v>
      </c>
      <c r="S1756" s="87">
        <v>1679970</v>
      </c>
      <c r="T1756" s="1">
        <v>7</v>
      </c>
      <c r="U1756" s="88">
        <v>399992.8571428571</v>
      </c>
      <c r="V1756" s="59">
        <v>2.5000446436543511</v>
      </c>
    </row>
    <row r="1757" spans="1:22">
      <c r="A1757" s="58">
        <v>1759</v>
      </c>
      <c r="B1757" s="58">
        <v>1759</v>
      </c>
      <c r="C1757" s="58" t="s">
        <v>2536</v>
      </c>
      <c r="D1757" s="58" t="s">
        <v>882</v>
      </c>
      <c r="E1757" s="58" t="s">
        <v>882</v>
      </c>
      <c r="F1757" s="58" t="s">
        <v>1796</v>
      </c>
      <c r="G1757" s="58" t="s">
        <v>1797</v>
      </c>
      <c r="H1757" s="58" t="s">
        <v>199</v>
      </c>
      <c r="I1757">
        <v>110000</v>
      </c>
      <c r="J1757" s="58" t="s">
        <v>185</v>
      </c>
      <c r="K1757">
        <v>110000</v>
      </c>
      <c r="L1757" s="74">
        <v>7.0469999999999997</v>
      </c>
      <c r="M1757" s="85">
        <v>8</v>
      </c>
      <c r="N1757" s="74">
        <v>1.7230000000000001</v>
      </c>
      <c r="O1757">
        <v>3</v>
      </c>
      <c r="P1757" s="84">
        <v>1.2922500000000001</v>
      </c>
      <c r="Q1757" s="86">
        <v>8.4</v>
      </c>
      <c r="R1757" s="85">
        <v>8.4</v>
      </c>
      <c r="S1757" s="87">
        <v>1838070</v>
      </c>
      <c r="T1757" s="1">
        <v>7</v>
      </c>
      <c r="U1757" s="88">
        <v>218817.85714285713</v>
      </c>
      <c r="V1757" s="59">
        <v>4.5700109353833094</v>
      </c>
    </row>
    <row r="1758" spans="1:22">
      <c r="A1758" s="58">
        <v>1760</v>
      </c>
      <c r="B1758" s="58">
        <v>1760</v>
      </c>
      <c r="C1758" s="58" t="s">
        <v>2537</v>
      </c>
      <c r="D1758" s="58" t="s">
        <v>882</v>
      </c>
      <c r="E1758" s="58" t="s">
        <v>882</v>
      </c>
      <c r="F1758" s="58" t="s">
        <v>1796</v>
      </c>
      <c r="G1758" s="58" t="s">
        <v>1797</v>
      </c>
      <c r="H1758" s="58" t="s">
        <v>199</v>
      </c>
      <c r="I1758">
        <v>110000</v>
      </c>
      <c r="J1758" s="58" t="s">
        <v>185</v>
      </c>
      <c r="K1758">
        <v>110000</v>
      </c>
      <c r="L1758" s="74">
        <v>6.9660000000000002</v>
      </c>
      <c r="M1758" s="85">
        <v>7</v>
      </c>
      <c r="N1758" s="74">
        <v>0.47199999999999998</v>
      </c>
      <c r="O1758">
        <v>3</v>
      </c>
      <c r="P1758" s="84">
        <v>0.47199999999999998</v>
      </c>
      <c r="Q1758" s="86">
        <v>4.2</v>
      </c>
      <c r="R1758" s="85">
        <v>4.2</v>
      </c>
      <c r="S1758" s="87">
        <v>1785370</v>
      </c>
      <c r="T1758" s="1">
        <v>7</v>
      </c>
      <c r="U1758" s="88">
        <v>425088.09523809521</v>
      </c>
      <c r="V1758" s="59">
        <v>2.3524535530450272</v>
      </c>
    </row>
    <row r="1759" spans="1:22">
      <c r="A1759" s="58">
        <v>1761</v>
      </c>
      <c r="B1759" s="58">
        <v>1761</v>
      </c>
      <c r="C1759" s="58" t="s">
        <v>2538</v>
      </c>
      <c r="D1759" s="58" t="s">
        <v>882</v>
      </c>
      <c r="E1759" s="58" t="s">
        <v>882</v>
      </c>
      <c r="F1759" s="58" t="s">
        <v>1796</v>
      </c>
      <c r="G1759" s="58" t="s">
        <v>1797</v>
      </c>
      <c r="H1759" s="58" t="s">
        <v>199</v>
      </c>
      <c r="I1759">
        <v>110000</v>
      </c>
      <c r="J1759" s="58" t="s">
        <v>185</v>
      </c>
      <c r="K1759">
        <v>110000</v>
      </c>
      <c r="L1759" s="74">
        <v>8.2040000000000006</v>
      </c>
      <c r="M1759" s="85">
        <v>9</v>
      </c>
      <c r="N1759" s="74">
        <v>1.022</v>
      </c>
      <c r="O1759">
        <v>3</v>
      </c>
      <c r="P1759" s="84">
        <v>1.022</v>
      </c>
      <c r="Q1759" s="86">
        <v>4.2</v>
      </c>
      <c r="R1759" s="85">
        <v>4.2</v>
      </c>
      <c r="S1759" s="87">
        <v>1890770</v>
      </c>
      <c r="T1759" s="1">
        <v>7</v>
      </c>
      <c r="U1759" s="88">
        <v>450183.33333333331</v>
      </c>
      <c r="V1759" s="59">
        <v>2.2213172411239865</v>
      </c>
    </row>
    <row r="1760" spans="1:22">
      <c r="A1760" s="58">
        <v>1762</v>
      </c>
      <c r="B1760" s="58">
        <v>1762</v>
      </c>
      <c r="C1760" s="58" t="s">
        <v>2539</v>
      </c>
      <c r="D1760" s="58" t="s">
        <v>536</v>
      </c>
      <c r="E1760" s="58" t="s">
        <v>536</v>
      </c>
      <c r="F1760" s="58" t="s">
        <v>2540</v>
      </c>
      <c r="G1760" s="58" t="s">
        <v>2541</v>
      </c>
      <c r="H1760" s="58" t="s">
        <v>179</v>
      </c>
      <c r="I1760">
        <v>38000</v>
      </c>
      <c r="J1760">
        <v>38000</v>
      </c>
      <c r="K1760" s="58" t="s">
        <v>185</v>
      </c>
      <c r="L1760" s="74">
        <v>6.7880000000000003</v>
      </c>
      <c r="M1760" s="85">
        <v>7</v>
      </c>
      <c r="N1760" s="74">
        <v>1.75</v>
      </c>
      <c r="O1760">
        <v>3</v>
      </c>
      <c r="P1760" s="84">
        <v>1.3125</v>
      </c>
      <c r="Q1760" s="86">
        <v>8.4</v>
      </c>
      <c r="R1760" s="85">
        <v>8.4</v>
      </c>
      <c r="S1760" s="87">
        <v>839680</v>
      </c>
      <c r="T1760" s="1">
        <v>4</v>
      </c>
      <c r="U1760" s="88">
        <v>99961.904761904763</v>
      </c>
      <c r="V1760" s="59">
        <v>10.003810975609756</v>
      </c>
    </row>
    <row r="1761" spans="1:22">
      <c r="A1761" s="58">
        <v>1763</v>
      </c>
      <c r="B1761" s="58">
        <v>1763</v>
      </c>
      <c r="C1761" s="58" t="s">
        <v>2542</v>
      </c>
      <c r="D1761" s="58" t="s">
        <v>882</v>
      </c>
      <c r="E1761" s="58" t="s">
        <v>882</v>
      </c>
      <c r="F1761" s="58" t="s">
        <v>1889</v>
      </c>
      <c r="G1761" s="58" t="s">
        <v>1890</v>
      </c>
      <c r="H1761" s="58" t="s">
        <v>179</v>
      </c>
      <c r="I1761">
        <v>38000</v>
      </c>
      <c r="J1761">
        <v>38000</v>
      </c>
      <c r="K1761" s="58" t="s">
        <v>185</v>
      </c>
      <c r="L1761" s="74">
        <v>6.1349999999999998</v>
      </c>
      <c r="M1761" s="85">
        <v>7</v>
      </c>
      <c r="N1761" s="74">
        <v>1.07</v>
      </c>
      <c r="O1761">
        <v>3</v>
      </c>
      <c r="P1761" s="84">
        <v>1.07</v>
      </c>
      <c r="Q1761" s="86">
        <v>4.2</v>
      </c>
      <c r="R1761" s="85">
        <v>4.2</v>
      </c>
      <c r="S1761" s="87">
        <v>839680</v>
      </c>
      <c r="T1761" s="1">
        <v>4</v>
      </c>
      <c r="U1761" s="88">
        <v>199923.80952380953</v>
      </c>
      <c r="V1761" s="59">
        <v>5.0019054878048781</v>
      </c>
    </row>
    <row r="1762" spans="1:22">
      <c r="A1762" s="89">
        <v>1764</v>
      </c>
      <c r="B1762" s="89">
        <v>1764</v>
      </c>
      <c r="C1762" s="89" t="s">
        <v>2543</v>
      </c>
      <c r="D1762" s="58" t="s">
        <v>882</v>
      </c>
      <c r="E1762" s="58" t="s">
        <v>882</v>
      </c>
      <c r="F1762" s="89" t="s">
        <v>1889</v>
      </c>
      <c r="G1762" s="89" t="s">
        <v>1890</v>
      </c>
      <c r="H1762" s="89" t="s">
        <v>179</v>
      </c>
      <c r="I1762" s="90">
        <v>38000</v>
      </c>
      <c r="J1762" s="90">
        <v>38000</v>
      </c>
      <c r="K1762" s="89" t="s">
        <v>185</v>
      </c>
      <c r="L1762" s="91">
        <v>7.1909999999999998</v>
      </c>
      <c r="M1762" s="92">
        <v>8</v>
      </c>
      <c r="N1762" s="91">
        <v>10.428000000000001</v>
      </c>
      <c r="O1762" s="90">
        <v>3</v>
      </c>
      <c r="P1762" s="92">
        <v>7.8210000000000006</v>
      </c>
      <c r="Q1762" s="93">
        <v>54.6</v>
      </c>
      <c r="R1762" s="92">
        <v>54.6</v>
      </c>
      <c r="S1762" s="87">
        <v>2604940</v>
      </c>
      <c r="T1762" s="94">
        <v>11</v>
      </c>
      <c r="U1762" s="95">
        <v>47709.523809523809</v>
      </c>
      <c r="V1762" s="96">
        <v>20.960175666234154</v>
      </c>
    </row>
    <row r="1763" spans="1:22">
      <c r="A1763" s="58">
        <v>1765</v>
      </c>
      <c r="B1763" s="58">
        <v>1765</v>
      </c>
      <c r="C1763" s="58" t="s">
        <v>2544</v>
      </c>
      <c r="D1763" s="58" t="s">
        <v>882</v>
      </c>
      <c r="E1763" s="58" t="s">
        <v>882</v>
      </c>
      <c r="F1763" s="58" t="s">
        <v>1889</v>
      </c>
      <c r="G1763" s="58" t="s">
        <v>1890</v>
      </c>
      <c r="H1763" s="58" t="s">
        <v>179</v>
      </c>
      <c r="I1763">
        <v>38000</v>
      </c>
      <c r="J1763">
        <v>38000</v>
      </c>
      <c r="K1763" s="58" t="s">
        <v>185</v>
      </c>
      <c r="L1763" s="74">
        <v>5.87</v>
      </c>
      <c r="M1763" s="85">
        <v>6</v>
      </c>
      <c r="N1763" s="74">
        <v>0.85799999999999998</v>
      </c>
      <c r="O1763">
        <v>3</v>
      </c>
      <c r="P1763" s="84">
        <v>0.85799999999999998</v>
      </c>
      <c r="Q1763" s="86">
        <v>4.2</v>
      </c>
      <c r="R1763" s="85">
        <v>4.2</v>
      </c>
      <c r="S1763" s="87">
        <v>769410</v>
      </c>
      <c r="T1763" s="1">
        <v>4</v>
      </c>
      <c r="U1763" s="88">
        <v>183192.85714285713</v>
      </c>
      <c r="V1763" s="59">
        <v>5.4587281163488903</v>
      </c>
    </row>
    <row r="1764" spans="1:22">
      <c r="A1764" s="58">
        <v>1766</v>
      </c>
      <c r="B1764" s="58">
        <v>1766</v>
      </c>
      <c r="C1764" s="58" t="s">
        <v>2545</v>
      </c>
      <c r="D1764" s="58" t="s">
        <v>882</v>
      </c>
      <c r="E1764" s="58" t="s">
        <v>1190</v>
      </c>
      <c r="F1764" s="58" t="s">
        <v>1822</v>
      </c>
      <c r="G1764" s="58" t="s">
        <v>1823</v>
      </c>
      <c r="H1764" s="58" t="s">
        <v>199</v>
      </c>
      <c r="I1764">
        <v>110000</v>
      </c>
      <c r="L1764" s="74">
        <v>4.91</v>
      </c>
      <c r="M1764" s="85">
        <v>5</v>
      </c>
      <c r="N1764" s="74">
        <v>0.77500000000000002</v>
      </c>
      <c r="O1764">
        <v>3</v>
      </c>
      <c r="P1764" s="84">
        <v>0.77500000000000002</v>
      </c>
      <c r="Q1764" s="86">
        <v>4.2</v>
      </c>
      <c r="R1764" s="85">
        <v>4.2</v>
      </c>
      <c r="S1764" s="87">
        <v>1679970</v>
      </c>
      <c r="T1764" s="1">
        <v>7</v>
      </c>
      <c r="U1764" s="88">
        <v>399992.8571428571</v>
      </c>
      <c r="V1764" s="59">
        <v>2.5000446436543511</v>
      </c>
    </row>
    <row r="1765" spans="1:22">
      <c r="A1765" s="58">
        <v>1767</v>
      </c>
      <c r="B1765" s="58">
        <v>1767</v>
      </c>
      <c r="C1765" s="58" t="s">
        <v>2546</v>
      </c>
      <c r="D1765" s="58" t="s">
        <v>882</v>
      </c>
      <c r="E1765" s="58" t="s">
        <v>1190</v>
      </c>
      <c r="F1765" s="58" t="s">
        <v>1822</v>
      </c>
      <c r="G1765" s="58" t="s">
        <v>1823</v>
      </c>
      <c r="H1765" s="58" t="s">
        <v>199</v>
      </c>
      <c r="I1765">
        <v>110000</v>
      </c>
      <c r="L1765" s="74">
        <v>6.5220000000000002</v>
      </c>
      <c r="M1765" s="85">
        <v>7</v>
      </c>
      <c r="N1765" s="74">
        <v>1.577</v>
      </c>
      <c r="O1765">
        <v>3</v>
      </c>
      <c r="P1765" s="84">
        <v>1.18275</v>
      </c>
      <c r="Q1765" s="86">
        <v>4.2</v>
      </c>
      <c r="R1765" s="85">
        <v>4.2</v>
      </c>
      <c r="S1765" s="87">
        <v>1785370</v>
      </c>
      <c r="T1765" s="1">
        <v>7</v>
      </c>
      <c r="U1765" s="88">
        <v>425088.09523809521</v>
      </c>
      <c r="V1765" s="59">
        <v>2.3524535530450272</v>
      </c>
    </row>
    <row r="1766" spans="1:22">
      <c r="A1766" s="58">
        <v>1768</v>
      </c>
      <c r="B1766" s="58">
        <v>1768</v>
      </c>
      <c r="C1766" s="58" t="s">
        <v>2547</v>
      </c>
      <c r="D1766" s="58" t="s">
        <v>882</v>
      </c>
      <c r="E1766" s="58" t="s">
        <v>1190</v>
      </c>
      <c r="F1766" s="58" t="s">
        <v>2332</v>
      </c>
      <c r="G1766" s="58" t="s">
        <v>2333</v>
      </c>
      <c r="H1766" s="58" t="s">
        <v>199</v>
      </c>
      <c r="I1766">
        <v>110000</v>
      </c>
      <c r="L1766" s="74">
        <v>4.5469999999999997</v>
      </c>
      <c r="M1766" s="85">
        <v>5</v>
      </c>
      <c r="N1766" s="74">
        <v>1.792</v>
      </c>
      <c r="O1766">
        <v>3</v>
      </c>
      <c r="P1766" s="84">
        <v>1.3440000000000001</v>
      </c>
      <c r="Q1766" s="86">
        <v>8.4</v>
      </c>
      <c r="R1766" s="85">
        <v>8.4</v>
      </c>
      <c r="S1766" s="87">
        <v>1679970</v>
      </c>
      <c r="T1766" s="1">
        <v>7</v>
      </c>
      <c r="U1766" s="88">
        <v>199996.42857142855</v>
      </c>
      <c r="V1766" s="59">
        <v>5.0000892873087022</v>
      </c>
    </row>
    <row r="1767" spans="1:22">
      <c r="A1767" s="58">
        <v>1769</v>
      </c>
      <c r="B1767" s="58">
        <v>1769</v>
      </c>
      <c r="C1767" s="58" t="s">
        <v>2548</v>
      </c>
      <c r="D1767" s="58" t="s">
        <v>1811</v>
      </c>
      <c r="E1767" s="58" t="s">
        <v>1169</v>
      </c>
      <c r="F1767" s="58" t="s">
        <v>1698</v>
      </c>
      <c r="G1767" s="58" t="s">
        <v>1699</v>
      </c>
      <c r="H1767" s="58" t="s">
        <v>199</v>
      </c>
      <c r="I1767">
        <v>110000</v>
      </c>
      <c r="J1767">
        <v>110000</v>
      </c>
      <c r="K1767">
        <v>38000</v>
      </c>
      <c r="L1767" s="74">
        <v>9.6669999999999998</v>
      </c>
      <c r="M1767" s="85">
        <v>10</v>
      </c>
      <c r="N1767" s="74">
        <v>0.66200000000000003</v>
      </c>
      <c r="O1767">
        <v>3</v>
      </c>
      <c r="P1767" s="84">
        <v>0.66200000000000003</v>
      </c>
      <c r="Q1767" s="86">
        <v>4.2</v>
      </c>
      <c r="R1767" s="85">
        <v>4.2</v>
      </c>
      <c r="S1767" s="87">
        <v>1943470</v>
      </c>
      <c r="T1767" s="1">
        <v>7</v>
      </c>
      <c r="U1767" s="88">
        <v>462730.95238095237</v>
      </c>
      <c r="V1767" s="59">
        <v>2.1610830113148132</v>
      </c>
    </row>
    <row r="1768" spans="1:22">
      <c r="A1768" s="58">
        <v>1770</v>
      </c>
      <c r="B1768" s="58">
        <v>1770</v>
      </c>
      <c r="C1768" s="58" t="s">
        <v>2549</v>
      </c>
      <c r="D1768" s="58" t="s">
        <v>1811</v>
      </c>
      <c r="E1768" s="58" t="s">
        <v>882</v>
      </c>
      <c r="F1768" s="58" t="s">
        <v>2550</v>
      </c>
      <c r="G1768" s="58" t="s">
        <v>2551</v>
      </c>
      <c r="H1768" s="58" t="s">
        <v>199</v>
      </c>
      <c r="I1768">
        <v>110000</v>
      </c>
      <c r="J1768" s="58" t="s">
        <v>185</v>
      </c>
      <c r="K1768">
        <v>110000</v>
      </c>
      <c r="L1768" s="74">
        <v>4.1520000000000001</v>
      </c>
      <c r="M1768" s="85">
        <v>5</v>
      </c>
      <c r="N1768" s="74">
        <v>3.41</v>
      </c>
      <c r="O1768">
        <v>3</v>
      </c>
      <c r="P1768" s="84">
        <v>2.5575000000000001</v>
      </c>
      <c r="Q1768" s="86">
        <v>16.8</v>
      </c>
      <c r="R1768" s="85">
        <v>16.8</v>
      </c>
      <c r="S1768" s="87">
        <v>1946060</v>
      </c>
      <c r="T1768" s="1">
        <v>8</v>
      </c>
      <c r="U1768" s="88">
        <v>115836.90476190476</v>
      </c>
      <c r="V1768" s="59">
        <v>8.6328273537301001</v>
      </c>
    </row>
    <row r="1769" spans="1:22">
      <c r="A1769" s="58">
        <v>1771</v>
      </c>
      <c r="B1769" s="58">
        <v>1771</v>
      </c>
      <c r="C1769" s="58" t="s">
        <v>2552</v>
      </c>
      <c r="D1769" s="58" t="s">
        <v>1811</v>
      </c>
      <c r="E1769" s="58" t="s">
        <v>1811</v>
      </c>
      <c r="F1769" s="58" t="s">
        <v>1815</v>
      </c>
      <c r="G1769" s="58" t="s">
        <v>1816</v>
      </c>
      <c r="H1769" s="58" t="s">
        <v>199</v>
      </c>
      <c r="I1769">
        <v>110000</v>
      </c>
      <c r="J1769">
        <v>110000</v>
      </c>
      <c r="K1769">
        <v>38000</v>
      </c>
      <c r="L1769" s="74">
        <v>5.4420000000000002</v>
      </c>
      <c r="M1769" s="85">
        <v>6</v>
      </c>
      <c r="N1769" s="74">
        <v>2.0459999999999998</v>
      </c>
      <c r="O1769">
        <v>3</v>
      </c>
      <c r="P1769" s="84">
        <v>1.5345</v>
      </c>
      <c r="Q1769" s="86">
        <v>8.4</v>
      </c>
      <c r="R1769" s="85">
        <v>8.4</v>
      </c>
      <c r="S1769" s="87">
        <v>1732670</v>
      </c>
      <c r="T1769" s="1">
        <v>7</v>
      </c>
      <c r="U1769" s="88">
        <v>206270.23809523808</v>
      </c>
      <c r="V1769" s="59">
        <v>4.8480091419600964</v>
      </c>
    </row>
    <row r="1770" spans="1:22">
      <c r="A1770" s="58">
        <v>1772</v>
      </c>
      <c r="B1770" s="58">
        <v>1772</v>
      </c>
      <c r="C1770" s="58" t="s">
        <v>2553</v>
      </c>
      <c r="D1770" s="58" t="s">
        <v>882</v>
      </c>
      <c r="E1770" s="58" t="s">
        <v>882</v>
      </c>
      <c r="F1770" s="58" t="s">
        <v>2550</v>
      </c>
      <c r="G1770" s="58" t="s">
        <v>2551</v>
      </c>
      <c r="H1770" s="58" t="s">
        <v>199</v>
      </c>
      <c r="I1770">
        <v>110000</v>
      </c>
      <c r="J1770" s="58" t="s">
        <v>185</v>
      </c>
      <c r="K1770">
        <v>110000</v>
      </c>
      <c r="L1770" s="74">
        <v>5.7080000000000002</v>
      </c>
      <c r="M1770" s="85">
        <v>6</v>
      </c>
      <c r="N1770" s="74">
        <v>3.3929999999999998</v>
      </c>
      <c r="O1770">
        <v>3</v>
      </c>
      <c r="P1770" s="84">
        <v>2.5447499999999996</v>
      </c>
      <c r="Q1770" s="86">
        <v>16.8</v>
      </c>
      <c r="R1770" s="85">
        <v>16.8</v>
      </c>
      <c r="S1770" s="87">
        <v>2016330</v>
      </c>
      <c r="T1770" s="1">
        <v>8</v>
      </c>
      <c r="U1770" s="88">
        <v>120019.64285714286</v>
      </c>
      <c r="V1770" s="59">
        <v>8.3319694692833011</v>
      </c>
    </row>
    <row r="1771" spans="1:22">
      <c r="A1771" s="58">
        <v>1773</v>
      </c>
      <c r="B1771" s="58">
        <v>1773</v>
      </c>
      <c r="C1771" s="58" t="s">
        <v>2554</v>
      </c>
      <c r="D1771" s="58" t="s">
        <v>882</v>
      </c>
      <c r="E1771" s="58" t="s">
        <v>882</v>
      </c>
      <c r="F1771" s="58" t="s">
        <v>2550</v>
      </c>
      <c r="G1771" s="58" t="s">
        <v>2551</v>
      </c>
      <c r="H1771" s="58" t="s">
        <v>199</v>
      </c>
      <c r="I1771">
        <v>110000</v>
      </c>
      <c r="J1771" s="58" t="s">
        <v>185</v>
      </c>
      <c r="K1771">
        <v>110000</v>
      </c>
      <c r="L1771" s="74">
        <v>7.3570000000000002</v>
      </c>
      <c r="M1771" s="85">
        <v>8</v>
      </c>
      <c r="N1771" s="74">
        <v>0.372</v>
      </c>
      <c r="O1771">
        <v>3</v>
      </c>
      <c r="P1771" s="84">
        <v>0.372</v>
      </c>
      <c r="Q1771" s="86">
        <v>4.2</v>
      </c>
      <c r="R1771" s="85">
        <v>4.2</v>
      </c>
      <c r="S1771" s="87">
        <v>1838070</v>
      </c>
      <c r="T1771" s="1">
        <v>7</v>
      </c>
      <c r="U1771" s="88">
        <v>437635.71428571426</v>
      </c>
      <c r="V1771" s="59">
        <v>2.2850054676916547</v>
      </c>
    </row>
    <row r="1772" spans="1:22">
      <c r="A1772" s="58">
        <v>1774</v>
      </c>
      <c r="B1772" s="58">
        <v>1774</v>
      </c>
      <c r="C1772" s="58" t="s">
        <v>2555</v>
      </c>
      <c r="D1772" s="58" t="s">
        <v>882</v>
      </c>
      <c r="E1772" s="58" t="s">
        <v>882</v>
      </c>
      <c r="F1772" s="58" t="s">
        <v>1935</v>
      </c>
      <c r="G1772" s="58" t="s">
        <v>1936</v>
      </c>
      <c r="H1772" s="58" t="s">
        <v>179</v>
      </c>
      <c r="I1772">
        <v>38000</v>
      </c>
      <c r="J1772">
        <v>38000</v>
      </c>
      <c r="K1772" s="58" t="s">
        <v>185</v>
      </c>
      <c r="L1772" s="74">
        <v>6.1</v>
      </c>
      <c r="M1772" s="85">
        <v>7</v>
      </c>
      <c r="N1772" s="74">
        <v>4.0259999999999998</v>
      </c>
      <c r="O1772">
        <v>3</v>
      </c>
      <c r="P1772" s="84">
        <v>3.0194999999999999</v>
      </c>
      <c r="Q1772" s="86">
        <v>21</v>
      </c>
      <c r="R1772" s="85">
        <v>21</v>
      </c>
      <c r="S1772" s="87">
        <v>839680</v>
      </c>
      <c r="T1772" s="1">
        <v>4</v>
      </c>
      <c r="U1772" s="88">
        <v>39984.761904761908</v>
      </c>
      <c r="V1772" s="59">
        <v>25.009527439024389</v>
      </c>
    </row>
    <row r="1773" spans="1:22">
      <c r="A1773" s="58">
        <v>1775</v>
      </c>
      <c r="B1773" s="58">
        <v>1775</v>
      </c>
      <c r="C1773" s="58" t="s">
        <v>2556</v>
      </c>
      <c r="D1773" s="58" t="s">
        <v>187</v>
      </c>
      <c r="E1773" s="58" t="s">
        <v>187</v>
      </c>
      <c r="F1773" s="58" t="s">
        <v>368</v>
      </c>
      <c r="G1773" s="58" t="s">
        <v>369</v>
      </c>
      <c r="H1773" s="58" t="s">
        <v>199</v>
      </c>
      <c r="I1773">
        <v>110000</v>
      </c>
      <c r="J1773">
        <v>110000</v>
      </c>
      <c r="K1773">
        <v>38000</v>
      </c>
      <c r="L1773" s="74">
        <v>7.9909999999999997</v>
      </c>
      <c r="M1773" s="85">
        <v>8</v>
      </c>
      <c r="N1773" s="74">
        <v>1.071</v>
      </c>
      <c r="O1773">
        <v>3</v>
      </c>
      <c r="P1773" s="84">
        <v>1.071</v>
      </c>
      <c r="Q1773" s="86">
        <v>4.2</v>
      </c>
      <c r="R1773" s="85">
        <v>4.2</v>
      </c>
      <c r="S1773" s="87">
        <v>1838070</v>
      </c>
      <c r="T1773" s="1">
        <v>7</v>
      </c>
      <c r="U1773" s="88">
        <v>437635.71428571426</v>
      </c>
      <c r="V1773" s="59">
        <v>2.2850054676916547</v>
      </c>
    </row>
    <row r="1774" spans="1:22">
      <c r="A1774" s="58">
        <v>1776</v>
      </c>
      <c r="B1774" s="58">
        <v>1776</v>
      </c>
      <c r="C1774" s="58" t="s">
        <v>2557</v>
      </c>
      <c r="D1774" s="58" t="s">
        <v>852</v>
      </c>
      <c r="E1774" s="58" t="s">
        <v>852</v>
      </c>
      <c r="F1774" s="58" t="s">
        <v>2044</v>
      </c>
      <c r="G1774" s="58" t="s">
        <v>2045</v>
      </c>
      <c r="H1774" s="58" t="s">
        <v>179</v>
      </c>
      <c r="I1774">
        <v>38000</v>
      </c>
      <c r="J1774">
        <v>38000</v>
      </c>
      <c r="K1774" s="58" t="s">
        <v>185</v>
      </c>
      <c r="L1774" s="74">
        <v>6.1790000000000003</v>
      </c>
      <c r="M1774" s="85">
        <v>7</v>
      </c>
      <c r="N1774" s="74">
        <v>0.44800000000000001</v>
      </c>
      <c r="O1774">
        <v>3</v>
      </c>
      <c r="P1774" s="84">
        <v>0.44800000000000001</v>
      </c>
      <c r="Q1774" s="86">
        <v>4.2</v>
      </c>
      <c r="R1774" s="85">
        <v>4.2</v>
      </c>
      <c r="S1774" s="87">
        <v>839680</v>
      </c>
      <c r="T1774" s="1">
        <v>4</v>
      </c>
      <c r="U1774" s="88">
        <v>199923.80952380953</v>
      </c>
      <c r="V1774" s="59">
        <v>5.0019054878048781</v>
      </c>
    </row>
    <row r="1775" spans="1:22">
      <c r="A1775" s="58">
        <v>1777</v>
      </c>
      <c r="B1775" s="58">
        <v>1777</v>
      </c>
      <c r="C1775" s="58" t="s">
        <v>2558</v>
      </c>
      <c r="D1775" s="58" t="s">
        <v>1806</v>
      </c>
      <c r="E1775" s="58" t="s">
        <v>1806</v>
      </c>
      <c r="F1775" s="58" t="s">
        <v>2037</v>
      </c>
      <c r="G1775" s="58" t="s">
        <v>2038</v>
      </c>
      <c r="H1775" s="58" t="s">
        <v>179</v>
      </c>
      <c r="I1775">
        <v>38000</v>
      </c>
      <c r="J1775">
        <v>38000</v>
      </c>
      <c r="K1775" s="58" t="s">
        <v>185</v>
      </c>
      <c r="L1775" s="74">
        <v>4.7569999999999997</v>
      </c>
      <c r="M1775" s="85">
        <v>5</v>
      </c>
      <c r="N1775" s="74">
        <v>0.52900000000000003</v>
      </c>
      <c r="O1775">
        <v>3</v>
      </c>
      <c r="P1775" s="84">
        <v>0.52900000000000003</v>
      </c>
      <c r="Q1775" s="86">
        <v>4.2</v>
      </c>
      <c r="R1775" s="85">
        <v>4.2</v>
      </c>
      <c r="S1775" s="87">
        <v>699140</v>
      </c>
      <c r="T1775" s="1">
        <v>4</v>
      </c>
      <c r="U1775" s="88">
        <v>166461.90476190476</v>
      </c>
      <c r="V1775" s="59">
        <v>6.0073804960379897</v>
      </c>
    </row>
    <row r="1776" spans="1:22">
      <c r="A1776" s="58">
        <v>1778</v>
      </c>
      <c r="B1776" s="58">
        <v>1778</v>
      </c>
      <c r="C1776" s="58" t="s">
        <v>2559</v>
      </c>
      <c r="D1776" s="58" t="s">
        <v>351</v>
      </c>
      <c r="E1776" s="58" t="s">
        <v>351</v>
      </c>
      <c r="F1776" s="58" t="s">
        <v>514</v>
      </c>
      <c r="G1776" s="58" t="s">
        <v>515</v>
      </c>
      <c r="H1776" s="58" t="s">
        <v>179</v>
      </c>
      <c r="I1776">
        <v>38000</v>
      </c>
      <c r="J1776">
        <v>38000</v>
      </c>
      <c r="K1776">
        <v>20000</v>
      </c>
      <c r="L1776" s="74">
        <v>7.1040000000000001</v>
      </c>
      <c r="M1776" s="85">
        <v>8</v>
      </c>
      <c r="N1776" s="74">
        <v>0.43099999999999999</v>
      </c>
      <c r="O1776">
        <v>3</v>
      </c>
      <c r="P1776" s="84">
        <v>0.43099999999999999</v>
      </c>
      <c r="Q1776" s="86">
        <v>4.2</v>
      </c>
      <c r="R1776" s="85">
        <v>4.2</v>
      </c>
      <c r="S1776" s="87">
        <v>909950</v>
      </c>
      <c r="T1776" s="1">
        <v>4</v>
      </c>
      <c r="U1776" s="88">
        <v>216654.76190476189</v>
      </c>
      <c r="V1776" s="59">
        <v>4.6156382218803227</v>
      </c>
    </row>
    <row r="1777" spans="1:22">
      <c r="A1777" s="58">
        <v>1779</v>
      </c>
      <c r="B1777" s="58">
        <v>1779</v>
      </c>
      <c r="C1777" s="58" t="s">
        <v>2560</v>
      </c>
      <c r="D1777" s="58" t="s">
        <v>249</v>
      </c>
      <c r="E1777" s="58" t="s">
        <v>351</v>
      </c>
      <c r="F1777" s="58" t="s">
        <v>514</v>
      </c>
      <c r="G1777" s="58" t="s">
        <v>515</v>
      </c>
      <c r="H1777" s="58" t="s">
        <v>179</v>
      </c>
      <c r="I1777">
        <v>38000</v>
      </c>
      <c r="J1777">
        <v>38000</v>
      </c>
      <c r="K1777">
        <v>20000</v>
      </c>
      <c r="L1777" s="74">
        <v>9.1609999999999996</v>
      </c>
      <c r="M1777" s="85">
        <v>10</v>
      </c>
      <c r="N1777" s="74">
        <v>6.3109999999999999</v>
      </c>
      <c r="O1777">
        <v>3</v>
      </c>
      <c r="P1777" s="84">
        <v>4.73325</v>
      </c>
      <c r="Q1777" s="86">
        <v>33.6</v>
      </c>
      <c r="R1777" s="85">
        <v>33.6</v>
      </c>
      <c r="S1777" s="87">
        <v>1460390</v>
      </c>
      <c r="T1777" s="1">
        <v>6</v>
      </c>
      <c r="U1777" s="88">
        <v>43463.988095238092</v>
      </c>
      <c r="V1777" s="59">
        <v>23.007552776997926</v>
      </c>
    </row>
    <row r="1778" spans="1:22">
      <c r="A1778" s="58">
        <v>1780</v>
      </c>
      <c r="B1778" s="58">
        <v>1780</v>
      </c>
      <c r="C1778" s="58" t="s">
        <v>2561</v>
      </c>
      <c r="D1778" s="58" t="s">
        <v>351</v>
      </c>
      <c r="E1778" s="58" t="s">
        <v>351</v>
      </c>
      <c r="F1778" s="58" t="s">
        <v>1119</v>
      </c>
      <c r="G1778" s="58" t="s">
        <v>1120</v>
      </c>
      <c r="H1778" s="58" t="s">
        <v>199</v>
      </c>
      <c r="I1778">
        <v>110000</v>
      </c>
      <c r="L1778" s="74">
        <v>5.7240000000000002</v>
      </c>
      <c r="M1778" s="85">
        <v>6</v>
      </c>
      <c r="N1778" s="74">
        <v>0.58299999999999996</v>
      </c>
      <c r="O1778">
        <v>3</v>
      </c>
      <c r="P1778" s="84">
        <v>0.58299999999999996</v>
      </c>
      <c r="Q1778" s="86">
        <v>4.2</v>
      </c>
      <c r="R1778" s="85">
        <v>4.2</v>
      </c>
      <c r="S1778" s="87">
        <v>1732670</v>
      </c>
      <c r="T1778" s="1">
        <v>7</v>
      </c>
      <c r="U1778" s="88">
        <v>412540.47619047615</v>
      </c>
      <c r="V1778" s="59">
        <v>2.4240045709800482</v>
      </c>
    </row>
    <row r="1779" spans="1:22">
      <c r="A1779" s="58">
        <v>1781</v>
      </c>
      <c r="B1779" s="58">
        <v>1781</v>
      </c>
      <c r="C1779" s="58" t="s">
        <v>2562</v>
      </c>
      <c r="D1779" s="58" t="s">
        <v>351</v>
      </c>
      <c r="E1779" s="58" t="s">
        <v>351</v>
      </c>
      <c r="F1779" s="58" t="s">
        <v>1119</v>
      </c>
      <c r="G1779" s="58" t="s">
        <v>1120</v>
      </c>
      <c r="H1779" s="58" t="s">
        <v>199</v>
      </c>
      <c r="I1779">
        <v>110000</v>
      </c>
      <c r="L1779" s="74">
        <v>4.5389999999999997</v>
      </c>
      <c r="M1779" s="85">
        <v>5</v>
      </c>
      <c r="N1779" s="74">
        <v>0.30399999999999999</v>
      </c>
      <c r="O1779">
        <v>3</v>
      </c>
      <c r="P1779" s="84">
        <v>0.30399999999999999</v>
      </c>
      <c r="Q1779" s="86">
        <v>4.2</v>
      </c>
      <c r="R1779" s="85">
        <v>4.2</v>
      </c>
      <c r="S1779" s="87">
        <v>1679970</v>
      </c>
      <c r="T1779" s="1">
        <v>7</v>
      </c>
      <c r="U1779" s="88">
        <v>399992.8571428571</v>
      </c>
      <c r="V1779" s="59">
        <v>2.5000446436543511</v>
      </c>
    </row>
    <row r="1780" spans="1:22">
      <c r="A1780" s="58">
        <v>1782</v>
      </c>
      <c r="B1780" s="58">
        <v>1782</v>
      </c>
      <c r="C1780" s="58" t="s">
        <v>2563</v>
      </c>
      <c r="D1780" s="58" t="s">
        <v>351</v>
      </c>
      <c r="E1780" s="58" t="s">
        <v>351</v>
      </c>
      <c r="F1780" s="58" t="s">
        <v>514</v>
      </c>
      <c r="G1780" s="58" t="s">
        <v>515</v>
      </c>
      <c r="H1780" s="58" t="s">
        <v>179</v>
      </c>
      <c r="I1780">
        <v>38000</v>
      </c>
      <c r="J1780">
        <v>38000</v>
      </c>
      <c r="K1780">
        <v>20000</v>
      </c>
      <c r="L1780" s="74">
        <v>4.6870000000000003</v>
      </c>
      <c r="M1780" s="85">
        <v>5</v>
      </c>
      <c r="N1780" s="74">
        <v>1.2230000000000001</v>
      </c>
      <c r="O1780">
        <v>3</v>
      </c>
      <c r="P1780" s="84">
        <v>0.91725000000000012</v>
      </c>
      <c r="Q1780" s="86">
        <v>4.2</v>
      </c>
      <c r="R1780" s="85">
        <v>4.2</v>
      </c>
      <c r="S1780" s="87">
        <v>699140</v>
      </c>
      <c r="T1780" s="1">
        <v>4</v>
      </c>
      <c r="U1780" s="88">
        <v>166461.90476190476</v>
      </c>
      <c r="V1780" s="59">
        <v>6.0073804960379897</v>
      </c>
    </row>
    <row r="1781" spans="1:22">
      <c r="A1781" s="58">
        <v>1783</v>
      </c>
      <c r="B1781" s="58">
        <v>1783</v>
      </c>
      <c r="C1781" s="58" t="s">
        <v>2564</v>
      </c>
      <c r="D1781" s="58" t="s">
        <v>351</v>
      </c>
      <c r="E1781" s="58" t="s">
        <v>351</v>
      </c>
      <c r="F1781" s="58" t="s">
        <v>514</v>
      </c>
      <c r="G1781" s="58" t="s">
        <v>515</v>
      </c>
      <c r="H1781" s="58" t="s">
        <v>179</v>
      </c>
      <c r="I1781">
        <v>38000</v>
      </c>
      <c r="J1781">
        <v>38000</v>
      </c>
      <c r="K1781">
        <v>20000</v>
      </c>
      <c r="L1781" s="74">
        <v>7.4260000000000002</v>
      </c>
      <c r="M1781" s="85">
        <v>8</v>
      </c>
      <c r="N1781" s="74">
        <v>0.33600000000000002</v>
      </c>
      <c r="O1781">
        <v>3</v>
      </c>
      <c r="P1781" s="84">
        <v>0.33600000000000002</v>
      </c>
      <c r="Q1781" s="86">
        <v>4.2</v>
      </c>
      <c r="R1781" s="85">
        <v>4.2</v>
      </c>
      <c r="S1781" s="87">
        <v>909950</v>
      </c>
      <c r="T1781" s="1">
        <v>4</v>
      </c>
      <c r="U1781" s="88">
        <v>216654.76190476189</v>
      </c>
      <c r="V1781" s="59">
        <v>4.6156382218803227</v>
      </c>
    </row>
    <row r="1782" spans="1:22">
      <c r="A1782" s="58">
        <v>1784</v>
      </c>
      <c r="B1782" s="58">
        <v>1784</v>
      </c>
      <c r="C1782" s="58" t="s">
        <v>2565</v>
      </c>
      <c r="D1782" s="58" t="s">
        <v>351</v>
      </c>
      <c r="E1782" s="58" t="s">
        <v>351</v>
      </c>
      <c r="F1782" s="58" t="s">
        <v>514</v>
      </c>
      <c r="G1782" s="58" t="s">
        <v>515</v>
      </c>
      <c r="H1782" s="58" t="s">
        <v>179</v>
      </c>
      <c r="I1782">
        <v>38000</v>
      </c>
      <c r="J1782">
        <v>38000</v>
      </c>
      <c r="K1782">
        <v>20000</v>
      </c>
      <c r="L1782" s="74">
        <v>9.3109999999999999</v>
      </c>
      <c r="M1782" s="85">
        <v>10</v>
      </c>
      <c r="N1782" s="74">
        <v>0.316</v>
      </c>
      <c r="O1782">
        <v>3</v>
      </c>
      <c r="P1782" s="84">
        <v>0.316</v>
      </c>
      <c r="Q1782" s="86">
        <v>4.2</v>
      </c>
      <c r="R1782" s="85">
        <v>4.2</v>
      </c>
      <c r="S1782" s="87">
        <v>1387140</v>
      </c>
      <c r="T1782" s="1">
        <v>1</v>
      </c>
      <c r="U1782" s="88">
        <v>330271.42857142858</v>
      </c>
      <c r="V1782" s="59">
        <v>3.0278126216531858</v>
      </c>
    </row>
    <row r="1783" spans="1:22">
      <c r="A1783" s="58">
        <v>1785</v>
      </c>
      <c r="B1783" s="58">
        <v>1785</v>
      </c>
      <c r="C1783" s="58" t="s">
        <v>2566</v>
      </c>
      <c r="D1783" s="58" t="s">
        <v>351</v>
      </c>
      <c r="E1783" s="58" t="s">
        <v>351</v>
      </c>
      <c r="F1783" s="58" t="s">
        <v>514</v>
      </c>
      <c r="G1783" s="58" t="s">
        <v>515</v>
      </c>
      <c r="H1783" s="58" t="s">
        <v>179</v>
      </c>
      <c r="I1783">
        <v>38000</v>
      </c>
      <c r="J1783">
        <v>38000</v>
      </c>
      <c r="K1783">
        <v>20000</v>
      </c>
      <c r="L1783" s="74">
        <v>11.148</v>
      </c>
      <c r="M1783" s="85">
        <v>12</v>
      </c>
      <c r="N1783" s="74">
        <v>0.17799999999999999</v>
      </c>
      <c r="O1783">
        <v>3</v>
      </c>
      <c r="P1783" s="84">
        <v>0.17799999999999999</v>
      </c>
      <c r="Q1783" s="86">
        <v>4.2</v>
      </c>
      <c r="R1783" s="85">
        <v>4.2</v>
      </c>
      <c r="S1783" s="87">
        <v>1492540</v>
      </c>
      <c r="T1783" s="1">
        <v>1</v>
      </c>
      <c r="U1783" s="88">
        <v>355366.66666666663</v>
      </c>
      <c r="V1783" s="59">
        <v>2.8139949348091173</v>
      </c>
    </row>
    <row r="1784" spans="1:22">
      <c r="A1784" s="58">
        <v>1786</v>
      </c>
      <c r="B1784" s="58">
        <v>1786</v>
      </c>
      <c r="C1784" s="58" t="s">
        <v>2567</v>
      </c>
      <c r="D1784" s="58" t="s">
        <v>249</v>
      </c>
      <c r="E1784" s="58" t="s">
        <v>249</v>
      </c>
      <c r="F1784" s="58" t="s">
        <v>514</v>
      </c>
      <c r="G1784" s="58" t="s">
        <v>515</v>
      </c>
      <c r="H1784" s="58" t="s">
        <v>179</v>
      </c>
      <c r="I1784">
        <v>38000</v>
      </c>
      <c r="J1784">
        <v>38000</v>
      </c>
      <c r="K1784">
        <v>20000</v>
      </c>
      <c r="L1784" s="74">
        <v>13.253</v>
      </c>
      <c r="M1784" s="85">
        <v>14</v>
      </c>
      <c r="N1784" s="74">
        <v>0.624</v>
      </c>
      <c r="O1784">
        <v>3</v>
      </c>
      <c r="P1784" s="84">
        <v>0.624</v>
      </c>
      <c r="Q1784" s="86">
        <v>4.2</v>
      </c>
      <c r="R1784" s="85">
        <v>4.2</v>
      </c>
      <c r="S1784" s="87">
        <v>1597940</v>
      </c>
      <c r="T1784" s="1">
        <v>1</v>
      </c>
      <c r="U1784" s="88">
        <v>380461.90476190473</v>
      </c>
      <c r="V1784" s="59">
        <v>2.6283840444572388</v>
      </c>
    </row>
    <row r="1785" spans="1:22">
      <c r="A1785" s="58">
        <v>1787</v>
      </c>
      <c r="B1785" s="58">
        <v>1787</v>
      </c>
      <c r="C1785" s="58" t="s">
        <v>2568</v>
      </c>
      <c r="D1785" s="58" t="s">
        <v>249</v>
      </c>
      <c r="E1785" s="58" t="s">
        <v>249</v>
      </c>
      <c r="F1785" s="58" t="s">
        <v>250</v>
      </c>
      <c r="G1785" s="58" t="s">
        <v>251</v>
      </c>
      <c r="H1785" s="58" t="s">
        <v>199</v>
      </c>
      <c r="I1785">
        <v>110000</v>
      </c>
      <c r="L1785" s="74">
        <v>5.9130000000000003</v>
      </c>
      <c r="M1785" s="85">
        <v>6</v>
      </c>
      <c r="N1785" s="74">
        <v>0.45200000000000001</v>
      </c>
      <c r="O1785">
        <v>3</v>
      </c>
      <c r="P1785" s="84">
        <v>0.45200000000000001</v>
      </c>
      <c r="Q1785" s="86">
        <v>4.2</v>
      </c>
      <c r="R1785" s="85">
        <v>4.2</v>
      </c>
      <c r="S1785" s="87">
        <v>1732670</v>
      </c>
      <c r="T1785" s="1">
        <v>7</v>
      </c>
      <c r="U1785" s="88">
        <v>412540.47619047615</v>
      </c>
      <c r="V1785" s="59">
        <v>2.4240045709800482</v>
      </c>
    </row>
    <row r="1786" spans="1:22">
      <c r="A1786" s="58">
        <v>1788</v>
      </c>
      <c r="B1786" s="58">
        <v>1788</v>
      </c>
      <c r="C1786" s="58" t="s">
        <v>2569</v>
      </c>
      <c r="D1786" s="58" t="s">
        <v>249</v>
      </c>
      <c r="E1786" s="58" t="s">
        <v>351</v>
      </c>
      <c r="F1786" s="58" t="s">
        <v>250</v>
      </c>
      <c r="G1786" s="58" t="s">
        <v>251</v>
      </c>
      <c r="H1786" s="58" t="s">
        <v>199</v>
      </c>
      <c r="I1786">
        <v>110000</v>
      </c>
      <c r="L1786" s="74">
        <v>9.3480000000000008</v>
      </c>
      <c r="M1786" s="85">
        <v>10</v>
      </c>
      <c r="N1786" s="74">
        <v>3.5720000000000001</v>
      </c>
      <c r="O1786">
        <v>3</v>
      </c>
      <c r="P1786" s="84">
        <v>2.6790000000000003</v>
      </c>
      <c r="Q1786" s="86">
        <v>16.8</v>
      </c>
      <c r="R1786" s="85">
        <v>16.8</v>
      </c>
      <c r="S1786" s="87">
        <v>2297410</v>
      </c>
      <c r="T1786" s="1">
        <v>8</v>
      </c>
      <c r="U1786" s="88">
        <v>136750.59523809524</v>
      </c>
      <c r="V1786" s="59">
        <v>7.3125824297796216</v>
      </c>
    </row>
    <row r="1787" spans="1:22">
      <c r="A1787" s="58">
        <v>1789</v>
      </c>
      <c r="B1787" s="58">
        <v>1789</v>
      </c>
      <c r="C1787" s="58" t="s">
        <v>2570</v>
      </c>
      <c r="D1787" s="58" t="s">
        <v>351</v>
      </c>
      <c r="E1787" s="58" t="s">
        <v>351</v>
      </c>
      <c r="F1787" s="58" t="s">
        <v>422</v>
      </c>
      <c r="G1787" s="58" t="s">
        <v>423</v>
      </c>
      <c r="H1787" s="58" t="s">
        <v>199</v>
      </c>
      <c r="I1787">
        <v>110000</v>
      </c>
      <c r="J1787">
        <v>110000</v>
      </c>
      <c r="K1787">
        <v>20000</v>
      </c>
      <c r="L1787" s="74">
        <v>10.487</v>
      </c>
      <c r="M1787" s="85">
        <v>11</v>
      </c>
      <c r="N1787" s="74">
        <v>2.4329999999999998</v>
      </c>
      <c r="O1787">
        <v>3</v>
      </c>
      <c r="P1787" s="84">
        <v>1.8247499999999999</v>
      </c>
      <c r="Q1787" s="86">
        <v>12.600000000000001</v>
      </c>
      <c r="R1787" s="85">
        <v>12.600000000000001</v>
      </c>
      <c r="S1787" s="87">
        <v>1996170</v>
      </c>
      <c r="T1787" s="1">
        <v>7</v>
      </c>
      <c r="U1787" s="88">
        <v>158426.19047619044</v>
      </c>
      <c r="V1787" s="59">
        <v>6.3120876478456251</v>
      </c>
    </row>
    <row r="1788" spans="1:22">
      <c r="A1788" s="58">
        <v>1790</v>
      </c>
      <c r="B1788" s="58">
        <v>1790</v>
      </c>
      <c r="C1788" s="58" t="s">
        <v>2571</v>
      </c>
      <c r="D1788" s="58" t="s">
        <v>351</v>
      </c>
      <c r="E1788" s="58" t="s">
        <v>351</v>
      </c>
      <c r="F1788" s="58" t="s">
        <v>422</v>
      </c>
      <c r="G1788" s="58" t="s">
        <v>423</v>
      </c>
      <c r="H1788" s="58" t="s">
        <v>199</v>
      </c>
      <c r="I1788">
        <v>110000</v>
      </c>
      <c r="J1788">
        <v>110000</v>
      </c>
      <c r="K1788">
        <v>20000</v>
      </c>
      <c r="L1788" s="74">
        <v>9.407</v>
      </c>
      <c r="M1788" s="85">
        <v>10</v>
      </c>
      <c r="N1788" s="74">
        <v>2.7010000000000001</v>
      </c>
      <c r="O1788">
        <v>3</v>
      </c>
      <c r="P1788" s="84">
        <v>2.0257499999999999</v>
      </c>
      <c r="Q1788" s="86">
        <v>12.600000000000001</v>
      </c>
      <c r="R1788" s="85">
        <v>12.600000000000001</v>
      </c>
      <c r="S1788" s="87">
        <v>1943470</v>
      </c>
      <c r="T1788" s="1">
        <v>7</v>
      </c>
      <c r="U1788" s="88">
        <v>154243.65079365077</v>
      </c>
      <c r="V1788" s="59">
        <v>6.4832490339444409</v>
      </c>
    </row>
    <row r="1789" spans="1:22">
      <c r="A1789" s="58">
        <v>1791</v>
      </c>
      <c r="B1789" s="58">
        <v>1791</v>
      </c>
      <c r="C1789" s="58" t="s">
        <v>2572</v>
      </c>
      <c r="D1789" s="58" t="s">
        <v>351</v>
      </c>
      <c r="E1789" s="58" t="s">
        <v>351</v>
      </c>
      <c r="F1789" s="58" t="s">
        <v>422</v>
      </c>
      <c r="G1789" s="58" t="s">
        <v>423</v>
      </c>
      <c r="H1789" s="58" t="s">
        <v>199</v>
      </c>
      <c r="I1789">
        <v>110000</v>
      </c>
      <c r="J1789">
        <v>110000</v>
      </c>
      <c r="K1789">
        <v>20000</v>
      </c>
      <c r="L1789" s="74">
        <v>4.8620000000000001</v>
      </c>
      <c r="M1789" s="85">
        <v>5</v>
      </c>
      <c r="N1789" s="74">
        <v>0.53900000000000003</v>
      </c>
      <c r="O1789">
        <v>3</v>
      </c>
      <c r="P1789" s="84">
        <v>0.53900000000000003</v>
      </c>
      <c r="Q1789" s="86">
        <v>4.2</v>
      </c>
      <c r="R1789" s="85">
        <v>4.2</v>
      </c>
      <c r="S1789" s="87">
        <v>1679970</v>
      </c>
      <c r="T1789" s="1">
        <v>7</v>
      </c>
      <c r="U1789" s="88">
        <v>399992.8571428571</v>
      </c>
      <c r="V1789" s="59">
        <v>2.5000446436543511</v>
      </c>
    </row>
    <row r="1790" spans="1:22">
      <c r="A1790" s="58">
        <v>1792</v>
      </c>
      <c r="B1790" s="58">
        <v>1792</v>
      </c>
      <c r="C1790" s="58" t="s">
        <v>2573</v>
      </c>
      <c r="D1790" s="58" t="s">
        <v>351</v>
      </c>
      <c r="E1790" s="58" t="s">
        <v>351</v>
      </c>
      <c r="F1790" s="58" t="s">
        <v>422</v>
      </c>
      <c r="G1790" s="58" t="s">
        <v>423</v>
      </c>
      <c r="H1790" s="58" t="s">
        <v>199</v>
      </c>
      <c r="I1790">
        <v>110000</v>
      </c>
      <c r="J1790">
        <v>110000</v>
      </c>
      <c r="K1790">
        <v>20000</v>
      </c>
      <c r="L1790" s="74">
        <v>6.0369999999999999</v>
      </c>
      <c r="M1790" s="85">
        <v>7</v>
      </c>
      <c r="N1790" s="74">
        <v>1.2829999999999999</v>
      </c>
      <c r="O1790">
        <v>3</v>
      </c>
      <c r="P1790" s="84">
        <v>0.96224999999999994</v>
      </c>
      <c r="Q1790" s="86">
        <v>4.2</v>
      </c>
      <c r="R1790" s="85">
        <v>4.2</v>
      </c>
      <c r="S1790" s="87">
        <v>1785370</v>
      </c>
      <c r="T1790" s="1">
        <v>7</v>
      </c>
      <c r="U1790" s="88">
        <v>425088.09523809521</v>
      </c>
      <c r="V1790" s="59">
        <v>2.3524535530450272</v>
      </c>
    </row>
    <row r="1791" spans="1:22">
      <c r="A1791" s="58">
        <v>1793</v>
      </c>
      <c r="B1791" s="58">
        <v>1793</v>
      </c>
      <c r="C1791" s="58" t="s">
        <v>2574</v>
      </c>
      <c r="D1791" s="58" t="s">
        <v>249</v>
      </c>
      <c r="E1791" s="58" t="s">
        <v>249</v>
      </c>
      <c r="F1791" s="58" t="s">
        <v>250</v>
      </c>
      <c r="G1791" s="58" t="s">
        <v>251</v>
      </c>
      <c r="H1791" s="58" t="s">
        <v>199</v>
      </c>
      <c r="I1791">
        <v>110000</v>
      </c>
      <c r="L1791" s="74">
        <v>8.2100000000000009</v>
      </c>
      <c r="M1791" s="85">
        <v>9</v>
      </c>
      <c r="N1791" s="74">
        <v>4.6210000000000004</v>
      </c>
      <c r="O1791">
        <v>3</v>
      </c>
      <c r="P1791" s="84">
        <v>3.4657500000000003</v>
      </c>
      <c r="Q1791" s="86">
        <v>21</v>
      </c>
      <c r="R1791" s="85">
        <v>21</v>
      </c>
      <c r="S1791" s="87">
        <v>2227140</v>
      </c>
      <c r="T1791" s="1">
        <v>8</v>
      </c>
      <c r="U1791" s="88">
        <v>106054.28571428571</v>
      </c>
      <c r="V1791" s="59">
        <v>9.4291333279452569</v>
      </c>
    </row>
    <row r="1792" spans="1:22">
      <c r="A1792" s="58">
        <v>1794</v>
      </c>
      <c r="B1792" s="58">
        <v>1794</v>
      </c>
      <c r="C1792" s="58" t="s">
        <v>2575</v>
      </c>
      <c r="D1792" s="58" t="s">
        <v>351</v>
      </c>
      <c r="E1792" s="58" t="s">
        <v>351</v>
      </c>
      <c r="F1792" s="58" t="s">
        <v>514</v>
      </c>
      <c r="G1792" s="58" t="s">
        <v>515</v>
      </c>
      <c r="H1792" s="58" t="s">
        <v>179</v>
      </c>
      <c r="I1792">
        <v>38000</v>
      </c>
      <c r="J1792">
        <v>38000</v>
      </c>
      <c r="K1792">
        <v>20000</v>
      </c>
      <c r="L1792" s="74">
        <v>4.5090000000000003</v>
      </c>
      <c r="M1792" s="85">
        <v>5</v>
      </c>
      <c r="N1792" s="74">
        <v>1.173</v>
      </c>
      <c r="O1792">
        <v>3</v>
      </c>
      <c r="P1792" s="84">
        <v>1.173</v>
      </c>
      <c r="Q1792" s="86">
        <v>4.2</v>
      </c>
      <c r="R1792" s="85">
        <v>4.2</v>
      </c>
      <c r="S1792" s="87">
        <v>699140</v>
      </c>
      <c r="T1792" s="1">
        <v>4</v>
      </c>
      <c r="U1792" s="88">
        <v>166461.90476190476</v>
      </c>
      <c r="V1792" s="59">
        <v>6.0073804960379897</v>
      </c>
    </row>
    <row r="1793" spans="1:22">
      <c r="A1793" s="58">
        <v>1795</v>
      </c>
      <c r="B1793" s="58">
        <v>1795</v>
      </c>
      <c r="C1793" s="58" t="s">
        <v>2576</v>
      </c>
      <c r="D1793" s="58" t="s">
        <v>187</v>
      </c>
      <c r="E1793" s="58" t="s">
        <v>187</v>
      </c>
      <c r="F1793" s="58" t="s">
        <v>432</v>
      </c>
      <c r="G1793" s="58" t="s">
        <v>433</v>
      </c>
      <c r="H1793" s="58" t="s">
        <v>199</v>
      </c>
      <c r="I1793">
        <v>110000</v>
      </c>
      <c r="L1793" s="74">
        <v>9.5299999999999994</v>
      </c>
      <c r="M1793" s="85">
        <v>10</v>
      </c>
      <c r="N1793" s="74">
        <v>2.0059999999999998</v>
      </c>
      <c r="O1793">
        <v>3</v>
      </c>
      <c r="P1793" s="84">
        <v>1.5044999999999997</v>
      </c>
      <c r="Q1793" s="86">
        <v>8.4</v>
      </c>
      <c r="R1793" s="85">
        <v>8.4</v>
      </c>
      <c r="S1793" s="87">
        <v>1943470</v>
      </c>
      <c r="T1793" s="1">
        <v>7</v>
      </c>
      <c r="U1793" s="88">
        <v>231365.47619047618</v>
      </c>
      <c r="V1793" s="59">
        <v>4.3221660226296263</v>
      </c>
    </row>
    <row r="1794" spans="1:22">
      <c r="A1794" s="58">
        <v>1796</v>
      </c>
      <c r="B1794" s="58">
        <v>1796</v>
      </c>
      <c r="C1794" s="58" t="s">
        <v>2577</v>
      </c>
      <c r="D1794" s="58" t="s">
        <v>187</v>
      </c>
      <c r="E1794" s="58" t="s">
        <v>187</v>
      </c>
      <c r="F1794" s="58" t="s">
        <v>432</v>
      </c>
      <c r="G1794" s="58" t="s">
        <v>433</v>
      </c>
      <c r="H1794" s="58" t="s">
        <v>199</v>
      </c>
      <c r="I1794">
        <v>110000</v>
      </c>
      <c r="L1794" s="74">
        <v>11.189</v>
      </c>
      <c r="M1794" s="85">
        <v>12</v>
      </c>
      <c r="N1794" s="74">
        <v>1.0529999999999999</v>
      </c>
      <c r="O1794">
        <v>3</v>
      </c>
      <c r="P1794" s="84">
        <v>1.0529999999999999</v>
      </c>
      <c r="Q1794" s="86">
        <v>4.2</v>
      </c>
      <c r="R1794" s="85">
        <v>4.2</v>
      </c>
      <c r="S1794" s="87">
        <v>2048870</v>
      </c>
      <c r="T1794" s="1">
        <v>7</v>
      </c>
      <c r="U1794" s="88">
        <v>487826.19047619047</v>
      </c>
      <c r="V1794" s="59">
        <v>2.0499104384367968</v>
      </c>
    </row>
    <row r="1795" spans="1:22">
      <c r="A1795" s="58">
        <v>1797</v>
      </c>
      <c r="B1795" s="58">
        <v>1797</v>
      </c>
      <c r="C1795" s="58" t="s">
        <v>2578</v>
      </c>
      <c r="D1795" s="58" t="s">
        <v>187</v>
      </c>
      <c r="E1795" s="58" t="s">
        <v>187</v>
      </c>
      <c r="F1795" s="58" t="s">
        <v>435</v>
      </c>
      <c r="G1795" s="58" t="s">
        <v>436</v>
      </c>
      <c r="H1795" s="58" t="s">
        <v>199</v>
      </c>
      <c r="I1795">
        <v>110000</v>
      </c>
      <c r="J1795">
        <v>38000</v>
      </c>
      <c r="K1795">
        <v>110000</v>
      </c>
      <c r="L1795" s="74">
        <v>10.141</v>
      </c>
      <c r="M1795" s="85">
        <v>11</v>
      </c>
      <c r="N1795" s="74">
        <v>3.9249999999999998</v>
      </c>
      <c r="O1795">
        <v>3</v>
      </c>
      <c r="P1795" s="84">
        <v>2.9437499999999996</v>
      </c>
      <c r="Q1795" s="86">
        <v>21</v>
      </c>
      <c r="R1795" s="85">
        <v>21</v>
      </c>
      <c r="S1795" s="87">
        <v>2367680</v>
      </c>
      <c r="T1795" s="1">
        <v>8</v>
      </c>
      <c r="U1795" s="88">
        <v>112746.66666666667</v>
      </c>
      <c r="V1795" s="59">
        <v>8.8694418164616842</v>
      </c>
    </row>
    <row r="1796" spans="1:22">
      <c r="A1796" s="58">
        <v>1798</v>
      </c>
      <c r="B1796" s="58">
        <v>1798</v>
      </c>
      <c r="C1796" s="58" t="s">
        <v>2579</v>
      </c>
      <c r="D1796" s="58" t="s">
        <v>187</v>
      </c>
      <c r="E1796" s="58" t="s">
        <v>187</v>
      </c>
      <c r="F1796" s="58" t="s">
        <v>432</v>
      </c>
      <c r="G1796" s="58" t="s">
        <v>433</v>
      </c>
      <c r="H1796" s="58" t="s">
        <v>199</v>
      </c>
      <c r="I1796">
        <v>110000</v>
      </c>
      <c r="L1796" s="74">
        <v>7.8949999999999996</v>
      </c>
      <c r="M1796" s="85">
        <v>8</v>
      </c>
      <c r="N1796" s="74">
        <v>0.86899999999999999</v>
      </c>
      <c r="O1796">
        <v>3</v>
      </c>
      <c r="P1796" s="84">
        <v>0.86899999999999999</v>
      </c>
      <c r="Q1796" s="86">
        <v>4.2</v>
      </c>
      <c r="R1796" s="85">
        <v>4.2</v>
      </c>
      <c r="S1796" s="87">
        <v>1838070</v>
      </c>
      <c r="T1796" s="1">
        <v>7</v>
      </c>
      <c r="U1796" s="88">
        <v>437635.71428571426</v>
      </c>
      <c r="V1796" s="59">
        <v>2.2850054676916547</v>
      </c>
    </row>
    <row r="1797" spans="1:22">
      <c r="A1797" s="58">
        <v>1799</v>
      </c>
      <c r="B1797" s="58">
        <v>1799</v>
      </c>
      <c r="C1797" s="58" t="s">
        <v>2580</v>
      </c>
      <c r="D1797" s="58" t="s">
        <v>187</v>
      </c>
      <c r="E1797" s="58" t="s">
        <v>187</v>
      </c>
      <c r="F1797" s="58" t="s">
        <v>368</v>
      </c>
      <c r="G1797" s="58" t="s">
        <v>369</v>
      </c>
      <c r="H1797" s="58" t="s">
        <v>199</v>
      </c>
      <c r="I1797">
        <v>110000</v>
      </c>
      <c r="J1797">
        <v>110000</v>
      </c>
      <c r="K1797">
        <v>38000</v>
      </c>
      <c r="L1797" s="74">
        <v>11.207000000000001</v>
      </c>
      <c r="M1797" s="85">
        <v>12</v>
      </c>
      <c r="N1797" s="74">
        <v>3.2349999999999999</v>
      </c>
      <c r="O1797">
        <v>3</v>
      </c>
      <c r="P1797" s="84">
        <v>2.42625</v>
      </c>
      <c r="Q1797" s="86">
        <v>16.8</v>
      </c>
      <c r="R1797" s="85">
        <v>16.8</v>
      </c>
      <c r="S1797" s="87">
        <v>2437950</v>
      </c>
      <c r="T1797" s="1">
        <v>8</v>
      </c>
      <c r="U1797" s="88">
        <v>145116.07142857142</v>
      </c>
      <c r="V1797" s="59">
        <v>6.8910355011382514</v>
      </c>
    </row>
    <row r="1798" spans="1:22">
      <c r="A1798" s="58">
        <v>1800</v>
      </c>
      <c r="B1798" s="58">
        <v>1800</v>
      </c>
      <c r="C1798" s="58" t="s">
        <v>2581</v>
      </c>
      <c r="D1798" s="58" t="s">
        <v>187</v>
      </c>
      <c r="E1798" s="58" t="s">
        <v>187</v>
      </c>
      <c r="F1798" s="58" t="s">
        <v>432</v>
      </c>
      <c r="G1798" s="58" t="s">
        <v>433</v>
      </c>
      <c r="H1798" s="58" t="s">
        <v>199</v>
      </c>
      <c r="I1798">
        <v>110000</v>
      </c>
      <c r="L1798" s="74">
        <v>6.2220000000000004</v>
      </c>
      <c r="M1798" s="85">
        <v>7</v>
      </c>
      <c r="N1798" s="74">
        <v>0.91300000000000003</v>
      </c>
      <c r="O1798">
        <v>3</v>
      </c>
      <c r="P1798" s="84">
        <v>0.91300000000000003</v>
      </c>
      <c r="Q1798" s="86">
        <v>4.2</v>
      </c>
      <c r="R1798" s="85">
        <v>4.2</v>
      </c>
      <c r="S1798" s="87">
        <v>1785370</v>
      </c>
      <c r="T1798" s="1">
        <v>7</v>
      </c>
      <c r="U1798" s="88">
        <v>425088.09523809521</v>
      </c>
      <c r="V1798" s="59">
        <v>2.3524535530450272</v>
      </c>
    </row>
    <row r="1799" spans="1:22">
      <c r="A1799" s="58">
        <v>1801</v>
      </c>
      <c r="B1799" s="58">
        <v>1801</v>
      </c>
      <c r="C1799" s="58" t="s">
        <v>2582</v>
      </c>
      <c r="D1799" s="58" t="s">
        <v>187</v>
      </c>
      <c r="E1799" s="58" t="s">
        <v>187</v>
      </c>
      <c r="F1799" s="58" t="s">
        <v>435</v>
      </c>
      <c r="G1799" s="58" t="s">
        <v>436</v>
      </c>
      <c r="H1799" s="58" t="s">
        <v>199</v>
      </c>
      <c r="I1799">
        <v>110000</v>
      </c>
      <c r="J1799">
        <v>38000</v>
      </c>
      <c r="K1799">
        <v>110000</v>
      </c>
      <c r="L1799" s="74">
        <v>5.8150000000000004</v>
      </c>
      <c r="M1799" s="85">
        <v>6</v>
      </c>
      <c r="N1799" s="74">
        <v>1.1439999999999999</v>
      </c>
      <c r="O1799">
        <v>3</v>
      </c>
      <c r="P1799" s="84">
        <v>1.1439999999999999</v>
      </c>
      <c r="Q1799" s="86">
        <v>4.2</v>
      </c>
      <c r="R1799" s="85">
        <v>4.2</v>
      </c>
      <c r="S1799" s="87">
        <v>1732670</v>
      </c>
      <c r="T1799" s="1">
        <v>7</v>
      </c>
      <c r="U1799" s="88">
        <v>412540.47619047615</v>
      </c>
      <c r="V1799" s="59">
        <v>2.4240045709800482</v>
      </c>
    </row>
    <row r="1800" spans="1:22">
      <c r="A1800" s="58">
        <v>1802</v>
      </c>
      <c r="B1800" s="58">
        <v>1802</v>
      </c>
      <c r="C1800" s="58" t="s">
        <v>2583</v>
      </c>
      <c r="D1800" s="58" t="s">
        <v>187</v>
      </c>
      <c r="E1800" s="58" t="s">
        <v>187</v>
      </c>
      <c r="F1800" s="58" t="s">
        <v>432</v>
      </c>
      <c r="G1800" s="58" t="s">
        <v>433</v>
      </c>
      <c r="H1800" s="58" t="s">
        <v>199</v>
      </c>
      <c r="I1800">
        <v>110000</v>
      </c>
      <c r="L1800" s="74">
        <v>8.1180000000000003</v>
      </c>
      <c r="M1800" s="85">
        <v>9</v>
      </c>
      <c r="N1800" s="74">
        <v>1.82</v>
      </c>
      <c r="O1800">
        <v>3</v>
      </c>
      <c r="P1800" s="84">
        <v>1.365</v>
      </c>
      <c r="Q1800" s="86">
        <v>8.4</v>
      </c>
      <c r="R1800" s="85">
        <v>8.4</v>
      </c>
      <c r="S1800" s="87">
        <v>1890770</v>
      </c>
      <c r="T1800" s="1">
        <v>7</v>
      </c>
      <c r="U1800" s="88">
        <v>225091.66666666666</v>
      </c>
      <c r="V1800" s="59">
        <v>4.4426344822479731</v>
      </c>
    </row>
    <row r="1801" spans="1:22">
      <c r="A1801" s="58">
        <v>1803</v>
      </c>
      <c r="B1801" s="58">
        <v>1803</v>
      </c>
      <c r="C1801" s="58" t="s">
        <v>2584</v>
      </c>
      <c r="D1801" s="58" t="s">
        <v>187</v>
      </c>
      <c r="E1801" s="58" t="s">
        <v>187</v>
      </c>
      <c r="F1801" s="58" t="s">
        <v>746</v>
      </c>
      <c r="G1801" s="58" t="s">
        <v>747</v>
      </c>
      <c r="H1801" s="58" t="s">
        <v>199</v>
      </c>
      <c r="I1801">
        <v>110000</v>
      </c>
      <c r="J1801">
        <v>110000</v>
      </c>
      <c r="K1801">
        <v>38000</v>
      </c>
      <c r="L1801" s="74">
        <v>5.0780000000000003</v>
      </c>
      <c r="M1801" s="85">
        <v>6</v>
      </c>
      <c r="N1801" s="74">
        <v>1.2769999999999999</v>
      </c>
      <c r="O1801">
        <v>3</v>
      </c>
      <c r="P1801" s="84">
        <v>0.95774999999999988</v>
      </c>
      <c r="Q1801" s="86">
        <v>4.2</v>
      </c>
      <c r="R1801" s="85">
        <v>4.2</v>
      </c>
      <c r="S1801" s="87">
        <v>1732670</v>
      </c>
      <c r="T1801" s="1">
        <v>7</v>
      </c>
      <c r="U1801" s="88">
        <v>412540.47619047615</v>
      </c>
      <c r="V1801" s="59">
        <v>2.4240045709800482</v>
      </c>
    </row>
    <row r="1802" spans="1:22">
      <c r="A1802" s="58">
        <v>1804</v>
      </c>
      <c r="B1802" s="58">
        <v>1804</v>
      </c>
      <c r="C1802" s="58" t="s">
        <v>2585</v>
      </c>
      <c r="D1802" s="58" t="s">
        <v>176</v>
      </c>
      <c r="E1802" s="58" t="s">
        <v>176</v>
      </c>
      <c r="F1802" s="58" t="s">
        <v>262</v>
      </c>
      <c r="G1802" s="58" t="s">
        <v>263</v>
      </c>
      <c r="H1802" s="58" t="s">
        <v>179</v>
      </c>
      <c r="I1802">
        <v>38000</v>
      </c>
      <c r="J1802" s="58" t="s">
        <v>185</v>
      </c>
      <c r="K1802">
        <v>38000</v>
      </c>
      <c r="L1802" s="74">
        <v>4.7670000000000003</v>
      </c>
      <c r="M1802" s="85">
        <v>5</v>
      </c>
      <c r="N1802" s="74">
        <v>2.1779999999999999</v>
      </c>
      <c r="O1802">
        <v>3</v>
      </c>
      <c r="P1802" s="84">
        <v>1.6335</v>
      </c>
      <c r="Q1802" s="86">
        <v>8.4</v>
      </c>
      <c r="R1802" s="85">
        <v>8.4</v>
      </c>
      <c r="S1802" s="87">
        <v>699140</v>
      </c>
      <c r="T1802" s="1">
        <v>4</v>
      </c>
      <c r="U1802" s="88">
        <v>83230.952380952382</v>
      </c>
      <c r="V1802" s="59">
        <v>12.014760992075979</v>
      </c>
    </row>
    <row r="1803" spans="1:22">
      <c r="A1803" s="58">
        <v>1805</v>
      </c>
      <c r="B1803" s="58">
        <v>1805</v>
      </c>
      <c r="C1803" s="58" t="s">
        <v>2586</v>
      </c>
      <c r="D1803" s="58" t="s">
        <v>176</v>
      </c>
      <c r="E1803" s="58" t="s">
        <v>176</v>
      </c>
      <c r="F1803" s="58" t="s">
        <v>262</v>
      </c>
      <c r="G1803" s="58" t="s">
        <v>263</v>
      </c>
      <c r="H1803" s="58" t="s">
        <v>179</v>
      </c>
      <c r="I1803">
        <v>38000</v>
      </c>
      <c r="J1803" s="58" t="s">
        <v>185</v>
      </c>
      <c r="K1803">
        <v>38000</v>
      </c>
      <c r="L1803" s="74">
        <v>1.881</v>
      </c>
      <c r="M1803" s="85">
        <v>2</v>
      </c>
      <c r="N1803" s="74">
        <v>0.33300000000000002</v>
      </c>
      <c r="O1803">
        <v>3</v>
      </c>
      <c r="P1803" s="84">
        <v>0.33300000000000002</v>
      </c>
      <c r="Q1803" s="86">
        <v>4.2</v>
      </c>
      <c r="R1803" s="85">
        <v>4.2</v>
      </c>
      <c r="S1803" s="87">
        <v>488330</v>
      </c>
      <c r="T1803" s="1">
        <v>4</v>
      </c>
      <c r="U1803" s="88">
        <v>116269.04761904762</v>
      </c>
      <c r="V1803" s="59">
        <v>8.6007413019884087</v>
      </c>
    </row>
    <row r="1804" spans="1:22">
      <c r="A1804" s="58">
        <v>1806</v>
      </c>
      <c r="B1804" s="58">
        <v>1806</v>
      </c>
      <c r="C1804" s="58" t="s">
        <v>2587</v>
      </c>
      <c r="D1804" s="58" t="s">
        <v>410</v>
      </c>
      <c r="E1804" s="58" t="s">
        <v>450</v>
      </c>
      <c r="F1804" s="58" t="s">
        <v>2588</v>
      </c>
      <c r="G1804" s="58" t="s">
        <v>2589</v>
      </c>
      <c r="H1804" s="58" t="s">
        <v>179</v>
      </c>
      <c r="I1804">
        <v>38000</v>
      </c>
      <c r="J1804">
        <v>38000</v>
      </c>
      <c r="K1804" s="58" t="s">
        <v>185</v>
      </c>
      <c r="L1804" s="74">
        <v>8.5790000000000006</v>
      </c>
      <c r="M1804" s="85">
        <v>9</v>
      </c>
      <c r="N1804" s="74">
        <v>5.9119999999999999</v>
      </c>
      <c r="O1804">
        <v>3</v>
      </c>
      <c r="P1804" s="84">
        <v>4.4340000000000002</v>
      </c>
      <c r="Q1804" s="86">
        <v>29.400000000000006</v>
      </c>
      <c r="R1804" s="85">
        <v>29.400000000000006</v>
      </c>
      <c r="S1804" s="87">
        <v>1147260</v>
      </c>
      <c r="T1804" s="1">
        <v>5</v>
      </c>
      <c r="U1804" s="88">
        <v>39022.448979591827</v>
      </c>
      <c r="V1804" s="59">
        <v>25.626274776423834</v>
      </c>
    </row>
    <row r="1805" spans="1:22">
      <c r="A1805" s="58">
        <v>1807</v>
      </c>
      <c r="B1805" s="58">
        <v>1807</v>
      </c>
      <c r="C1805" s="58" t="s">
        <v>2590</v>
      </c>
      <c r="D1805" s="58" t="s">
        <v>410</v>
      </c>
      <c r="E1805" s="58" t="s">
        <v>410</v>
      </c>
      <c r="F1805" s="58" t="s">
        <v>451</v>
      </c>
      <c r="G1805" s="58" t="s">
        <v>452</v>
      </c>
      <c r="H1805" s="58" t="s">
        <v>179</v>
      </c>
      <c r="I1805">
        <v>38000</v>
      </c>
      <c r="J1805">
        <v>38000</v>
      </c>
      <c r="K1805" s="58" t="s">
        <v>185</v>
      </c>
      <c r="L1805" s="74">
        <v>7.1150000000000002</v>
      </c>
      <c r="M1805" s="85">
        <v>8</v>
      </c>
      <c r="N1805" s="74">
        <v>8.1750000000000007</v>
      </c>
      <c r="O1805">
        <v>3</v>
      </c>
      <c r="P1805" s="84">
        <v>6.1312500000000005</v>
      </c>
      <c r="Q1805" s="86">
        <v>42</v>
      </c>
      <c r="R1805" s="85">
        <v>42</v>
      </c>
      <c r="S1805" s="87">
        <v>1237870</v>
      </c>
      <c r="T1805" s="1">
        <v>6</v>
      </c>
      <c r="U1805" s="88">
        <v>29473.095238095237</v>
      </c>
      <c r="V1805" s="59">
        <v>33.92924943653211</v>
      </c>
    </row>
    <row r="1806" spans="1:22">
      <c r="A1806" s="58">
        <v>1808</v>
      </c>
      <c r="B1806" s="58">
        <v>1808</v>
      </c>
      <c r="C1806" s="58" t="s">
        <v>2591</v>
      </c>
      <c r="D1806" s="58" t="s">
        <v>410</v>
      </c>
      <c r="E1806" s="58" t="s">
        <v>410</v>
      </c>
      <c r="F1806" s="58" t="s">
        <v>451</v>
      </c>
      <c r="G1806" s="58" t="s">
        <v>452</v>
      </c>
      <c r="H1806" s="58" t="s">
        <v>179</v>
      </c>
      <c r="I1806">
        <v>38000</v>
      </c>
      <c r="J1806">
        <v>38000</v>
      </c>
      <c r="K1806" s="58" t="s">
        <v>185</v>
      </c>
      <c r="L1806" s="74">
        <v>6.27</v>
      </c>
      <c r="M1806" s="85">
        <v>7</v>
      </c>
      <c r="N1806" s="74">
        <v>0.86</v>
      </c>
      <c r="O1806">
        <v>3</v>
      </c>
      <c r="P1806" s="84">
        <v>0.86</v>
      </c>
      <c r="Q1806" s="86">
        <v>4.2</v>
      </c>
      <c r="R1806" s="85">
        <v>4.2</v>
      </c>
      <c r="S1806" s="87">
        <v>839680</v>
      </c>
      <c r="T1806" s="1">
        <v>4</v>
      </c>
      <c r="U1806" s="88">
        <v>199923.80952380953</v>
      </c>
      <c r="V1806" s="59">
        <v>5.0019054878048781</v>
      </c>
    </row>
    <row r="1807" spans="1:22">
      <c r="A1807" s="58">
        <v>1809</v>
      </c>
      <c r="B1807" s="58">
        <v>1809</v>
      </c>
      <c r="C1807" s="58" t="s">
        <v>2592</v>
      </c>
      <c r="D1807" s="58" t="s">
        <v>410</v>
      </c>
      <c r="E1807" s="58" t="s">
        <v>410</v>
      </c>
      <c r="F1807" s="58" t="s">
        <v>451</v>
      </c>
      <c r="G1807" s="58" t="s">
        <v>452</v>
      </c>
      <c r="H1807" s="58" t="s">
        <v>179</v>
      </c>
      <c r="I1807">
        <v>38000</v>
      </c>
      <c r="J1807">
        <v>38000</v>
      </c>
      <c r="K1807" s="58" t="s">
        <v>185</v>
      </c>
      <c r="L1807" s="74">
        <v>9.3529999999999998</v>
      </c>
      <c r="M1807" s="85">
        <v>10</v>
      </c>
      <c r="N1807" s="74">
        <v>1.135</v>
      </c>
      <c r="O1807">
        <v>3</v>
      </c>
      <c r="P1807" s="84">
        <v>1.135</v>
      </c>
      <c r="Q1807" s="86">
        <v>4.2</v>
      </c>
      <c r="R1807" s="85">
        <v>4.2</v>
      </c>
      <c r="S1807" s="87">
        <v>1387140</v>
      </c>
      <c r="T1807" s="1">
        <v>1</v>
      </c>
      <c r="U1807" s="88">
        <v>330271.42857142858</v>
      </c>
      <c r="V1807" s="59">
        <v>3.0278126216531858</v>
      </c>
    </row>
    <row r="1808" spans="1:22">
      <c r="A1808" s="58">
        <v>1810</v>
      </c>
      <c r="B1808" s="58">
        <v>1810</v>
      </c>
      <c r="C1808" s="58" t="s">
        <v>2593</v>
      </c>
      <c r="D1808" s="58" t="s">
        <v>410</v>
      </c>
      <c r="E1808" s="58" t="s">
        <v>450</v>
      </c>
      <c r="F1808" s="58" t="s">
        <v>1630</v>
      </c>
      <c r="G1808" s="58" t="s">
        <v>1631</v>
      </c>
      <c r="H1808" s="58" t="s">
        <v>179</v>
      </c>
      <c r="I1808">
        <v>38000</v>
      </c>
      <c r="J1808">
        <v>38000</v>
      </c>
      <c r="K1808" s="58" t="s">
        <v>185</v>
      </c>
      <c r="L1808" s="74">
        <v>8.1869999999999994</v>
      </c>
      <c r="M1808" s="85">
        <v>9</v>
      </c>
      <c r="N1808" s="74">
        <v>3.3260000000000001</v>
      </c>
      <c r="O1808">
        <v>3</v>
      </c>
      <c r="P1808" s="84">
        <v>2.4944999999999999</v>
      </c>
      <c r="Q1808" s="86">
        <v>16.8</v>
      </c>
      <c r="R1808" s="85">
        <v>16.8</v>
      </c>
      <c r="S1808" s="87">
        <v>980220</v>
      </c>
      <c r="T1808" s="1">
        <v>4</v>
      </c>
      <c r="U1808" s="88">
        <v>58346.428571428572</v>
      </c>
      <c r="V1808" s="59">
        <v>17.13900961008753</v>
      </c>
    </row>
    <row r="1809" spans="1:22">
      <c r="A1809" s="58">
        <v>1811</v>
      </c>
      <c r="B1809" s="58">
        <v>1811</v>
      </c>
      <c r="C1809" s="58" t="s">
        <v>2594</v>
      </c>
      <c r="D1809" s="58" t="s">
        <v>410</v>
      </c>
      <c r="E1809" s="58" t="s">
        <v>450</v>
      </c>
      <c r="F1809" s="58" t="s">
        <v>1630</v>
      </c>
      <c r="G1809" s="58" t="s">
        <v>1631</v>
      </c>
      <c r="H1809" s="58" t="s">
        <v>179</v>
      </c>
      <c r="I1809">
        <v>38000</v>
      </c>
      <c r="J1809">
        <v>38000</v>
      </c>
      <c r="K1809" s="58" t="s">
        <v>185</v>
      </c>
      <c r="L1809" s="74">
        <v>9.8710000000000004</v>
      </c>
      <c r="M1809" s="85">
        <v>10</v>
      </c>
      <c r="N1809" s="74">
        <v>0.76</v>
      </c>
      <c r="O1809">
        <v>3</v>
      </c>
      <c r="P1809" s="84">
        <v>0.76</v>
      </c>
      <c r="Q1809" s="86">
        <v>4.2</v>
      </c>
      <c r="R1809" s="85">
        <v>4.2</v>
      </c>
      <c r="S1809" s="87">
        <v>1387140</v>
      </c>
      <c r="T1809" s="1">
        <v>1</v>
      </c>
      <c r="U1809" s="88">
        <v>330271.42857142858</v>
      </c>
      <c r="V1809" s="59">
        <v>3.0278126216531858</v>
      </c>
    </row>
    <row r="1810" spans="1:22">
      <c r="A1810" s="89">
        <v>1812</v>
      </c>
      <c r="B1810" s="89">
        <v>1812</v>
      </c>
      <c r="C1810" s="89" t="s">
        <v>2595</v>
      </c>
      <c r="D1810" s="58" t="s">
        <v>410</v>
      </c>
      <c r="E1810" s="58" t="s">
        <v>450</v>
      </c>
      <c r="F1810" s="89" t="s">
        <v>769</v>
      </c>
      <c r="G1810" s="89" t="s">
        <v>770</v>
      </c>
      <c r="H1810" s="89" t="s">
        <v>179</v>
      </c>
      <c r="I1810" s="90">
        <v>38000</v>
      </c>
      <c r="J1810" s="89" t="s">
        <v>185</v>
      </c>
      <c r="K1810" s="90">
        <v>38000</v>
      </c>
      <c r="L1810" s="91">
        <v>9.5559999999999992</v>
      </c>
      <c r="M1810" s="92">
        <v>10</v>
      </c>
      <c r="N1810" s="91">
        <v>10.954000000000001</v>
      </c>
      <c r="O1810" s="90">
        <v>3</v>
      </c>
      <c r="P1810" s="92">
        <v>8.2155000000000005</v>
      </c>
      <c r="Q1810" s="93">
        <v>58.800000000000011</v>
      </c>
      <c r="R1810" s="92">
        <v>58.800000000000011</v>
      </c>
      <c r="S1810" s="87">
        <v>3026560</v>
      </c>
      <c r="T1810" s="94">
        <v>11</v>
      </c>
      <c r="U1810" s="95">
        <v>51472.108843537404</v>
      </c>
      <c r="V1810" s="96">
        <v>19.427997462465644</v>
      </c>
    </row>
    <row r="1811" spans="1:22">
      <c r="A1811" s="58">
        <v>1813</v>
      </c>
      <c r="B1811" s="58">
        <v>1813</v>
      </c>
      <c r="C1811" s="58" t="s">
        <v>2596</v>
      </c>
      <c r="D1811" s="58" t="s">
        <v>410</v>
      </c>
      <c r="E1811" s="58" t="s">
        <v>410</v>
      </c>
      <c r="F1811" s="58" t="s">
        <v>769</v>
      </c>
      <c r="G1811" s="58" t="s">
        <v>770</v>
      </c>
      <c r="H1811" s="58" t="s">
        <v>179</v>
      </c>
      <c r="I1811">
        <v>38000</v>
      </c>
      <c r="J1811" s="58" t="s">
        <v>185</v>
      </c>
      <c r="K1811">
        <v>38000</v>
      </c>
      <c r="L1811" s="74">
        <v>9.24</v>
      </c>
      <c r="M1811" s="85">
        <v>10</v>
      </c>
      <c r="N1811" s="74">
        <v>2.5640000000000001</v>
      </c>
      <c r="O1811">
        <v>3</v>
      </c>
      <c r="P1811" s="84">
        <v>1.923</v>
      </c>
      <c r="Q1811" s="86">
        <v>12.600000000000001</v>
      </c>
      <c r="R1811" s="85">
        <v>12.600000000000001</v>
      </c>
      <c r="S1811" s="87">
        <v>1469550</v>
      </c>
      <c r="T1811" s="1">
        <v>3</v>
      </c>
      <c r="U1811" s="88">
        <v>116630.95238095237</v>
      </c>
      <c r="V1811" s="59">
        <v>8.5740532816168233</v>
      </c>
    </row>
    <row r="1812" spans="1:22">
      <c r="A1812" s="58">
        <v>1814</v>
      </c>
      <c r="B1812" s="58">
        <v>1814</v>
      </c>
      <c r="C1812" s="58" t="s">
        <v>2597</v>
      </c>
      <c r="D1812" s="58" t="s">
        <v>410</v>
      </c>
      <c r="E1812" s="58" t="s">
        <v>450</v>
      </c>
      <c r="F1812" s="58" t="s">
        <v>451</v>
      </c>
      <c r="G1812" s="58" t="s">
        <v>452</v>
      </c>
      <c r="H1812" s="58" t="s">
        <v>179</v>
      </c>
      <c r="I1812">
        <v>38000</v>
      </c>
      <c r="J1812">
        <v>38000</v>
      </c>
      <c r="K1812" s="58" t="s">
        <v>185</v>
      </c>
      <c r="L1812" s="74">
        <v>8.5370000000000008</v>
      </c>
      <c r="M1812" s="85">
        <v>9</v>
      </c>
      <c r="N1812" s="74">
        <v>1.6579999999999999</v>
      </c>
      <c r="O1812">
        <v>3</v>
      </c>
      <c r="P1812" s="84">
        <v>1.2435</v>
      </c>
      <c r="Q1812" s="86">
        <v>8.4</v>
      </c>
      <c r="R1812" s="85">
        <v>8.4</v>
      </c>
      <c r="S1812" s="87">
        <v>1379800</v>
      </c>
      <c r="T1812" s="1">
        <v>2</v>
      </c>
      <c r="U1812" s="88">
        <v>164261.90476190476</v>
      </c>
      <c r="V1812" s="59">
        <v>6.087838817219887</v>
      </c>
    </row>
    <row r="1813" spans="1:22">
      <c r="A1813" s="58">
        <v>1815</v>
      </c>
      <c r="B1813" s="58">
        <v>1815</v>
      </c>
      <c r="C1813" s="58" t="s">
        <v>2598</v>
      </c>
      <c r="D1813" s="58" t="s">
        <v>450</v>
      </c>
      <c r="E1813" s="58" t="s">
        <v>450</v>
      </c>
      <c r="F1813" s="58" t="s">
        <v>454</v>
      </c>
      <c r="G1813" s="58" t="s">
        <v>455</v>
      </c>
      <c r="H1813" s="58" t="s">
        <v>179</v>
      </c>
      <c r="I1813">
        <v>38000</v>
      </c>
      <c r="J1813">
        <v>38000</v>
      </c>
      <c r="K1813">
        <v>10000</v>
      </c>
      <c r="L1813" s="74">
        <v>12.24</v>
      </c>
      <c r="M1813" s="85">
        <v>13</v>
      </c>
      <c r="N1813" s="74">
        <v>1.4930000000000001</v>
      </c>
      <c r="O1813">
        <v>3</v>
      </c>
      <c r="P1813" s="84">
        <v>1.11975</v>
      </c>
      <c r="Q1813" s="86">
        <v>4.2</v>
      </c>
      <c r="R1813" s="85">
        <v>4.2</v>
      </c>
      <c r="S1813" s="87">
        <v>1545240</v>
      </c>
      <c r="T1813" s="1">
        <v>1</v>
      </c>
      <c r="U1813" s="88">
        <v>367914.28571428568</v>
      </c>
      <c r="V1813" s="59">
        <v>2.7180243845616214</v>
      </c>
    </row>
    <row r="1814" spans="1:22">
      <c r="A1814" s="58">
        <v>1816</v>
      </c>
      <c r="B1814" s="58">
        <v>1816</v>
      </c>
      <c r="C1814" s="58" t="s">
        <v>2599</v>
      </c>
      <c r="D1814" s="58" t="s">
        <v>450</v>
      </c>
      <c r="E1814" s="58" t="s">
        <v>450</v>
      </c>
      <c r="F1814" s="58" t="s">
        <v>454</v>
      </c>
      <c r="G1814" s="58" t="s">
        <v>455</v>
      </c>
      <c r="H1814" s="58" t="s">
        <v>179</v>
      </c>
      <c r="I1814">
        <v>38000</v>
      </c>
      <c r="J1814">
        <v>38000</v>
      </c>
      <c r="K1814">
        <v>10000</v>
      </c>
      <c r="L1814" s="74">
        <v>12.173</v>
      </c>
      <c r="M1814" s="85">
        <v>13</v>
      </c>
      <c r="N1814" s="74">
        <v>4.399</v>
      </c>
      <c r="O1814">
        <v>3</v>
      </c>
      <c r="P1814" s="84">
        <v>3.2992499999999998</v>
      </c>
      <c r="Q1814" s="86">
        <v>21</v>
      </c>
      <c r="R1814" s="85">
        <v>21</v>
      </c>
      <c r="S1814" s="87">
        <v>1261300</v>
      </c>
      <c r="T1814" s="1">
        <v>4</v>
      </c>
      <c r="U1814" s="88">
        <v>60061.904761904763</v>
      </c>
      <c r="V1814" s="59">
        <v>16.649488622849439</v>
      </c>
    </row>
    <row r="1815" spans="1:22">
      <c r="A1815" s="58">
        <v>1817</v>
      </c>
      <c r="B1815" s="58">
        <v>1817</v>
      </c>
      <c r="C1815" s="58" t="s">
        <v>2600</v>
      </c>
      <c r="D1815" s="58" t="s">
        <v>450</v>
      </c>
      <c r="E1815" s="58" t="s">
        <v>450</v>
      </c>
      <c r="F1815" s="58" t="s">
        <v>454</v>
      </c>
      <c r="G1815" s="58" t="s">
        <v>455</v>
      </c>
      <c r="H1815" s="58" t="s">
        <v>179</v>
      </c>
      <c r="I1815">
        <v>38000</v>
      </c>
      <c r="J1815">
        <v>38000</v>
      </c>
      <c r="K1815">
        <v>10000</v>
      </c>
      <c r="L1815" s="74">
        <v>7.9649999999999999</v>
      </c>
      <c r="M1815" s="85">
        <v>8</v>
      </c>
      <c r="N1815" s="74">
        <v>0.92700000000000005</v>
      </c>
      <c r="O1815">
        <v>3</v>
      </c>
      <c r="P1815" s="84">
        <v>0.92700000000000005</v>
      </c>
      <c r="Q1815" s="86">
        <v>4.2</v>
      </c>
      <c r="R1815" s="85">
        <v>4.2</v>
      </c>
      <c r="S1815" s="87">
        <v>909950</v>
      </c>
      <c r="T1815" s="1">
        <v>4</v>
      </c>
      <c r="U1815" s="88">
        <v>216654.76190476189</v>
      </c>
      <c r="V1815" s="59">
        <v>4.6156382218803227</v>
      </c>
    </row>
    <row r="1816" spans="1:22">
      <c r="A1816" s="58">
        <v>1818</v>
      </c>
      <c r="B1816" s="58">
        <v>1818</v>
      </c>
      <c r="C1816" s="58" t="s">
        <v>2601</v>
      </c>
      <c r="D1816" s="58" t="s">
        <v>450</v>
      </c>
      <c r="E1816" s="58" t="s">
        <v>450</v>
      </c>
      <c r="F1816" s="58" t="s">
        <v>454</v>
      </c>
      <c r="G1816" s="58" t="s">
        <v>455</v>
      </c>
      <c r="H1816" s="58" t="s">
        <v>179</v>
      </c>
      <c r="I1816">
        <v>38000</v>
      </c>
      <c r="J1816">
        <v>38000</v>
      </c>
      <c r="K1816">
        <v>10000</v>
      </c>
      <c r="L1816" s="74">
        <v>6.3940000000000001</v>
      </c>
      <c r="M1816" s="85">
        <v>7</v>
      </c>
      <c r="N1816" s="74">
        <v>1.91</v>
      </c>
      <c r="O1816">
        <v>3</v>
      </c>
      <c r="P1816" s="84">
        <v>1.4324999999999999</v>
      </c>
      <c r="Q1816" s="86">
        <v>8.4</v>
      </c>
      <c r="R1816" s="85">
        <v>8.4</v>
      </c>
      <c r="S1816" s="87">
        <v>839680</v>
      </c>
      <c r="T1816" s="1">
        <v>4</v>
      </c>
      <c r="U1816" s="88">
        <v>99961.904761904763</v>
      </c>
      <c r="V1816" s="59">
        <v>10.003810975609756</v>
      </c>
    </row>
    <row r="1817" spans="1:22">
      <c r="A1817" s="58">
        <v>1819</v>
      </c>
      <c r="B1817" s="58">
        <v>1819</v>
      </c>
      <c r="C1817" s="58" t="s">
        <v>2602</v>
      </c>
      <c r="D1817" s="58" t="s">
        <v>450</v>
      </c>
      <c r="E1817" s="58" t="s">
        <v>450</v>
      </c>
      <c r="F1817" s="58" t="s">
        <v>454</v>
      </c>
      <c r="G1817" s="58" t="s">
        <v>455</v>
      </c>
      <c r="H1817" s="58" t="s">
        <v>179</v>
      </c>
      <c r="I1817">
        <v>38000</v>
      </c>
      <c r="J1817">
        <v>38000</v>
      </c>
      <c r="K1817">
        <v>10000</v>
      </c>
      <c r="L1817" s="74">
        <v>3.4540000000000002</v>
      </c>
      <c r="M1817" s="85">
        <v>4</v>
      </c>
      <c r="N1817" s="74">
        <v>4.1500000000000004</v>
      </c>
      <c r="O1817">
        <v>3</v>
      </c>
      <c r="P1817" s="84">
        <v>3.1125000000000003</v>
      </c>
      <c r="Q1817" s="86">
        <v>21</v>
      </c>
      <c r="R1817" s="85">
        <v>21</v>
      </c>
      <c r="S1817" s="87">
        <v>628870</v>
      </c>
      <c r="T1817" s="1">
        <v>4</v>
      </c>
      <c r="U1817" s="88">
        <v>29946.190476190477</v>
      </c>
      <c r="V1817" s="59">
        <v>33.393229125256411</v>
      </c>
    </row>
    <row r="1818" spans="1:22">
      <c r="A1818" s="58">
        <v>1820</v>
      </c>
      <c r="B1818" s="58">
        <v>1820</v>
      </c>
      <c r="C1818" s="58" t="s">
        <v>2603</v>
      </c>
      <c r="D1818" s="58" t="s">
        <v>450</v>
      </c>
      <c r="E1818" s="58" t="s">
        <v>450</v>
      </c>
      <c r="F1818" s="58" t="s">
        <v>782</v>
      </c>
      <c r="G1818" s="58" t="s">
        <v>783</v>
      </c>
      <c r="H1818" s="58" t="s">
        <v>199</v>
      </c>
      <c r="I1818">
        <v>110000</v>
      </c>
      <c r="J1818">
        <v>110000</v>
      </c>
      <c r="K1818">
        <v>38000</v>
      </c>
      <c r="L1818" s="74">
        <v>7.3849999999999998</v>
      </c>
      <c r="M1818" s="85">
        <v>8</v>
      </c>
      <c r="N1818" s="74">
        <v>1.165</v>
      </c>
      <c r="O1818">
        <v>3</v>
      </c>
      <c r="P1818" s="84">
        <v>1.165</v>
      </c>
      <c r="Q1818" s="86">
        <v>4.2</v>
      </c>
      <c r="R1818" s="85">
        <v>4.2</v>
      </c>
      <c r="S1818" s="87">
        <v>1838070</v>
      </c>
      <c r="T1818" s="1">
        <v>7</v>
      </c>
      <c r="U1818" s="88">
        <v>437635.71428571426</v>
      </c>
      <c r="V1818" s="59">
        <v>2.2850054676916547</v>
      </c>
    </row>
    <row r="1819" spans="1:22">
      <c r="A1819" s="58">
        <v>1821</v>
      </c>
      <c r="B1819" s="58">
        <v>1821</v>
      </c>
      <c r="C1819" s="58" t="s">
        <v>2604</v>
      </c>
      <c r="D1819" s="58" t="s">
        <v>450</v>
      </c>
      <c r="E1819" s="58" t="s">
        <v>450</v>
      </c>
      <c r="F1819" s="58" t="s">
        <v>772</v>
      </c>
      <c r="G1819" s="58" t="s">
        <v>773</v>
      </c>
      <c r="H1819" s="58" t="s">
        <v>179</v>
      </c>
      <c r="I1819">
        <v>38000</v>
      </c>
      <c r="J1819">
        <v>38000</v>
      </c>
      <c r="K1819" s="58" t="s">
        <v>185</v>
      </c>
      <c r="L1819" s="74">
        <v>8.8019999999999996</v>
      </c>
      <c r="M1819" s="85">
        <v>9</v>
      </c>
      <c r="N1819" s="74">
        <v>1.419</v>
      </c>
      <c r="O1819">
        <v>3</v>
      </c>
      <c r="P1819" s="84">
        <v>1.0642499999999999</v>
      </c>
      <c r="Q1819" s="86">
        <v>4.2</v>
      </c>
      <c r="R1819" s="85">
        <v>4.2</v>
      </c>
      <c r="S1819" s="87">
        <v>1334440</v>
      </c>
      <c r="T1819" s="1">
        <v>1</v>
      </c>
      <c r="U1819" s="88">
        <v>317723.80952380953</v>
      </c>
      <c r="V1819" s="59">
        <v>3.1473876682353645</v>
      </c>
    </row>
    <row r="1820" spans="1:22">
      <c r="A1820" s="58">
        <v>1822</v>
      </c>
      <c r="B1820" s="58">
        <v>1822</v>
      </c>
      <c r="C1820" s="58" t="s">
        <v>2605</v>
      </c>
      <c r="D1820" s="58" t="s">
        <v>450</v>
      </c>
      <c r="E1820" s="58" t="s">
        <v>450</v>
      </c>
      <c r="F1820" s="58" t="s">
        <v>772</v>
      </c>
      <c r="G1820" s="58" t="s">
        <v>773</v>
      </c>
      <c r="H1820" s="58" t="s">
        <v>179</v>
      </c>
      <c r="I1820">
        <v>38000</v>
      </c>
      <c r="J1820">
        <v>38000</v>
      </c>
      <c r="K1820" s="58" t="s">
        <v>185</v>
      </c>
      <c r="L1820" s="74">
        <v>10.49</v>
      </c>
      <c r="M1820" s="85">
        <v>11</v>
      </c>
      <c r="N1820" s="74">
        <v>4.4989999999999997</v>
      </c>
      <c r="O1820">
        <v>3</v>
      </c>
      <c r="P1820" s="84">
        <v>3.37425</v>
      </c>
      <c r="Q1820" s="86">
        <v>21</v>
      </c>
      <c r="R1820" s="85">
        <v>21</v>
      </c>
      <c r="S1820" s="87">
        <v>1120760</v>
      </c>
      <c r="T1820" s="1">
        <v>4</v>
      </c>
      <c r="U1820" s="88">
        <v>53369.523809523809</v>
      </c>
      <c r="V1820" s="59">
        <v>18.737285413469433</v>
      </c>
    </row>
    <row r="1821" spans="1:22">
      <c r="A1821" s="58">
        <v>1823</v>
      </c>
      <c r="B1821" s="58">
        <v>1823</v>
      </c>
      <c r="C1821" s="58" t="s">
        <v>2606</v>
      </c>
      <c r="D1821" s="58" t="s">
        <v>450</v>
      </c>
      <c r="E1821" s="58" t="s">
        <v>450</v>
      </c>
      <c r="F1821" s="58" t="s">
        <v>457</v>
      </c>
      <c r="G1821" s="58" t="s">
        <v>458</v>
      </c>
      <c r="H1821" s="58" t="s">
        <v>199</v>
      </c>
      <c r="I1821">
        <v>110000</v>
      </c>
      <c r="J1821">
        <v>110000</v>
      </c>
      <c r="K1821">
        <v>38000</v>
      </c>
      <c r="L1821" s="74">
        <v>9.5939999999999994</v>
      </c>
      <c r="M1821" s="85">
        <v>10</v>
      </c>
      <c r="N1821" s="74">
        <v>4.2439999999999998</v>
      </c>
      <c r="O1821">
        <v>3</v>
      </c>
      <c r="P1821" s="84">
        <v>3.1829999999999998</v>
      </c>
      <c r="Q1821" s="86">
        <v>21</v>
      </c>
      <c r="R1821" s="85">
        <v>21</v>
      </c>
      <c r="S1821" s="87">
        <v>2297410</v>
      </c>
      <c r="T1821" s="1">
        <v>8</v>
      </c>
      <c r="U1821" s="88">
        <v>109400.47619047618</v>
      </c>
      <c r="V1821" s="59">
        <v>9.1407280372245268</v>
      </c>
    </row>
    <row r="1822" spans="1:22">
      <c r="A1822" s="58">
        <v>1824</v>
      </c>
      <c r="B1822" s="58">
        <v>1824</v>
      </c>
      <c r="C1822" s="58" t="s">
        <v>2607</v>
      </c>
      <c r="D1822" s="58" t="s">
        <v>450</v>
      </c>
      <c r="E1822" s="58" t="s">
        <v>450</v>
      </c>
      <c r="F1822" s="58" t="s">
        <v>457</v>
      </c>
      <c r="G1822" s="58" t="s">
        <v>458</v>
      </c>
      <c r="H1822" s="58" t="s">
        <v>199</v>
      </c>
      <c r="I1822">
        <v>110000</v>
      </c>
      <c r="J1822">
        <v>110000</v>
      </c>
      <c r="K1822">
        <v>38000</v>
      </c>
      <c r="L1822" s="74">
        <v>12.85</v>
      </c>
      <c r="M1822" s="85">
        <v>13</v>
      </c>
      <c r="N1822" s="74">
        <v>2.0590000000000002</v>
      </c>
      <c r="O1822">
        <v>3</v>
      </c>
      <c r="P1822" s="84">
        <v>1.5442500000000001</v>
      </c>
      <c r="Q1822" s="86">
        <v>8.4</v>
      </c>
      <c r="R1822" s="85">
        <v>8.4</v>
      </c>
      <c r="S1822" s="87">
        <v>2101570</v>
      </c>
      <c r="T1822" s="1">
        <v>7</v>
      </c>
      <c r="U1822" s="88">
        <v>250186.90476190476</v>
      </c>
      <c r="V1822" s="59">
        <v>3.9970117578762543</v>
      </c>
    </row>
    <row r="1823" spans="1:22">
      <c r="A1823" s="58">
        <v>1825</v>
      </c>
      <c r="B1823" s="58">
        <v>1825</v>
      </c>
      <c r="C1823" s="58" t="s">
        <v>2608</v>
      </c>
      <c r="D1823" s="58" t="s">
        <v>215</v>
      </c>
      <c r="E1823" s="58" t="s">
        <v>215</v>
      </c>
      <c r="F1823" s="58" t="s">
        <v>2609</v>
      </c>
      <c r="G1823" s="58" t="s">
        <v>2610</v>
      </c>
      <c r="H1823" s="58" t="s">
        <v>199</v>
      </c>
      <c r="I1823">
        <v>110000</v>
      </c>
      <c r="J1823">
        <v>110000</v>
      </c>
      <c r="K1823">
        <v>38000</v>
      </c>
      <c r="L1823" s="74">
        <v>4.0990000000000002</v>
      </c>
      <c r="M1823" s="85">
        <v>5</v>
      </c>
      <c r="N1823" s="74">
        <v>0.68600000000000005</v>
      </c>
      <c r="O1823">
        <v>3</v>
      </c>
      <c r="P1823" s="84">
        <v>0.68600000000000005</v>
      </c>
      <c r="Q1823" s="86">
        <v>4.2</v>
      </c>
      <c r="R1823" s="85">
        <v>4.2</v>
      </c>
      <c r="S1823" s="87">
        <v>1679970</v>
      </c>
      <c r="T1823" s="1">
        <v>7</v>
      </c>
      <c r="U1823" s="88">
        <v>399992.8571428571</v>
      </c>
      <c r="V1823" s="59">
        <v>2.5000446436543511</v>
      </c>
    </row>
    <row r="1824" spans="1:22">
      <c r="A1824" s="58">
        <v>1826</v>
      </c>
      <c r="B1824" s="58">
        <v>1826</v>
      </c>
      <c r="C1824" s="58" t="s">
        <v>2611</v>
      </c>
      <c r="D1824" s="58" t="s">
        <v>775</v>
      </c>
      <c r="E1824" s="58" t="s">
        <v>775</v>
      </c>
      <c r="F1824" s="58" t="s">
        <v>776</v>
      </c>
      <c r="G1824" s="58" t="s">
        <v>777</v>
      </c>
      <c r="H1824" s="58" t="s">
        <v>179</v>
      </c>
      <c r="I1824">
        <v>38000</v>
      </c>
      <c r="J1824">
        <v>20000</v>
      </c>
      <c r="K1824">
        <v>38000</v>
      </c>
      <c r="L1824" s="74">
        <v>2.4060000000000001</v>
      </c>
      <c r="M1824" s="85">
        <v>3</v>
      </c>
      <c r="N1824" s="74">
        <v>0.627</v>
      </c>
      <c r="O1824">
        <v>3</v>
      </c>
      <c r="P1824" s="84">
        <v>0.627</v>
      </c>
      <c r="Q1824" s="86">
        <v>4.2</v>
      </c>
      <c r="R1824" s="85">
        <v>4.2</v>
      </c>
      <c r="S1824" s="87">
        <v>558600</v>
      </c>
      <c r="T1824" s="1">
        <v>4</v>
      </c>
      <c r="U1824" s="88">
        <v>133000</v>
      </c>
      <c r="V1824" s="59">
        <v>7.518796992481203</v>
      </c>
    </row>
    <row r="1825" spans="1:22">
      <c r="A1825" s="89">
        <v>1827</v>
      </c>
      <c r="B1825" s="89">
        <v>1827</v>
      </c>
      <c r="C1825" s="89" t="s">
        <v>2612</v>
      </c>
      <c r="D1825" s="58" t="s">
        <v>215</v>
      </c>
      <c r="E1825" s="58" t="s">
        <v>775</v>
      </c>
      <c r="F1825" s="89" t="s">
        <v>776</v>
      </c>
      <c r="G1825" s="89" t="s">
        <v>777</v>
      </c>
      <c r="H1825" s="89" t="s">
        <v>179</v>
      </c>
      <c r="I1825" s="90">
        <v>38000</v>
      </c>
      <c r="J1825" s="90">
        <v>20000</v>
      </c>
      <c r="K1825" s="90">
        <v>38000</v>
      </c>
      <c r="L1825" s="91">
        <v>2.2839999999999998</v>
      </c>
      <c r="M1825" s="92">
        <v>3</v>
      </c>
      <c r="N1825" s="91">
        <v>17.710999999999899</v>
      </c>
      <c r="O1825" s="90">
        <v>3</v>
      </c>
      <c r="P1825" s="92">
        <v>13.283249999999924</v>
      </c>
      <c r="Q1825" s="93">
        <v>92.4</v>
      </c>
      <c r="R1825" s="92">
        <v>92.4</v>
      </c>
      <c r="S1825" s="87">
        <v>1550890</v>
      </c>
      <c r="T1825" s="94">
        <v>11</v>
      </c>
      <c r="U1825" s="95">
        <v>16784.523809523809</v>
      </c>
      <c r="V1825" s="96">
        <v>59.57869352436343</v>
      </c>
    </row>
    <row r="1826" spans="1:22">
      <c r="A1826" s="58">
        <v>1828</v>
      </c>
      <c r="B1826" s="58">
        <v>1828</v>
      </c>
      <c r="C1826" s="58" t="s">
        <v>2613</v>
      </c>
      <c r="D1826" s="58" t="s">
        <v>775</v>
      </c>
      <c r="E1826" s="58" t="s">
        <v>775</v>
      </c>
      <c r="F1826" s="58" t="s">
        <v>776</v>
      </c>
      <c r="G1826" s="58" t="s">
        <v>777</v>
      </c>
      <c r="H1826" s="58" t="s">
        <v>179</v>
      </c>
      <c r="I1826">
        <v>38000</v>
      </c>
      <c r="J1826">
        <v>20000</v>
      </c>
      <c r="K1826">
        <v>38000</v>
      </c>
      <c r="L1826" s="74">
        <v>2.222</v>
      </c>
      <c r="M1826" s="85">
        <v>3</v>
      </c>
      <c r="N1826" s="74">
        <v>1.462</v>
      </c>
      <c r="O1826">
        <v>3</v>
      </c>
      <c r="P1826" s="84">
        <v>1.0965</v>
      </c>
      <c r="Q1826" s="86">
        <v>4.2</v>
      </c>
      <c r="R1826" s="85">
        <v>4.2</v>
      </c>
      <c r="S1826" s="87">
        <v>558600</v>
      </c>
      <c r="T1826" s="1">
        <v>4</v>
      </c>
      <c r="U1826" s="88">
        <v>133000</v>
      </c>
      <c r="V1826" s="59">
        <v>7.518796992481203</v>
      </c>
    </row>
    <row r="1827" spans="1:22">
      <c r="A1827" s="58">
        <v>1829</v>
      </c>
      <c r="B1827" s="58">
        <v>1829</v>
      </c>
      <c r="C1827" s="58" t="s">
        <v>2614</v>
      </c>
      <c r="D1827" s="58" t="s">
        <v>410</v>
      </c>
      <c r="E1827" s="58" t="s">
        <v>410</v>
      </c>
      <c r="F1827" s="58" t="s">
        <v>466</v>
      </c>
      <c r="G1827" s="58" t="s">
        <v>467</v>
      </c>
      <c r="H1827" s="58" t="s">
        <v>179</v>
      </c>
      <c r="I1827">
        <v>38000</v>
      </c>
      <c r="J1827">
        <v>38000</v>
      </c>
      <c r="K1827" s="58" t="s">
        <v>185</v>
      </c>
      <c r="L1827" s="74">
        <v>9.6419999999999995</v>
      </c>
      <c r="M1827" s="85">
        <v>10</v>
      </c>
      <c r="N1827" s="74">
        <v>2.177</v>
      </c>
      <c r="O1827">
        <v>3</v>
      </c>
      <c r="P1827" s="84">
        <v>1.6327500000000001</v>
      </c>
      <c r="Q1827" s="86">
        <v>8.4</v>
      </c>
      <c r="R1827" s="85">
        <v>8.4</v>
      </c>
      <c r="S1827" s="87">
        <v>1432500</v>
      </c>
      <c r="T1827" s="1">
        <v>2</v>
      </c>
      <c r="U1827" s="88">
        <v>170535.71428571429</v>
      </c>
      <c r="V1827" s="59">
        <v>5.8638743455497382</v>
      </c>
    </row>
    <row r="1828" spans="1:22">
      <c r="A1828" s="58">
        <v>1830</v>
      </c>
      <c r="B1828" s="58">
        <v>1830</v>
      </c>
      <c r="C1828" s="58" t="s">
        <v>2615</v>
      </c>
      <c r="D1828" s="58" t="s">
        <v>410</v>
      </c>
      <c r="E1828" s="58" t="s">
        <v>410</v>
      </c>
      <c r="F1828" s="58" t="s">
        <v>466</v>
      </c>
      <c r="G1828" s="58" t="s">
        <v>467</v>
      </c>
      <c r="H1828" s="58" t="s">
        <v>179</v>
      </c>
      <c r="I1828">
        <v>38000</v>
      </c>
      <c r="J1828">
        <v>38000</v>
      </c>
      <c r="K1828" s="58" t="s">
        <v>185</v>
      </c>
      <c r="L1828" s="74">
        <v>9.1859999999999999</v>
      </c>
      <c r="M1828" s="85">
        <v>10</v>
      </c>
      <c r="N1828" s="74">
        <v>2.65</v>
      </c>
      <c r="O1828">
        <v>3</v>
      </c>
      <c r="P1828" s="84">
        <v>1.9874999999999998</v>
      </c>
      <c r="Q1828" s="86">
        <v>12.600000000000001</v>
      </c>
      <c r="R1828" s="85">
        <v>12.600000000000001</v>
      </c>
      <c r="S1828" s="87">
        <v>1469550</v>
      </c>
      <c r="T1828" s="1">
        <v>3</v>
      </c>
      <c r="U1828" s="88">
        <v>116630.95238095237</v>
      </c>
      <c r="V1828" s="59">
        <v>8.5740532816168233</v>
      </c>
    </row>
    <row r="1829" spans="1:22">
      <c r="A1829" s="58">
        <v>1831</v>
      </c>
      <c r="B1829" s="58">
        <v>1831</v>
      </c>
      <c r="C1829" s="58" t="s">
        <v>2616</v>
      </c>
      <c r="D1829" s="58" t="s">
        <v>410</v>
      </c>
      <c r="E1829" s="58" t="s">
        <v>410</v>
      </c>
      <c r="F1829" s="58" t="s">
        <v>2617</v>
      </c>
      <c r="G1829" s="58" t="s">
        <v>2618</v>
      </c>
      <c r="H1829" s="58" t="s">
        <v>199</v>
      </c>
      <c r="I1829">
        <v>110000</v>
      </c>
      <c r="J1829">
        <v>110000</v>
      </c>
      <c r="K1829">
        <v>38000</v>
      </c>
      <c r="L1829" s="74">
        <v>9.4239999999999995</v>
      </c>
      <c r="M1829" s="85">
        <v>10</v>
      </c>
      <c r="N1829" s="74">
        <v>5.1849999999999996</v>
      </c>
      <c r="O1829">
        <v>3</v>
      </c>
      <c r="P1829" s="84">
        <v>3.8887499999999999</v>
      </c>
      <c r="Q1829" s="86">
        <v>25.200000000000003</v>
      </c>
      <c r="R1829" s="85">
        <v>25.200000000000003</v>
      </c>
      <c r="S1829" s="87">
        <v>2842150</v>
      </c>
      <c r="T1829" s="1">
        <v>9</v>
      </c>
      <c r="U1829" s="88">
        <v>112783.73015873015</v>
      </c>
      <c r="V1829" s="59">
        <v>8.8665271009623012</v>
      </c>
    </row>
    <row r="1830" spans="1:22">
      <c r="A1830" s="58">
        <v>1832</v>
      </c>
      <c r="B1830" s="58">
        <v>1832</v>
      </c>
      <c r="C1830" s="58" t="s">
        <v>2619</v>
      </c>
      <c r="D1830" s="58" t="s">
        <v>410</v>
      </c>
      <c r="E1830" s="58" t="s">
        <v>410</v>
      </c>
      <c r="F1830" s="58" t="s">
        <v>463</v>
      </c>
      <c r="G1830" s="58" t="s">
        <v>464</v>
      </c>
      <c r="H1830" s="58" t="s">
        <v>179</v>
      </c>
      <c r="I1830">
        <v>38000</v>
      </c>
      <c r="J1830">
        <v>38000</v>
      </c>
      <c r="K1830">
        <v>10000</v>
      </c>
      <c r="L1830" s="74">
        <v>8.2720000000000002</v>
      </c>
      <c r="M1830" s="85">
        <v>9</v>
      </c>
      <c r="N1830" s="74">
        <v>2.206</v>
      </c>
      <c r="O1830">
        <v>3</v>
      </c>
      <c r="P1830" s="84">
        <v>1.6545000000000001</v>
      </c>
      <c r="Q1830" s="86">
        <v>8.4</v>
      </c>
      <c r="R1830" s="85">
        <v>8.4</v>
      </c>
      <c r="S1830" s="87">
        <v>1379800</v>
      </c>
      <c r="T1830" s="1">
        <v>2</v>
      </c>
      <c r="U1830" s="88">
        <v>164261.90476190476</v>
      </c>
      <c r="V1830" s="59">
        <v>6.087838817219887</v>
      </c>
    </row>
    <row r="1831" spans="1:22">
      <c r="A1831" s="89">
        <v>1833</v>
      </c>
      <c r="B1831" s="89">
        <v>1833</v>
      </c>
      <c r="C1831" s="89" t="s">
        <v>2620</v>
      </c>
      <c r="D1831" s="58" t="s">
        <v>410</v>
      </c>
      <c r="E1831" s="58" t="s">
        <v>410</v>
      </c>
      <c r="F1831" s="89" t="s">
        <v>463</v>
      </c>
      <c r="G1831" s="89" t="s">
        <v>464</v>
      </c>
      <c r="H1831" s="89" t="s">
        <v>179</v>
      </c>
      <c r="I1831" s="90">
        <v>38000</v>
      </c>
      <c r="J1831" s="90">
        <v>38000</v>
      </c>
      <c r="K1831" s="90">
        <v>10000</v>
      </c>
      <c r="L1831" s="91">
        <v>11.786</v>
      </c>
      <c r="M1831" s="92">
        <v>12</v>
      </c>
      <c r="N1831" s="91">
        <v>19.966000000000001</v>
      </c>
      <c r="O1831" s="90">
        <v>3</v>
      </c>
      <c r="P1831" s="92">
        <v>14.974500000000001</v>
      </c>
      <c r="Q1831" s="93">
        <v>105</v>
      </c>
      <c r="R1831" s="92">
        <v>105</v>
      </c>
      <c r="S1831" s="87">
        <v>3448180</v>
      </c>
      <c r="T1831" s="94">
        <v>11</v>
      </c>
      <c r="U1831" s="95">
        <v>32839.809523809527</v>
      </c>
      <c r="V1831" s="96">
        <v>30.450846533533632</v>
      </c>
    </row>
    <row r="1832" spans="1:22">
      <c r="A1832" s="58">
        <v>1834</v>
      </c>
      <c r="B1832" s="58">
        <v>1834</v>
      </c>
      <c r="C1832" s="58" t="s">
        <v>2621</v>
      </c>
      <c r="D1832" s="58" t="s">
        <v>410</v>
      </c>
      <c r="E1832" s="58" t="s">
        <v>775</v>
      </c>
      <c r="F1832" s="58" t="s">
        <v>460</v>
      </c>
      <c r="G1832" s="58" t="s">
        <v>461</v>
      </c>
      <c r="H1832" s="58" t="s">
        <v>179</v>
      </c>
      <c r="I1832">
        <v>38000</v>
      </c>
      <c r="J1832">
        <v>38000</v>
      </c>
      <c r="K1832" s="58" t="s">
        <v>185</v>
      </c>
      <c r="L1832" s="74">
        <v>10.061999999999999</v>
      </c>
      <c r="M1832" s="85">
        <v>11</v>
      </c>
      <c r="N1832" s="74">
        <v>3.94</v>
      </c>
      <c r="O1832">
        <v>3</v>
      </c>
      <c r="P1832" s="84">
        <v>2.9550000000000001</v>
      </c>
      <c r="Q1832" s="86">
        <v>21</v>
      </c>
      <c r="R1832" s="85">
        <v>21</v>
      </c>
      <c r="S1832" s="87">
        <v>1120760</v>
      </c>
      <c r="T1832" s="1">
        <v>4</v>
      </c>
      <c r="U1832" s="88">
        <v>53369.523809523809</v>
      </c>
      <c r="V1832" s="59">
        <v>18.737285413469433</v>
      </c>
    </row>
    <row r="1833" spans="1:22">
      <c r="A1833" s="58">
        <v>1835</v>
      </c>
      <c r="B1833" s="58">
        <v>1835</v>
      </c>
      <c r="C1833" s="58" t="s">
        <v>2622</v>
      </c>
      <c r="D1833" s="58" t="s">
        <v>775</v>
      </c>
      <c r="E1833" s="58" t="s">
        <v>775</v>
      </c>
      <c r="F1833" s="58" t="s">
        <v>460</v>
      </c>
      <c r="G1833" s="58" t="s">
        <v>461</v>
      </c>
      <c r="H1833" s="58" t="s">
        <v>179</v>
      </c>
      <c r="I1833">
        <v>38000</v>
      </c>
      <c r="J1833">
        <v>38000</v>
      </c>
      <c r="K1833" s="58" t="s">
        <v>185</v>
      </c>
      <c r="L1833" s="74">
        <v>8.6460000000000008</v>
      </c>
      <c r="M1833" s="85">
        <v>9</v>
      </c>
      <c r="N1833" s="74">
        <v>1.8340000000000001</v>
      </c>
      <c r="O1833">
        <v>3</v>
      </c>
      <c r="P1833" s="84">
        <v>1.3755000000000002</v>
      </c>
      <c r="Q1833" s="86">
        <v>8.4</v>
      </c>
      <c r="R1833" s="85">
        <v>8.4</v>
      </c>
      <c r="S1833" s="87">
        <v>1379800</v>
      </c>
      <c r="T1833" s="1">
        <v>2</v>
      </c>
      <c r="U1833" s="88">
        <v>164261.90476190476</v>
      </c>
      <c r="V1833" s="59">
        <v>6.087838817219887</v>
      </c>
    </row>
    <row r="1834" spans="1:22">
      <c r="A1834" s="58">
        <v>1836</v>
      </c>
      <c r="B1834" s="58">
        <v>1836</v>
      </c>
      <c r="C1834" s="58" t="s">
        <v>2623</v>
      </c>
      <c r="D1834" s="58" t="s">
        <v>775</v>
      </c>
      <c r="E1834" s="58" t="s">
        <v>775</v>
      </c>
      <c r="F1834" s="58" t="s">
        <v>460</v>
      </c>
      <c r="G1834" s="58" t="s">
        <v>461</v>
      </c>
      <c r="H1834" s="58" t="s">
        <v>179</v>
      </c>
      <c r="I1834">
        <v>38000</v>
      </c>
      <c r="J1834">
        <v>38000</v>
      </c>
      <c r="K1834" s="58" t="s">
        <v>185</v>
      </c>
      <c r="L1834" s="74">
        <v>7.5259999999999998</v>
      </c>
      <c r="M1834" s="85">
        <v>8</v>
      </c>
      <c r="N1834" s="74">
        <v>1.726</v>
      </c>
      <c r="O1834">
        <v>3</v>
      </c>
      <c r="P1834" s="84">
        <v>1.2945</v>
      </c>
      <c r="Q1834" s="86">
        <v>8.4</v>
      </c>
      <c r="R1834" s="85">
        <v>8.4</v>
      </c>
      <c r="S1834" s="87">
        <v>909950</v>
      </c>
      <c r="T1834" s="1">
        <v>4</v>
      </c>
      <c r="U1834" s="88">
        <v>108327.38095238095</v>
      </c>
      <c r="V1834" s="59">
        <v>9.2312764437606454</v>
      </c>
    </row>
    <row r="1835" spans="1:22">
      <c r="A1835" s="58">
        <v>1837</v>
      </c>
      <c r="B1835" s="58">
        <v>1837</v>
      </c>
      <c r="C1835" s="58" t="s">
        <v>2624</v>
      </c>
      <c r="D1835" s="58" t="s">
        <v>410</v>
      </c>
      <c r="E1835" s="58" t="s">
        <v>410</v>
      </c>
      <c r="F1835" s="58" t="s">
        <v>863</v>
      </c>
      <c r="G1835" s="58" t="s">
        <v>864</v>
      </c>
      <c r="H1835" s="58" t="s">
        <v>179</v>
      </c>
      <c r="I1835">
        <v>38000</v>
      </c>
      <c r="J1835">
        <v>38000</v>
      </c>
      <c r="K1835" s="58" t="s">
        <v>185</v>
      </c>
      <c r="L1835" s="74">
        <v>2.077</v>
      </c>
      <c r="M1835" s="85">
        <v>3</v>
      </c>
      <c r="N1835" s="74">
        <v>0.40699999999999997</v>
      </c>
      <c r="O1835">
        <v>3</v>
      </c>
      <c r="P1835" s="84">
        <v>0.40699999999999997</v>
      </c>
      <c r="Q1835" s="86">
        <v>4.2</v>
      </c>
      <c r="R1835" s="85">
        <v>4.2</v>
      </c>
      <c r="S1835" s="87">
        <v>558600</v>
      </c>
      <c r="T1835" s="1">
        <v>4</v>
      </c>
      <c r="U1835" s="88">
        <v>133000</v>
      </c>
      <c r="V1835" s="59">
        <v>7.518796992481203</v>
      </c>
    </row>
    <row r="1836" spans="1:22">
      <c r="A1836" s="58">
        <v>1838</v>
      </c>
      <c r="B1836" s="58">
        <v>1838</v>
      </c>
      <c r="C1836" s="58" t="s">
        <v>2625</v>
      </c>
      <c r="D1836" s="58" t="s">
        <v>410</v>
      </c>
      <c r="E1836" s="58" t="s">
        <v>410</v>
      </c>
      <c r="F1836" s="58" t="s">
        <v>863</v>
      </c>
      <c r="G1836" s="58" t="s">
        <v>864</v>
      </c>
      <c r="H1836" s="58" t="s">
        <v>179</v>
      </c>
      <c r="I1836">
        <v>38000</v>
      </c>
      <c r="J1836">
        <v>38000</v>
      </c>
      <c r="K1836" s="58" t="s">
        <v>185</v>
      </c>
      <c r="L1836" s="74">
        <v>3.0179999999999998</v>
      </c>
      <c r="M1836" s="85">
        <v>4</v>
      </c>
      <c r="N1836" s="74">
        <v>0.7</v>
      </c>
      <c r="O1836">
        <v>3</v>
      </c>
      <c r="P1836" s="84">
        <v>0.7</v>
      </c>
      <c r="Q1836" s="86">
        <v>4.2</v>
      </c>
      <c r="R1836" s="85">
        <v>4.2</v>
      </c>
      <c r="S1836" s="87">
        <v>628870</v>
      </c>
      <c r="T1836" s="1">
        <v>4</v>
      </c>
      <c r="U1836" s="88">
        <v>149730.95238095237</v>
      </c>
      <c r="V1836" s="59">
        <v>6.6786458250512828</v>
      </c>
    </row>
    <row r="1837" spans="1:22">
      <c r="A1837" s="58">
        <v>1839</v>
      </c>
      <c r="B1837" s="58">
        <v>1839</v>
      </c>
      <c r="C1837" s="58" t="s">
        <v>2626</v>
      </c>
      <c r="D1837" s="58" t="s">
        <v>410</v>
      </c>
      <c r="E1837" s="58" t="s">
        <v>410</v>
      </c>
      <c r="F1837" s="58" t="s">
        <v>863</v>
      </c>
      <c r="G1837" s="58" t="s">
        <v>864</v>
      </c>
      <c r="H1837" s="58" t="s">
        <v>179</v>
      </c>
      <c r="I1837">
        <v>38000</v>
      </c>
      <c r="J1837">
        <v>38000</v>
      </c>
      <c r="K1837" s="58" t="s">
        <v>185</v>
      </c>
      <c r="L1837" s="74">
        <v>4.5819999999999999</v>
      </c>
      <c r="M1837" s="85">
        <v>5</v>
      </c>
      <c r="N1837" s="74">
        <v>1.8939999999999999</v>
      </c>
      <c r="O1837">
        <v>3</v>
      </c>
      <c r="P1837" s="84">
        <v>1.4204999999999999</v>
      </c>
      <c r="Q1837" s="86">
        <v>8.4</v>
      </c>
      <c r="R1837" s="85">
        <v>8.4</v>
      </c>
      <c r="S1837" s="87">
        <v>699140</v>
      </c>
      <c r="T1837" s="1">
        <v>4</v>
      </c>
      <c r="U1837" s="88">
        <v>83230.952380952382</v>
      </c>
      <c r="V1837" s="59">
        <v>12.014760992075979</v>
      </c>
    </row>
    <row r="1838" spans="1:22">
      <c r="A1838" s="58">
        <v>1840</v>
      </c>
      <c r="B1838" s="58">
        <v>1840</v>
      </c>
      <c r="C1838" s="58" t="s">
        <v>2627</v>
      </c>
      <c r="D1838" s="58" t="s">
        <v>410</v>
      </c>
      <c r="E1838" s="58" t="s">
        <v>410</v>
      </c>
      <c r="F1838" s="58" t="s">
        <v>863</v>
      </c>
      <c r="G1838" s="58" t="s">
        <v>864</v>
      </c>
      <c r="H1838" s="58" t="s">
        <v>179</v>
      </c>
      <c r="I1838">
        <v>38000</v>
      </c>
      <c r="J1838">
        <v>38000</v>
      </c>
      <c r="K1838" s="58" t="s">
        <v>185</v>
      </c>
      <c r="L1838" s="74">
        <v>5.9589999999999996</v>
      </c>
      <c r="M1838" s="85">
        <v>6</v>
      </c>
      <c r="N1838" s="74">
        <v>0.86199999999999999</v>
      </c>
      <c r="O1838">
        <v>3</v>
      </c>
      <c r="P1838" s="84">
        <v>0.86199999999999999</v>
      </c>
      <c r="Q1838" s="86">
        <v>4.2</v>
      </c>
      <c r="R1838" s="85">
        <v>4.2</v>
      </c>
      <c r="S1838" s="87">
        <v>769410</v>
      </c>
      <c r="T1838" s="1">
        <v>4</v>
      </c>
      <c r="U1838" s="88">
        <v>183192.85714285713</v>
      </c>
      <c r="V1838" s="59">
        <v>5.4587281163488903</v>
      </c>
    </row>
    <row r="1839" spans="1:22">
      <c r="A1839" s="58">
        <v>1841</v>
      </c>
      <c r="B1839" s="58">
        <v>1841</v>
      </c>
      <c r="C1839" s="58" t="s">
        <v>2628</v>
      </c>
      <c r="D1839" s="58" t="s">
        <v>410</v>
      </c>
      <c r="E1839" s="58" t="s">
        <v>410</v>
      </c>
      <c r="F1839" s="58" t="s">
        <v>1850</v>
      </c>
      <c r="G1839" s="58" t="s">
        <v>1851</v>
      </c>
      <c r="H1839" s="58" t="s">
        <v>199</v>
      </c>
      <c r="I1839">
        <v>110000</v>
      </c>
      <c r="J1839">
        <v>110000</v>
      </c>
      <c r="K1839">
        <v>38000</v>
      </c>
      <c r="L1839" s="74">
        <v>8.6890000000000001</v>
      </c>
      <c r="M1839" s="85">
        <v>9</v>
      </c>
      <c r="N1839" s="74">
        <v>0.499</v>
      </c>
      <c r="O1839">
        <v>3</v>
      </c>
      <c r="P1839" s="84">
        <v>0.499</v>
      </c>
      <c r="Q1839" s="86">
        <v>4.2</v>
      </c>
      <c r="R1839" s="85">
        <v>4.2</v>
      </c>
      <c r="S1839" s="87">
        <v>1890770</v>
      </c>
      <c r="T1839" s="1">
        <v>7</v>
      </c>
      <c r="U1839" s="88">
        <v>450183.33333333331</v>
      </c>
      <c r="V1839" s="59">
        <v>2.2213172411239865</v>
      </c>
    </row>
    <row r="1840" spans="1:22">
      <c r="A1840" s="58">
        <v>1842</v>
      </c>
      <c r="B1840" s="58">
        <v>1842</v>
      </c>
      <c r="C1840" s="58" t="s">
        <v>2629</v>
      </c>
      <c r="D1840" s="58" t="s">
        <v>410</v>
      </c>
      <c r="E1840" s="58" t="s">
        <v>410</v>
      </c>
      <c r="F1840" s="58" t="s">
        <v>1850</v>
      </c>
      <c r="G1840" s="58" t="s">
        <v>1851</v>
      </c>
      <c r="H1840" s="58" t="s">
        <v>199</v>
      </c>
      <c r="I1840">
        <v>110000</v>
      </c>
      <c r="J1840">
        <v>110000</v>
      </c>
      <c r="K1840">
        <v>38000</v>
      </c>
      <c r="L1840" s="74">
        <v>8.173</v>
      </c>
      <c r="M1840" s="85">
        <v>9</v>
      </c>
      <c r="N1840" s="74">
        <v>0.496</v>
      </c>
      <c r="O1840">
        <v>3</v>
      </c>
      <c r="P1840" s="84">
        <v>0.496</v>
      </c>
      <c r="Q1840" s="86">
        <v>4.2</v>
      </c>
      <c r="R1840" s="85">
        <v>4.2</v>
      </c>
      <c r="S1840" s="87">
        <v>1890770</v>
      </c>
      <c r="T1840" s="1">
        <v>7</v>
      </c>
      <c r="U1840" s="88">
        <v>450183.33333333331</v>
      </c>
      <c r="V1840" s="59">
        <v>2.2213172411239865</v>
      </c>
    </row>
    <row r="1841" spans="1:22">
      <c r="A1841" s="58">
        <v>1843</v>
      </c>
      <c r="B1841" s="58">
        <v>1843</v>
      </c>
      <c r="C1841" s="58" t="s">
        <v>2630</v>
      </c>
      <c r="D1841" s="58" t="s">
        <v>1169</v>
      </c>
      <c r="E1841" s="58" t="s">
        <v>1169</v>
      </c>
      <c r="F1841" s="58" t="s">
        <v>1935</v>
      </c>
      <c r="G1841" s="58" t="s">
        <v>1936</v>
      </c>
      <c r="H1841" s="58" t="s">
        <v>179</v>
      </c>
      <c r="I1841">
        <v>38000</v>
      </c>
      <c r="J1841">
        <v>38000</v>
      </c>
      <c r="K1841" s="58" t="s">
        <v>185</v>
      </c>
      <c r="L1841" s="74">
        <v>8.8249999999999993</v>
      </c>
      <c r="M1841" s="85">
        <v>9</v>
      </c>
      <c r="N1841" s="74">
        <v>0.41899999999999998</v>
      </c>
      <c r="O1841">
        <v>3</v>
      </c>
      <c r="P1841" s="84">
        <v>0.41899999999999998</v>
      </c>
      <c r="Q1841" s="86">
        <v>4.2</v>
      </c>
      <c r="R1841" s="85">
        <v>4.2</v>
      </c>
      <c r="S1841" s="87">
        <v>1334440</v>
      </c>
      <c r="T1841" s="1">
        <v>1</v>
      </c>
      <c r="U1841" s="88">
        <v>317723.80952380953</v>
      </c>
      <c r="V1841" s="59">
        <v>3.1473876682353645</v>
      </c>
    </row>
    <row r="1842" spans="1:22">
      <c r="A1842" s="58">
        <v>1844</v>
      </c>
      <c r="B1842" s="58">
        <v>1844</v>
      </c>
      <c r="C1842" s="58" t="s">
        <v>2631</v>
      </c>
      <c r="D1842" s="58" t="s">
        <v>182</v>
      </c>
      <c r="E1842" s="58" t="s">
        <v>182</v>
      </c>
      <c r="F1842" s="58" t="s">
        <v>486</v>
      </c>
      <c r="G1842" s="58" t="s">
        <v>487</v>
      </c>
      <c r="H1842" s="58" t="s">
        <v>179</v>
      </c>
      <c r="I1842">
        <v>38000</v>
      </c>
      <c r="J1842">
        <v>38000</v>
      </c>
      <c r="K1842" s="58" t="s">
        <v>185</v>
      </c>
      <c r="L1842" s="74">
        <v>8.7390000000000008</v>
      </c>
      <c r="M1842" s="85">
        <v>9</v>
      </c>
      <c r="N1842" s="74">
        <v>0.78800000000000003</v>
      </c>
      <c r="O1842">
        <v>3</v>
      </c>
      <c r="P1842" s="84">
        <v>0.78800000000000003</v>
      </c>
      <c r="Q1842" s="86">
        <v>4.2</v>
      </c>
      <c r="R1842" s="85">
        <v>4.2</v>
      </c>
      <c r="S1842" s="87">
        <v>1334440</v>
      </c>
      <c r="T1842" s="1">
        <v>1</v>
      </c>
      <c r="U1842" s="88">
        <v>317723.80952380953</v>
      </c>
      <c r="V1842" s="59">
        <v>3.1473876682353645</v>
      </c>
    </row>
    <row r="1843" spans="1:22">
      <c r="A1843" s="58">
        <v>1845</v>
      </c>
      <c r="B1843" s="58">
        <v>1845</v>
      </c>
      <c r="C1843" s="58" t="s">
        <v>2632</v>
      </c>
      <c r="D1843" s="58" t="s">
        <v>182</v>
      </c>
      <c r="E1843" s="58" t="s">
        <v>182</v>
      </c>
      <c r="F1843" s="58" t="s">
        <v>1876</v>
      </c>
      <c r="G1843" s="58" t="s">
        <v>1877</v>
      </c>
      <c r="H1843" s="58" t="s">
        <v>179</v>
      </c>
      <c r="I1843">
        <v>38000</v>
      </c>
      <c r="J1843">
        <v>38000</v>
      </c>
      <c r="K1843">
        <v>20000</v>
      </c>
      <c r="L1843" s="74">
        <v>5.4580000000000002</v>
      </c>
      <c r="M1843" s="85">
        <v>6</v>
      </c>
      <c r="N1843" s="74">
        <v>0.501</v>
      </c>
      <c r="O1843">
        <v>3</v>
      </c>
      <c r="P1843" s="84">
        <v>0.501</v>
      </c>
      <c r="Q1843" s="86">
        <v>4.2</v>
      </c>
      <c r="R1843" s="85">
        <v>4.2</v>
      </c>
      <c r="S1843" s="87">
        <v>769410</v>
      </c>
      <c r="T1843" s="1">
        <v>4</v>
      </c>
      <c r="U1843" s="88">
        <v>183192.85714285713</v>
      </c>
      <c r="V1843" s="59">
        <v>5.4587281163488903</v>
      </c>
    </row>
    <row r="1844" spans="1:22">
      <c r="A1844" s="58">
        <v>1846</v>
      </c>
      <c r="B1844" s="58">
        <v>1846</v>
      </c>
      <c r="C1844" s="58" t="s">
        <v>2633</v>
      </c>
      <c r="D1844" s="58" t="s">
        <v>215</v>
      </c>
      <c r="E1844" s="58" t="s">
        <v>215</v>
      </c>
      <c r="F1844" s="58" t="s">
        <v>1644</v>
      </c>
      <c r="G1844" s="58" t="s">
        <v>1645</v>
      </c>
      <c r="H1844" s="58" t="s">
        <v>179</v>
      </c>
      <c r="I1844">
        <v>38000</v>
      </c>
      <c r="J1844">
        <v>38000</v>
      </c>
      <c r="K1844" s="58" t="s">
        <v>185</v>
      </c>
      <c r="L1844" s="74">
        <v>7.5049999999999999</v>
      </c>
      <c r="M1844" s="85">
        <v>8</v>
      </c>
      <c r="N1844" s="74">
        <v>0.24299999999999999</v>
      </c>
      <c r="O1844">
        <v>3</v>
      </c>
      <c r="P1844" s="84">
        <v>0.24299999999999999</v>
      </c>
      <c r="Q1844" s="86">
        <v>4.2</v>
      </c>
      <c r="R1844" s="85">
        <v>4.2</v>
      </c>
      <c r="S1844" s="87">
        <v>909950</v>
      </c>
      <c r="T1844" s="1">
        <v>4</v>
      </c>
      <c r="U1844" s="88">
        <v>216654.76190476189</v>
      </c>
      <c r="V1844" s="59">
        <v>4.6156382218803227</v>
      </c>
    </row>
    <row r="1845" spans="1:22">
      <c r="A1845" s="58">
        <v>1847</v>
      </c>
      <c r="B1845" s="58">
        <v>1847</v>
      </c>
      <c r="C1845" s="58" t="s">
        <v>2634</v>
      </c>
      <c r="D1845" s="58" t="s">
        <v>450</v>
      </c>
      <c r="E1845" s="58" t="s">
        <v>450</v>
      </c>
      <c r="F1845" s="58" t="s">
        <v>1140</v>
      </c>
      <c r="G1845" s="58" t="s">
        <v>1141</v>
      </c>
      <c r="H1845" s="58" t="s">
        <v>179</v>
      </c>
      <c r="I1845">
        <v>38000</v>
      </c>
      <c r="J1845">
        <v>38000</v>
      </c>
      <c r="K1845" s="58" t="s">
        <v>185</v>
      </c>
      <c r="L1845" s="74">
        <v>3.5720000000000001</v>
      </c>
      <c r="M1845" s="85">
        <v>4</v>
      </c>
      <c r="N1845" s="74">
        <v>1.1739999999999999</v>
      </c>
      <c r="O1845">
        <v>3</v>
      </c>
      <c r="P1845" s="84">
        <v>1.1739999999999999</v>
      </c>
      <c r="Q1845" s="86">
        <v>4.2</v>
      </c>
      <c r="R1845" s="85">
        <v>4.2</v>
      </c>
      <c r="S1845" s="87">
        <v>628870</v>
      </c>
      <c r="T1845" s="1">
        <v>4</v>
      </c>
      <c r="U1845" s="88">
        <v>149730.95238095237</v>
      </c>
      <c r="V1845" s="59">
        <v>6.6786458250512828</v>
      </c>
    </row>
    <row r="1846" spans="1:22">
      <c r="A1846" s="58">
        <v>1848</v>
      </c>
      <c r="B1846" s="58">
        <v>1848</v>
      </c>
      <c r="C1846" s="58" t="s">
        <v>2635</v>
      </c>
      <c r="D1846" s="58" t="s">
        <v>380</v>
      </c>
      <c r="E1846" s="58" t="s">
        <v>380</v>
      </c>
      <c r="F1846" s="58" t="s">
        <v>469</v>
      </c>
      <c r="G1846" s="58" t="s">
        <v>470</v>
      </c>
      <c r="H1846" s="58" t="s">
        <v>179</v>
      </c>
      <c r="I1846">
        <v>38000</v>
      </c>
      <c r="J1846">
        <v>38000</v>
      </c>
      <c r="K1846" s="58" t="s">
        <v>185</v>
      </c>
      <c r="L1846" s="74">
        <v>8.5519999999999996</v>
      </c>
      <c r="M1846" s="85">
        <v>9</v>
      </c>
      <c r="N1846" s="74">
        <v>1.1559999999999999</v>
      </c>
      <c r="O1846">
        <v>3</v>
      </c>
      <c r="P1846" s="84">
        <v>1.1559999999999999</v>
      </c>
      <c r="Q1846" s="86">
        <v>4.2</v>
      </c>
      <c r="R1846" s="85">
        <v>4.2</v>
      </c>
      <c r="S1846" s="87">
        <v>1334440</v>
      </c>
      <c r="T1846" s="1">
        <v>1</v>
      </c>
      <c r="U1846" s="88">
        <v>317723.80952380953</v>
      </c>
      <c r="V1846" s="59">
        <v>3.1473876682353645</v>
      </c>
    </row>
    <row r="1847" spans="1:22">
      <c r="A1847" s="58">
        <v>1849</v>
      </c>
      <c r="B1847" s="58">
        <v>1849</v>
      </c>
      <c r="C1847" s="58" t="s">
        <v>2636</v>
      </c>
      <c r="D1847" s="58" t="s">
        <v>1811</v>
      </c>
      <c r="E1847" s="58" t="s">
        <v>1811</v>
      </c>
      <c r="F1847" s="58" t="s">
        <v>1939</v>
      </c>
      <c r="G1847" s="58" t="s">
        <v>1940</v>
      </c>
      <c r="H1847" s="58" t="s">
        <v>179</v>
      </c>
      <c r="I1847">
        <v>38000</v>
      </c>
      <c r="J1847">
        <v>38000</v>
      </c>
      <c r="K1847" s="58" t="s">
        <v>185</v>
      </c>
      <c r="L1847" s="74">
        <v>6.8780000000000001</v>
      </c>
      <c r="M1847" s="85">
        <v>7</v>
      </c>
      <c r="N1847" s="74">
        <v>0.48099999999999998</v>
      </c>
      <c r="O1847">
        <v>3</v>
      </c>
      <c r="P1847" s="84">
        <v>0.48099999999999998</v>
      </c>
      <c r="Q1847" s="86">
        <v>4.2</v>
      </c>
      <c r="R1847" s="85">
        <v>4.2</v>
      </c>
      <c r="S1847" s="87">
        <v>839680</v>
      </c>
      <c r="T1847" s="1">
        <v>4</v>
      </c>
      <c r="U1847" s="88">
        <v>199923.80952380953</v>
      </c>
      <c r="V1847" s="59">
        <v>5.0019054878048781</v>
      </c>
    </row>
    <row r="1848" spans="1:22">
      <c r="A1848" s="58">
        <v>1850</v>
      </c>
      <c r="B1848" s="58">
        <v>1850</v>
      </c>
      <c r="C1848" s="58" t="s">
        <v>2637</v>
      </c>
      <c r="D1848" s="58" t="s">
        <v>1811</v>
      </c>
      <c r="E1848" s="58" t="s">
        <v>882</v>
      </c>
      <c r="F1848" s="58" t="s">
        <v>1935</v>
      </c>
      <c r="G1848" s="58" t="s">
        <v>1936</v>
      </c>
      <c r="H1848" s="58" t="s">
        <v>179</v>
      </c>
      <c r="I1848">
        <v>38000</v>
      </c>
      <c r="J1848">
        <v>38000</v>
      </c>
      <c r="K1848" s="58" t="s">
        <v>185</v>
      </c>
      <c r="L1848" s="74">
        <v>7.9809999999999999</v>
      </c>
      <c r="M1848" s="85">
        <v>8</v>
      </c>
      <c r="N1848" s="74">
        <v>3.899</v>
      </c>
      <c r="O1848">
        <v>3</v>
      </c>
      <c r="P1848" s="84">
        <v>2.9242499999999998</v>
      </c>
      <c r="Q1848" s="86">
        <v>21</v>
      </c>
      <c r="R1848" s="85">
        <v>21</v>
      </c>
      <c r="S1848" s="87">
        <v>909950</v>
      </c>
      <c r="T1848" s="1">
        <v>4</v>
      </c>
      <c r="U1848" s="88">
        <v>43330.952380952382</v>
      </c>
      <c r="V1848" s="59">
        <v>23.078191109401615</v>
      </c>
    </row>
    <row r="1849" spans="1:22">
      <c r="A1849" s="58">
        <v>1851</v>
      </c>
      <c r="B1849" s="58">
        <v>1851</v>
      </c>
      <c r="C1849" s="58" t="s">
        <v>2638</v>
      </c>
      <c r="D1849" s="58" t="s">
        <v>182</v>
      </c>
      <c r="E1849" s="58" t="s">
        <v>182</v>
      </c>
      <c r="F1849" s="58" t="s">
        <v>2639</v>
      </c>
      <c r="G1849" s="58" t="s">
        <v>2640</v>
      </c>
      <c r="H1849" s="58" t="s">
        <v>199</v>
      </c>
      <c r="I1849">
        <v>110000</v>
      </c>
      <c r="J1849">
        <v>110000</v>
      </c>
      <c r="K1849">
        <v>38000</v>
      </c>
      <c r="L1849" s="74">
        <v>9.2810000000000006</v>
      </c>
      <c r="M1849" s="85">
        <v>10</v>
      </c>
      <c r="N1849" s="74">
        <v>0.748</v>
      </c>
      <c r="O1849">
        <v>3</v>
      </c>
      <c r="P1849" s="84">
        <v>0.748</v>
      </c>
      <c r="Q1849" s="86">
        <v>4.2</v>
      </c>
      <c r="R1849" s="85">
        <v>4.2</v>
      </c>
      <c r="S1849" s="87">
        <v>1943470</v>
      </c>
      <c r="T1849" s="1">
        <v>7</v>
      </c>
      <c r="U1849" s="88">
        <v>462730.95238095237</v>
      </c>
      <c r="V1849" s="59">
        <v>2.1610830113148132</v>
      </c>
    </row>
    <row r="1850" spans="1:22">
      <c r="A1850" s="58">
        <v>1852</v>
      </c>
      <c r="B1850" s="58">
        <v>1852</v>
      </c>
      <c r="C1850" s="58" t="s">
        <v>2641</v>
      </c>
      <c r="D1850" s="58" t="s">
        <v>410</v>
      </c>
      <c r="E1850" s="58" t="s">
        <v>410</v>
      </c>
      <c r="F1850" s="58" t="s">
        <v>1879</v>
      </c>
      <c r="G1850" s="58" t="s">
        <v>1880</v>
      </c>
      <c r="H1850" s="58" t="s">
        <v>199</v>
      </c>
      <c r="I1850">
        <v>110000</v>
      </c>
      <c r="J1850">
        <v>110000</v>
      </c>
      <c r="K1850">
        <v>38000</v>
      </c>
      <c r="L1850" s="74">
        <v>8.4760000000000009</v>
      </c>
      <c r="M1850" s="85">
        <v>9</v>
      </c>
      <c r="N1850" s="74">
        <v>0.81599999999999995</v>
      </c>
      <c r="O1850">
        <v>3</v>
      </c>
      <c r="P1850" s="84">
        <v>0.81599999999999995</v>
      </c>
      <c r="Q1850" s="86">
        <v>4.2</v>
      </c>
      <c r="R1850" s="85">
        <v>4.2</v>
      </c>
      <c r="S1850" s="87">
        <v>1890770</v>
      </c>
      <c r="T1850" s="1">
        <v>7</v>
      </c>
      <c r="U1850" s="88">
        <v>450183.33333333331</v>
      </c>
      <c r="V1850" s="59">
        <v>2.2213172411239865</v>
      </c>
    </row>
    <row r="1851" spans="1:22">
      <c r="A1851" s="58">
        <v>1853</v>
      </c>
      <c r="B1851" s="58">
        <v>1853</v>
      </c>
      <c r="C1851" s="58" t="s">
        <v>2642</v>
      </c>
      <c r="D1851" s="58" t="s">
        <v>410</v>
      </c>
      <c r="E1851" s="58" t="s">
        <v>410</v>
      </c>
      <c r="F1851" s="58" t="s">
        <v>2643</v>
      </c>
      <c r="G1851" s="58" t="s">
        <v>2644</v>
      </c>
      <c r="H1851" s="58" t="s">
        <v>199</v>
      </c>
      <c r="I1851">
        <v>110000</v>
      </c>
      <c r="J1851">
        <v>110000</v>
      </c>
      <c r="K1851" s="58" t="s">
        <v>185</v>
      </c>
      <c r="L1851" s="74">
        <v>6.585</v>
      </c>
      <c r="M1851" s="85">
        <v>7</v>
      </c>
      <c r="N1851" s="74">
        <v>2.0209999999999999</v>
      </c>
      <c r="O1851">
        <v>3</v>
      </c>
      <c r="P1851" s="84">
        <v>1.5157499999999999</v>
      </c>
      <c r="Q1851" s="86">
        <v>8.4</v>
      </c>
      <c r="R1851" s="85">
        <v>8.4</v>
      </c>
      <c r="S1851" s="87">
        <v>1785370</v>
      </c>
      <c r="T1851" s="1">
        <v>7</v>
      </c>
      <c r="U1851" s="88">
        <v>212544.0476190476</v>
      </c>
      <c r="V1851" s="59">
        <v>4.7049071060900545</v>
      </c>
    </row>
    <row r="1852" spans="1:22">
      <c r="A1852" s="58">
        <v>1854</v>
      </c>
      <c r="B1852" s="58">
        <v>1854</v>
      </c>
      <c r="C1852" s="58" t="s">
        <v>2645</v>
      </c>
      <c r="D1852" s="58" t="s">
        <v>410</v>
      </c>
      <c r="E1852" s="58" t="s">
        <v>410</v>
      </c>
      <c r="F1852" s="58" t="s">
        <v>1654</v>
      </c>
      <c r="G1852" s="58" t="s">
        <v>1655</v>
      </c>
      <c r="H1852" s="58" t="s">
        <v>199</v>
      </c>
      <c r="I1852">
        <v>110000</v>
      </c>
      <c r="J1852">
        <v>110000</v>
      </c>
      <c r="K1852">
        <v>38000</v>
      </c>
      <c r="L1852" s="74">
        <v>7.0949999999999998</v>
      </c>
      <c r="M1852" s="85">
        <v>8</v>
      </c>
      <c r="N1852" s="74">
        <v>1.0940000000000001</v>
      </c>
      <c r="O1852">
        <v>3</v>
      </c>
      <c r="P1852" s="84">
        <v>1.0940000000000001</v>
      </c>
      <c r="Q1852" s="86">
        <v>4.2</v>
      </c>
      <c r="R1852" s="85">
        <v>4.2</v>
      </c>
      <c r="S1852" s="87">
        <v>1838070</v>
      </c>
      <c r="T1852" s="1">
        <v>7</v>
      </c>
      <c r="U1852" s="88">
        <v>437635.71428571426</v>
      </c>
      <c r="V1852" s="59">
        <v>2.2850054676916547</v>
      </c>
    </row>
    <row r="1853" spans="1:22">
      <c r="A1853" s="58">
        <v>1855</v>
      </c>
      <c r="B1853" s="58">
        <v>1855</v>
      </c>
      <c r="C1853" s="58" t="s">
        <v>2646</v>
      </c>
      <c r="D1853" s="58" t="s">
        <v>384</v>
      </c>
      <c r="E1853" s="58" t="s">
        <v>384</v>
      </c>
      <c r="F1853" s="58" t="s">
        <v>2647</v>
      </c>
      <c r="G1853" s="58" t="s">
        <v>2648</v>
      </c>
      <c r="H1853" s="58" t="s">
        <v>199</v>
      </c>
      <c r="I1853">
        <v>110000</v>
      </c>
      <c r="J1853">
        <v>110000</v>
      </c>
      <c r="K1853">
        <v>38000</v>
      </c>
      <c r="L1853" s="74">
        <v>7.8840000000000003</v>
      </c>
      <c r="M1853" s="85">
        <v>8</v>
      </c>
      <c r="N1853" s="74">
        <v>0.43099999999999999</v>
      </c>
      <c r="O1853">
        <v>3</v>
      </c>
      <c r="P1853" s="84">
        <v>0.43099999999999999</v>
      </c>
      <c r="Q1853" s="86">
        <v>4.2</v>
      </c>
      <c r="R1853" s="85">
        <v>4.2</v>
      </c>
      <c r="S1853" s="87">
        <v>1838070</v>
      </c>
      <c r="T1853" s="1">
        <v>7</v>
      </c>
      <c r="U1853" s="88">
        <v>437635.71428571426</v>
      </c>
      <c r="V1853" s="59">
        <v>2.2850054676916547</v>
      </c>
    </row>
    <row r="1854" spans="1:22">
      <c r="A1854" s="58">
        <v>1856</v>
      </c>
      <c r="B1854" s="58">
        <v>1856</v>
      </c>
      <c r="C1854" s="58" t="s">
        <v>2649</v>
      </c>
      <c r="D1854" s="58" t="s">
        <v>775</v>
      </c>
      <c r="E1854" s="58" t="s">
        <v>775</v>
      </c>
      <c r="F1854" s="58" t="s">
        <v>903</v>
      </c>
      <c r="G1854" s="58" t="s">
        <v>904</v>
      </c>
      <c r="H1854" s="58" t="s">
        <v>179</v>
      </c>
      <c r="I1854">
        <v>38000</v>
      </c>
      <c r="J1854">
        <v>38000</v>
      </c>
      <c r="K1854" s="58" t="s">
        <v>185</v>
      </c>
      <c r="L1854" s="74">
        <v>3.92</v>
      </c>
      <c r="M1854" s="85">
        <v>4</v>
      </c>
      <c r="N1854" s="74">
        <v>0.38800000000000001</v>
      </c>
      <c r="O1854">
        <v>3</v>
      </c>
      <c r="P1854" s="84">
        <v>0.38800000000000001</v>
      </c>
      <c r="Q1854" s="86">
        <v>4.2</v>
      </c>
      <c r="R1854" s="85">
        <v>4.2</v>
      </c>
      <c r="S1854" s="87">
        <v>628870</v>
      </c>
      <c r="T1854" s="1">
        <v>4</v>
      </c>
      <c r="U1854" s="88">
        <v>149730.95238095237</v>
      </c>
      <c r="V1854" s="59">
        <v>6.6786458250512828</v>
      </c>
    </row>
    <row r="1855" spans="1:22">
      <c r="A1855" s="58">
        <v>1857</v>
      </c>
      <c r="B1855" s="58">
        <v>1857</v>
      </c>
      <c r="C1855" s="58" t="s">
        <v>2650</v>
      </c>
      <c r="D1855" s="58" t="s">
        <v>182</v>
      </c>
      <c r="E1855" s="58" t="s">
        <v>182</v>
      </c>
      <c r="F1855" s="58" t="s">
        <v>1866</v>
      </c>
      <c r="G1855" s="58" t="s">
        <v>1867</v>
      </c>
      <c r="H1855" s="58" t="s">
        <v>179</v>
      </c>
      <c r="I1855">
        <v>38000</v>
      </c>
      <c r="J1855">
        <v>38000</v>
      </c>
      <c r="K1855" s="58" t="s">
        <v>185</v>
      </c>
      <c r="L1855" s="74">
        <v>8.7260000000000009</v>
      </c>
      <c r="M1855" s="85">
        <v>9</v>
      </c>
      <c r="N1855" s="74">
        <v>0.54800000000000004</v>
      </c>
      <c r="O1855">
        <v>3</v>
      </c>
      <c r="P1855" s="84">
        <v>0.54800000000000004</v>
      </c>
      <c r="Q1855" s="86">
        <v>4.2</v>
      </c>
      <c r="R1855" s="85">
        <v>4.2</v>
      </c>
      <c r="S1855" s="87">
        <v>1334440</v>
      </c>
      <c r="T1855" s="1">
        <v>1</v>
      </c>
      <c r="U1855" s="88">
        <v>317723.80952380953</v>
      </c>
      <c r="V1855" s="59">
        <v>3.1473876682353645</v>
      </c>
    </row>
    <row r="1856" spans="1:22">
      <c r="A1856" s="58">
        <v>1858</v>
      </c>
      <c r="B1856" s="58">
        <v>1858</v>
      </c>
      <c r="C1856" s="58" t="s">
        <v>2651</v>
      </c>
      <c r="D1856" s="58" t="s">
        <v>410</v>
      </c>
      <c r="E1856" s="58" t="s">
        <v>882</v>
      </c>
      <c r="F1856" s="58" t="s">
        <v>411</v>
      </c>
      <c r="G1856" s="58" t="s">
        <v>412</v>
      </c>
      <c r="H1856" s="58" t="s">
        <v>179</v>
      </c>
      <c r="I1856">
        <v>38000</v>
      </c>
      <c r="J1856">
        <v>38000</v>
      </c>
      <c r="K1856" s="58" t="s">
        <v>185</v>
      </c>
      <c r="L1856" s="74">
        <v>3.8759999999999999</v>
      </c>
      <c r="M1856" s="85">
        <v>4</v>
      </c>
      <c r="N1856" s="74">
        <v>0.88300000000000001</v>
      </c>
      <c r="O1856">
        <v>3</v>
      </c>
      <c r="P1856" s="84">
        <v>0.88300000000000001</v>
      </c>
      <c r="Q1856" s="86">
        <v>4.2</v>
      </c>
      <c r="R1856" s="85">
        <v>4.2</v>
      </c>
      <c r="S1856" s="87">
        <v>628870</v>
      </c>
      <c r="T1856" s="1">
        <v>4</v>
      </c>
      <c r="U1856" s="88">
        <v>149730.95238095237</v>
      </c>
      <c r="V1856" s="59">
        <v>6.6786458250512828</v>
      </c>
    </row>
    <row r="1857" spans="1:22">
      <c r="A1857" s="58">
        <v>1859</v>
      </c>
      <c r="B1857" s="58">
        <v>1859</v>
      </c>
      <c r="C1857" s="58" t="s">
        <v>2652</v>
      </c>
      <c r="D1857" s="58" t="s">
        <v>197</v>
      </c>
      <c r="E1857" s="58" t="s">
        <v>197</v>
      </c>
      <c r="F1857" s="58" t="s">
        <v>299</v>
      </c>
      <c r="G1857" s="58" t="s">
        <v>300</v>
      </c>
      <c r="H1857" s="58" t="s">
        <v>179</v>
      </c>
      <c r="I1857">
        <v>38000</v>
      </c>
      <c r="J1857">
        <v>38000</v>
      </c>
      <c r="K1857" s="58" t="s">
        <v>185</v>
      </c>
      <c r="L1857" s="74">
        <v>17.702999999999999</v>
      </c>
      <c r="M1857" s="85">
        <v>18</v>
      </c>
      <c r="N1857" s="74">
        <v>0.65600000000000003</v>
      </c>
      <c r="O1857">
        <v>3</v>
      </c>
      <c r="P1857" s="84">
        <v>0.65600000000000003</v>
      </c>
      <c r="Q1857" s="86">
        <v>4.2</v>
      </c>
      <c r="R1857" s="85">
        <v>4.2</v>
      </c>
      <c r="S1857" s="87">
        <v>1808740</v>
      </c>
      <c r="T1857" s="1">
        <v>1</v>
      </c>
      <c r="U1857" s="88">
        <v>430652.38095238095</v>
      </c>
      <c r="V1857" s="59">
        <v>2.3220584495284009</v>
      </c>
    </row>
    <row r="1858" spans="1:22">
      <c r="A1858" s="58">
        <v>1860</v>
      </c>
      <c r="B1858" s="58">
        <v>1860</v>
      </c>
      <c r="C1858" s="58" t="s">
        <v>2653</v>
      </c>
      <c r="D1858" s="58" t="s">
        <v>1169</v>
      </c>
      <c r="E1858" s="58" t="s">
        <v>1169</v>
      </c>
      <c r="F1858" s="58" t="s">
        <v>883</v>
      </c>
      <c r="G1858" s="58" t="s">
        <v>884</v>
      </c>
      <c r="H1858" s="58" t="s">
        <v>179</v>
      </c>
      <c r="I1858">
        <v>38000</v>
      </c>
      <c r="J1858">
        <v>20000</v>
      </c>
      <c r="K1858">
        <v>38000</v>
      </c>
      <c r="L1858" s="74">
        <v>11.906000000000001</v>
      </c>
      <c r="M1858" s="85">
        <v>12</v>
      </c>
      <c r="N1858" s="74">
        <v>0.30299999999999999</v>
      </c>
      <c r="O1858">
        <v>3</v>
      </c>
      <c r="P1858" s="84">
        <v>0.30299999999999999</v>
      </c>
      <c r="Q1858" s="86">
        <v>4.2</v>
      </c>
      <c r="R1858" s="85">
        <v>4.2</v>
      </c>
      <c r="S1858" s="87">
        <v>1492540</v>
      </c>
      <c r="T1858" s="1">
        <v>1</v>
      </c>
      <c r="U1858" s="88">
        <v>355366.66666666663</v>
      </c>
      <c r="V1858" s="59">
        <v>2.8139949348091173</v>
      </c>
    </row>
    <row r="1859" spans="1:22">
      <c r="A1859" s="58">
        <v>1861</v>
      </c>
      <c r="B1859" s="58">
        <v>1861</v>
      </c>
      <c r="C1859" s="58" t="s">
        <v>2654</v>
      </c>
      <c r="D1859" s="58" t="s">
        <v>882</v>
      </c>
      <c r="E1859" s="58" t="s">
        <v>882</v>
      </c>
      <c r="F1859" s="58" t="s">
        <v>1149</v>
      </c>
      <c r="G1859" s="58" t="s">
        <v>1150</v>
      </c>
      <c r="H1859" s="58" t="s">
        <v>179</v>
      </c>
      <c r="I1859">
        <v>38000</v>
      </c>
      <c r="J1859">
        <v>38000</v>
      </c>
      <c r="K1859" s="58" t="s">
        <v>185</v>
      </c>
      <c r="L1859" s="74">
        <v>12.417999999999999</v>
      </c>
      <c r="M1859" s="85">
        <v>13</v>
      </c>
      <c r="N1859" s="74">
        <v>0.44</v>
      </c>
      <c r="O1859">
        <v>3</v>
      </c>
      <c r="P1859" s="84">
        <v>0.44</v>
      </c>
      <c r="Q1859" s="86">
        <v>4.2</v>
      </c>
      <c r="R1859" s="85">
        <v>4.2</v>
      </c>
      <c r="S1859" s="87">
        <v>1545240</v>
      </c>
      <c r="T1859" s="1">
        <v>1</v>
      </c>
      <c r="U1859" s="88">
        <v>367914.28571428568</v>
      </c>
      <c r="V1859" s="59">
        <v>2.7180243845616214</v>
      </c>
    </row>
    <row r="1860" spans="1:22">
      <c r="A1860" s="58">
        <v>1862</v>
      </c>
      <c r="B1860" s="58">
        <v>1862</v>
      </c>
      <c r="C1860" s="58" t="s">
        <v>2655</v>
      </c>
      <c r="D1860" s="58" t="s">
        <v>882</v>
      </c>
      <c r="E1860" s="58" t="s">
        <v>882</v>
      </c>
      <c r="F1860" s="58" t="s">
        <v>1889</v>
      </c>
      <c r="G1860" s="58" t="s">
        <v>1890</v>
      </c>
      <c r="H1860" s="58" t="s">
        <v>179</v>
      </c>
      <c r="I1860">
        <v>38000</v>
      </c>
      <c r="J1860">
        <v>38000</v>
      </c>
      <c r="K1860" s="58" t="s">
        <v>185</v>
      </c>
      <c r="L1860" s="74">
        <v>6.7569999999999997</v>
      </c>
      <c r="M1860" s="85">
        <v>7</v>
      </c>
      <c r="N1860" s="74">
        <v>0.871</v>
      </c>
      <c r="O1860">
        <v>3</v>
      </c>
      <c r="P1860" s="84">
        <v>0.871</v>
      </c>
      <c r="Q1860" s="86">
        <v>4.2</v>
      </c>
      <c r="R1860" s="85">
        <v>4.2</v>
      </c>
      <c r="S1860" s="87">
        <v>839680</v>
      </c>
      <c r="T1860" s="1">
        <v>4</v>
      </c>
      <c r="U1860" s="88">
        <v>199923.80952380953</v>
      </c>
      <c r="V1860" s="59">
        <v>5.0019054878048781</v>
      </c>
    </row>
    <row r="1861" spans="1:22">
      <c r="A1861" s="58">
        <v>1863</v>
      </c>
      <c r="B1861" s="58">
        <v>1863</v>
      </c>
      <c r="C1861" s="58" t="s">
        <v>2656</v>
      </c>
      <c r="D1861" s="58" t="s">
        <v>882</v>
      </c>
      <c r="E1861" s="58" t="s">
        <v>1190</v>
      </c>
      <c r="F1861" s="58" t="s">
        <v>2321</v>
      </c>
      <c r="G1861" s="58" t="s">
        <v>1926</v>
      </c>
      <c r="H1861" s="58" t="s">
        <v>179</v>
      </c>
      <c r="I1861">
        <v>38000</v>
      </c>
      <c r="J1861">
        <v>38000</v>
      </c>
      <c r="K1861" s="58" t="s">
        <v>2322</v>
      </c>
      <c r="L1861" s="74">
        <v>4.048</v>
      </c>
      <c r="M1861" s="85">
        <v>5</v>
      </c>
      <c r="N1861" s="74">
        <v>0.371</v>
      </c>
      <c r="O1861">
        <v>3</v>
      </c>
      <c r="P1861" s="84">
        <v>0.371</v>
      </c>
      <c r="Q1861" s="86">
        <v>4.2</v>
      </c>
      <c r="R1861" s="85">
        <v>4.2</v>
      </c>
      <c r="S1861" s="87">
        <v>699140</v>
      </c>
      <c r="T1861" s="1">
        <v>4</v>
      </c>
      <c r="U1861" s="88">
        <v>166461.90476190476</v>
      </c>
      <c r="V1861" s="59">
        <v>6.0073804960379897</v>
      </c>
    </row>
    <row r="1862" spans="1:22">
      <c r="A1862" s="58">
        <v>1864</v>
      </c>
      <c r="B1862" s="58">
        <v>1864</v>
      </c>
      <c r="C1862" s="58" t="s">
        <v>2657</v>
      </c>
      <c r="D1862" s="58" t="s">
        <v>182</v>
      </c>
      <c r="E1862" s="58" t="s">
        <v>182</v>
      </c>
      <c r="F1862" s="58" t="s">
        <v>1876</v>
      </c>
      <c r="G1862" s="58" t="s">
        <v>1877</v>
      </c>
      <c r="H1862" s="58" t="s">
        <v>179</v>
      </c>
      <c r="I1862">
        <v>38000</v>
      </c>
      <c r="J1862">
        <v>38000</v>
      </c>
      <c r="K1862">
        <v>20000</v>
      </c>
      <c r="L1862" s="74">
        <v>8.0180000000000007</v>
      </c>
      <c r="M1862" s="85">
        <v>9</v>
      </c>
      <c r="N1862" s="74">
        <v>1.873</v>
      </c>
      <c r="O1862">
        <v>3</v>
      </c>
      <c r="P1862" s="84">
        <v>1.4047499999999999</v>
      </c>
      <c r="Q1862" s="86">
        <v>8.4</v>
      </c>
      <c r="R1862" s="85">
        <v>8.4</v>
      </c>
      <c r="S1862" s="87">
        <v>1379800</v>
      </c>
      <c r="T1862" s="1">
        <v>2</v>
      </c>
      <c r="U1862" s="88">
        <v>164261.90476190476</v>
      </c>
      <c r="V1862" s="59">
        <v>6.087838817219887</v>
      </c>
    </row>
    <row r="1863" spans="1:22">
      <c r="A1863" s="58">
        <v>1865</v>
      </c>
      <c r="B1863" s="58">
        <v>1865</v>
      </c>
      <c r="C1863" s="58" t="s">
        <v>2658</v>
      </c>
      <c r="D1863" s="58" t="s">
        <v>852</v>
      </c>
      <c r="E1863" s="58" t="s">
        <v>852</v>
      </c>
      <c r="F1863" s="58" t="s">
        <v>1876</v>
      </c>
      <c r="G1863" s="58" t="s">
        <v>1877</v>
      </c>
      <c r="H1863" s="58" t="s">
        <v>179</v>
      </c>
      <c r="I1863">
        <v>38000</v>
      </c>
      <c r="J1863">
        <v>38000</v>
      </c>
      <c r="K1863">
        <v>20000</v>
      </c>
      <c r="L1863" s="74">
        <v>9.5679999999999996</v>
      </c>
      <c r="M1863" s="85">
        <v>10</v>
      </c>
      <c r="N1863" s="74">
        <v>0.80500000000000005</v>
      </c>
      <c r="O1863">
        <v>3</v>
      </c>
      <c r="P1863" s="84">
        <v>0.80500000000000005</v>
      </c>
      <c r="Q1863" s="86">
        <v>4.2</v>
      </c>
      <c r="R1863" s="85">
        <v>4.2</v>
      </c>
      <c r="S1863" s="87">
        <v>1387140</v>
      </c>
      <c r="T1863" s="1">
        <v>1</v>
      </c>
      <c r="U1863" s="88">
        <v>330271.42857142858</v>
      </c>
      <c r="V1863" s="59">
        <v>3.0278126216531858</v>
      </c>
    </row>
    <row r="1864" spans="1:22">
      <c r="A1864" s="58">
        <v>1866</v>
      </c>
      <c r="B1864" s="58">
        <v>1866</v>
      </c>
      <c r="C1864" s="58" t="s">
        <v>2659</v>
      </c>
      <c r="D1864" s="58" t="s">
        <v>215</v>
      </c>
      <c r="E1864" s="58" t="s">
        <v>215</v>
      </c>
      <c r="F1864" s="58" t="s">
        <v>1661</v>
      </c>
      <c r="G1864" s="58" t="s">
        <v>1662</v>
      </c>
      <c r="H1864" s="58" t="s">
        <v>179</v>
      </c>
      <c r="I1864">
        <v>38000</v>
      </c>
      <c r="J1864">
        <v>38000</v>
      </c>
      <c r="K1864" s="58" t="s">
        <v>185</v>
      </c>
      <c r="L1864" s="74">
        <v>12.57</v>
      </c>
      <c r="M1864" s="85">
        <v>13</v>
      </c>
      <c r="N1864" s="74">
        <v>1.1000000000000001</v>
      </c>
      <c r="O1864">
        <v>3</v>
      </c>
      <c r="P1864" s="84">
        <v>1.1000000000000001</v>
      </c>
      <c r="Q1864" s="86">
        <v>4.2</v>
      </c>
      <c r="R1864" s="85">
        <v>4.2</v>
      </c>
      <c r="S1864" s="87">
        <v>1545240</v>
      </c>
      <c r="T1864" s="1">
        <v>1</v>
      </c>
      <c r="U1864" s="88">
        <v>367914.28571428568</v>
      </c>
      <c r="V1864" s="59">
        <v>2.7180243845616214</v>
      </c>
    </row>
    <row r="1865" spans="1:22">
      <c r="A1865" s="58">
        <v>1867</v>
      </c>
      <c r="B1865" s="58">
        <v>1867</v>
      </c>
      <c r="C1865" s="58" t="s">
        <v>2660</v>
      </c>
      <c r="D1865" s="58" t="s">
        <v>410</v>
      </c>
      <c r="E1865" s="58" t="s">
        <v>410</v>
      </c>
      <c r="F1865" s="58" t="s">
        <v>1993</v>
      </c>
      <c r="G1865" s="58" t="s">
        <v>1994</v>
      </c>
      <c r="H1865" s="58" t="s">
        <v>179</v>
      </c>
      <c r="I1865">
        <v>38000</v>
      </c>
      <c r="J1865">
        <v>38000</v>
      </c>
      <c r="K1865" s="58" t="s">
        <v>185</v>
      </c>
      <c r="L1865" s="74">
        <v>3.7280000000000002</v>
      </c>
      <c r="M1865" s="85">
        <v>4</v>
      </c>
      <c r="N1865" s="74">
        <v>0.49199999999999999</v>
      </c>
      <c r="O1865">
        <v>3</v>
      </c>
      <c r="P1865" s="84">
        <v>0.49199999999999999</v>
      </c>
      <c r="Q1865" s="86">
        <v>4.2</v>
      </c>
      <c r="R1865" s="85">
        <v>4.2</v>
      </c>
      <c r="S1865" s="87">
        <v>628870</v>
      </c>
      <c r="T1865" s="1">
        <v>4</v>
      </c>
      <c r="U1865" s="88">
        <v>149730.95238095237</v>
      </c>
      <c r="V1865" s="59">
        <v>6.6786458250512828</v>
      </c>
    </row>
    <row r="1866" spans="1:22">
      <c r="A1866" s="58">
        <v>1868</v>
      </c>
      <c r="B1866" s="58">
        <v>1868</v>
      </c>
      <c r="C1866" s="58" t="s">
        <v>2661</v>
      </c>
      <c r="D1866" s="58" t="s">
        <v>182</v>
      </c>
      <c r="E1866" s="58" t="s">
        <v>197</v>
      </c>
      <c r="F1866" s="58" t="s">
        <v>486</v>
      </c>
      <c r="G1866" s="58" t="s">
        <v>487</v>
      </c>
      <c r="H1866" s="58" t="s">
        <v>179</v>
      </c>
      <c r="I1866">
        <v>38000</v>
      </c>
      <c r="J1866">
        <v>38000</v>
      </c>
      <c r="K1866" s="58" t="s">
        <v>185</v>
      </c>
      <c r="L1866" s="74">
        <v>6.8449999999999998</v>
      </c>
      <c r="M1866" s="85">
        <v>7</v>
      </c>
      <c r="N1866" s="74">
        <v>3.1909999999999998</v>
      </c>
      <c r="O1866">
        <v>3</v>
      </c>
      <c r="P1866" s="84">
        <v>2.3932500000000001</v>
      </c>
      <c r="Q1866" s="86">
        <v>16.8</v>
      </c>
      <c r="R1866" s="85">
        <v>16.8</v>
      </c>
      <c r="S1866" s="87">
        <v>839680</v>
      </c>
      <c r="T1866" s="1">
        <v>4</v>
      </c>
      <c r="U1866" s="88">
        <v>49980.952380952382</v>
      </c>
      <c r="V1866" s="59">
        <v>20.007621951219512</v>
      </c>
    </row>
    <row r="1867" spans="1:22">
      <c r="A1867" s="58">
        <v>1869</v>
      </c>
      <c r="B1867" s="58">
        <v>1869</v>
      </c>
      <c r="C1867" s="58" t="s">
        <v>2662</v>
      </c>
      <c r="D1867" s="58" t="s">
        <v>882</v>
      </c>
      <c r="E1867" s="58" t="s">
        <v>882</v>
      </c>
      <c r="F1867" s="58" t="s">
        <v>2550</v>
      </c>
      <c r="G1867" s="58" t="s">
        <v>2551</v>
      </c>
      <c r="H1867" s="58" t="s">
        <v>199</v>
      </c>
      <c r="I1867">
        <v>110000</v>
      </c>
      <c r="J1867" s="58" t="s">
        <v>185</v>
      </c>
      <c r="K1867">
        <v>110000</v>
      </c>
      <c r="L1867" s="74">
        <v>5.2889999999999997</v>
      </c>
      <c r="M1867" s="85">
        <v>6</v>
      </c>
      <c r="N1867" s="74">
        <v>1.1659999999999999</v>
      </c>
      <c r="O1867">
        <v>3</v>
      </c>
      <c r="P1867" s="84">
        <v>1.1659999999999999</v>
      </c>
      <c r="Q1867" s="86">
        <v>4.2</v>
      </c>
      <c r="R1867" s="85">
        <v>4.2</v>
      </c>
      <c r="S1867" s="87">
        <v>1732670</v>
      </c>
      <c r="T1867" s="1">
        <v>7</v>
      </c>
      <c r="U1867" s="88">
        <v>412540.47619047615</v>
      </c>
      <c r="V1867" s="59">
        <v>2.4240045709800482</v>
      </c>
    </row>
    <row r="1868" spans="1:22">
      <c r="A1868" s="58">
        <v>1870</v>
      </c>
      <c r="B1868" s="58">
        <v>1870</v>
      </c>
      <c r="C1868" s="58" t="s">
        <v>2663</v>
      </c>
      <c r="D1868" s="58" t="s">
        <v>182</v>
      </c>
      <c r="E1868" s="58" t="s">
        <v>182</v>
      </c>
      <c r="F1868" s="58" t="s">
        <v>1790</v>
      </c>
      <c r="G1868" s="58" t="s">
        <v>1791</v>
      </c>
      <c r="H1868" s="58" t="s">
        <v>179</v>
      </c>
      <c r="I1868">
        <v>38000</v>
      </c>
      <c r="J1868">
        <v>38000</v>
      </c>
      <c r="K1868" s="58" t="s">
        <v>185</v>
      </c>
      <c r="L1868" s="74">
        <v>15.644</v>
      </c>
      <c r="M1868" s="85">
        <v>16</v>
      </c>
      <c r="N1868" s="74">
        <v>1.5940000000000001</v>
      </c>
      <c r="O1868">
        <v>3</v>
      </c>
      <c r="P1868" s="84">
        <v>1.1955</v>
      </c>
      <c r="Q1868" s="86">
        <v>4.2</v>
      </c>
      <c r="R1868" s="85">
        <v>4.2</v>
      </c>
      <c r="S1868" s="87">
        <v>1703340</v>
      </c>
      <c r="T1868" s="1">
        <v>1</v>
      </c>
      <c r="U1868" s="88">
        <v>405557.14285714284</v>
      </c>
      <c r="V1868" s="59">
        <v>2.4657437739969708</v>
      </c>
    </row>
    <row r="1869" spans="1:22">
      <c r="A1869" s="58">
        <v>1871</v>
      </c>
      <c r="B1869" s="58">
        <v>1871</v>
      </c>
      <c r="C1869" s="58" t="s">
        <v>2664</v>
      </c>
      <c r="D1869" s="58" t="s">
        <v>1169</v>
      </c>
      <c r="E1869" s="58" t="s">
        <v>1169</v>
      </c>
      <c r="F1869" s="58" t="s">
        <v>2301</v>
      </c>
      <c r="G1869" s="58" t="s">
        <v>2302</v>
      </c>
      <c r="H1869" s="58" t="s">
        <v>179</v>
      </c>
      <c r="I1869">
        <v>38000</v>
      </c>
      <c r="J1869">
        <v>38000</v>
      </c>
      <c r="K1869" s="58" t="s">
        <v>185</v>
      </c>
      <c r="L1869" s="74">
        <v>7.4409999999999998</v>
      </c>
      <c r="M1869" s="85">
        <v>8</v>
      </c>
      <c r="N1869" s="74">
        <v>0.39400000000000002</v>
      </c>
      <c r="O1869">
        <v>3</v>
      </c>
      <c r="P1869" s="84">
        <v>0.39400000000000002</v>
      </c>
      <c r="Q1869" s="86">
        <v>4.2</v>
      </c>
      <c r="R1869" s="85">
        <v>4.2</v>
      </c>
      <c r="S1869" s="87">
        <v>909950</v>
      </c>
      <c r="T1869" s="1">
        <v>4</v>
      </c>
      <c r="U1869" s="88">
        <v>216654.76190476189</v>
      </c>
      <c r="V1869" s="59">
        <v>4.6156382218803227</v>
      </c>
    </row>
    <row r="1870" spans="1:22">
      <c r="A1870" s="58">
        <v>1872</v>
      </c>
      <c r="B1870" s="58">
        <v>1872</v>
      </c>
      <c r="C1870" s="58" t="s">
        <v>2665</v>
      </c>
      <c r="D1870" s="58" t="s">
        <v>182</v>
      </c>
      <c r="E1870" s="58" t="s">
        <v>182</v>
      </c>
      <c r="F1870" s="58" t="s">
        <v>959</v>
      </c>
      <c r="G1870" s="58" t="s">
        <v>960</v>
      </c>
      <c r="H1870" s="58" t="s">
        <v>179</v>
      </c>
      <c r="I1870">
        <v>38000</v>
      </c>
      <c r="J1870">
        <v>38000</v>
      </c>
      <c r="K1870" s="58" t="s">
        <v>185</v>
      </c>
      <c r="L1870" s="74">
        <v>8.1240000000000006</v>
      </c>
      <c r="M1870" s="85">
        <v>9</v>
      </c>
      <c r="N1870" s="74">
        <v>0.375</v>
      </c>
      <c r="O1870">
        <v>3</v>
      </c>
      <c r="P1870" s="84">
        <v>0.375</v>
      </c>
      <c r="Q1870" s="86">
        <v>4.2</v>
      </c>
      <c r="R1870" s="85">
        <v>4.2</v>
      </c>
      <c r="S1870" s="87">
        <v>1334440</v>
      </c>
      <c r="T1870" s="1">
        <v>1</v>
      </c>
      <c r="U1870" s="88">
        <v>317723.80952380953</v>
      </c>
      <c r="V1870" s="59">
        <v>3.1473876682353645</v>
      </c>
    </row>
    <row r="1871" spans="1:22">
      <c r="A1871" s="58">
        <v>1873</v>
      </c>
      <c r="B1871" s="58">
        <v>1873</v>
      </c>
      <c r="C1871" s="58" t="s">
        <v>2666</v>
      </c>
      <c r="D1871" s="58" t="s">
        <v>410</v>
      </c>
      <c r="E1871" s="58" t="s">
        <v>882</v>
      </c>
      <c r="F1871" s="58" t="s">
        <v>1149</v>
      </c>
      <c r="G1871" s="58" t="s">
        <v>1150</v>
      </c>
      <c r="H1871" s="58" t="s">
        <v>179</v>
      </c>
      <c r="I1871">
        <v>38000</v>
      </c>
      <c r="J1871">
        <v>38000</v>
      </c>
      <c r="K1871" s="58" t="s">
        <v>185</v>
      </c>
      <c r="L1871" s="74">
        <v>6.2480000000000002</v>
      </c>
      <c r="M1871" s="85">
        <v>7</v>
      </c>
      <c r="N1871" s="74">
        <v>1.5289999999999999</v>
      </c>
      <c r="O1871">
        <v>3</v>
      </c>
      <c r="P1871" s="84">
        <v>1.1467499999999999</v>
      </c>
      <c r="Q1871" s="86">
        <v>4.2</v>
      </c>
      <c r="R1871" s="85">
        <v>4.2</v>
      </c>
      <c r="S1871" s="87">
        <v>839680</v>
      </c>
      <c r="T1871" s="1">
        <v>4</v>
      </c>
      <c r="U1871" s="88">
        <v>199923.80952380953</v>
      </c>
      <c r="V1871" s="59">
        <v>5.0019054878048781</v>
      </c>
    </row>
    <row r="1872" spans="1:22">
      <c r="A1872" s="58">
        <v>1874</v>
      </c>
      <c r="B1872" s="58">
        <v>1874</v>
      </c>
      <c r="C1872" s="58" t="s">
        <v>2667</v>
      </c>
      <c r="D1872" s="58" t="s">
        <v>215</v>
      </c>
      <c r="E1872" s="58" t="s">
        <v>215</v>
      </c>
      <c r="F1872" s="58" t="s">
        <v>483</v>
      </c>
      <c r="G1872" s="58" t="s">
        <v>484</v>
      </c>
      <c r="H1872" s="58" t="s">
        <v>179</v>
      </c>
      <c r="I1872">
        <v>38000</v>
      </c>
      <c r="L1872" s="74">
        <v>6.4450000000000003</v>
      </c>
      <c r="M1872" s="85">
        <v>7</v>
      </c>
      <c r="N1872" s="74">
        <v>0.84799999999999998</v>
      </c>
      <c r="O1872">
        <v>3</v>
      </c>
      <c r="P1872" s="84">
        <v>0.84799999999999998</v>
      </c>
      <c r="Q1872" s="86">
        <v>4.2</v>
      </c>
      <c r="R1872" s="85">
        <v>4.2</v>
      </c>
      <c r="S1872" s="87">
        <v>839680</v>
      </c>
      <c r="T1872" s="1">
        <v>4</v>
      </c>
      <c r="U1872" s="88">
        <v>199923.80952380953</v>
      </c>
      <c r="V1872" s="59">
        <v>5.0019054878048781</v>
      </c>
    </row>
    <row r="1873" spans="1:22">
      <c r="A1873" s="58">
        <v>1875</v>
      </c>
      <c r="B1873" s="58">
        <v>1875</v>
      </c>
      <c r="C1873" s="58" t="s">
        <v>2668</v>
      </c>
      <c r="D1873" s="58" t="s">
        <v>182</v>
      </c>
      <c r="E1873" s="58" t="s">
        <v>182</v>
      </c>
      <c r="F1873" s="58" t="s">
        <v>486</v>
      </c>
      <c r="G1873" s="58" t="s">
        <v>487</v>
      </c>
      <c r="H1873" s="58" t="s">
        <v>179</v>
      </c>
      <c r="I1873">
        <v>38000</v>
      </c>
      <c r="J1873">
        <v>38000</v>
      </c>
      <c r="K1873" s="58" t="s">
        <v>185</v>
      </c>
      <c r="L1873" s="74">
        <v>11.737</v>
      </c>
      <c r="M1873" s="85">
        <v>12</v>
      </c>
      <c r="N1873" s="74">
        <v>0.58199999999999996</v>
      </c>
      <c r="O1873">
        <v>3</v>
      </c>
      <c r="P1873" s="84">
        <v>0.58199999999999996</v>
      </c>
      <c r="Q1873" s="86">
        <v>4.2</v>
      </c>
      <c r="R1873" s="85">
        <v>4.2</v>
      </c>
      <c r="S1873" s="87">
        <v>1492540</v>
      </c>
      <c r="T1873" s="1">
        <v>1</v>
      </c>
      <c r="U1873" s="88">
        <v>355366.66666666663</v>
      </c>
      <c r="V1873" s="59">
        <v>2.8139949348091173</v>
      </c>
    </row>
    <row r="1874" spans="1:22">
      <c r="A1874" s="58">
        <v>1876</v>
      </c>
      <c r="B1874" s="58">
        <v>1876</v>
      </c>
      <c r="C1874" s="58" t="s">
        <v>2669</v>
      </c>
      <c r="D1874" s="58" t="s">
        <v>197</v>
      </c>
      <c r="E1874" s="58" t="s">
        <v>197</v>
      </c>
      <c r="F1874" s="58" t="s">
        <v>486</v>
      </c>
      <c r="G1874" s="58" t="s">
        <v>487</v>
      </c>
      <c r="H1874" s="58" t="s">
        <v>179</v>
      </c>
      <c r="I1874">
        <v>38000</v>
      </c>
      <c r="J1874">
        <v>38000</v>
      </c>
      <c r="K1874" s="58" t="s">
        <v>185</v>
      </c>
      <c r="L1874" s="74">
        <v>12.417999999999999</v>
      </c>
      <c r="M1874" s="85">
        <v>13</v>
      </c>
      <c r="N1874" s="74">
        <v>0.60799999999999998</v>
      </c>
      <c r="O1874">
        <v>3</v>
      </c>
      <c r="P1874" s="84">
        <v>0.60799999999999998</v>
      </c>
      <c r="Q1874" s="86">
        <v>4.2</v>
      </c>
      <c r="R1874" s="85">
        <v>4.2</v>
      </c>
      <c r="S1874" s="87">
        <v>1545240</v>
      </c>
      <c r="T1874" s="1">
        <v>1</v>
      </c>
      <c r="U1874" s="88">
        <v>367914.28571428568</v>
      </c>
      <c r="V1874" s="59">
        <v>2.7180243845616214</v>
      </c>
    </row>
    <row r="1875" spans="1:22">
      <c r="A1875" s="58">
        <v>1877</v>
      </c>
      <c r="B1875" s="58">
        <v>1877</v>
      </c>
      <c r="C1875" s="58" t="s">
        <v>2670</v>
      </c>
      <c r="D1875" s="58" t="s">
        <v>775</v>
      </c>
      <c r="E1875" s="58" t="s">
        <v>775</v>
      </c>
      <c r="F1875" s="58" t="s">
        <v>2671</v>
      </c>
      <c r="G1875" s="58" t="s">
        <v>2672</v>
      </c>
      <c r="H1875" s="58" t="s">
        <v>179</v>
      </c>
      <c r="I1875">
        <v>38000</v>
      </c>
      <c r="J1875">
        <v>38000</v>
      </c>
      <c r="K1875" s="58" t="s">
        <v>185</v>
      </c>
      <c r="L1875" s="74">
        <v>5.57</v>
      </c>
      <c r="M1875" s="85">
        <v>6</v>
      </c>
      <c r="N1875" s="74">
        <v>0.47899999999999998</v>
      </c>
      <c r="O1875">
        <v>3</v>
      </c>
      <c r="P1875" s="84">
        <v>0.47899999999999998</v>
      </c>
      <c r="Q1875" s="86">
        <v>4.2</v>
      </c>
      <c r="R1875" s="85">
        <v>4.2</v>
      </c>
      <c r="S1875" s="87">
        <v>769410</v>
      </c>
      <c r="T1875" s="1">
        <v>4</v>
      </c>
      <c r="U1875" s="88">
        <v>183192.85714285713</v>
      </c>
      <c r="V1875" s="59">
        <v>5.4587281163488903</v>
      </c>
    </row>
    <row r="1876" spans="1:22">
      <c r="A1876" s="58">
        <v>1878</v>
      </c>
      <c r="B1876" s="58">
        <v>1878</v>
      </c>
      <c r="C1876" s="58" t="s">
        <v>2673</v>
      </c>
      <c r="D1876" s="58" t="s">
        <v>410</v>
      </c>
      <c r="E1876" s="58" t="s">
        <v>1169</v>
      </c>
      <c r="F1876" s="58" t="s">
        <v>1827</v>
      </c>
      <c r="G1876" s="58" t="s">
        <v>1828</v>
      </c>
      <c r="H1876" s="58" t="s">
        <v>199</v>
      </c>
      <c r="I1876">
        <v>110000</v>
      </c>
      <c r="J1876">
        <v>110000</v>
      </c>
      <c r="K1876">
        <v>38000</v>
      </c>
      <c r="L1876" s="74">
        <v>6.6710000000000003</v>
      </c>
      <c r="M1876" s="85">
        <v>7</v>
      </c>
      <c r="N1876" s="74">
        <v>2.629</v>
      </c>
      <c r="O1876">
        <v>3</v>
      </c>
      <c r="P1876" s="84">
        <v>1.9717500000000001</v>
      </c>
      <c r="Q1876" s="86">
        <v>12.600000000000001</v>
      </c>
      <c r="R1876" s="85">
        <v>12.600000000000001</v>
      </c>
      <c r="S1876" s="87">
        <v>1785370</v>
      </c>
      <c r="T1876" s="1">
        <v>7</v>
      </c>
      <c r="U1876" s="88">
        <v>141696.03174603172</v>
      </c>
      <c r="V1876" s="59">
        <v>7.0573606591350826</v>
      </c>
    </row>
    <row r="1877" spans="1:22">
      <c r="A1877" s="58">
        <v>1879</v>
      </c>
      <c r="B1877" s="58">
        <v>1879</v>
      </c>
      <c r="C1877" s="58" t="s">
        <v>2674</v>
      </c>
      <c r="D1877" s="58" t="s">
        <v>410</v>
      </c>
      <c r="E1877" s="58" t="s">
        <v>410</v>
      </c>
      <c r="F1877" s="58" t="s">
        <v>451</v>
      </c>
      <c r="G1877" s="58" t="s">
        <v>452</v>
      </c>
      <c r="H1877" s="58" t="s">
        <v>179</v>
      </c>
      <c r="I1877">
        <v>38000</v>
      </c>
      <c r="J1877">
        <v>38000</v>
      </c>
      <c r="K1877" s="58" t="s">
        <v>185</v>
      </c>
      <c r="L1877" s="74">
        <v>9.234</v>
      </c>
      <c r="M1877" s="85">
        <v>10</v>
      </c>
      <c r="N1877" s="74">
        <v>0.49</v>
      </c>
      <c r="O1877">
        <v>3</v>
      </c>
      <c r="P1877" s="84">
        <v>0.49</v>
      </c>
      <c r="Q1877" s="86">
        <v>4.2</v>
      </c>
      <c r="R1877" s="85">
        <v>4.2</v>
      </c>
      <c r="S1877" s="87">
        <v>1387140</v>
      </c>
      <c r="T1877" s="1">
        <v>1</v>
      </c>
      <c r="U1877" s="88">
        <v>330271.42857142858</v>
      </c>
      <c r="V1877" s="59">
        <v>3.0278126216531858</v>
      </c>
    </row>
    <row r="1878" spans="1:22">
      <c r="A1878" s="58">
        <v>1880</v>
      </c>
      <c r="B1878" s="58">
        <v>1880</v>
      </c>
      <c r="C1878" s="58" t="s">
        <v>2675</v>
      </c>
      <c r="D1878" s="58" t="s">
        <v>489</v>
      </c>
      <c r="E1878" s="58" t="s">
        <v>489</v>
      </c>
      <c r="F1878" s="58" t="s">
        <v>1161</v>
      </c>
      <c r="G1878" s="58" t="s">
        <v>1162</v>
      </c>
      <c r="H1878" s="58" t="s">
        <v>179</v>
      </c>
      <c r="I1878">
        <v>38000</v>
      </c>
      <c r="J1878">
        <v>38000</v>
      </c>
      <c r="K1878" s="58" t="s">
        <v>185</v>
      </c>
      <c r="L1878" s="74">
        <v>5.8609999999999998</v>
      </c>
      <c r="M1878" s="85">
        <v>6</v>
      </c>
      <c r="N1878" s="74">
        <v>1.103</v>
      </c>
      <c r="O1878">
        <v>3</v>
      </c>
      <c r="P1878" s="84">
        <v>1.103</v>
      </c>
      <c r="Q1878" s="86">
        <v>4.2</v>
      </c>
      <c r="R1878" s="85">
        <v>4.2</v>
      </c>
      <c r="S1878" s="87">
        <v>769410</v>
      </c>
      <c r="T1878" s="1">
        <v>4</v>
      </c>
      <c r="U1878" s="88">
        <v>183192.85714285713</v>
      </c>
      <c r="V1878" s="59">
        <v>5.4587281163488903</v>
      </c>
    </row>
    <row r="1879" spans="1:22">
      <c r="A1879" s="58">
        <v>1881</v>
      </c>
      <c r="B1879" s="58">
        <v>1881</v>
      </c>
      <c r="C1879" s="58" t="s">
        <v>2676</v>
      </c>
      <c r="D1879" s="58" t="s">
        <v>489</v>
      </c>
      <c r="E1879" s="58" t="s">
        <v>489</v>
      </c>
      <c r="F1879" s="58" t="s">
        <v>469</v>
      </c>
      <c r="G1879" s="58" t="s">
        <v>470</v>
      </c>
      <c r="H1879" s="58" t="s">
        <v>179</v>
      </c>
      <c r="I1879">
        <v>38000</v>
      </c>
      <c r="J1879">
        <v>38000</v>
      </c>
      <c r="K1879" s="58" t="s">
        <v>185</v>
      </c>
      <c r="L1879" s="74">
        <v>5.556</v>
      </c>
      <c r="M1879" s="85">
        <v>6</v>
      </c>
      <c r="N1879" s="74">
        <v>2.1680000000000001</v>
      </c>
      <c r="O1879">
        <v>3</v>
      </c>
      <c r="P1879" s="84">
        <v>1.6260000000000001</v>
      </c>
      <c r="Q1879" s="86">
        <v>8.4</v>
      </c>
      <c r="R1879" s="85">
        <v>8.4</v>
      </c>
      <c r="S1879" s="87">
        <v>769410</v>
      </c>
      <c r="T1879" s="1">
        <v>4</v>
      </c>
      <c r="U1879" s="88">
        <v>91596.428571428565</v>
      </c>
      <c r="V1879" s="59">
        <v>10.917456232697781</v>
      </c>
    </row>
    <row r="1880" spans="1:22">
      <c r="A1880" s="58">
        <v>1882</v>
      </c>
      <c r="B1880" s="58">
        <v>1882</v>
      </c>
      <c r="C1880" s="58" t="s">
        <v>2677</v>
      </c>
      <c r="D1880" s="58" t="s">
        <v>489</v>
      </c>
      <c r="E1880" s="58" t="s">
        <v>489</v>
      </c>
      <c r="F1880" s="58" t="s">
        <v>469</v>
      </c>
      <c r="G1880" s="58" t="s">
        <v>470</v>
      </c>
      <c r="H1880" s="58" t="s">
        <v>179</v>
      </c>
      <c r="I1880">
        <v>38000</v>
      </c>
      <c r="J1880">
        <v>38000</v>
      </c>
      <c r="K1880" s="58" t="s">
        <v>185</v>
      </c>
      <c r="L1880" s="74">
        <v>2.4249999999999998</v>
      </c>
      <c r="M1880" s="85">
        <v>3</v>
      </c>
      <c r="N1880" s="74">
        <v>0.80900000000000005</v>
      </c>
      <c r="O1880">
        <v>3</v>
      </c>
      <c r="P1880" s="84">
        <v>0.80900000000000005</v>
      </c>
      <c r="Q1880" s="86">
        <v>4.2</v>
      </c>
      <c r="R1880" s="85">
        <v>4.2</v>
      </c>
      <c r="S1880" s="87">
        <v>558600</v>
      </c>
      <c r="T1880" s="1">
        <v>4</v>
      </c>
      <c r="U1880" s="88">
        <v>133000</v>
      </c>
      <c r="V1880" s="59">
        <v>7.518796992481203</v>
      </c>
    </row>
    <row r="1881" spans="1:22">
      <c r="A1881" s="58">
        <v>1883</v>
      </c>
      <c r="B1881" s="58">
        <v>1883</v>
      </c>
      <c r="C1881" s="58" t="s">
        <v>2678</v>
      </c>
      <c r="D1881" s="58" t="s">
        <v>489</v>
      </c>
      <c r="E1881" s="58" t="s">
        <v>489</v>
      </c>
      <c r="F1881" s="58" t="s">
        <v>469</v>
      </c>
      <c r="G1881" s="58" t="s">
        <v>470</v>
      </c>
      <c r="H1881" s="58" t="s">
        <v>179</v>
      </c>
      <c r="I1881">
        <v>38000</v>
      </c>
      <c r="J1881">
        <v>38000</v>
      </c>
      <c r="K1881" s="58" t="s">
        <v>185</v>
      </c>
      <c r="L1881" s="74">
        <v>5.3550000000000004</v>
      </c>
      <c r="M1881" s="85">
        <v>6</v>
      </c>
      <c r="N1881" s="74">
        <v>1.9179999999999999</v>
      </c>
      <c r="O1881">
        <v>3</v>
      </c>
      <c r="P1881" s="84">
        <v>1.4384999999999999</v>
      </c>
      <c r="Q1881" s="86">
        <v>8.4</v>
      </c>
      <c r="R1881" s="85">
        <v>8.4</v>
      </c>
      <c r="S1881" s="87">
        <v>769410</v>
      </c>
      <c r="T1881" s="1">
        <v>4</v>
      </c>
      <c r="U1881" s="88">
        <v>91596.428571428565</v>
      </c>
      <c r="V1881" s="59">
        <v>10.917456232697781</v>
      </c>
    </row>
    <row r="1882" spans="1:22">
      <c r="A1882" s="58">
        <v>1884</v>
      </c>
      <c r="B1882" s="58">
        <v>1884</v>
      </c>
      <c r="C1882" s="58" t="s">
        <v>2679</v>
      </c>
      <c r="D1882" s="58" t="s">
        <v>882</v>
      </c>
      <c r="E1882" s="58" t="s">
        <v>882</v>
      </c>
      <c r="F1882" s="58" t="s">
        <v>1819</v>
      </c>
      <c r="G1882" s="58" t="s">
        <v>1820</v>
      </c>
      <c r="H1882" s="58" t="s">
        <v>199</v>
      </c>
      <c r="I1882">
        <v>110000</v>
      </c>
      <c r="J1882">
        <v>20000</v>
      </c>
      <c r="K1882">
        <v>110000</v>
      </c>
      <c r="L1882" s="74">
        <v>5.8929999999999998</v>
      </c>
      <c r="M1882" s="85">
        <v>6</v>
      </c>
      <c r="N1882" s="74">
        <v>0.53400000000000003</v>
      </c>
      <c r="O1882">
        <v>3</v>
      </c>
      <c r="P1882" s="84">
        <v>0.53400000000000003</v>
      </c>
      <c r="Q1882" s="86">
        <v>4.2</v>
      </c>
      <c r="R1882" s="85">
        <v>4.2</v>
      </c>
      <c r="S1882" s="87">
        <v>1732670</v>
      </c>
      <c r="T1882" s="1">
        <v>7</v>
      </c>
      <c r="U1882" s="88">
        <v>412540.47619047615</v>
      </c>
      <c r="V1882" s="59">
        <v>2.4240045709800482</v>
      </c>
    </row>
    <row r="1883" spans="1:22">
      <c r="A1883" s="58">
        <v>1885</v>
      </c>
      <c r="B1883" s="58">
        <v>1885</v>
      </c>
      <c r="C1883" s="58" t="s">
        <v>2680</v>
      </c>
      <c r="D1883" s="58" t="s">
        <v>775</v>
      </c>
      <c r="E1883" s="58" t="s">
        <v>775</v>
      </c>
      <c r="F1883" s="58" t="s">
        <v>2681</v>
      </c>
      <c r="G1883" s="58" t="s">
        <v>2682</v>
      </c>
      <c r="H1883" s="58" t="s">
        <v>179</v>
      </c>
      <c r="I1883">
        <v>38000</v>
      </c>
      <c r="J1883">
        <v>38000</v>
      </c>
      <c r="K1883" s="58" t="s">
        <v>185</v>
      </c>
      <c r="L1883" s="74">
        <v>4.726</v>
      </c>
      <c r="M1883" s="85">
        <v>5</v>
      </c>
      <c r="N1883" s="74">
        <v>1.034</v>
      </c>
      <c r="O1883">
        <v>3</v>
      </c>
      <c r="P1883" s="84">
        <v>1.034</v>
      </c>
      <c r="Q1883" s="86">
        <v>4.2</v>
      </c>
      <c r="R1883" s="85">
        <v>4.2</v>
      </c>
      <c r="S1883" s="87">
        <v>699140</v>
      </c>
      <c r="T1883" s="1">
        <v>4</v>
      </c>
      <c r="U1883" s="88">
        <v>166461.90476190476</v>
      </c>
      <c r="V1883" s="59">
        <v>6.0073804960379897</v>
      </c>
    </row>
    <row r="1884" spans="1:22">
      <c r="A1884" s="58">
        <v>1886</v>
      </c>
      <c r="B1884" s="58">
        <v>1886</v>
      </c>
      <c r="C1884" s="58" t="s">
        <v>2683</v>
      </c>
      <c r="D1884" s="58" t="s">
        <v>410</v>
      </c>
      <c r="E1884" s="58" t="s">
        <v>410</v>
      </c>
      <c r="F1884" s="58" t="s">
        <v>2684</v>
      </c>
      <c r="G1884" s="58" t="s">
        <v>2685</v>
      </c>
      <c r="H1884" s="58" t="s">
        <v>199</v>
      </c>
      <c r="I1884">
        <v>110000</v>
      </c>
      <c r="L1884" s="74">
        <v>5.4550000000000001</v>
      </c>
      <c r="M1884" s="85">
        <v>6</v>
      </c>
      <c r="N1884" s="74">
        <v>0.72699999999999998</v>
      </c>
      <c r="O1884">
        <v>3</v>
      </c>
      <c r="P1884" s="84">
        <v>0.72699999999999998</v>
      </c>
      <c r="Q1884" s="86">
        <v>4.2</v>
      </c>
      <c r="R1884" s="85">
        <v>4.2</v>
      </c>
      <c r="S1884" s="87">
        <v>1732670</v>
      </c>
      <c r="T1884" s="1">
        <v>7</v>
      </c>
      <c r="U1884" s="88">
        <v>412540.47619047615</v>
      </c>
      <c r="V1884" s="59">
        <v>2.4240045709800482</v>
      </c>
    </row>
    <row r="1885" spans="1:22">
      <c r="A1885" s="58">
        <v>1887</v>
      </c>
      <c r="B1885" s="58">
        <v>1887</v>
      </c>
      <c r="C1885" s="58" t="s">
        <v>2686</v>
      </c>
      <c r="D1885" s="58" t="s">
        <v>182</v>
      </c>
      <c r="E1885" s="58" t="s">
        <v>182</v>
      </c>
      <c r="F1885" s="58" t="s">
        <v>1876</v>
      </c>
      <c r="G1885" s="58" t="s">
        <v>1877</v>
      </c>
      <c r="H1885" s="58" t="s">
        <v>179</v>
      </c>
      <c r="I1885">
        <v>38000</v>
      </c>
      <c r="J1885">
        <v>38000</v>
      </c>
      <c r="K1885">
        <v>20000</v>
      </c>
      <c r="L1885" s="74">
        <v>10.654</v>
      </c>
      <c r="M1885" s="85">
        <v>11</v>
      </c>
      <c r="N1885" s="74">
        <v>4.7480000000000002</v>
      </c>
      <c r="O1885">
        <v>3</v>
      </c>
      <c r="P1885" s="84">
        <v>3.5609999999999999</v>
      </c>
      <c r="Q1885" s="86">
        <v>25.200000000000003</v>
      </c>
      <c r="R1885" s="85">
        <v>25.200000000000003</v>
      </c>
      <c r="S1885" s="87">
        <v>1324920</v>
      </c>
      <c r="T1885" s="1">
        <v>5</v>
      </c>
      <c r="U1885" s="88">
        <v>52576.190476190473</v>
      </c>
      <c r="V1885" s="59">
        <v>19.02001630287112</v>
      </c>
    </row>
    <row r="1886" spans="1:22">
      <c r="A1886" s="58">
        <v>1888</v>
      </c>
      <c r="B1886" s="58">
        <v>1888</v>
      </c>
      <c r="C1886" s="58" t="s">
        <v>2687</v>
      </c>
      <c r="D1886" s="58" t="s">
        <v>215</v>
      </c>
      <c r="E1886" s="58" t="s">
        <v>215</v>
      </c>
      <c r="F1886" s="58" t="s">
        <v>2688</v>
      </c>
      <c r="G1886" s="58" t="s">
        <v>2689</v>
      </c>
      <c r="H1886" s="58" t="s">
        <v>179</v>
      </c>
      <c r="I1886">
        <v>38000</v>
      </c>
      <c r="J1886">
        <v>38000</v>
      </c>
      <c r="K1886" s="58" t="s">
        <v>185</v>
      </c>
      <c r="L1886" s="74">
        <v>9.5570000000000004</v>
      </c>
      <c r="M1886" s="85">
        <v>10</v>
      </c>
      <c r="N1886" s="74">
        <v>3.9470000000000001</v>
      </c>
      <c r="O1886">
        <v>3</v>
      </c>
      <c r="P1886" s="84">
        <v>2.9602500000000003</v>
      </c>
      <c r="Q1886" s="86">
        <v>21</v>
      </c>
      <c r="R1886" s="85">
        <v>21</v>
      </c>
      <c r="S1886" s="87">
        <v>1050490</v>
      </c>
      <c r="T1886" s="1">
        <v>4</v>
      </c>
      <c r="U1886" s="88">
        <v>50023.333333333336</v>
      </c>
      <c r="V1886" s="59">
        <v>19.990671020190579</v>
      </c>
    </row>
    <row r="1887" spans="1:22">
      <c r="A1887" s="58">
        <v>1889</v>
      </c>
      <c r="B1887" s="58">
        <v>1889</v>
      </c>
      <c r="C1887" s="58" t="s">
        <v>2690</v>
      </c>
      <c r="D1887" s="58" t="s">
        <v>197</v>
      </c>
      <c r="E1887" s="58" t="s">
        <v>197</v>
      </c>
      <c r="F1887" s="58" t="s">
        <v>1701</v>
      </c>
      <c r="G1887" s="58" t="s">
        <v>1702</v>
      </c>
      <c r="H1887" s="58" t="s">
        <v>179</v>
      </c>
      <c r="I1887">
        <v>38000</v>
      </c>
      <c r="J1887">
        <v>38000</v>
      </c>
      <c r="K1887" s="58" t="s">
        <v>185</v>
      </c>
      <c r="L1887" s="74">
        <v>10.057</v>
      </c>
      <c r="M1887" s="85">
        <v>11</v>
      </c>
      <c r="N1887" s="74">
        <v>0.748</v>
      </c>
      <c r="O1887">
        <v>3</v>
      </c>
      <c r="P1887" s="84">
        <v>0.748</v>
      </c>
      <c r="Q1887" s="86">
        <v>4.2</v>
      </c>
      <c r="R1887" s="85">
        <v>4.2</v>
      </c>
      <c r="S1887" s="87">
        <v>1439840</v>
      </c>
      <c r="T1887" s="1">
        <v>1</v>
      </c>
      <c r="U1887" s="88">
        <v>342819.04761904763</v>
      </c>
      <c r="V1887" s="59">
        <v>2.9169907767529724</v>
      </c>
    </row>
    <row r="1888" spans="1:22">
      <c r="A1888" s="58">
        <v>1890</v>
      </c>
      <c r="B1888" s="58">
        <v>1890</v>
      </c>
      <c r="C1888" s="58" t="s">
        <v>2691</v>
      </c>
      <c r="D1888" s="58" t="s">
        <v>197</v>
      </c>
      <c r="E1888" s="58" t="s">
        <v>197</v>
      </c>
      <c r="F1888" s="58" t="s">
        <v>494</v>
      </c>
      <c r="G1888" s="58" t="s">
        <v>495</v>
      </c>
      <c r="H1888" s="58" t="s">
        <v>179</v>
      </c>
      <c r="I1888">
        <v>38000</v>
      </c>
      <c r="J1888">
        <v>38000</v>
      </c>
      <c r="K1888">
        <v>10000</v>
      </c>
      <c r="L1888" s="74">
        <v>7.9320000000000004</v>
      </c>
      <c r="M1888" s="85">
        <v>8</v>
      </c>
      <c r="N1888" s="74">
        <v>4.7869999999999999</v>
      </c>
      <c r="O1888">
        <v>3</v>
      </c>
      <c r="P1888" s="84">
        <v>3.5902500000000002</v>
      </c>
      <c r="Q1888" s="86">
        <v>25.200000000000003</v>
      </c>
      <c r="R1888" s="85">
        <v>25.200000000000003</v>
      </c>
      <c r="S1888" s="87">
        <v>1058430</v>
      </c>
      <c r="T1888" s="1">
        <v>5</v>
      </c>
      <c r="U1888" s="88">
        <v>42001.190476190473</v>
      </c>
      <c r="V1888" s="59">
        <v>23.808848955528475</v>
      </c>
    </row>
    <row r="1889" spans="1:22">
      <c r="A1889" s="58">
        <v>1891</v>
      </c>
      <c r="B1889" s="58">
        <v>1891</v>
      </c>
      <c r="C1889" s="58" t="s">
        <v>2692</v>
      </c>
      <c r="D1889" s="58" t="s">
        <v>197</v>
      </c>
      <c r="E1889" s="58" t="s">
        <v>197</v>
      </c>
      <c r="F1889" s="58" t="s">
        <v>1701</v>
      </c>
      <c r="G1889" s="58" t="s">
        <v>1702</v>
      </c>
      <c r="H1889" s="58" t="s">
        <v>179</v>
      </c>
      <c r="I1889">
        <v>38000</v>
      </c>
      <c r="J1889">
        <v>38000</v>
      </c>
      <c r="K1889" s="58" t="s">
        <v>185</v>
      </c>
      <c r="L1889" s="74">
        <v>8.593</v>
      </c>
      <c r="M1889" s="85">
        <v>9</v>
      </c>
      <c r="N1889" s="74">
        <v>0.88700000000000001</v>
      </c>
      <c r="O1889">
        <v>3</v>
      </c>
      <c r="P1889" s="84">
        <v>0.88700000000000001</v>
      </c>
      <c r="Q1889" s="86">
        <v>4.2</v>
      </c>
      <c r="R1889" s="85">
        <v>4.2</v>
      </c>
      <c r="S1889" s="87">
        <v>1334440</v>
      </c>
      <c r="T1889" s="1">
        <v>1</v>
      </c>
      <c r="U1889" s="88">
        <v>317723.80952380953</v>
      </c>
      <c r="V1889" s="59">
        <v>3.1473876682353645</v>
      </c>
    </row>
    <row r="1890" spans="1:22">
      <c r="A1890" s="58">
        <v>1892</v>
      </c>
      <c r="B1890" s="58">
        <v>1892</v>
      </c>
      <c r="C1890" s="58" t="s">
        <v>2693</v>
      </c>
      <c r="D1890" s="58" t="s">
        <v>1169</v>
      </c>
      <c r="E1890" s="58" t="s">
        <v>1169</v>
      </c>
      <c r="F1890" s="58" t="s">
        <v>1976</v>
      </c>
      <c r="G1890" s="58" t="s">
        <v>1977</v>
      </c>
      <c r="H1890" s="58" t="s">
        <v>179</v>
      </c>
      <c r="I1890">
        <v>38000</v>
      </c>
      <c r="J1890">
        <v>38000</v>
      </c>
      <c r="K1890" s="58" t="s">
        <v>185</v>
      </c>
      <c r="L1890" s="74">
        <v>5.9809999999999999</v>
      </c>
      <c r="M1890" s="85">
        <v>6</v>
      </c>
      <c r="N1890" s="74">
        <v>0.379</v>
      </c>
      <c r="O1890">
        <v>3</v>
      </c>
      <c r="P1890" s="84">
        <v>0.379</v>
      </c>
      <c r="Q1890" s="86">
        <v>4.2</v>
      </c>
      <c r="R1890" s="85">
        <v>4.2</v>
      </c>
      <c r="S1890" s="87">
        <v>769410</v>
      </c>
      <c r="T1890" s="1">
        <v>4</v>
      </c>
      <c r="U1890" s="88">
        <v>183192.85714285713</v>
      </c>
      <c r="V1890" s="59">
        <v>5.4587281163488903</v>
      </c>
    </row>
    <row r="1891" spans="1:22">
      <c r="A1891" s="58">
        <v>1893</v>
      </c>
      <c r="B1891" s="58">
        <v>1893</v>
      </c>
      <c r="C1891" s="58" t="s">
        <v>2694</v>
      </c>
      <c r="D1891" s="58" t="s">
        <v>182</v>
      </c>
      <c r="E1891" s="58" t="s">
        <v>182</v>
      </c>
      <c r="F1891" s="58" t="s">
        <v>1903</v>
      </c>
      <c r="G1891" s="58" t="s">
        <v>1904</v>
      </c>
      <c r="H1891" s="58" t="s">
        <v>179</v>
      </c>
      <c r="I1891">
        <v>38000</v>
      </c>
      <c r="J1891">
        <v>38000</v>
      </c>
      <c r="K1891" s="58" t="s">
        <v>185</v>
      </c>
      <c r="L1891" s="74">
        <v>10.388</v>
      </c>
      <c r="M1891" s="85">
        <v>11</v>
      </c>
      <c r="N1891" s="74">
        <v>1.6539999999999999</v>
      </c>
      <c r="O1891">
        <v>3</v>
      </c>
      <c r="P1891" s="84">
        <v>1.2404999999999999</v>
      </c>
      <c r="Q1891" s="86">
        <v>8.4</v>
      </c>
      <c r="R1891" s="85">
        <v>8.4</v>
      </c>
      <c r="S1891" s="87">
        <v>1485200</v>
      </c>
      <c r="T1891" s="1">
        <v>2</v>
      </c>
      <c r="U1891" s="88">
        <v>176809.52380952382</v>
      </c>
      <c r="V1891" s="59">
        <v>5.655803932130353</v>
      </c>
    </row>
    <row r="1892" spans="1:22">
      <c r="A1892" s="58">
        <v>1894</v>
      </c>
      <c r="B1892" s="58">
        <v>1894</v>
      </c>
      <c r="C1892" s="58" t="s">
        <v>2695</v>
      </c>
      <c r="D1892" s="58" t="s">
        <v>882</v>
      </c>
      <c r="E1892" s="58" t="s">
        <v>1190</v>
      </c>
      <c r="F1892" s="58" t="s">
        <v>1822</v>
      </c>
      <c r="G1892" s="58" t="s">
        <v>1823</v>
      </c>
      <c r="H1892" s="58" t="s">
        <v>199</v>
      </c>
      <c r="I1892">
        <v>110000</v>
      </c>
      <c r="L1892" s="74">
        <v>8.6389999999999993</v>
      </c>
      <c r="M1892" s="85">
        <v>9</v>
      </c>
      <c r="N1892" s="74">
        <v>1.0589999999999999</v>
      </c>
      <c r="O1892">
        <v>3</v>
      </c>
      <c r="P1892" s="84">
        <v>1.0589999999999999</v>
      </c>
      <c r="Q1892" s="86">
        <v>4.2</v>
      </c>
      <c r="R1892" s="85">
        <v>4.2</v>
      </c>
      <c r="S1892" s="87">
        <v>1890770</v>
      </c>
      <c r="T1892" s="1">
        <v>7</v>
      </c>
      <c r="U1892" s="88">
        <v>450183.33333333331</v>
      </c>
      <c r="V1892" s="59">
        <v>2.2213172411239865</v>
      </c>
    </row>
    <row r="1893" spans="1:22">
      <c r="A1893" s="58">
        <v>1895</v>
      </c>
      <c r="B1893" s="58">
        <v>1895</v>
      </c>
      <c r="C1893" s="58" t="s">
        <v>2696</v>
      </c>
      <c r="D1893" s="58" t="s">
        <v>450</v>
      </c>
      <c r="E1893" s="58" t="s">
        <v>450</v>
      </c>
      <c r="F1893" s="58" t="s">
        <v>2697</v>
      </c>
      <c r="G1893" s="58" t="s">
        <v>2698</v>
      </c>
      <c r="H1893" s="58" t="s">
        <v>179</v>
      </c>
      <c r="I1893">
        <v>38000</v>
      </c>
      <c r="J1893">
        <v>38000</v>
      </c>
      <c r="K1893" s="58" t="s">
        <v>185</v>
      </c>
      <c r="L1893" s="74">
        <v>3.8140000000000001</v>
      </c>
      <c r="M1893" s="85">
        <v>4</v>
      </c>
      <c r="N1893" s="74">
        <v>0.49</v>
      </c>
      <c r="O1893">
        <v>3</v>
      </c>
      <c r="P1893" s="84">
        <v>0.49</v>
      </c>
      <c r="Q1893" s="86">
        <v>4.2</v>
      </c>
      <c r="R1893" s="85">
        <v>4.2</v>
      </c>
      <c r="S1893" s="87">
        <v>628870</v>
      </c>
      <c r="T1893" s="1">
        <v>4</v>
      </c>
      <c r="U1893" s="88">
        <v>149730.95238095237</v>
      </c>
      <c r="V1893" s="59">
        <v>6.6786458250512828</v>
      </c>
    </row>
    <row r="1894" spans="1:22">
      <c r="A1894" s="58">
        <v>1896</v>
      </c>
      <c r="B1894" s="58">
        <v>1896</v>
      </c>
      <c r="C1894" s="58" t="s">
        <v>2699</v>
      </c>
      <c r="D1894" s="58" t="s">
        <v>410</v>
      </c>
      <c r="E1894" s="58" t="s">
        <v>410</v>
      </c>
      <c r="F1894" s="58" t="s">
        <v>863</v>
      </c>
      <c r="G1894" s="58" t="s">
        <v>864</v>
      </c>
      <c r="H1894" s="58" t="s">
        <v>179</v>
      </c>
      <c r="I1894">
        <v>38000</v>
      </c>
      <c r="J1894">
        <v>38000</v>
      </c>
      <c r="K1894" s="58" t="s">
        <v>185</v>
      </c>
      <c r="L1894" s="74">
        <v>2.0459999999999998</v>
      </c>
      <c r="M1894" s="85">
        <v>3</v>
      </c>
      <c r="N1894" s="74">
        <v>0.78800000000000003</v>
      </c>
      <c r="O1894">
        <v>3</v>
      </c>
      <c r="P1894" s="84">
        <v>0.78800000000000003</v>
      </c>
      <c r="Q1894" s="86">
        <v>4.2</v>
      </c>
      <c r="R1894" s="85">
        <v>4.2</v>
      </c>
      <c r="S1894" s="87">
        <v>558600</v>
      </c>
      <c r="T1894" s="1">
        <v>4</v>
      </c>
      <c r="U1894" s="88">
        <v>133000</v>
      </c>
      <c r="V1894" s="59">
        <v>7.518796992481203</v>
      </c>
    </row>
    <row r="1895" spans="1:22">
      <c r="A1895" s="58">
        <v>1897</v>
      </c>
      <c r="B1895" s="58">
        <v>1897</v>
      </c>
      <c r="C1895" s="58" t="s">
        <v>2700</v>
      </c>
      <c r="D1895" s="58" t="s">
        <v>197</v>
      </c>
      <c r="E1895" s="58" t="s">
        <v>197</v>
      </c>
      <c r="F1895" s="58" t="s">
        <v>1912</v>
      </c>
      <c r="G1895" s="58" t="s">
        <v>1913</v>
      </c>
      <c r="H1895" s="58" t="s">
        <v>179</v>
      </c>
      <c r="I1895">
        <v>38000</v>
      </c>
      <c r="L1895" s="74">
        <v>5.327</v>
      </c>
      <c r="M1895" s="85">
        <v>6</v>
      </c>
      <c r="N1895" s="74">
        <v>0.51600000000000001</v>
      </c>
      <c r="O1895">
        <v>3</v>
      </c>
      <c r="P1895" s="84">
        <v>0.51600000000000001</v>
      </c>
      <c r="Q1895" s="86">
        <v>4.2</v>
      </c>
      <c r="R1895" s="85">
        <v>4.2</v>
      </c>
      <c r="S1895" s="87">
        <v>769410</v>
      </c>
      <c r="T1895" s="1">
        <v>4</v>
      </c>
      <c r="U1895" s="88">
        <v>183192.85714285713</v>
      </c>
      <c r="V1895" s="59">
        <v>5.4587281163488903</v>
      </c>
    </row>
    <row r="1896" spans="1:22">
      <c r="A1896" s="58">
        <v>1898</v>
      </c>
      <c r="B1896" s="58">
        <v>1898</v>
      </c>
      <c r="C1896" s="58" t="s">
        <v>2701</v>
      </c>
      <c r="D1896" s="58" t="s">
        <v>176</v>
      </c>
      <c r="E1896" s="58" t="s">
        <v>176</v>
      </c>
      <c r="F1896" s="58" t="s">
        <v>2003</v>
      </c>
      <c r="G1896" s="58" t="s">
        <v>2004</v>
      </c>
      <c r="H1896" s="58" t="s">
        <v>179</v>
      </c>
      <c r="I1896">
        <v>38000</v>
      </c>
      <c r="J1896" s="58" t="s">
        <v>185</v>
      </c>
      <c r="K1896">
        <v>38000</v>
      </c>
      <c r="L1896" s="74">
        <v>5.8470000000000004</v>
      </c>
      <c r="M1896" s="85">
        <v>6</v>
      </c>
      <c r="N1896" s="74">
        <v>0.61899999999999999</v>
      </c>
      <c r="O1896">
        <v>3</v>
      </c>
      <c r="P1896" s="84">
        <v>0.61899999999999999</v>
      </c>
      <c r="Q1896" s="86">
        <v>4.2</v>
      </c>
      <c r="R1896" s="85">
        <v>4.2</v>
      </c>
      <c r="S1896" s="87">
        <v>769410</v>
      </c>
      <c r="T1896" s="1">
        <v>4</v>
      </c>
      <c r="U1896" s="88">
        <v>183192.85714285713</v>
      </c>
      <c r="V1896" s="59">
        <v>5.4587281163488903</v>
      </c>
    </row>
    <row r="1897" spans="1:22">
      <c r="A1897" s="58">
        <v>1899</v>
      </c>
      <c r="B1897" s="58">
        <v>1899</v>
      </c>
      <c r="C1897" s="58" t="s">
        <v>2702</v>
      </c>
      <c r="D1897" s="58" t="s">
        <v>410</v>
      </c>
      <c r="E1897" s="58" t="s">
        <v>410</v>
      </c>
      <c r="F1897" s="58" t="s">
        <v>411</v>
      </c>
      <c r="G1897" s="58" t="s">
        <v>412</v>
      </c>
      <c r="H1897" s="58" t="s">
        <v>179</v>
      </c>
      <c r="I1897">
        <v>38000</v>
      </c>
      <c r="J1897">
        <v>38000</v>
      </c>
      <c r="K1897" s="58" t="s">
        <v>185</v>
      </c>
      <c r="L1897" s="74">
        <v>12.372999999999999</v>
      </c>
      <c r="M1897" s="85">
        <v>13</v>
      </c>
      <c r="N1897" s="74">
        <v>2.4809999999999999</v>
      </c>
      <c r="O1897">
        <v>3</v>
      </c>
      <c r="P1897" s="84">
        <v>1.8607499999999999</v>
      </c>
      <c r="Q1897" s="86">
        <v>12.600000000000001</v>
      </c>
      <c r="R1897" s="85">
        <v>12.600000000000001</v>
      </c>
      <c r="S1897" s="87">
        <v>1627650</v>
      </c>
      <c r="T1897" s="1">
        <v>3</v>
      </c>
      <c r="U1897" s="88">
        <v>129178.57142857142</v>
      </c>
      <c r="V1897" s="59">
        <v>7.7412220071882789</v>
      </c>
    </row>
    <row r="1898" spans="1:22">
      <c r="A1898" s="58">
        <v>1900</v>
      </c>
      <c r="B1898" s="58">
        <v>1900</v>
      </c>
      <c r="C1898" s="58" t="s">
        <v>2703</v>
      </c>
      <c r="D1898" s="58" t="s">
        <v>882</v>
      </c>
      <c r="E1898" s="58" t="s">
        <v>882</v>
      </c>
      <c r="F1898" s="58" t="s">
        <v>1967</v>
      </c>
      <c r="G1898" s="58" t="s">
        <v>1968</v>
      </c>
      <c r="H1898" s="58" t="s">
        <v>199</v>
      </c>
      <c r="I1898">
        <v>110000</v>
      </c>
      <c r="J1898">
        <v>110000</v>
      </c>
      <c r="K1898">
        <v>38000</v>
      </c>
      <c r="L1898" s="74">
        <v>7.1150000000000002</v>
      </c>
      <c r="M1898" s="85">
        <v>8</v>
      </c>
      <c r="N1898" s="74">
        <v>0.21</v>
      </c>
      <c r="O1898">
        <v>3</v>
      </c>
      <c r="P1898" s="84">
        <v>0.21</v>
      </c>
      <c r="Q1898" s="86">
        <v>4.2</v>
      </c>
      <c r="R1898" s="85">
        <v>4.2</v>
      </c>
      <c r="S1898" s="87">
        <v>1838070</v>
      </c>
      <c r="T1898" s="1">
        <v>7</v>
      </c>
      <c r="U1898" s="88">
        <v>437635.71428571426</v>
      </c>
      <c r="V1898" s="59">
        <v>2.2850054676916547</v>
      </c>
    </row>
    <row r="1899" spans="1:22">
      <c r="A1899" s="58">
        <v>1901</v>
      </c>
      <c r="B1899" s="58">
        <v>1901</v>
      </c>
      <c r="C1899" s="58" t="s">
        <v>2704</v>
      </c>
      <c r="D1899" s="58" t="s">
        <v>197</v>
      </c>
      <c r="E1899" s="58" t="s">
        <v>197</v>
      </c>
      <c r="F1899" s="58" t="s">
        <v>494</v>
      </c>
      <c r="G1899" s="58" t="s">
        <v>495</v>
      </c>
      <c r="H1899" s="58" t="s">
        <v>179</v>
      </c>
      <c r="I1899">
        <v>38000</v>
      </c>
      <c r="J1899">
        <v>38000</v>
      </c>
      <c r="K1899">
        <v>10000</v>
      </c>
      <c r="L1899" s="74">
        <v>6.1849999999999996</v>
      </c>
      <c r="M1899" s="85">
        <v>7</v>
      </c>
      <c r="N1899" s="74">
        <v>0.81399999999999995</v>
      </c>
      <c r="O1899">
        <v>3</v>
      </c>
      <c r="P1899" s="84">
        <v>0.81399999999999995</v>
      </c>
      <c r="Q1899" s="86">
        <v>4.2</v>
      </c>
      <c r="R1899" s="85">
        <v>4.2</v>
      </c>
      <c r="S1899" s="87">
        <v>839680</v>
      </c>
      <c r="T1899" s="1">
        <v>4</v>
      </c>
      <c r="U1899" s="88">
        <v>199923.80952380953</v>
      </c>
      <c r="V1899" s="59">
        <v>5.0019054878048781</v>
      </c>
    </row>
    <row r="1900" spans="1:22">
      <c r="A1900" s="58">
        <v>1902</v>
      </c>
      <c r="B1900" s="58">
        <v>1902</v>
      </c>
      <c r="C1900" s="58" t="s">
        <v>2705</v>
      </c>
      <c r="D1900" s="58" t="s">
        <v>882</v>
      </c>
      <c r="E1900" s="58" t="s">
        <v>882</v>
      </c>
      <c r="F1900" s="58" t="s">
        <v>1944</v>
      </c>
      <c r="G1900" s="58" t="s">
        <v>1945</v>
      </c>
      <c r="H1900" s="58" t="s">
        <v>179</v>
      </c>
      <c r="I1900">
        <v>38000</v>
      </c>
      <c r="J1900">
        <v>38000</v>
      </c>
      <c r="K1900">
        <v>20000</v>
      </c>
      <c r="L1900" s="74">
        <v>7.476</v>
      </c>
      <c r="M1900" s="85">
        <v>8</v>
      </c>
      <c r="N1900" s="74">
        <v>0.42199999999999999</v>
      </c>
      <c r="O1900">
        <v>3</v>
      </c>
      <c r="P1900" s="84">
        <v>0.42199999999999999</v>
      </c>
      <c r="Q1900" s="86">
        <v>4.2</v>
      </c>
      <c r="R1900" s="85">
        <v>4.2</v>
      </c>
      <c r="S1900" s="87">
        <v>909950</v>
      </c>
      <c r="T1900" s="1">
        <v>4</v>
      </c>
      <c r="U1900" s="88">
        <v>216654.76190476189</v>
      </c>
      <c r="V1900" s="59">
        <v>4.6156382218803227</v>
      </c>
    </row>
    <row r="1901" spans="1:22">
      <c r="A1901" s="58">
        <v>1903</v>
      </c>
      <c r="B1901" s="58">
        <v>1903</v>
      </c>
      <c r="C1901" s="58" t="s">
        <v>2706</v>
      </c>
      <c r="D1901" s="58" t="s">
        <v>1169</v>
      </c>
      <c r="E1901" s="58" t="s">
        <v>1169</v>
      </c>
      <c r="F1901" s="58" t="s">
        <v>1944</v>
      </c>
      <c r="G1901" s="58" t="s">
        <v>1945</v>
      </c>
      <c r="H1901" s="58" t="s">
        <v>179</v>
      </c>
      <c r="I1901">
        <v>38000</v>
      </c>
      <c r="J1901">
        <v>38000</v>
      </c>
      <c r="K1901">
        <v>20000</v>
      </c>
      <c r="L1901" s="74">
        <v>8.9659999999999993</v>
      </c>
      <c r="M1901" s="85">
        <v>9</v>
      </c>
      <c r="N1901" s="74">
        <v>0.57599999999999996</v>
      </c>
      <c r="O1901">
        <v>3</v>
      </c>
      <c r="P1901" s="84">
        <v>0.57599999999999996</v>
      </c>
      <c r="Q1901" s="86">
        <v>4.2</v>
      </c>
      <c r="R1901" s="85">
        <v>4.2</v>
      </c>
      <c r="S1901" s="87">
        <v>1334440</v>
      </c>
      <c r="T1901" s="1">
        <v>1</v>
      </c>
      <c r="U1901" s="88">
        <v>317723.80952380953</v>
      </c>
      <c r="V1901" s="59">
        <v>3.1473876682353645</v>
      </c>
    </row>
    <row r="1902" spans="1:22">
      <c r="A1902" s="58">
        <v>1904</v>
      </c>
      <c r="B1902" s="58">
        <v>1904</v>
      </c>
      <c r="C1902" s="58" t="s">
        <v>2707</v>
      </c>
      <c r="D1902" s="58" t="s">
        <v>1169</v>
      </c>
      <c r="E1902" s="58" t="s">
        <v>1169</v>
      </c>
      <c r="F1902" s="58" t="s">
        <v>1976</v>
      </c>
      <c r="G1902" s="58" t="s">
        <v>1977</v>
      </c>
      <c r="H1902" s="58" t="s">
        <v>179</v>
      </c>
      <c r="I1902">
        <v>38000</v>
      </c>
      <c r="J1902">
        <v>38000</v>
      </c>
      <c r="K1902" s="58" t="s">
        <v>185</v>
      </c>
      <c r="L1902" s="74">
        <v>6.7729999999999997</v>
      </c>
      <c r="M1902" s="85">
        <v>7</v>
      </c>
      <c r="N1902" s="74">
        <v>0.54400000000000004</v>
      </c>
      <c r="O1902">
        <v>3</v>
      </c>
      <c r="P1902" s="84">
        <v>0.54400000000000004</v>
      </c>
      <c r="Q1902" s="86">
        <v>4.2</v>
      </c>
      <c r="R1902" s="85">
        <v>4.2</v>
      </c>
      <c r="S1902" s="87">
        <v>839680</v>
      </c>
      <c r="T1902" s="1">
        <v>4</v>
      </c>
      <c r="U1902" s="88">
        <v>199923.80952380953</v>
      </c>
      <c r="V1902" s="59">
        <v>5.0019054878048781</v>
      </c>
    </row>
    <row r="1903" spans="1:22">
      <c r="A1903" s="58">
        <v>1905</v>
      </c>
      <c r="B1903" s="58">
        <v>1905</v>
      </c>
      <c r="C1903" s="58" t="s">
        <v>2708</v>
      </c>
      <c r="D1903" s="58" t="s">
        <v>176</v>
      </c>
      <c r="E1903" s="58" t="s">
        <v>176</v>
      </c>
      <c r="F1903" s="58" t="s">
        <v>262</v>
      </c>
      <c r="G1903" s="58" t="s">
        <v>263</v>
      </c>
      <c r="H1903" s="58" t="s">
        <v>179</v>
      </c>
      <c r="I1903">
        <v>38000</v>
      </c>
      <c r="J1903" s="58" t="s">
        <v>185</v>
      </c>
      <c r="K1903">
        <v>38000</v>
      </c>
      <c r="L1903" s="74">
        <v>17.489000000000001</v>
      </c>
      <c r="M1903" s="85">
        <v>18</v>
      </c>
      <c r="N1903" s="74">
        <v>0.41</v>
      </c>
      <c r="O1903">
        <v>3</v>
      </c>
      <c r="P1903" s="84">
        <v>0.41</v>
      </c>
      <c r="Q1903" s="86">
        <v>4.2</v>
      </c>
      <c r="R1903" s="85">
        <v>4.2</v>
      </c>
      <c r="S1903" s="87">
        <v>1808740</v>
      </c>
      <c r="T1903" s="1">
        <v>1</v>
      </c>
      <c r="U1903" s="88">
        <v>430652.38095238095</v>
      </c>
      <c r="V1903" s="59">
        <v>2.3220584495284009</v>
      </c>
    </row>
    <row r="1904" spans="1:22">
      <c r="A1904" s="58">
        <v>1906</v>
      </c>
      <c r="B1904" s="58">
        <v>1906</v>
      </c>
      <c r="C1904" s="58" t="s">
        <v>2709</v>
      </c>
      <c r="D1904" s="58" t="s">
        <v>882</v>
      </c>
      <c r="E1904" s="58" t="s">
        <v>882</v>
      </c>
      <c r="F1904" s="58" t="s">
        <v>1822</v>
      </c>
      <c r="G1904" s="58" t="s">
        <v>1823</v>
      </c>
      <c r="H1904" s="58" t="s">
        <v>199</v>
      </c>
      <c r="I1904">
        <v>110000</v>
      </c>
      <c r="L1904" s="74">
        <v>2.766</v>
      </c>
      <c r="M1904" s="85">
        <v>3</v>
      </c>
      <c r="N1904" s="74">
        <v>0.32300000000000001</v>
      </c>
      <c r="O1904">
        <v>3</v>
      </c>
      <c r="P1904" s="84">
        <v>0.32300000000000001</v>
      </c>
      <c r="Q1904" s="86">
        <v>4.2</v>
      </c>
      <c r="R1904" s="85">
        <v>4.2</v>
      </c>
      <c r="S1904" s="87">
        <v>1574570</v>
      </c>
      <c r="T1904" s="1">
        <v>7</v>
      </c>
      <c r="U1904" s="88">
        <v>374897.61904761905</v>
      </c>
      <c r="V1904" s="59">
        <v>2.6673949078161021</v>
      </c>
    </row>
    <row r="1905" spans="1:22">
      <c r="A1905" s="58">
        <v>1907</v>
      </c>
      <c r="B1905" s="58">
        <v>1907</v>
      </c>
      <c r="C1905" s="58" t="s">
        <v>2710</v>
      </c>
      <c r="D1905" s="58" t="s">
        <v>351</v>
      </c>
      <c r="E1905" s="58" t="s">
        <v>351</v>
      </c>
      <c r="F1905" s="58" t="s">
        <v>422</v>
      </c>
      <c r="G1905" s="58" t="s">
        <v>423</v>
      </c>
      <c r="H1905" s="58" t="s">
        <v>199</v>
      </c>
      <c r="I1905">
        <v>110000</v>
      </c>
      <c r="J1905">
        <v>110000</v>
      </c>
      <c r="K1905">
        <v>20000</v>
      </c>
      <c r="L1905" s="74">
        <v>7.7530000000000001</v>
      </c>
      <c r="M1905" s="85">
        <v>8</v>
      </c>
      <c r="N1905" s="74">
        <v>0.24399999999999999</v>
      </c>
      <c r="O1905">
        <v>3</v>
      </c>
      <c r="P1905" s="84">
        <v>0.24399999999999999</v>
      </c>
      <c r="Q1905" s="86">
        <v>4.2</v>
      </c>
      <c r="R1905" s="85">
        <v>4.2</v>
      </c>
      <c r="S1905" s="87">
        <v>1838070</v>
      </c>
      <c r="T1905" s="1">
        <v>7</v>
      </c>
      <c r="U1905" s="88">
        <v>437635.71428571426</v>
      </c>
      <c r="V1905" s="59">
        <v>2.2850054676916547</v>
      </c>
    </row>
    <row r="1906" spans="1:22">
      <c r="A1906" s="58">
        <v>1908</v>
      </c>
      <c r="B1906" s="58">
        <v>1908</v>
      </c>
      <c r="C1906" s="58" t="s">
        <v>2711</v>
      </c>
      <c r="D1906" s="58" t="s">
        <v>249</v>
      </c>
      <c r="E1906" s="58" t="s">
        <v>351</v>
      </c>
      <c r="F1906" s="58" t="s">
        <v>2712</v>
      </c>
      <c r="G1906" s="58" t="s">
        <v>2713</v>
      </c>
      <c r="H1906" s="58" t="s">
        <v>179</v>
      </c>
      <c r="I1906">
        <v>38000</v>
      </c>
      <c r="J1906">
        <v>38000</v>
      </c>
      <c r="K1906" s="58" t="s">
        <v>185</v>
      </c>
      <c r="L1906" s="74">
        <v>7.7450000000000001</v>
      </c>
      <c r="M1906" s="85">
        <v>8</v>
      </c>
      <c r="N1906" s="74">
        <v>0.54400000000000004</v>
      </c>
      <c r="O1906">
        <v>3</v>
      </c>
      <c r="P1906" s="84">
        <v>0.54400000000000004</v>
      </c>
      <c r="Q1906" s="86">
        <v>4.2</v>
      </c>
      <c r="R1906" s="85">
        <v>4.2</v>
      </c>
      <c r="S1906" s="87">
        <v>909950</v>
      </c>
      <c r="T1906" s="1">
        <v>4</v>
      </c>
      <c r="U1906" s="88">
        <v>216654.76190476189</v>
      </c>
      <c r="V1906" s="59">
        <v>4.6156382218803227</v>
      </c>
    </row>
    <row r="1907" spans="1:22">
      <c r="A1907" s="58">
        <v>1909</v>
      </c>
      <c r="B1907" s="58">
        <v>1909</v>
      </c>
      <c r="C1907" s="58" t="s">
        <v>2714</v>
      </c>
      <c r="D1907" s="58" t="s">
        <v>852</v>
      </c>
      <c r="E1907" s="58" t="s">
        <v>346</v>
      </c>
      <c r="F1907" s="58" t="s">
        <v>517</v>
      </c>
      <c r="G1907" s="58" t="s">
        <v>518</v>
      </c>
      <c r="H1907" s="58" t="s">
        <v>179</v>
      </c>
      <c r="I1907">
        <v>38000</v>
      </c>
      <c r="J1907">
        <v>38000</v>
      </c>
      <c r="K1907">
        <v>10000</v>
      </c>
      <c r="L1907" s="74">
        <v>6.0389999999999997</v>
      </c>
      <c r="M1907" s="85">
        <v>7</v>
      </c>
      <c r="N1907" s="74">
        <v>0.59399999999999997</v>
      </c>
      <c r="O1907">
        <v>3</v>
      </c>
      <c r="P1907" s="84">
        <v>0.59399999999999997</v>
      </c>
      <c r="Q1907" s="86">
        <v>4.2</v>
      </c>
      <c r="R1907" s="85">
        <v>4.2</v>
      </c>
      <c r="S1907" s="87">
        <v>839680</v>
      </c>
      <c r="T1907" s="1">
        <v>4</v>
      </c>
      <c r="U1907" s="88">
        <v>199923.80952380953</v>
      </c>
      <c r="V1907" s="59">
        <v>5.0019054878048781</v>
      </c>
    </row>
    <row r="1908" spans="1:22">
      <c r="A1908" s="58">
        <v>1910</v>
      </c>
      <c r="B1908" s="58">
        <v>1910</v>
      </c>
      <c r="C1908" s="58" t="s">
        <v>2715</v>
      </c>
      <c r="D1908" s="58" t="s">
        <v>852</v>
      </c>
      <c r="E1908" s="58" t="s">
        <v>346</v>
      </c>
      <c r="F1908" s="58" t="s">
        <v>517</v>
      </c>
      <c r="G1908" s="58" t="s">
        <v>518</v>
      </c>
      <c r="H1908" s="58" t="s">
        <v>179</v>
      </c>
      <c r="I1908">
        <v>38000</v>
      </c>
      <c r="J1908">
        <v>38000</v>
      </c>
      <c r="K1908">
        <v>10000</v>
      </c>
      <c r="L1908" s="74">
        <v>5.9630000000000001</v>
      </c>
      <c r="M1908" s="85">
        <v>6</v>
      </c>
      <c r="N1908" s="74">
        <v>0.27100000000000002</v>
      </c>
      <c r="O1908">
        <v>3</v>
      </c>
      <c r="P1908" s="84">
        <v>0.27100000000000002</v>
      </c>
      <c r="Q1908" s="86">
        <v>4.2</v>
      </c>
      <c r="R1908" s="85">
        <v>4.2</v>
      </c>
      <c r="S1908" s="87">
        <v>769410</v>
      </c>
      <c r="T1908" s="1">
        <v>4</v>
      </c>
      <c r="U1908" s="88">
        <v>183192.85714285713</v>
      </c>
      <c r="V1908" s="59">
        <v>5.4587281163488903</v>
      </c>
    </row>
    <row r="1909" spans="1:22">
      <c r="A1909" s="58">
        <v>1911</v>
      </c>
      <c r="B1909" s="58">
        <v>1911</v>
      </c>
      <c r="C1909" s="58" t="s">
        <v>2716</v>
      </c>
      <c r="D1909" s="58" t="s">
        <v>852</v>
      </c>
      <c r="E1909" s="58" t="s">
        <v>852</v>
      </c>
      <c r="F1909" s="58" t="s">
        <v>517</v>
      </c>
      <c r="G1909" s="58" t="s">
        <v>518</v>
      </c>
      <c r="H1909" s="58" t="s">
        <v>179</v>
      </c>
      <c r="I1909">
        <v>38000</v>
      </c>
      <c r="J1909">
        <v>38000</v>
      </c>
      <c r="K1909">
        <v>10000</v>
      </c>
      <c r="L1909" s="74">
        <v>12.101000000000001</v>
      </c>
      <c r="M1909" s="85">
        <v>13</v>
      </c>
      <c r="N1909" s="74">
        <v>1.905</v>
      </c>
      <c r="O1909">
        <v>3</v>
      </c>
      <c r="P1909" s="84">
        <v>1.42875</v>
      </c>
      <c r="Q1909" s="86">
        <v>8.4</v>
      </c>
      <c r="R1909" s="85">
        <v>8.4</v>
      </c>
      <c r="S1909" s="87">
        <v>1590600</v>
      </c>
      <c r="T1909" s="1">
        <v>2</v>
      </c>
      <c r="U1909" s="88">
        <v>189357.14285714284</v>
      </c>
      <c r="V1909" s="59">
        <v>5.2810260279139944</v>
      </c>
    </row>
    <row r="1910" spans="1:22">
      <c r="A1910" s="58">
        <v>1912</v>
      </c>
      <c r="B1910" s="58">
        <v>1912</v>
      </c>
      <c r="C1910" s="58" t="s">
        <v>2717</v>
      </c>
      <c r="D1910" s="58" t="s">
        <v>852</v>
      </c>
      <c r="E1910" s="58" t="s">
        <v>852</v>
      </c>
      <c r="F1910" s="58" t="s">
        <v>2016</v>
      </c>
      <c r="G1910" s="58" t="s">
        <v>2017</v>
      </c>
      <c r="H1910" s="58" t="s">
        <v>179</v>
      </c>
      <c r="I1910">
        <v>38000</v>
      </c>
      <c r="J1910">
        <v>38000</v>
      </c>
      <c r="K1910" s="58" t="s">
        <v>185</v>
      </c>
      <c r="L1910" s="74">
        <v>4.4790000000000001</v>
      </c>
      <c r="M1910" s="85">
        <v>5</v>
      </c>
      <c r="N1910" s="74">
        <v>0.26700000000000002</v>
      </c>
      <c r="O1910">
        <v>3</v>
      </c>
      <c r="P1910" s="84">
        <v>0.26700000000000002</v>
      </c>
      <c r="Q1910" s="86">
        <v>4.2</v>
      </c>
      <c r="R1910" s="85">
        <v>4.2</v>
      </c>
      <c r="S1910" s="87">
        <v>699140</v>
      </c>
      <c r="T1910" s="1">
        <v>4</v>
      </c>
      <c r="U1910" s="88">
        <v>166461.90476190476</v>
      </c>
      <c r="V1910" s="59">
        <v>6.0073804960379897</v>
      </c>
    </row>
    <row r="1911" spans="1:22">
      <c r="A1911" s="58">
        <v>1913</v>
      </c>
      <c r="B1911" s="58">
        <v>1913</v>
      </c>
      <c r="C1911" s="58" t="s">
        <v>2718</v>
      </c>
      <c r="D1911" s="58" t="s">
        <v>852</v>
      </c>
      <c r="E1911" s="58" t="s">
        <v>852</v>
      </c>
      <c r="F1911" s="58" t="s">
        <v>2016</v>
      </c>
      <c r="G1911" s="58" t="s">
        <v>2017</v>
      </c>
      <c r="H1911" s="58" t="s">
        <v>179</v>
      </c>
      <c r="I1911">
        <v>38000</v>
      </c>
      <c r="J1911">
        <v>38000</v>
      </c>
      <c r="K1911" s="58" t="s">
        <v>185</v>
      </c>
      <c r="L1911" s="74">
        <v>6.96</v>
      </c>
      <c r="M1911" s="85">
        <v>7</v>
      </c>
      <c r="N1911" s="74">
        <v>0.44800000000000001</v>
      </c>
      <c r="O1911">
        <v>3</v>
      </c>
      <c r="P1911" s="84">
        <v>0.44800000000000001</v>
      </c>
      <c r="Q1911" s="86">
        <v>4.2</v>
      </c>
      <c r="R1911" s="85">
        <v>4.2</v>
      </c>
      <c r="S1911" s="87">
        <v>839680</v>
      </c>
      <c r="T1911" s="1">
        <v>4</v>
      </c>
      <c r="U1911" s="88">
        <v>199923.80952380953</v>
      </c>
      <c r="V1911" s="59">
        <v>5.0019054878048781</v>
      </c>
    </row>
    <row r="1912" spans="1:22">
      <c r="A1912" s="58">
        <v>1914</v>
      </c>
      <c r="B1912" s="58">
        <v>1914</v>
      </c>
      <c r="C1912" s="58" t="s">
        <v>2719</v>
      </c>
      <c r="D1912" s="58" t="s">
        <v>346</v>
      </c>
      <c r="E1912" s="58" t="s">
        <v>346</v>
      </c>
      <c r="F1912" s="58" t="s">
        <v>352</v>
      </c>
      <c r="G1912" s="58" t="s">
        <v>353</v>
      </c>
      <c r="H1912" s="58" t="s">
        <v>179</v>
      </c>
      <c r="I1912">
        <v>38000</v>
      </c>
      <c r="J1912">
        <v>38000</v>
      </c>
      <c r="K1912">
        <v>10000</v>
      </c>
      <c r="L1912" s="74">
        <v>6.6520000000000001</v>
      </c>
      <c r="M1912" s="85">
        <v>7</v>
      </c>
      <c r="N1912" s="74">
        <v>0.91300000000000003</v>
      </c>
      <c r="O1912">
        <v>3</v>
      </c>
      <c r="P1912" s="84">
        <v>0.91300000000000003</v>
      </c>
      <c r="Q1912" s="86">
        <v>4.2</v>
      </c>
      <c r="R1912" s="85">
        <v>4.2</v>
      </c>
      <c r="S1912" s="87">
        <v>839680</v>
      </c>
      <c r="T1912" s="1">
        <v>4</v>
      </c>
      <c r="U1912" s="88">
        <v>199923.80952380953</v>
      </c>
      <c r="V1912" s="59">
        <v>5.0019054878048781</v>
      </c>
    </row>
    <row r="1913" spans="1:22">
      <c r="A1913" s="58">
        <v>1915</v>
      </c>
      <c r="B1913" s="58">
        <v>1915</v>
      </c>
      <c r="C1913" s="58" t="s">
        <v>2720</v>
      </c>
      <c r="D1913" s="58" t="s">
        <v>351</v>
      </c>
      <c r="E1913" s="58" t="s">
        <v>351</v>
      </c>
      <c r="F1913" s="58" t="s">
        <v>514</v>
      </c>
      <c r="G1913" s="58" t="s">
        <v>515</v>
      </c>
      <c r="H1913" s="58" t="s">
        <v>179</v>
      </c>
      <c r="I1913">
        <v>38000</v>
      </c>
      <c r="J1913">
        <v>38000</v>
      </c>
      <c r="K1913">
        <v>20000</v>
      </c>
      <c r="L1913" s="74">
        <v>9.1959999999999997</v>
      </c>
      <c r="M1913" s="85">
        <v>10</v>
      </c>
      <c r="N1913" s="74">
        <v>0.48399999999999999</v>
      </c>
      <c r="O1913">
        <v>3</v>
      </c>
      <c r="P1913" s="84">
        <v>0.48399999999999999</v>
      </c>
      <c r="Q1913" s="86">
        <v>4.2</v>
      </c>
      <c r="R1913" s="85">
        <v>4.2</v>
      </c>
      <c r="S1913" s="87">
        <v>1387140</v>
      </c>
      <c r="T1913" s="1">
        <v>1</v>
      </c>
      <c r="U1913" s="88">
        <v>330271.42857142858</v>
      </c>
      <c r="V1913" s="59">
        <v>3.0278126216531858</v>
      </c>
    </row>
    <row r="1914" spans="1:22">
      <c r="A1914" s="58">
        <v>1916</v>
      </c>
      <c r="B1914" s="58">
        <v>1916</v>
      </c>
      <c r="C1914" s="58" t="s">
        <v>2721</v>
      </c>
      <c r="D1914" s="58" t="s">
        <v>852</v>
      </c>
      <c r="E1914" s="58" t="s">
        <v>852</v>
      </c>
      <c r="F1914" s="58" t="s">
        <v>517</v>
      </c>
      <c r="G1914" s="58" t="s">
        <v>518</v>
      </c>
      <c r="H1914" s="58" t="s">
        <v>179</v>
      </c>
      <c r="I1914">
        <v>38000</v>
      </c>
      <c r="J1914">
        <v>38000</v>
      </c>
      <c r="K1914">
        <v>10000</v>
      </c>
      <c r="L1914" s="74">
        <v>6.2160000000000002</v>
      </c>
      <c r="M1914" s="85">
        <v>7</v>
      </c>
      <c r="N1914" s="74">
        <v>0.66500000000000004</v>
      </c>
      <c r="O1914">
        <v>3</v>
      </c>
      <c r="P1914" s="84">
        <v>0.66500000000000004</v>
      </c>
      <c r="Q1914" s="86">
        <v>4.2</v>
      </c>
      <c r="R1914" s="85">
        <v>4.2</v>
      </c>
      <c r="S1914" s="87">
        <v>839680</v>
      </c>
      <c r="T1914" s="1">
        <v>4</v>
      </c>
      <c r="U1914" s="88">
        <v>199923.80952380953</v>
      </c>
      <c r="V1914" s="59">
        <v>5.0019054878048781</v>
      </c>
    </row>
    <row r="1915" spans="1:22">
      <c r="A1915" s="58">
        <v>1917</v>
      </c>
      <c r="B1915" s="58">
        <v>1917</v>
      </c>
      <c r="C1915" s="58" t="s">
        <v>2722</v>
      </c>
      <c r="D1915" s="58" t="s">
        <v>346</v>
      </c>
      <c r="E1915" s="58" t="s">
        <v>346</v>
      </c>
      <c r="F1915" s="58" t="s">
        <v>1427</v>
      </c>
      <c r="G1915" s="58" t="s">
        <v>1428</v>
      </c>
      <c r="H1915" s="58" t="s">
        <v>199</v>
      </c>
      <c r="I1915">
        <v>110000</v>
      </c>
      <c r="J1915">
        <v>110000</v>
      </c>
      <c r="K1915">
        <v>38000</v>
      </c>
      <c r="L1915" s="74">
        <v>5.8259999999999996</v>
      </c>
      <c r="M1915" s="85">
        <v>6</v>
      </c>
      <c r="N1915" s="74">
        <v>0.73099999999999998</v>
      </c>
      <c r="O1915">
        <v>3</v>
      </c>
      <c r="P1915" s="84">
        <v>0.73099999999999998</v>
      </c>
      <c r="Q1915" s="86">
        <v>4.2</v>
      </c>
      <c r="R1915" s="85">
        <v>4.2</v>
      </c>
      <c r="S1915" s="87">
        <v>1732670</v>
      </c>
      <c r="T1915" s="1">
        <v>7</v>
      </c>
      <c r="U1915" s="88">
        <v>412540.47619047615</v>
      </c>
      <c r="V1915" s="59">
        <v>2.4240045709800482</v>
      </c>
    </row>
    <row r="1916" spans="1:22">
      <c r="A1916" s="58">
        <v>1918</v>
      </c>
      <c r="B1916" s="58">
        <v>1918</v>
      </c>
      <c r="C1916" s="58" t="s">
        <v>2723</v>
      </c>
      <c r="D1916" s="58" t="s">
        <v>182</v>
      </c>
      <c r="E1916" s="58" t="s">
        <v>182</v>
      </c>
      <c r="F1916" s="58" t="s">
        <v>1839</v>
      </c>
      <c r="G1916" s="58" t="s">
        <v>1840</v>
      </c>
      <c r="H1916" s="58" t="s">
        <v>179</v>
      </c>
      <c r="I1916">
        <v>38000</v>
      </c>
      <c r="J1916">
        <v>38000</v>
      </c>
      <c r="K1916" s="58" t="s">
        <v>185</v>
      </c>
      <c r="L1916" s="74">
        <v>2.87</v>
      </c>
      <c r="M1916" s="85">
        <v>3</v>
      </c>
      <c r="N1916" s="74">
        <v>1.51</v>
      </c>
      <c r="O1916">
        <v>3</v>
      </c>
      <c r="P1916" s="84">
        <v>1.1325000000000001</v>
      </c>
      <c r="Q1916" s="86">
        <v>4.2</v>
      </c>
      <c r="R1916" s="85">
        <v>4.2</v>
      </c>
      <c r="S1916" s="87">
        <v>558600</v>
      </c>
      <c r="T1916" s="1">
        <v>4</v>
      </c>
      <c r="U1916" s="88">
        <v>133000</v>
      </c>
      <c r="V1916" s="59">
        <v>7.518796992481203</v>
      </c>
    </row>
    <row r="1917" spans="1:22">
      <c r="A1917" s="58">
        <v>1919</v>
      </c>
      <c r="B1917" s="58">
        <v>1919</v>
      </c>
      <c r="C1917" s="58" t="s">
        <v>2724</v>
      </c>
      <c r="D1917" s="58" t="s">
        <v>182</v>
      </c>
      <c r="E1917" s="58" t="s">
        <v>182</v>
      </c>
      <c r="F1917" s="58" t="s">
        <v>1839</v>
      </c>
      <c r="G1917" s="58" t="s">
        <v>1840</v>
      </c>
      <c r="H1917" s="58" t="s">
        <v>179</v>
      </c>
      <c r="I1917">
        <v>38000</v>
      </c>
      <c r="J1917">
        <v>38000</v>
      </c>
      <c r="K1917" s="58" t="s">
        <v>185</v>
      </c>
      <c r="L1917" s="74">
        <v>6.5659999999999998</v>
      </c>
      <c r="M1917" s="85">
        <v>7</v>
      </c>
      <c r="N1917" s="74">
        <v>0.55700000000000005</v>
      </c>
      <c r="O1917">
        <v>3</v>
      </c>
      <c r="P1917" s="84">
        <v>0.55700000000000005</v>
      </c>
      <c r="Q1917" s="86">
        <v>4.2</v>
      </c>
      <c r="R1917" s="85">
        <v>4.2</v>
      </c>
      <c r="S1917" s="87">
        <v>839680</v>
      </c>
      <c r="T1917" s="1">
        <v>4</v>
      </c>
      <c r="U1917" s="88">
        <v>199923.80952380953</v>
      </c>
      <c r="V1917" s="59">
        <v>5.0019054878048781</v>
      </c>
    </row>
    <row r="1918" spans="1:22">
      <c r="A1918" s="58">
        <v>1920</v>
      </c>
      <c r="B1918" s="58">
        <v>1920</v>
      </c>
      <c r="C1918" s="58" t="s">
        <v>2725</v>
      </c>
      <c r="D1918" s="58" t="s">
        <v>852</v>
      </c>
      <c r="E1918" s="58" t="s">
        <v>852</v>
      </c>
      <c r="F1918" s="58" t="s">
        <v>2726</v>
      </c>
      <c r="G1918" s="58" t="s">
        <v>2727</v>
      </c>
      <c r="H1918" s="58" t="s">
        <v>199</v>
      </c>
      <c r="I1918">
        <v>110000</v>
      </c>
      <c r="J1918" s="58" t="s">
        <v>185</v>
      </c>
      <c r="K1918">
        <v>110000</v>
      </c>
      <c r="L1918" s="74">
        <v>5.0940000000000003</v>
      </c>
      <c r="M1918" s="85">
        <v>6</v>
      </c>
      <c r="N1918" s="74">
        <v>7.0860000000000003</v>
      </c>
      <c r="O1918">
        <v>3</v>
      </c>
      <c r="P1918" s="84">
        <v>5.3145000000000007</v>
      </c>
      <c r="Q1918" s="86">
        <v>37.800000000000004</v>
      </c>
      <c r="R1918" s="85">
        <v>37.800000000000004</v>
      </c>
      <c r="S1918" s="87">
        <v>2621410</v>
      </c>
      <c r="T1918" s="1">
        <v>10</v>
      </c>
      <c r="U1918" s="88">
        <v>69349.470899470893</v>
      </c>
      <c r="V1918" s="59">
        <v>14.419720684669704</v>
      </c>
    </row>
    <row r="1919" spans="1:22">
      <c r="A1919" s="58">
        <v>1921</v>
      </c>
      <c r="B1919" s="58">
        <v>1921</v>
      </c>
      <c r="C1919" s="58" t="s">
        <v>2728</v>
      </c>
      <c r="D1919" s="58" t="s">
        <v>852</v>
      </c>
      <c r="E1919" s="58" t="s">
        <v>852</v>
      </c>
      <c r="F1919" s="58" t="s">
        <v>1807</v>
      </c>
      <c r="G1919" s="58" t="s">
        <v>1808</v>
      </c>
      <c r="H1919" s="58" t="s">
        <v>179</v>
      </c>
      <c r="I1919">
        <v>38000</v>
      </c>
      <c r="J1919">
        <v>38000</v>
      </c>
      <c r="K1919" s="58" t="s">
        <v>185</v>
      </c>
      <c r="L1919" s="74">
        <v>12.766</v>
      </c>
      <c r="M1919" s="85">
        <v>13</v>
      </c>
      <c r="N1919" s="74">
        <v>0.42799999999999999</v>
      </c>
      <c r="O1919">
        <v>3</v>
      </c>
      <c r="P1919" s="84">
        <v>0.42799999999999999</v>
      </c>
      <c r="Q1919" s="86">
        <v>4.2</v>
      </c>
      <c r="R1919" s="85">
        <v>4.2</v>
      </c>
      <c r="S1919" s="87">
        <v>1545240</v>
      </c>
      <c r="T1919" s="1">
        <v>1</v>
      </c>
      <c r="U1919" s="88">
        <v>367914.28571428568</v>
      </c>
      <c r="V1919" s="59">
        <v>2.7180243845616214</v>
      </c>
    </row>
    <row r="1920" spans="1:22">
      <c r="A1920" s="58">
        <v>1922</v>
      </c>
      <c r="B1920" s="58">
        <v>1922</v>
      </c>
      <c r="C1920" s="58" t="s">
        <v>2729</v>
      </c>
      <c r="D1920" s="58" t="s">
        <v>384</v>
      </c>
      <c r="E1920" s="58" t="s">
        <v>1806</v>
      </c>
      <c r="F1920" s="58" t="s">
        <v>2048</v>
      </c>
      <c r="G1920" s="58" t="s">
        <v>2049</v>
      </c>
      <c r="H1920" s="58" t="s">
        <v>179</v>
      </c>
      <c r="I1920">
        <v>38000</v>
      </c>
      <c r="J1920">
        <v>38000</v>
      </c>
      <c r="K1920" s="58" t="s">
        <v>185</v>
      </c>
      <c r="L1920" s="74">
        <v>7.1150000000000002</v>
      </c>
      <c r="M1920" s="85">
        <v>8</v>
      </c>
      <c r="N1920" s="74">
        <v>0.753</v>
      </c>
      <c r="O1920">
        <v>3</v>
      </c>
      <c r="P1920" s="84">
        <v>0.753</v>
      </c>
      <c r="Q1920" s="86">
        <v>4.2</v>
      </c>
      <c r="R1920" s="85">
        <v>4.2</v>
      </c>
      <c r="S1920" s="87">
        <v>909950</v>
      </c>
      <c r="T1920" s="1">
        <v>4</v>
      </c>
      <c r="U1920" s="88">
        <v>216654.76190476189</v>
      </c>
      <c r="V1920" s="59">
        <v>4.6156382218803227</v>
      </c>
    </row>
    <row r="1921" spans="1:22">
      <c r="A1921" s="58">
        <v>1923</v>
      </c>
      <c r="B1921" s="58">
        <v>1923</v>
      </c>
      <c r="C1921" s="58" t="s">
        <v>2730</v>
      </c>
      <c r="D1921" s="58" t="s">
        <v>384</v>
      </c>
      <c r="E1921" s="58" t="s">
        <v>1806</v>
      </c>
      <c r="F1921" s="58" t="s">
        <v>2048</v>
      </c>
      <c r="G1921" s="58" t="s">
        <v>2049</v>
      </c>
      <c r="H1921" s="58" t="s">
        <v>179</v>
      </c>
      <c r="I1921">
        <v>38000</v>
      </c>
      <c r="J1921">
        <v>38000</v>
      </c>
      <c r="K1921" s="58" t="s">
        <v>185</v>
      </c>
      <c r="L1921" s="74">
        <v>10.773999999999999</v>
      </c>
      <c r="M1921" s="85">
        <v>11</v>
      </c>
      <c r="N1921" s="74">
        <v>1.2969999999999999</v>
      </c>
      <c r="O1921">
        <v>3</v>
      </c>
      <c r="P1921" s="84">
        <v>0.97275</v>
      </c>
      <c r="Q1921" s="86">
        <v>4.2</v>
      </c>
      <c r="R1921" s="85">
        <v>4.2</v>
      </c>
      <c r="S1921" s="87">
        <v>1439840</v>
      </c>
      <c r="T1921" s="1">
        <v>1</v>
      </c>
      <c r="U1921" s="88">
        <v>342819.04761904763</v>
      </c>
      <c r="V1921" s="59">
        <v>2.9169907767529724</v>
      </c>
    </row>
    <row r="1922" spans="1:22">
      <c r="A1922" s="58">
        <v>1924</v>
      </c>
      <c r="B1922" s="58">
        <v>1924</v>
      </c>
      <c r="C1922" s="58" t="s">
        <v>2731</v>
      </c>
      <c r="D1922" s="58" t="s">
        <v>1190</v>
      </c>
      <c r="E1922" s="58" t="s">
        <v>1190</v>
      </c>
      <c r="F1922" s="58" t="s">
        <v>2048</v>
      </c>
      <c r="G1922" s="58" t="s">
        <v>2049</v>
      </c>
      <c r="H1922" s="58" t="s">
        <v>179</v>
      </c>
      <c r="I1922">
        <v>38000</v>
      </c>
      <c r="J1922">
        <v>38000</v>
      </c>
      <c r="K1922" s="58" t="s">
        <v>185</v>
      </c>
      <c r="L1922" s="74">
        <v>10.872999999999999</v>
      </c>
      <c r="M1922" s="85">
        <v>11</v>
      </c>
      <c r="N1922" s="74">
        <v>0.52500000000000002</v>
      </c>
      <c r="O1922">
        <v>3</v>
      </c>
      <c r="P1922" s="84">
        <v>0.52500000000000002</v>
      </c>
      <c r="Q1922" s="86">
        <v>4.2</v>
      </c>
      <c r="R1922" s="85">
        <v>4.2</v>
      </c>
      <c r="S1922" s="87">
        <v>1439840</v>
      </c>
      <c r="T1922" s="1">
        <v>1</v>
      </c>
      <c r="U1922" s="88">
        <v>342819.04761904763</v>
      </c>
      <c r="V1922" s="59">
        <v>2.9169907767529724</v>
      </c>
    </row>
    <row r="1923" spans="1:22">
      <c r="A1923" s="58">
        <v>1925</v>
      </c>
      <c r="B1923" s="58">
        <v>1925</v>
      </c>
      <c r="C1923" s="58" t="s">
        <v>2732</v>
      </c>
      <c r="D1923" s="58" t="s">
        <v>1190</v>
      </c>
      <c r="E1923" s="58" t="s">
        <v>1190</v>
      </c>
      <c r="F1923" s="58" t="s">
        <v>1191</v>
      </c>
      <c r="G1923" s="58" t="s">
        <v>1192</v>
      </c>
      <c r="H1923" s="58" t="s">
        <v>179</v>
      </c>
      <c r="I1923">
        <v>38000</v>
      </c>
      <c r="J1923">
        <v>38000</v>
      </c>
      <c r="K1923">
        <v>10000</v>
      </c>
      <c r="L1923" s="74">
        <v>9.6189999999999998</v>
      </c>
      <c r="M1923" s="85">
        <v>10</v>
      </c>
      <c r="N1923" s="74">
        <v>0.35299999999999998</v>
      </c>
      <c r="O1923">
        <v>3</v>
      </c>
      <c r="P1923" s="84">
        <v>0.35299999999999998</v>
      </c>
      <c r="Q1923" s="86">
        <v>4.2</v>
      </c>
      <c r="R1923" s="85">
        <v>4.2</v>
      </c>
      <c r="S1923" s="87">
        <v>1387140</v>
      </c>
      <c r="T1923" s="1">
        <v>1</v>
      </c>
      <c r="U1923" s="88">
        <v>330271.42857142858</v>
      </c>
      <c r="V1923" s="59">
        <v>3.0278126216531858</v>
      </c>
    </row>
    <row r="1924" spans="1:22">
      <c r="A1924" s="58">
        <v>1926</v>
      </c>
      <c r="B1924" s="58">
        <v>1926</v>
      </c>
      <c r="C1924" s="58" t="s">
        <v>2733</v>
      </c>
      <c r="D1924" s="58" t="s">
        <v>1190</v>
      </c>
      <c r="E1924" s="58" t="s">
        <v>1190</v>
      </c>
      <c r="F1924" s="58" t="s">
        <v>1191</v>
      </c>
      <c r="G1924" s="58" t="s">
        <v>1192</v>
      </c>
      <c r="H1924" s="58" t="s">
        <v>179</v>
      </c>
      <c r="I1924">
        <v>38000</v>
      </c>
      <c r="J1924">
        <v>38000</v>
      </c>
      <c r="K1924">
        <v>10000</v>
      </c>
      <c r="L1924" s="74">
        <v>7.6849999999999996</v>
      </c>
      <c r="M1924" s="85">
        <v>8</v>
      </c>
      <c r="N1924" s="74">
        <v>1.27</v>
      </c>
      <c r="O1924">
        <v>3</v>
      </c>
      <c r="P1924" s="84">
        <v>0.95250000000000001</v>
      </c>
      <c r="Q1924" s="86">
        <v>4.2</v>
      </c>
      <c r="R1924" s="85">
        <v>4.2</v>
      </c>
      <c r="S1924" s="87">
        <v>909950</v>
      </c>
      <c r="T1924" s="1">
        <v>4</v>
      </c>
      <c r="U1924" s="88">
        <v>216654.76190476189</v>
      </c>
      <c r="V1924" s="59">
        <v>4.6156382218803227</v>
      </c>
    </row>
    <row r="1925" spans="1:22">
      <c r="A1925" s="58">
        <v>1927</v>
      </c>
      <c r="B1925" s="58">
        <v>1927</v>
      </c>
      <c r="C1925" s="58" t="s">
        <v>2734</v>
      </c>
      <c r="D1925" s="58" t="s">
        <v>1190</v>
      </c>
      <c r="E1925" s="58" t="s">
        <v>1190</v>
      </c>
      <c r="F1925" s="58" t="s">
        <v>1191</v>
      </c>
      <c r="G1925" s="58" t="s">
        <v>1192</v>
      </c>
      <c r="H1925" s="58" t="s">
        <v>179</v>
      </c>
      <c r="I1925">
        <v>38000</v>
      </c>
      <c r="J1925">
        <v>38000</v>
      </c>
      <c r="K1925">
        <v>10000</v>
      </c>
      <c r="L1925" s="74">
        <v>7.7549999999999999</v>
      </c>
      <c r="M1925" s="85">
        <v>8</v>
      </c>
      <c r="N1925" s="74">
        <v>0.42399999999999999</v>
      </c>
      <c r="O1925">
        <v>3</v>
      </c>
      <c r="P1925" s="84">
        <v>0.42399999999999999</v>
      </c>
      <c r="Q1925" s="86">
        <v>4.2</v>
      </c>
      <c r="R1925" s="85">
        <v>4.2</v>
      </c>
      <c r="S1925" s="87">
        <v>909950</v>
      </c>
      <c r="T1925" s="1">
        <v>4</v>
      </c>
      <c r="U1925" s="88">
        <v>216654.76190476189</v>
      </c>
      <c r="V1925" s="59">
        <v>4.6156382218803227</v>
      </c>
    </row>
    <row r="1926" spans="1:22">
      <c r="A1926" s="58">
        <v>1928</v>
      </c>
      <c r="B1926" s="58">
        <v>1928</v>
      </c>
      <c r="C1926" s="58" t="s">
        <v>2735</v>
      </c>
      <c r="D1926" s="58" t="s">
        <v>384</v>
      </c>
      <c r="E1926" s="58" t="s">
        <v>1806</v>
      </c>
      <c r="F1926" s="58" t="s">
        <v>2054</v>
      </c>
      <c r="G1926" s="58" t="s">
        <v>2055</v>
      </c>
      <c r="H1926" s="58" t="s">
        <v>179</v>
      </c>
      <c r="I1926">
        <v>38000</v>
      </c>
      <c r="J1926">
        <v>38000</v>
      </c>
      <c r="K1926" s="58" t="s">
        <v>185</v>
      </c>
      <c r="L1926" s="74">
        <v>5.6459999999999999</v>
      </c>
      <c r="M1926" s="85">
        <v>6</v>
      </c>
      <c r="N1926" s="74">
        <v>3.9119999999999999</v>
      </c>
      <c r="O1926">
        <v>3</v>
      </c>
      <c r="P1926" s="84">
        <v>2.9340000000000002</v>
      </c>
      <c r="Q1926" s="86">
        <v>21</v>
      </c>
      <c r="R1926" s="85">
        <v>21</v>
      </c>
      <c r="S1926" s="87">
        <v>769410</v>
      </c>
      <c r="T1926" s="1">
        <v>4</v>
      </c>
      <c r="U1926" s="88">
        <v>36638.571428571428</v>
      </c>
      <c r="V1926" s="59">
        <v>27.293640581744455</v>
      </c>
    </row>
    <row r="1927" spans="1:22">
      <c r="A1927" s="58">
        <v>1929</v>
      </c>
      <c r="B1927" s="58">
        <v>1929</v>
      </c>
      <c r="C1927" s="58" t="s">
        <v>2736</v>
      </c>
      <c r="D1927" s="58" t="s">
        <v>1190</v>
      </c>
      <c r="E1927" s="58" t="s">
        <v>1190</v>
      </c>
      <c r="F1927" s="58" t="s">
        <v>2054</v>
      </c>
      <c r="G1927" s="58" t="s">
        <v>2055</v>
      </c>
      <c r="H1927" s="58" t="s">
        <v>179</v>
      </c>
      <c r="I1927">
        <v>38000</v>
      </c>
      <c r="J1927">
        <v>38000</v>
      </c>
      <c r="K1927" s="58" t="s">
        <v>185</v>
      </c>
      <c r="L1927" s="74">
        <v>5.0880000000000001</v>
      </c>
      <c r="M1927" s="85">
        <v>6</v>
      </c>
      <c r="N1927" s="74">
        <v>0.58499999999999996</v>
      </c>
      <c r="O1927">
        <v>3</v>
      </c>
      <c r="P1927" s="84">
        <v>0.58499999999999996</v>
      </c>
      <c r="Q1927" s="86">
        <v>4.2</v>
      </c>
      <c r="R1927" s="85">
        <v>4.2</v>
      </c>
      <c r="S1927" s="87">
        <v>769410</v>
      </c>
      <c r="T1927" s="1">
        <v>4</v>
      </c>
      <c r="U1927" s="88">
        <v>183192.85714285713</v>
      </c>
      <c r="V1927" s="59">
        <v>5.4587281163488903</v>
      </c>
    </row>
    <row r="1928" spans="1:22">
      <c r="A1928" s="58">
        <v>1930</v>
      </c>
      <c r="B1928" s="58">
        <v>1930</v>
      </c>
      <c r="C1928" s="58" t="s">
        <v>2737</v>
      </c>
      <c r="D1928" s="58" t="s">
        <v>384</v>
      </c>
      <c r="E1928" s="58" t="s">
        <v>1806</v>
      </c>
      <c r="F1928" s="58" t="s">
        <v>2054</v>
      </c>
      <c r="G1928" s="58" t="s">
        <v>2055</v>
      </c>
      <c r="H1928" s="58" t="s">
        <v>179</v>
      </c>
      <c r="I1928">
        <v>38000</v>
      </c>
      <c r="J1928">
        <v>38000</v>
      </c>
      <c r="K1928" s="58" t="s">
        <v>185</v>
      </c>
      <c r="L1928" s="74">
        <v>2.8940000000000001</v>
      </c>
      <c r="M1928" s="85">
        <v>3</v>
      </c>
      <c r="N1928" s="74">
        <v>0.63200000000000001</v>
      </c>
      <c r="O1928">
        <v>3</v>
      </c>
      <c r="P1928" s="84">
        <v>0.63200000000000001</v>
      </c>
      <c r="Q1928" s="86">
        <v>4.2</v>
      </c>
      <c r="R1928" s="85">
        <v>4.2</v>
      </c>
      <c r="S1928" s="87">
        <v>558600</v>
      </c>
      <c r="T1928" s="1">
        <v>4</v>
      </c>
      <c r="U1928" s="88">
        <v>133000</v>
      </c>
      <c r="V1928" s="59">
        <v>7.518796992481203</v>
      </c>
    </row>
    <row r="1929" spans="1:22">
      <c r="A1929" s="58">
        <v>1931</v>
      </c>
      <c r="B1929" s="58">
        <v>1931</v>
      </c>
      <c r="C1929" s="58" t="s">
        <v>2738</v>
      </c>
      <c r="D1929" s="58" t="s">
        <v>536</v>
      </c>
      <c r="E1929" s="58" t="s">
        <v>536</v>
      </c>
      <c r="F1929" s="58" t="s">
        <v>2054</v>
      </c>
      <c r="G1929" s="58" t="s">
        <v>2055</v>
      </c>
      <c r="H1929" s="58" t="s">
        <v>179</v>
      </c>
      <c r="I1929">
        <v>38000</v>
      </c>
      <c r="J1929">
        <v>38000</v>
      </c>
      <c r="K1929" s="58" t="s">
        <v>185</v>
      </c>
      <c r="L1929" s="74">
        <v>5.1189999999999998</v>
      </c>
      <c r="M1929" s="85">
        <v>6</v>
      </c>
      <c r="N1929" s="74">
        <v>0.45800000000000002</v>
      </c>
      <c r="O1929">
        <v>3</v>
      </c>
      <c r="P1929" s="84">
        <v>0.45800000000000002</v>
      </c>
      <c r="Q1929" s="86">
        <v>4.2</v>
      </c>
      <c r="R1929" s="85">
        <v>4.2</v>
      </c>
      <c r="S1929" s="87">
        <v>769410</v>
      </c>
      <c r="T1929" s="1">
        <v>4</v>
      </c>
      <c r="U1929" s="88">
        <v>183192.85714285713</v>
      </c>
      <c r="V1929" s="59">
        <v>5.4587281163488903</v>
      </c>
    </row>
    <row r="1930" spans="1:22">
      <c r="A1930" s="58">
        <v>1932</v>
      </c>
      <c r="B1930" s="58">
        <v>1932</v>
      </c>
      <c r="C1930" s="58" t="s">
        <v>2739</v>
      </c>
      <c r="D1930" s="58" t="s">
        <v>1806</v>
      </c>
      <c r="E1930" s="58" t="s">
        <v>1806</v>
      </c>
      <c r="F1930" s="58" t="s">
        <v>2048</v>
      </c>
      <c r="G1930" s="58" t="s">
        <v>2049</v>
      </c>
      <c r="H1930" s="58" t="s">
        <v>179</v>
      </c>
      <c r="I1930">
        <v>38000</v>
      </c>
      <c r="J1930">
        <v>38000</v>
      </c>
      <c r="K1930" s="58" t="s">
        <v>185</v>
      </c>
      <c r="L1930" s="74">
        <v>5.5350000000000001</v>
      </c>
      <c r="M1930" s="85">
        <v>6</v>
      </c>
      <c r="N1930" s="74">
        <v>1.2729999999999999</v>
      </c>
      <c r="O1930">
        <v>3</v>
      </c>
      <c r="P1930" s="84">
        <v>0.95474999999999999</v>
      </c>
      <c r="Q1930" s="86">
        <v>4.2</v>
      </c>
      <c r="R1930" s="85">
        <v>4.2</v>
      </c>
      <c r="S1930" s="87">
        <v>769410</v>
      </c>
      <c r="T1930" s="1">
        <v>4</v>
      </c>
      <c r="U1930" s="88">
        <v>183192.85714285713</v>
      </c>
      <c r="V1930" s="59">
        <v>5.4587281163488903</v>
      </c>
    </row>
    <row r="1931" spans="1:22">
      <c r="A1931" s="58">
        <v>1933</v>
      </c>
      <c r="B1931" s="58">
        <v>1933</v>
      </c>
      <c r="C1931" s="58" t="s">
        <v>2740</v>
      </c>
      <c r="D1931" s="58" t="s">
        <v>1806</v>
      </c>
      <c r="E1931" s="58" t="s">
        <v>1806</v>
      </c>
      <c r="F1931" s="58" t="s">
        <v>2054</v>
      </c>
      <c r="G1931" s="58" t="s">
        <v>2055</v>
      </c>
      <c r="H1931" s="58" t="s">
        <v>179</v>
      </c>
      <c r="I1931">
        <v>38000</v>
      </c>
      <c r="J1931">
        <v>38000</v>
      </c>
      <c r="K1931" s="58" t="s">
        <v>185</v>
      </c>
      <c r="L1931" s="74">
        <v>11.015000000000001</v>
      </c>
      <c r="M1931" s="85">
        <v>12</v>
      </c>
      <c r="N1931" s="74">
        <v>0.71699999999999997</v>
      </c>
      <c r="O1931">
        <v>3</v>
      </c>
      <c r="P1931" s="84">
        <v>0.71699999999999997</v>
      </c>
      <c r="Q1931" s="86">
        <v>4.2</v>
      </c>
      <c r="R1931" s="85">
        <v>4.2</v>
      </c>
      <c r="S1931" s="87">
        <v>1492540</v>
      </c>
      <c r="T1931" s="1">
        <v>1</v>
      </c>
      <c r="U1931" s="88">
        <v>355366.66666666663</v>
      </c>
      <c r="V1931" s="59">
        <v>2.8139949348091173</v>
      </c>
    </row>
    <row r="1932" spans="1:22">
      <c r="A1932" s="58">
        <v>1934</v>
      </c>
      <c r="B1932" s="58">
        <v>1934</v>
      </c>
      <c r="C1932" s="58" t="s">
        <v>2741</v>
      </c>
      <c r="D1932" s="58" t="s">
        <v>1190</v>
      </c>
      <c r="E1932" s="58" t="s">
        <v>1190</v>
      </c>
      <c r="F1932" s="58" t="s">
        <v>1194</v>
      </c>
      <c r="G1932" s="58" t="s">
        <v>1195</v>
      </c>
      <c r="H1932" s="58" t="s">
        <v>179</v>
      </c>
      <c r="I1932">
        <v>38000</v>
      </c>
      <c r="J1932">
        <v>38000</v>
      </c>
      <c r="K1932" s="58" t="s">
        <v>185</v>
      </c>
      <c r="L1932" s="74">
        <v>3.1160000000000001</v>
      </c>
      <c r="M1932" s="85">
        <v>4</v>
      </c>
      <c r="N1932" s="74">
        <v>0.72899999999999998</v>
      </c>
      <c r="O1932">
        <v>3</v>
      </c>
      <c r="P1932" s="84">
        <v>0.72899999999999998</v>
      </c>
      <c r="Q1932" s="86">
        <v>4.2</v>
      </c>
      <c r="R1932" s="85">
        <v>4.2</v>
      </c>
      <c r="S1932" s="87">
        <v>628870</v>
      </c>
      <c r="T1932" s="1">
        <v>4</v>
      </c>
      <c r="U1932" s="88">
        <v>149730.95238095237</v>
      </c>
      <c r="V1932" s="59">
        <v>6.6786458250512828</v>
      </c>
    </row>
    <row r="1933" spans="1:22">
      <c r="A1933" s="58">
        <v>1935</v>
      </c>
      <c r="B1933" s="58">
        <v>1935</v>
      </c>
      <c r="C1933" s="58" t="s">
        <v>2742</v>
      </c>
      <c r="D1933" s="58" t="s">
        <v>1190</v>
      </c>
      <c r="E1933" s="58" t="s">
        <v>536</v>
      </c>
      <c r="F1933" s="58" t="s">
        <v>1194</v>
      </c>
      <c r="G1933" s="58" t="s">
        <v>1195</v>
      </c>
      <c r="H1933" s="58" t="s">
        <v>179</v>
      </c>
      <c r="I1933">
        <v>38000</v>
      </c>
      <c r="J1933">
        <v>38000</v>
      </c>
      <c r="K1933" s="58" t="s">
        <v>185</v>
      </c>
      <c r="L1933" s="74">
        <v>8.9700000000000006</v>
      </c>
      <c r="M1933" s="85">
        <v>9</v>
      </c>
      <c r="N1933" s="74">
        <v>0.53700000000000003</v>
      </c>
      <c r="O1933">
        <v>3</v>
      </c>
      <c r="P1933" s="84">
        <v>0.53700000000000003</v>
      </c>
      <c r="Q1933" s="86">
        <v>4.2</v>
      </c>
      <c r="R1933" s="85">
        <v>4.2</v>
      </c>
      <c r="S1933" s="87">
        <v>1334440</v>
      </c>
      <c r="T1933" s="1">
        <v>1</v>
      </c>
      <c r="U1933" s="88">
        <v>317723.80952380953</v>
      </c>
      <c r="V1933" s="59">
        <v>3.1473876682353645</v>
      </c>
    </row>
    <row r="1934" spans="1:22">
      <c r="A1934" s="58">
        <v>1936</v>
      </c>
      <c r="B1934" s="58">
        <v>1936</v>
      </c>
      <c r="C1934" s="58" t="s">
        <v>2743</v>
      </c>
      <c r="D1934" s="58" t="s">
        <v>1190</v>
      </c>
      <c r="E1934" s="58" t="s">
        <v>1190</v>
      </c>
      <c r="F1934" s="58" t="s">
        <v>2332</v>
      </c>
      <c r="G1934" s="58" t="s">
        <v>2333</v>
      </c>
      <c r="H1934" s="58" t="s">
        <v>199</v>
      </c>
      <c r="I1934">
        <v>110000</v>
      </c>
      <c r="L1934" s="74">
        <v>6.2919999999999998</v>
      </c>
      <c r="M1934" s="85">
        <v>7</v>
      </c>
      <c r="N1934" s="74">
        <v>0.76400000000000001</v>
      </c>
      <c r="O1934">
        <v>3</v>
      </c>
      <c r="P1934" s="84">
        <v>0.76400000000000001</v>
      </c>
      <c r="Q1934" s="86">
        <v>4.2</v>
      </c>
      <c r="R1934" s="85">
        <v>4.2</v>
      </c>
      <c r="S1934" s="87">
        <v>1785370</v>
      </c>
      <c r="T1934" s="1">
        <v>7</v>
      </c>
      <c r="U1934" s="88">
        <v>425088.09523809521</v>
      </c>
      <c r="V1934" s="59">
        <v>2.3524535530450272</v>
      </c>
    </row>
    <row r="1935" spans="1:22">
      <c r="A1935" s="58">
        <v>1937</v>
      </c>
      <c r="B1935" s="58">
        <v>1937</v>
      </c>
      <c r="C1935" s="58" t="s">
        <v>2744</v>
      </c>
      <c r="D1935" s="58" t="s">
        <v>1190</v>
      </c>
      <c r="E1935" s="58" t="s">
        <v>1190</v>
      </c>
      <c r="F1935" s="58" t="s">
        <v>2072</v>
      </c>
      <c r="G1935" s="58" t="s">
        <v>2073</v>
      </c>
      <c r="H1935" s="58" t="s">
        <v>179</v>
      </c>
      <c r="I1935">
        <v>38000</v>
      </c>
      <c r="J1935">
        <v>38000</v>
      </c>
      <c r="K1935">
        <v>10000</v>
      </c>
      <c r="L1935" s="74">
        <v>5.9660000000000002</v>
      </c>
      <c r="M1935" s="85">
        <v>6</v>
      </c>
      <c r="N1935" s="74">
        <v>0.42699999999999999</v>
      </c>
      <c r="O1935">
        <v>3</v>
      </c>
      <c r="P1935" s="84">
        <v>0.42699999999999999</v>
      </c>
      <c r="Q1935" s="86">
        <v>4.2</v>
      </c>
      <c r="R1935" s="85">
        <v>4.2</v>
      </c>
      <c r="S1935" s="87">
        <v>769410</v>
      </c>
      <c r="T1935" s="1">
        <v>4</v>
      </c>
      <c r="U1935" s="88">
        <v>183192.85714285713</v>
      </c>
      <c r="V1935" s="59">
        <v>5.4587281163488903</v>
      </c>
    </row>
    <row r="1936" spans="1:22">
      <c r="A1936" s="58">
        <v>1938</v>
      </c>
      <c r="B1936" s="58">
        <v>1938</v>
      </c>
      <c r="C1936" s="58" t="s">
        <v>2745</v>
      </c>
      <c r="D1936" s="58" t="s">
        <v>2068</v>
      </c>
      <c r="E1936" s="58" t="s">
        <v>249</v>
      </c>
      <c r="F1936" s="58" t="s">
        <v>2746</v>
      </c>
      <c r="G1936" s="58" t="s">
        <v>2747</v>
      </c>
      <c r="H1936" s="58" t="s">
        <v>179</v>
      </c>
      <c r="I1936">
        <v>38000</v>
      </c>
      <c r="J1936">
        <v>38000</v>
      </c>
      <c r="K1936">
        <v>10000</v>
      </c>
      <c r="L1936" s="74">
        <v>3.181</v>
      </c>
      <c r="M1936" s="85">
        <v>4</v>
      </c>
      <c r="N1936" s="74">
        <v>1.6459999999999999</v>
      </c>
      <c r="O1936">
        <v>3</v>
      </c>
      <c r="P1936" s="84">
        <v>1.2344999999999999</v>
      </c>
      <c r="Q1936" s="86">
        <v>8.4</v>
      </c>
      <c r="R1936" s="85">
        <v>8.4</v>
      </c>
      <c r="S1936" s="87">
        <v>628870</v>
      </c>
      <c r="T1936" s="1">
        <v>4</v>
      </c>
      <c r="U1936" s="88">
        <v>74865.476190476184</v>
      </c>
      <c r="V1936" s="59">
        <v>13.357291650102566</v>
      </c>
    </row>
    <row r="1937" spans="1:22">
      <c r="A1937" s="58">
        <v>1939</v>
      </c>
      <c r="B1937" s="58">
        <v>1939</v>
      </c>
      <c r="C1937" s="58" t="s">
        <v>2748</v>
      </c>
      <c r="D1937" s="58" t="s">
        <v>234</v>
      </c>
      <c r="E1937" s="58" t="s">
        <v>234</v>
      </c>
      <c r="F1937" s="58" t="s">
        <v>323</v>
      </c>
      <c r="G1937" s="58" t="s">
        <v>324</v>
      </c>
      <c r="H1937" s="58" t="s">
        <v>179</v>
      </c>
      <c r="I1937">
        <v>38000</v>
      </c>
      <c r="J1937">
        <v>38000</v>
      </c>
      <c r="K1937">
        <v>20000</v>
      </c>
      <c r="L1937" s="74">
        <v>12.066000000000001</v>
      </c>
      <c r="M1937" s="85">
        <v>13</v>
      </c>
      <c r="N1937" s="74">
        <v>2.6320000000000001</v>
      </c>
      <c r="O1937">
        <v>3</v>
      </c>
      <c r="P1937" s="84">
        <v>1.9740000000000002</v>
      </c>
      <c r="Q1937" s="86">
        <v>12.600000000000001</v>
      </c>
      <c r="R1937" s="85">
        <v>12.600000000000001</v>
      </c>
      <c r="S1937" s="87">
        <v>1627650</v>
      </c>
      <c r="T1937" s="1">
        <v>3</v>
      </c>
      <c r="U1937" s="88">
        <v>129178.57142857142</v>
      </c>
      <c r="V1937" s="59">
        <v>7.7412220071882789</v>
      </c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B72A3-9D50-40F1-8803-C3C5EA4BD84A}">
  <sheetPr codeName="Sheet7"/>
  <dimension ref="A1:DN522"/>
  <sheetViews>
    <sheetView topLeftCell="D494" zoomScaleNormal="100" workbookViewId="0">
      <selection activeCell="D521" sqref="D521"/>
    </sheetView>
  </sheetViews>
  <sheetFormatPr defaultColWidth="9.140625" defaultRowHeight="15"/>
  <cols>
    <col min="1" max="1" width="24.85546875" customWidth="1"/>
    <col min="2" max="2" width="18.85546875" customWidth="1"/>
    <col min="3" max="3" width="10.85546875" customWidth="1"/>
    <col min="4" max="4" width="13.85546875" bestFit="1" customWidth="1"/>
    <col min="5" max="12" width="8.85546875" customWidth="1"/>
    <col min="14" max="14" width="18.85546875" customWidth="1"/>
    <col min="15" max="15" width="10.85546875" customWidth="1"/>
    <col min="16" max="16" width="13.85546875" bestFit="1" customWidth="1"/>
    <col min="17" max="21" width="8.85546875" customWidth="1"/>
    <col min="26" max="30" width="8.85546875" customWidth="1"/>
    <col min="31" max="31" width="18.85546875" customWidth="1"/>
    <col min="32" max="32" width="10.85546875" customWidth="1"/>
    <col min="33" max="33" width="13.85546875" bestFit="1" customWidth="1"/>
    <col min="34" max="41" width="8.85546875" customWidth="1"/>
    <col min="43" max="43" width="18.85546875" customWidth="1"/>
    <col min="44" max="44" width="10.85546875" customWidth="1"/>
    <col min="45" max="45" width="13.85546875" bestFit="1" customWidth="1"/>
    <col min="46" max="53" width="8.85546875" customWidth="1"/>
  </cols>
  <sheetData>
    <row r="1" spans="2:12">
      <c r="B1" s="154" t="s">
        <v>2856</v>
      </c>
    </row>
    <row r="2" spans="2:12" ht="21">
      <c r="B2" s="155" t="s">
        <v>2857</v>
      </c>
    </row>
    <row r="4" spans="2:12" ht="15.75" thickBot="1">
      <c r="B4" s="156" t="s">
        <v>2858</v>
      </c>
    </row>
    <row r="5" spans="2:12" ht="15.75" thickBot="1">
      <c r="B5" s="388"/>
      <c r="C5" s="389"/>
      <c r="D5" s="157" t="s">
        <v>0</v>
      </c>
      <c r="E5" s="158">
        <v>2015</v>
      </c>
      <c r="F5" s="158">
        <v>2020</v>
      </c>
      <c r="G5" s="158">
        <v>2025</v>
      </c>
      <c r="H5" s="158">
        <v>2030</v>
      </c>
      <c r="I5" s="158">
        <v>2035</v>
      </c>
      <c r="J5" s="158">
        <v>2040</v>
      </c>
      <c r="K5" s="158">
        <v>2045</v>
      </c>
      <c r="L5" s="158">
        <v>2050</v>
      </c>
    </row>
    <row r="6" spans="2:12" ht="16.5" thickTop="1" thickBot="1">
      <c r="B6" s="375" t="s">
        <v>2859</v>
      </c>
      <c r="C6" s="159" t="s">
        <v>2860</v>
      </c>
      <c r="D6" s="159" t="s">
        <v>2</v>
      </c>
      <c r="E6" s="160">
        <v>403.66769999999997</v>
      </c>
      <c r="F6" s="160">
        <v>606.14927339748783</v>
      </c>
      <c r="G6" s="160">
        <v>766.39753003230362</v>
      </c>
      <c r="H6" s="160">
        <v>926.64578666711941</v>
      </c>
      <c r="I6" s="160">
        <v>1073.654746120922</v>
      </c>
      <c r="J6" s="160">
        <v>1220.6637055747244</v>
      </c>
      <c r="K6" s="160">
        <v>1370.5899421379372</v>
      </c>
      <c r="L6" s="160">
        <v>1520.5161787011502</v>
      </c>
    </row>
    <row r="7" spans="2:12" ht="15.75" thickBot="1">
      <c r="B7" s="376"/>
      <c r="C7" s="161" t="s">
        <v>2861</v>
      </c>
      <c r="D7" s="161" t="s">
        <v>2</v>
      </c>
      <c r="E7" s="162">
        <v>403.66769999999997</v>
      </c>
      <c r="F7" s="162">
        <v>785</v>
      </c>
      <c r="G7" s="162">
        <v>1222.5</v>
      </c>
      <c r="H7" s="162">
        <v>1660</v>
      </c>
      <c r="I7" s="162">
        <v>2043</v>
      </c>
      <c r="J7" s="162">
        <v>2426</v>
      </c>
      <c r="K7" s="162">
        <v>2731.5</v>
      </c>
      <c r="L7" s="162">
        <v>3037</v>
      </c>
    </row>
    <row r="8" spans="2:12" ht="15.75" thickBot="1">
      <c r="B8" s="377"/>
      <c r="C8" s="159" t="s">
        <v>2862</v>
      </c>
      <c r="D8" s="159" t="s">
        <v>2</v>
      </c>
      <c r="E8" s="160">
        <v>403.66769999999997</v>
      </c>
      <c r="F8" s="160">
        <v>783.88035438694976</v>
      </c>
      <c r="G8" s="160">
        <v>1483.7707675031147</v>
      </c>
      <c r="H8" s="160">
        <v>2183.6611806192795</v>
      </c>
      <c r="I8" s="160">
        <v>2842.8862409716312</v>
      </c>
      <c r="J8" s="160">
        <v>3502.1113013239824</v>
      </c>
      <c r="K8" s="160">
        <v>3972.8269031476711</v>
      </c>
      <c r="L8" s="160">
        <v>4443.5425049713594</v>
      </c>
    </row>
    <row r="9" spans="2:12" ht="15.75" thickBot="1">
      <c r="B9" s="384" t="s">
        <v>2863</v>
      </c>
      <c r="C9" s="161" t="s">
        <v>2860</v>
      </c>
      <c r="D9" s="161" t="s">
        <v>2864</v>
      </c>
      <c r="E9" s="162">
        <v>45</v>
      </c>
      <c r="F9" s="162">
        <v>40</v>
      </c>
      <c r="G9" s="162">
        <v>38</v>
      </c>
      <c r="H9" s="162">
        <v>37</v>
      </c>
      <c r="I9" s="162">
        <v>57</v>
      </c>
      <c r="J9" s="162">
        <v>71</v>
      </c>
      <c r="K9" s="162">
        <v>65</v>
      </c>
      <c r="L9" s="162">
        <v>74</v>
      </c>
    </row>
    <row r="10" spans="2:12" ht="15.75" thickBot="1">
      <c r="B10" s="376"/>
      <c r="C10" s="159" t="s">
        <v>2861</v>
      </c>
      <c r="D10" s="159" t="s">
        <v>2864</v>
      </c>
      <c r="E10" s="160">
        <v>45</v>
      </c>
      <c r="F10" s="160">
        <v>76</v>
      </c>
      <c r="G10" s="160">
        <v>77</v>
      </c>
      <c r="H10" s="160">
        <v>109</v>
      </c>
      <c r="I10" s="160">
        <v>107</v>
      </c>
      <c r="J10" s="160">
        <v>115</v>
      </c>
      <c r="K10" s="160">
        <v>129</v>
      </c>
      <c r="L10" s="160">
        <v>147</v>
      </c>
    </row>
    <row r="11" spans="2:12" ht="15.75" thickBot="1">
      <c r="B11" s="377"/>
      <c r="C11" s="161" t="s">
        <v>2862</v>
      </c>
      <c r="D11" s="161" t="s">
        <v>2864</v>
      </c>
      <c r="E11" s="162">
        <v>45</v>
      </c>
      <c r="F11" s="162">
        <v>76</v>
      </c>
      <c r="G11" s="162">
        <v>133</v>
      </c>
      <c r="H11" s="162">
        <v>159</v>
      </c>
      <c r="I11" s="162">
        <v>165</v>
      </c>
      <c r="J11" s="162">
        <v>167</v>
      </c>
      <c r="K11" s="162">
        <v>185</v>
      </c>
      <c r="L11" s="162">
        <v>212</v>
      </c>
    </row>
    <row r="12" spans="2:12" ht="15.75" thickBot="1">
      <c r="B12" s="385" t="s">
        <v>2865</v>
      </c>
      <c r="C12" s="159" t="s">
        <v>2866</v>
      </c>
      <c r="D12" s="159" t="s">
        <v>2855</v>
      </c>
      <c r="E12" s="163">
        <v>0.05</v>
      </c>
      <c r="F12" s="163">
        <v>0.05</v>
      </c>
      <c r="G12" s="163">
        <v>0.05</v>
      </c>
      <c r="H12" s="163">
        <v>0.05</v>
      </c>
      <c r="I12" s="163">
        <v>0.05</v>
      </c>
      <c r="J12" s="163">
        <v>0.05</v>
      </c>
      <c r="K12" s="163">
        <v>0.05</v>
      </c>
      <c r="L12" s="163">
        <v>0.05</v>
      </c>
    </row>
    <row r="13" spans="2:12" ht="15.75" thickBot="1">
      <c r="B13" s="386"/>
      <c r="C13" s="161" t="s">
        <v>2867</v>
      </c>
      <c r="D13" s="161" t="s">
        <v>2855</v>
      </c>
      <c r="E13" s="163">
        <v>0.1</v>
      </c>
      <c r="F13" s="163">
        <v>0.1</v>
      </c>
      <c r="G13" s="163">
        <v>0.1</v>
      </c>
      <c r="H13" s="163">
        <v>0.1</v>
      </c>
      <c r="I13" s="163">
        <v>0.1</v>
      </c>
      <c r="J13" s="163">
        <v>0.1</v>
      </c>
      <c r="K13" s="163">
        <v>0.1</v>
      </c>
      <c r="L13" s="163">
        <v>0.1</v>
      </c>
    </row>
    <row r="14" spans="2:12" ht="15.75" thickBot="1">
      <c r="B14" s="387"/>
      <c r="C14" s="159" t="s">
        <v>2868</v>
      </c>
      <c r="D14" s="159" t="s">
        <v>2855</v>
      </c>
      <c r="E14" s="163">
        <v>0.02</v>
      </c>
      <c r="F14" s="163">
        <v>0.02</v>
      </c>
      <c r="G14" s="163">
        <v>0.02</v>
      </c>
      <c r="H14" s="163">
        <v>0.02</v>
      </c>
      <c r="I14" s="163">
        <v>0.02</v>
      </c>
      <c r="J14" s="163">
        <v>0.02</v>
      </c>
      <c r="K14" s="163">
        <v>0.02</v>
      </c>
      <c r="L14" s="163">
        <v>0.02</v>
      </c>
    </row>
    <row r="15" spans="2:12" ht="15.75" thickBot="1">
      <c r="B15" s="164" t="s">
        <v>2869</v>
      </c>
      <c r="C15" s="161" t="s">
        <v>2870</v>
      </c>
      <c r="D15" s="161" t="s">
        <v>2854</v>
      </c>
      <c r="E15" s="162">
        <v>25</v>
      </c>
      <c r="F15" s="162">
        <v>25</v>
      </c>
      <c r="G15" s="162">
        <v>25</v>
      </c>
      <c r="H15" s="162">
        <v>25</v>
      </c>
      <c r="I15" s="162">
        <v>25</v>
      </c>
      <c r="J15" s="162">
        <v>25</v>
      </c>
      <c r="K15" s="162">
        <v>25</v>
      </c>
      <c r="L15" s="162">
        <v>25</v>
      </c>
    </row>
    <row r="17" spans="2:12" ht="15.75" thickBot="1">
      <c r="B17" s="156" t="s">
        <v>2871</v>
      </c>
    </row>
    <row r="18" spans="2:12" ht="15.75" thickBot="1">
      <c r="B18" s="373"/>
      <c r="C18" s="374"/>
      <c r="D18" s="157" t="s">
        <v>0</v>
      </c>
      <c r="E18" s="165">
        <v>2015</v>
      </c>
      <c r="F18" s="165">
        <v>2020</v>
      </c>
      <c r="G18" s="165">
        <v>2025</v>
      </c>
      <c r="H18" s="165">
        <v>2030</v>
      </c>
      <c r="I18" s="165">
        <v>2035</v>
      </c>
      <c r="J18" s="165">
        <v>2040</v>
      </c>
      <c r="K18" s="165">
        <v>2045</v>
      </c>
      <c r="L18" s="165">
        <v>2050</v>
      </c>
    </row>
    <row r="19" spans="2:12" ht="16.5" thickTop="1" thickBot="1">
      <c r="B19" s="375" t="s">
        <v>2859</v>
      </c>
      <c r="C19" s="159" t="s">
        <v>2860</v>
      </c>
      <c r="D19" s="159" t="s">
        <v>2</v>
      </c>
      <c r="E19" s="160">
        <v>11.636700000000003</v>
      </c>
      <c r="F19" s="160">
        <v>29.848723085510589</v>
      </c>
      <c r="G19" s="160">
        <v>38.287371158789547</v>
      </c>
      <c r="H19" s="160">
        <v>46.726019232068509</v>
      </c>
      <c r="I19" s="160">
        <v>60.041552862002597</v>
      </c>
      <c r="J19" s="160">
        <v>73.357086491936684</v>
      </c>
      <c r="K19" s="160">
        <v>90.638104313916799</v>
      </c>
      <c r="L19" s="160">
        <v>107.91912213589691</v>
      </c>
    </row>
    <row r="20" spans="2:12" ht="15.75" thickBot="1">
      <c r="B20" s="376"/>
      <c r="C20" s="161" t="s">
        <v>2861</v>
      </c>
      <c r="D20" s="161" t="s">
        <v>2</v>
      </c>
      <c r="E20" s="162">
        <v>11.636700000000003</v>
      </c>
      <c r="F20" s="162">
        <v>37.909090909090907</v>
      </c>
      <c r="G20" s="162">
        <v>79.954545454545453</v>
      </c>
      <c r="H20" s="162">
        <v>122</v>
      </c>
      <c r="I20" s="162">
        <v>194.5</v>
      </c>
      <c r="J20" s="162">
        <v>267</v>
      </c>
      <c r="K20" s="162">
        <v>352</v>
      </c>
      <c r="L20" s="162">
        <v>437</v>
      </c>
    </row>
    <row r="21" spans="2:12" ht="15.75" thickBot="1">
      <c r="B21" s="377"/>
      <c r="C21" s="159" t="s">
        <v>2862</v>
      </c>
      <c r="D21" s="159" t="s">
        <v>2</v>
      </c>
      <c r="E21" s="160">
        <v>11.636700000000003</v>
      </c>
      <c r="F21" s="160">
        <v>36.515153552630487</v>
      </c>
      <c r="G21" s="160">
        <v>181.5042868077351</v>
      </c>
      <c r="H21" s="160">
        <v>326.49342006283968</v>
      </c>
      <c r="I21" s="160">
        <v>570.19890393736966</v>
      </c>
      <c r="J21" s="160">
        <v>813.90438781189971</v>
      </c>
      <c r="K21" s="160">
        <v>972.55366312951128</v>
      </c>
      <c r="L21" s="160">
        <v>1131.202938447123</v>
      </c>
    </row>
    <row r="22" spans="2:12" ht="15.75" thickBot="1">
      <c r="B22" s="384" t="s">
        <v>2863</v>
      </c>
      <c r="C22" s="161" t="s">
        <v>2860</v>
      </c>
      <c r="D22" s="161" t="s">
        <v>2864</v>
      </c>
      <c r="E22" s="162">
        <v>2</v>
      </c>
      <c r="F22" s="162">
        <v>4</v>
      </c>
      <c r="G22" s="162">
        <v>2</v>
      </c>
      <c r="H22" s="162">
        <v>2</v>
      </c>
      <c r="I22" s="162">
        <v>3</v>
      </c>
      <c r="J22" s="162">
        <v>3</v>
      </c>
      <c r="K22" s="162">
        <v>5</v>
      </c>
      <c r="L22" s="162">
        <v>7</v>
      </c>
    </row>
    <row r="23" spans="2:12" ht="15.75" thickBot="1">
      <c r="B23" s="376"/>
      <c r="C23" s="159" t="s">
        <v>2861</v>
      </c>
      <c r="D23" s="159" t="s">
        <v>2864</v>
      </c>
      <c r="E23" s="160">
        <v>2</v>
      </c>
      <c r="F23" s="160">
        <v>5</v>
      </c>
      <c r="G23" s="160">
        <v>5</v>
      </c>
      <c r="H23" s="160">
        <v>12</v>
      </c>
      <c r="I23" s="160">
        <v>14</v>
      </c>
      <c r="J23" s="160">
        <v>15</v>
      </c>
      <c r="K23" s="160">
        <v>17</v>
      </c>
      <c r="L23" s="160">
        <v>24</v>
      </c>
    </row>
    <row r="24" spans="2:12" ht="15.75" thickBot="1">
      <c r="B24" s="377"/>
      <c r="C24" s="161" t="s">
        <v>2862</v>
      </c>
      <c r="D24" s="161" t="s">
        <v>2864</v>
      </c>
      <c r="E24" s="162">
        <v>2</v>
      </c>
      <c r="F24" s="162">
        <v>5</v>
      </c>
      <c r="G24" s="162">
        <v>21</v>
      </c>
      <c r="H24" s="162">
        <v>37</v>
      </c>
      <c r="I24" s="162">
        <v>49</v>
      </c>
      <c r="J24" s="162">
        <v>49</v>
      </c>
      <c r="K24" s="162">
        <v>44</v>
      </c>
      <c r="L24" s="162">
        <v>26</v>
      </c>
    </row>
    <row r="25" spans="2:12" ht="15.75" thickBot="1">
      <c r="B25" s="385" t="s">
        <v>2865</v>
      </c>
      <c r="C25" s="159" t="s">
        <v>2866</v>
      </c>
      <c r="D25" s="159" t="s">
        <v>2855</v>
      </c>
      <c r="E25" s="163">
        <v>0.11</v>
      </c>
      <c r="F25" s="163">
        <v>0.11</v>
      </c>
      <c r="G25" s="163">
        <v>0.08</v>
      </c>
      <c r="H25" s="163">
        <v>0.05</v>
      </c>
      <c r="I25" s="163">
        <v>0.05</v>
      </c>
      <c r="J25" s="163">
        <v>0.05</v>
      </c>
      <c r="K25" s="163">
        <v>0.05</v>
      </c>
      <c r="L25" s="163">
        <v>0.05</v>
      </c>
    </row>
    <row r="26" spans="2:12" ht="15.75" thickBot="1">
      <c r="B26" s="386"/>
      <c r="C26" s="161" t="s">
        <v>2867</v>
      </c>
      <c r="D26" s="161" t="s">
        <v>2855</v>
      </c>
      <c r="E26" s="166">
        <v>0.2</v>
      </c>
      <c r="F26" s="166">
        <v>0.2</v>
      </c>
      <c r="G26" s="166">
        <v>0.15</v>
      </c>
      <c r="H26" s="166">
        <v>0.1</v>
      </c>
      <c r="I26" s="166">
        <v>0.1</v>
      </c>
      <c r="J26" s="166">
        <v>0.1</v>
      </c>
      <c r="K26" s="166">
        <v>0.1</v>
      </c>
      <c r="L26" s="166">
        <v>0.1</v>
      </c>
    </row>
    <row r="27" spans="2:12" ht="15.75" thickBot="1">
      <c r="B27" s="387"/>
      <c r="C27" s="159" t="s">
        <v>2868</v>
      </c>
      <c r="D27" s="159" t="s">
        <v>2855</v>
      </c>
      <c r="E27" s="163">
        <v>0.05</v>
      </c>
      <c r="F27" s="163">
        <v>0.05</v>
      </c>
      <c r="G27" s="163">
        <v>0.05</v>
      </c>
      <c r="H27" s="163">
        <v>0.02</v>
      </c>
      <c r="I27" s="163">
        <v>0.02</v>
      </c>
      <c r="J27" s="163">
        <v>0.02</v>
      </c>
      <c r="K27" s="163">
        <v>0.02</v>
      </c>
      <c r="L27" s="163">
        <v>0.02</v>
      </c>
    </row>
    <row r="28" spans="2:12" ht="15.75" thickBot="1">
      <c r="B28" s="164" t="s">
        <v>2869</v>
      </c>
      <c r="C28" s="161" t="s">
        <v>2870</v>
      </c>
      <c r="D28" s="161" t="s">
        <v>2854</v>
      </c>
      <c r="E28" s="167">
        <v>30</v>
      </c>
      <c r="F28" s="167">
        <v>30</v>
      </c>
      <c r="G28" s="167">
        <v>30</v>
      </c>
      <c r="H28" s="167">
        <v>30</v>
      </c>
      <c r="I28" s="167">
        <v>30</v>
      </c>
      <c r="J28" s="167">
        <v>30</v>
      </c>
      <c r="K28" s="167">
        <v>30</v>
      </c>
      <c r="L28" s="167">
        <v>30</v>
      </c>
    </row>
    <row r="31" spans="2:12" ht="15.75" thickBot="1">
      <c r="B31" s="156" t="s">
        <v>2872</v>
      </c>
    </row>
    <row r="32" spans="2:12" ht="15.75" thickBot="1">
      <c r="B32" s="373"/>
      <c r="C32" s="374"/>
      <c r="D32" s="157" t="s">
        <v>0</v>
      </c>
      <c r="E32" s="165">
        <v>2015</v>
      </c>
      <c r="F32" s="165">
        <v>2020</v>
      </c>
      <c r="G32" s="165">
        <v>2030</v>
      </c>
      <c r="H32" s="165">
        <v>2040</v>
      </c>
      <c r="I32" s="165">
        <v>2050</v>
      </c>
    </row>
    <row r="33" spans="2:9" ht="16.5" thickTop="1" thickBot="1">
      <c r="B33" s="375" t="s">
        <v>2873</v>
      </c>
      <c r="C33" s="159" t="s">
        <v>2860</v>
      </c>
      <c r="D33" s="159" t="s">
        <v>2874</v>
      </c>
      <c r="E33" s="168">
        <v>1850</v>
      </c>
      <c r="F33" s="169">
        <v>1800</v>
      </c>
      <c r="G33" s="169">
        <v>1730</v>
      </c>
      <c r="H33" s="169">
        <v>1670</v>
      </c>
      <c r="I33" s="169">
        <v>1630</v>
      </c>
    </row>
    <row r="34" spans="2:9" ht="16.5" thickTop="1" thickBot="1">
      <c r="B34" s="376"/>
      <c r="C34" s="161" t="s">
        <v>2861</v>
      </c>
      <c r="D34" s="161" t="s">
        <v>2874</v>
      </c>
      <c r="E34" s="168">
        <v>1850</v>
      </c>
      <c r="F34" s="167">
        <v>1760</v>
      </c>
      <c r="G34" s="167">
        <v>1660</v>
      </c>
      <c r="H34" s="167">
        <v>1600</v>
      </c>
      <c r="I34" s="167">
        <v>1560</v>
      </c>
    </row>
    <row r="35" spans="2:9" ht="16.5" thickTop="1" thickBot="1">
      <c r="B35" s="376"/>
      <c r="C35" s="159" t="s">
        <v>2862</v>
      </c>
      <c r="D35" s="159" t="s">
        <v>2874</v>
      </c>
      <c r="E35" s="168">
        <v>1850</v>
      </c>
      <c r="F35" s="169">
        <v>1760</v>
      </c>
      <c r="G35" s="169">
        <v>1630</v>
      </c>
      <c r="H35" s="169">
        <v>1560</v>
      </c>
      <c r="I35" s="169">
        <v>1520</v>
      </c>
    </row>
    <row r="36" spans="2:9" ht="16.5" thickTop="1" thickBot="1">
      <c r="B36" s="376"/>
      <c r="C36" s="161" t="s">
        <v>2875</v>
      </c>
      <c r="D36" s="161" t="s">
        <v>2874</v>
      </c>
      <c r="E36" s="168">
        <v>1850</v>
      </c>
      <c r="F36" s="167">
        <v>1670</v>
      </c>
      <c r="G36" s="167">
        <v>1430</v>
      </c>
      <c r="H36" s="167">
        <v>1310</v>
      </c>
      <c r="I36" s="167">
        <v>1230</v>
      </c>
    </row>
    <row r="37" spans="2:9" ht="16.5" thickTop="1" thickBot="1">
      <c r="B37" s="377"/>
      <c r="C37" s="159" t="s">
        <v>2876</v>
      </c>
      <c r="D37" s="159" t="s">
        <v>2874</v>
      </c>
      <c r="E37" s="168">
        <v>1850</v>
      </c>
      <c r="F37" s="169">
        <v>1830</v>
      </c>
      <c r="G37" s="169">
        <v>1800</v>
      </c>
      <c r="H37" s="169">
        <v>1780</v>
      </c>
      <c r="I37" s="169">
        <v>1760</v>
      </c>
    </row>
    <row r="38" spans="2:9" ht="15.75" thickBot="1">
      <c r="B38" s="164" t="s">
        <v>2877</v>
      </c>
      <c r="C38" s="161" t="s">
        <v>2870</v>
      </c>
      <c r="D38" s="161" t="s">
        <v>2878</v>
      </c>
      <c r="E38" s="166">
        <v>0.03</v>
      </c>
      <c r="F38" s="166">
        <v>0.03</v>
      </c>
      <c r="G38" s="166">
        <v>0.03</v>
      </c>
      <c r="H38" s="166">
        <v>0.03</v>
      </c>
      <c r="I38" s="166">
        <v>0.03</v>
      </c>
    </row>
    <row r="41" spans="2:9" ht="15.75" thickBot="1">
      <c r="B41" s="156" t="s">
        <v>2879</v>
      </c>
    </row>
    <row r="42" spans="2:9" ht="15.75" thickBot="1">
      <c r="B42" s="373"/>
      <c r="C42" s="374"/>
      <c r="D42" s="157" t="s">
        <v>0</v>
      </c>
      <c r="E42" s="165">
        <v>2015</v>
      </c>
      <c r="F42" s="165">
        <v>2020</v>
      </c>
      <c r="G42" s="165">
        <v>2030</v>
      </c>
      <c r="H42" s="165">
        <v>2040</v>
      </c>
      <c r="I42" s="165">
        <v>2050</v>
      </c>
    </row>
    <row r="43" spans="2:9" ht="16.5" thickTop="1" thickBot="1">
      <c r="B43" s="375" t="s">
        <v>2873</v>
      </c>
      <c r="C43" s="159" t="s">
        <v>2860</v>
      </c>
      <c r="D43" s="159" t="s">
        <v>2874</v>
      </c>
      <c r="E43" s="168">
        <v>1350</v>
      </c>
      <c r="F43" s="169">
        <v>1310</v>
      </c>
      <c r="G43" s="169">
        <v>1260</v>
      </c>
      <c r="H43" s="169">
        <v>1220</v>
      </c>
      <c r="I43" s="169">
        <v>1190</v>
      </c>
    </row>
    <row r="44" spans="2:9" ht="16.5" thickTop="1" thickBot="1">
      <c r="B44" s="376"/>
      <c r="C44" s="161" t="s">
        <v>2861</v>
      </c>
      <c r="D44" s="161" t="s">
        <v>2874</v>
      </c>
      <c r="E44" s="168">
        <v>1350</v>
      </c>
      <c r="F44" s="167">
        <v>1290</v>
      </c>
      <c r="G44" s="167">
        <v>1210</v>
      </c>
      <c r="H44" s="167">
        <v>1170</v>
      </c>
      <c r="I44" s="167">
        <v>1130</v>
      </c>
    </row>
    <row r="45" spans="2:9" ht="16.5" thickTop="1" thickBot="1">
      <c r="B45" s="376"/>
      <c r="C45" s="159" t="s">
        <v>2862</v>
      </c>
      <c r="D45" s="159" t="s">
        <v>2874</v>
      </c>
      <c r="E45" s="168">
        <v>1350</v>
      </c>
      <c r="F45" s="169">
        <v>1290</v>
      </c>
      <c r="G45" s="169">
        <v>1190</v>
      </c>
      <c r="H45" s="169">
        <v>1140</v>
      </c>
      <c r="I45" s="169">
        <v>1110</v>
      </c>
    </row>
    <row r="46" spans="2:9" ht="16.5" thickTop="1" thickBot="1">
      <c r="B46" s="376"/>
      <c r="C46" s="161" t="s">
        <v>2875</v>
      </c>
      <c r="D46" s="161" t="s">
        <v>2874</v>
      </c>
      <c r="E46" s="168">
        <v>1350</v>
      </c>
      <c r="F46" s="167">
        <v>1220</v>
      </c>
      <c r="G46" s="167">
        <v>1040</v>
      </c>
      <c r="H46" s="167">
        <v>960</v>
      </c>
      <c r="I46" s="167">
        <v>900</v>
      </c>
    </row>
    <row r="47" spans="2:9" ht="16.5" thickTop="1" thickBot="1">
      <c r="B47" s="377"/>
      <c r="C47" s="159" t="s">
        <v>2876</v>
      </c>
      <c r="D47" s="159" t="s">
        <v>2874</v>
      </c>
      <c r="E47" s="168">
        <v>1350</v>
      </c>
      <c r="F47" s="169">
        <v>1330</v>
      </c>
      <c r="G47" s="169">
        <v>1320</v>
      </c>
      <c r="H47" s="169">
        <v>1300</v>
      </c>
      <c r="I47" s="169">
        <v>1280</v>
      </c>
    </row>
    <row r="48" spans="2:9" ht="15.75" thickBot="1">
      <c r="B48" s="164" t="s">
        <v>2877</v>
      </c>
      <c r="C48" s="161" t="s">
        <v>2870</v>
      </c>
      <c r="D48" s="161" t="s">
        <v>2878</v>
      </c>
      <c r="E48" s="166">
        <v>0.03</v>
      </c>
      <c r="F48" s="166">
        <v>0.03</v>
      </c>
      <c r="G48" s="166">
        <v>0.03</v>
      </c>
      <c r="H48" s="166">
        <v>0.03</v>
      </c>
      <c r="I48" s="166">
        <v>0.03</v>
      </c>
    </row>
    <row r="51" spans="1:9" ht="15.75" thickBot="1">
      <c r="B51" s="156" t="s">
        <v>2880</v>
      </c>
    </row>
    <row r="52" spans="1:9" ht="15.75" thickBot="1">
      <c r="B52" s="373"/>
      <c r="C52" s="374"/>
      <c r="D52" s="157" t="s">
        <v>0</v>
      </c>
      <c r="E52" s="165">
        <v>2015</v>
      </c>
      <c r="F52" s="165">
        <v>2020</v>
      </c>
      <c r="G52" s="165">
        <v>2030</v>
      </c>
      <c r="H52" s="165">
        <v>2040</v>
      </c>
      <c r="I52" s="165">
        <v>2050</v>
      </c>
    </row>
    <row r="53" spans="1:9" ht="16.5" thickTop="1" thickBot="1">
      <c r="B53" s="375" t="s">
        <v>2873</v>
      </c>
      <c r="C53" s="159" t="s">
        <v>2860</v>
      </c>
      <c r="D53" s="159" t="s">
        <v>2874</v>
      </c>
      <c r="E53" s="168">
        <v>1090</v>
      </c>
      <c r="F53" s="169">
        <v>1060</v>
      </c>
      <c r="G53" s="169">
        <v>1020</v>
      </c>
      <c r="H53" s="169">
        <v>980</v>
      </c>
      <c r="I53" s="169">
        <v>960</v>
      </c>
    </row>
    <row r="54" spans="1:9" ht="16.5" thickTop="1" thickBot="1">
      <c r="B54" s="376"/>
      <c r="C54" s="161" t="s">
        <v>2861</v>
      </c>
      <c r="D54" s="161" t="s">
        <v>2874</v>
      </c>
      <c r="E54" s="168">
        <v>1090</v>
      </c>
      <c r="F54" s="167">
        <v>1040</v>
      </c>
      <c r="G54" s="167">
        <v>980</v>
      </c>
      <c r="H54" s="167">
        <v>940</v>
      </c>
      <c r="I54" s="167">
        <v>920</v>
      </c>
    </row>
    <row r="55" spans="1:9" ht="16.5" thickTop="1" thickBot="1">
      <c r="B55" s="376"/>
      <c r="C55" s="159" t="s">
        <v>2862</v>
      </c>
      <c r="D55" s="159" t="s">
        <v>2874</v>
      </c>
      <c r="E55" s="168">
        <v>1090</v>
      </c>
      <c r="F55" s="169">
        <v>1040</v>
      </c>
      <c r="G55" s="169">
        <v>960</v>
      </c>
      <c r="H55" s="169">
        <v>920</v>
      </c>
      <c r="I55" s="169">
        <v>890</v>
      </c>
    </row>
    <row r="56" spans="1:9" ht="16.5" thickTop="1" thickBot="1">
      <c r="B56" s="376"/>
      <c r="C56" s="161" t="s">
        <v>2875</v>
      </c>
      <c r="D56" s="161" t="s">
        <v>2874</v>
      </c>
      <c r="E56" s="168">
        <v>1090</v>
      </c>
      <c r="F56" s="167">
        <v>990</v>
      </c>
      <c r="G56" s="167">
        <v>840</v>
      </c>
      <c r="H56" s="167">
        <v>770</v>
      </c>
      <c r="I56" s="167">
        <v>730</v>
      </c>
    </row>
    <row r="57" spans="1:9" ht="16.5" thickTop="1" thickBot="1">
      <c r="B57" s="377"/>
      <c r="C57" s="159" t="s">
        <v>2876</v>
      </c>
      <c r="D57" s="159" t="s">
        <v>2874</v>
      </c>
      <c r="E57" s="168">
        <v>1090</v>
      </c>
      <c r="F57" s="169">
        <v>1080</v>
      </c>
      <c r="G57" s="169">
        <v>1060</v>
      </c>
      <c r="H57" s="169">
        <v>1050</v>
      </c>
      <c r="I57" s="169">
        <v>1040</v>
      </c>
    </row>
    <row r="58" spans="1:9" ht="15.75" thickBot="1">
      <c r="B58" s="164" t="s">
        <v>2877</v>
      </c>
      <c r="C58" s="161" t="s">
        <v>2870</v>
      </c>
      <c r="D58" s="161" t="s">
        <v>2878</v>
      </c>
      <c r="E58" s="166">
        <v>0.03</v>
      </c>
      <c r="F58" s="166">
        <v>0.03</v>
      </c>
      <c r="G58" s="166">
        <v>0.03</v>
      </c>
      <c r="H58" s="166">
        <v>0.03</v>
      </c>
      <c r="I58" s="166">
        <v>0.03</v>
      </c>
    </row>
    <row r="60" spans="1:9" ht="15.75" thickBot="1">
      <c r="B60" s="156" t="s">
        <v>2881</v>
      </c>
    </row>
    <row r="61" spans="1:9" ht="15.75" thickBot="1">
      <c r="B61" s="373"/>
      <c r="C61" s="374"/>
      <c r="D61" s="157" t="s">
        <v>0</v>
      </c>
      <c r="E61" s="165">
        <v>2015</v>
      </c>
      <c r="F61" s="165">
        <v>2020</v>
      </c>
      <c r="G61" s="165">
        <v>2030</v>
      </c>
      <c r="H61" s="165">
        <v>2040</v>
      </c>
      <c r="I61" s="165">
        <v>2050</v>
      </c>
    </row>
    <row r="62" spans="1:9" ht="16.5" thickTop="1" thickBot="1">
      <c r="B62" s="375" t="s">
        <v>2873</v>
      </c>
      <c r="C62" s="159" t="s">
        <v>2860</v>
      </c>
      <c r="D62" s="159" t="s">
        <v>2874</v>
      </c>
      <c r="E62" s="168">
        <v>3500</v>
      </c>
      <c r="F62" s="169">
        <v>2990</v>
      </c>
      <c r="G62" s="169">
        <v>2850</v>
      </c>
      <c r="H62" s="169">
        <v>2750</v>
      </c>
      <c r="I62" s="169">
        <v>2640</v>
      </c>
    </row>
    <row r="63" spans="1:9" ht="15.75" thickBot="1">
      <c r="A63" t="s">
        <v>2882</v>
      </c>
      <c r="B63" s="376"/>
      <c r="C63" s="161" t="s">
        <v>2861</v>
      </c>
      <c r="D63" s="161" t="s">
        <v>2874</v>
      </c>
      <c r="E63" s="170">
        <v>3500</v>
      </c>
      <c r="F63" s="167">
        <v>2870</v>
      </c>
      <c r="G63" s="167">
        <v>2570</v>
      </c>
      <c r="H63" s="167">
        <v>2430</v>
      </c>
      <c r="I63" s="167">
        <v>2330</v>
      </c>
    </row>
    <row r="64" spans="1:9" ht="15.75" thickBot="1">
      <c r="B64" s="376"/>
      <c r="C64" s="159" t="s">
        <v>2862</v>
      </c>
      <c r="D64" s="159" t="s">
        <v>2874</v>
      </c>
      <c r="E64" s="170">
        <v>3500</v>
      </c>
      <c r="F64" s="169">
        <v>2890</v>
      </c>
      <c r="G64" s="169">
        <v>2310</v>
      </c>
      <c r="H64" s="169">
        <v>2150</v>
      </c>
      <c r="I64" s="169">
        <v>2100</v>
      </c>
    </row>
    <row r="65" spans="2:9" ht="15.75" thickBot="1">
      <c r="B65" s="376"/>
      <c r="C65" s="161" t="s">
        <v>2875</v>
      </c>
      <c r="D65" s="161" t="s">
        <v>2874</v>
      </c>
      <c r="E65" s="170">
        <v>3500</v>
      </c>
      <c r="F65" s="167">
        <v>2390</v>
      </c>
      <c r="G65" s="167">
        <v>1550</v>
      </c>
      <c r="H65" s="167">
        <v>1350</v>
      </c>
      <c r="I65" s="167">
        <v>1280</v>
      </c>
    </row>
    <row r="66" spans="2:9" ht="15.75" thickBot="1">
      <c r="B66" s="377"/>
      <c r="C66" s="159" t="s">
        <v>2876</v>
      </c>
      <c r="D66" s="159" t="s">
        <v>2874</v>
      </c>
      <c r="E66" s="171">
        <v>3500</v>
      </c>
      <c r="F66" s="169">
        <v>3260</v>
      </c>
      <c r="G66" s="169">
        <v>3180</v>
      </c>
      <c r="H66" s="169">
        <v>3140</v>
      </c>
      <c r="I66" s="169">
        <v>3090</v>
      </c>
    </row>
    <row r="67" spans="2:9" ht="15.75" thickBot="1">
      <c r="B67" s="164" t="s">
        <v>2877</v>
      </c>
      <c r="C67" s="161" t="s">
        <v>2870</v>
      </c>
      <c r="D67" s="161" t="s">
        <v>2878</v>
      </c>
      <c r="E67" s="166">
        <v>0.02</v>
      </c>
      <c r="F67" s="166">
        <v>0.02</v>
      </c>
      <c r="G67" s="166">
        <v>0.02</v>
      </c>
      <c r="H67" s="166">
        <v>0.02</v>
      </c>
      <c r="I67" s="166">
        <v>0.02</v>
      </c>
    </row>
    <row r="70" spans="2:9" ht="15.75" thickBot="1">
      <c r="B70" s="156" t="s">
        <v>2883</v>
      </c>
    </row>
    <row r="71" spans="2:9" ht="15.75" thickBot="1">
      <c r="B71" s="373"/>
      <c r="C71" s="374"/>
      <c r="D71" s="157" t="s">
        <v>0</v>
      </c>
      <c r="E71" s="165">
        <v>2015</v>
      </c>
      <c r="F71" s="165">
        <v>2020</v>
      </c>
      <c r="G71" s="165">
        <v>2030</v>
      </c>
      <c r="H71" s="165">
        <v>2040</v>
      </c>
      <c r="I71" s="165">
        <v>2050</v>
      </c>
    </row>
    <row r="72" spans="2:9" ht="16.5" thickTop="1" thickBot="1">
      <c r="B72" s="375" t="s">
        <v>2873</v>
      </c>
      <c r="C72" s="159" t="s">
        <v>2860</v>
      </c>
      <c r="D72" s="159" t="s">
        <v>2874</v>
      </c>
      <c r="E72" s="168">
        <v>3600</v>
      </c>
      <c r="F72" s="169">
        <v>3070</v>
      </c>
      <c r="G72" s="169">
        <v>2940</v>
      </c>
      <c r="H72" s="169">
        <v>2830</v>
      </c>
      <c r="I72" s="169">
        <v>2710</v>
      </c>
    </row>
    <row r="73" spans="2:9" ht="16.5" thickTop="1" thickBot="1">
      <c r="B73" s="376"/>
      <c r="C73" s="161" t="s">
        <v>2861</v>
      </c>
      <c r="D73" s="161" t="s">
        <v>2874</v>
      </c>
      <c r="E73" s="168">
        <v>3600</v>
      </c>
      <c r="F73" s="167">
        <v>2950</v>
      </c>
      <c r="G73" s="167">
        <v>2650</v>
      </c>
      <c r="H73" s="167">
        <v>2490</v>
      </c>
      <c r="I73" s="167">
        <v>2390</v>
      </c>
    </row>
    <row r="74" spans="2:9" ht="16.5" thickTop="1" thickBot="1">
      <c r="B74" s="376"/>
      <c r="C74" s="159" t="s">
        <v>2862</v>
      </c>
      <c r="D74" s="159" t="s">
        <v>2874</v>
      </c>
      <c r="E74" s="168">
        <v>3600</v>
      </c>
      <c r="F74" s="169">
        <v>2970</v>
      </c>
      <c r="G74" s="169">
        <v>2370</v>
      </c>
      <c r="H74" s="169">
        <v>2220</v>
      </c>
      <c r="I74" s="169">
        <v>2160</v>
      </c>
    </row>
    <row r="75" spans="2:9" ht="16.5" thickTop="1" thickBot="1">
      <c r="B75" s="376"/>
      <c r="C75" s="161" t="s">
        <v>2875</v>
      </c>
      <c r="D75" s="161" t="s">
        <v>2874</v>
      </c>
      <c r="E75" s="168">
        <v>3600</v>
      </c>
      <c r="F75" s="167">
        <v>2460</v>
      </c>
      <c r="G75" s="167">
        <v>1600</v>
      </c>
      <c r="H75" s="167">
        <v>1390</v>
      </c>
      <c r="I75" s="167">
        <v>1320</v>
      </c>
    </row>
    <row r="76" spans="2:9" ht="16.5" thickTop="1" thickBot="1">
      <c r="B76" s="377"/>
      <c r="C76" s="159" t="s">
        <v>2876</v>
      </c>
      <c r="D76" s="159" t="s">
        <v>2874</v>
      </c>
      <c r="E76" s="168">
        <v>3600</v>
      </c>
      <c r="F76" s="169">
        <v>3360</v>
      </c>
      <c r="G76" s="169">
        <v>3280</v>
      </c>
      <c r="H76" s="169">
        <v>3230</v>
      </c>
      <c r="I76" s="169">
        <v>3170</v>
      </c>
    </row>
    <row r="77" spans="2:9" ht="15.75" thickBot="1">
      <c r="B77" s="164" t="s">
        <v>2877</v>
      </c>
      <c r="C77" s="161" t="s">
        <v>2870</v>
      </c>
      <c r="D77" s="161" t="s">
        <v>2878</v>
      </c>
      <c r="E77" s="166">
        <v>0.02</v>
      </c>
      <c r="F77" s="166">
        <v>0.02</v>
      </c>
      <c r="G77" s="166">
        <v>0.02</v>
      </c>
      <c r="H77" s="166">
        <v>0.02</v>
      </c>
      <c r="I77" s="166">
        <v>0.02</v>
      </c>
    </row>
    <row r="80" spans="2:9" ht="15.75" thickBot="1">
      <c r="B80" s="156" t="s">
        <v>2884</v>
      </c>
    </row>
    <row r="81" spans="2:12" ht="15.75" thickBot="1">
      <c r="B81" s="373"/>
      <c r="C81" s="374"/>
      <c r="D81" s="157" t="s">
        <v>0</v>
      </c>
      <c r="E81" s="165">
        <v>2015</v>
      </c>
      <c r="F81" s="165">
        <v>2020</v>
      </c>
      <c r="G81" s="165">
        <v>2030</v>
      </c>
      <c r="H81" s="165">
        <v>2040</v>
      </c>
      <c r="I81" s="165">
        <v>2050</v>
      </c>
    </row>
    <row r="82" spans="2:12" ht="16.5" thickTop="1" thickBot="1">
      <c r="B82" s="375" t="s">
        <v>2873</v>
      </c>
      <c r="C82" s="159" t="s">
        <v>2860</v>
      </c>
      <c r="D82" s="159" t="s">
        <v>2874</v>
      </c>
      <c r="E82" s="168">
        <v>5500</v>
      </c>
      <c r="F82" s="169">
        <v>4690</v>
      </c>
      <c r="G82" s="169">
        <v>4490</v>
      </c>
      <c r="H82" s="169">
        <v>4330</v>
      </c>
      <c r="I82" s="169">
        <v>4140</v>
      </c>
    </row>
    <row r="83" spans="2:12" ht="16.5" thickTop="1" thickBot="1">
      <c r="B83" s="376"/>
      <c r="C83" s="161" t="s">
        <v>2861</v>
      </c>
      <c r="D83" s="161" t="s">
        <v>2874</v>
      </c>
      <c r="E83" s="168">
        <v>5500</v>
      </c>
      <c r="F83" s="167">
        <v>4510</v>
      </c>
      <c r="G83" s="167">
        <v>4040</v>
      </c>
      <c r="H83" s="167">
        <v>3810</v>
      </c>
      <c r="I83" s="167">
        <v>3660</v>
      </c>
    </row>
    <row r="84" spans="2:12" ht="16.5" thickTop="1" thickBot="1">
      <c r="B84" s="376"/>
      <c r="C84" s="159" t="s">
        <v>2862</v>
      </c>
      <c r="D84" s="159" t="s">
        <v>2874</v>
      </c>
      <c r="E84" s="168">
        <v>5500</v>
      </c>
      <c r="F84" s="169">
        <v>4540</v>
      </c>
      <c r="G84" s="169">
        <v>3620</v>
      </c>
      <c r="H84" s="169">
        <v>3390</v>
      </c>
      <c r="I84" s="169">
        <v>3300</v>
      </c>
    </row>
    <row r="85" spans="2:12" ht="16.5" thickTop="1" thickBot="1">
      <c r="B85" s="376"/>
      <c r="C85" s="161" t="s">
        <v>2875</v>
      </c>
      <c r="D85" s="161" t="s">
        <v>2874</v>
      </c>
      <c r="E85" s="168">
        <v>5500</v>
      </c>
      <c r="F85" s="167">
        <v>3760</v>
      </c>
      <c r="G85" s="167">
        <v>2440</v>
      </c>
      <c r="H85" s="167">
        <v>2120</v>
      </c>
      <c r="I85" s="167">
        <v>2010</v>
      </c>
    </row>
    <row r="86" spans="2:12" ht="16.5" thickTop="1" thickBot="1">
      <c r="B86" s="377"/>
      <c r="C86" s="159" t="s">
        <v>2876</v>
      </c>
      <c r="D86" s="159" t="s">
        <v>2874</v>
      </c>
      <c r="E86" s="168">
        <v>5500</v>
      </c>
      <c r="F86" s="169">
        <v>5130</v>
      </c>
      <c r="G86" s="169">
        <v>5000</v>
      </c>
      <c r="H86" s="169">
        <v>4930</v>
      </c>
      <c r="I86" s="169">
        <v>4850</v>
      </c>
    </row>
    <row r="87" spans="2:12" ht="15.75" thickBot="1">
      <c r="B87" s="164" t="s">
        <v>2877</v>
      </c>
      <c r="C87" s="161" t="s">
        <v>2870</v>
      </c>
      <c r="D87" s="161" t="s">
        <v>2878</v>
      </c>
      <c r="E87" s="166">
        <v>0.02</v>
      </c>
      <c r="F87" s="166">
        <v>0.02</v>
      </c>
      <c r="G87" s="166">
        <v>0.02</v>
      </c>
      <c r="H87" s="166">
        <v>0.02</v>
      </c>
      <c r="I87" s="166">
        <v>0.02</v>
      </c>
    </row>
    <row r="89" spans="2:12" ht="15.75" thickBot="1">
      <c r="B89" s="156" t="s">
        <v>2885</v>
      </c>
    </row>
    <row r="90" spans="2:12" ht="15.75" thickBot="1">
      <c r="B90" s="378"/>
      <c r="C90" s="379"/>
      <c r="D90" s="172" t="s">
        <v>0</v>
      </c>
      <c r="E90" s="173">
        <v>2015</v>
      </c>
      <c r="F90" s="173">
        <v>2020</v>
      </c>
      <c r="G90" s="173">
        <v>2025</v>
      </c>
      <c r="H90" s="173">
        <v>2030</v>
      </c>
      <c r="I90" s="173">
        <v>2035</v>
      </c>
      <c r="J90" s="173">
        <v>2040</v>
      </c>
      <c r="K90" s="173">
        <v>2045</v>
      </c>
      <c r="L90" s="173">
        <v>2050</v>
      </c>
    </row>
    <row r="91" spans="2:12" ht="16.5" thickTop="1" thickBot="1">
      <c r="B91" s="364" t="s">
        <v>2859</v>
      </c>
      <c r="C91" s="174" t="s">
        <v>2860</v>
      </c>
      <c r="D91" s="174" t="s">
        <v>2</v>
      </c>
      <c r="E91" s="175">
        <v>220</v>
      </c>
      <c r="F91" s="175">
        <v>424.27247422740209</v>
      </c>
      <c r="G91" s="175">
        <v>533.59458604179963</v>
      </c>
      <c r="H91" s="175">
        <v>642.91669785619729</v>
      </c>
      <c r="I91" s="175">
        <v>833.73054213910052</v>
      </c>
      <c r="J91" s="175">
        <v>1024.5443864220038</v>
      </c>
      <c r="K91" s="175">
        <v>1244.4582838637666</v>
      </c>
      <c r="L91" s="175">
        <v>1464.3721813055295</v>
      </c>
    </row>
    <row r="92" spans="2:12" ht="15.75" thickBot="1">
      <c r="B92" s="365"/>
      <c r="C92" s="176" t="s">
        <v>2861</v>
      </c>
      <c r="D92" s="176" t="s">
        <v>2</v>
      </c>
      <c r="E92" s="177">
        <v>220</v>
      </c>
      <c r="F92" s="177">
        <v>491.63636363636363</v>
      </c>
      <c r="G92" s="177">
        <v>826.81818181818176</v>
      </c>
      <c r="H92" s="177">
        <v>1162</v>
      </c>
      <c r="I92" s="177">
        <v>1851</v>
      </c>
      <c r="J92" s="177">
        <v>2540</v>
      </c>
      <c r="K92" s="177">
        <v>3482</v>
      </c>
      <c r="L92" s="177">
        <v>4424</v>
      </c>
    </row>
    <row r="93" spans="2:12" ht="15.75" thickBot="1">
      <c r="B93" s="366"/>
      <c r="C93" s="174" t="s">
        <v>2862</v>
      </c>
      <c r="D93" s="174" t="s">
        <v>2</v>
      </c>
      <c r="E93" s="175">
        <v>220</v>
      </c>
      <c r="F93" s="175">
        <v>732.07456591498942</v>
      </c>
      <c r="G93" s="175">
        <v>1785.321819256143</v>
      </c>
      <c r="H93" s="175">
        <v>2838.5690725972968</v>
      </c>
      <c r="I93" s="175">
        <v>3913.0395866832614</v>
      </c>
      <c r="J93" s="175">
        <v>4987.5101007692256</v>
      </c>
      <c r="K93" s="175">
        <v>5866.1955602156177</v>
      </c>
      <c r="L93" s="175">
        <v>6744.8810196620088</v>
      </c>
    </row>
    <row r="94" spans="2:12" ht="15.75" thickBot="1">
      <c r="B94" s="380" t="s">
        <v>2863</v>
      </c>
      <c r="C94" s="176" t="s">
        <v>2860</v>
      </c>
      <c r="D94" s="176" t="s">
        <v>2864</v>
      </c>
      <c r="E94" s="177">
        <v>36.245940000000004</v>
      </c>
      <c r="F94" s="177">
        <v>40.827894845480408</v>
      </c>
      <c r="G94" s="177">
        <v>23.43515905924869</v>
      </c>
      <c r="H94" s="177">
        <v>21.196685666510348</v>
      </c>
      <c r="I94" s="177">
        <v>25.577992100646632</v>
      </c>
      <c r="J94" s="177">
        <v>93.871145612514667</v>
      </c>
      <c r="K94" s="177">
        <v>91.576352500844422</v>
      </c>
      <c r="L94" s="177">
        <v>60.652260380589816</v>
      </c>
    </row>
    <row r="95" spans="2:12" ht="15.75" thickBot="1">
      <c r="B95" s="365"/>
      <c r="C95" s="174" t="s">
        <v>2861</v>
      </c>
      <c r="D95" s="174" t="s">
        <v>2864</v>
      </c>
      <c r="E95" s="175">
        <v>36.245940000000004</v>
      </c>
      <c r="F95" s="175">
        <v>54.300672727272719</v>
      </c>
      <c r="G95" s="175">
        <v>52.434247272727269</v>
      </c>
      <c r="H95" s="175">
        <v>82.541480000000007</v>
      </c>
      <c r="I95" s="175">
        <v>128.67766</v>
      </c>
      <c r="J95" s="175">
        <v>190.04593999999997</v>
      </c>
      <c r="K95" s="175">
        <v>242.50067272727273</v>
      </c>
      <c r="L95" s="175">
        <v>241.03424727272721</v>
      </c>
    </row>
    <row r="96" spans="2:12" ht="15.75" thickBot="1">
      <c r="B96" s="366"/>
      <c r="C96" s="176" t="s">
        <v>2862</v>
      </c>
      <c r="D96" s="176" t="s">
        <v>2864</v>
      </c>
      <c r="E96" s="177">
        <v>36.245940000000004</v>
      </c>
      <c r="F96" s="177">
        <v>102.38831318299788</v>
      </c>
      <c r="G96" s="177">
        <v>174.4386363111916</v>
      </c>
      <c r="H96" s="177">
        <v>247.76326502526985</v>
      </c>
      <c r="I96" s="177">
        <v>232.6818095473478</v>
      </c>
      <c r="J96" s="177">
        <v>240.22999608703793</v>
      </c>
      <c r="K96" s="177">
        <v>283.37477419456809</v>
      </c>
      <c r="L96" s="177">
        <v>344.92635907817805</v>
      </c>
    </row>
    <row r="97" spans="1:12" ht="15.75" thickBot="1">
      <c r="B97" s="381" t="s">
        <v>2865</v>
      </c>
      <c r="C97" s="174" t="s">
        <v>2866</v>
      </c>
      <c r="D97" s="174" t="s">
        <v>2855</v>
      </c>
      <c r="E97" s="178">
        <v>0.2</v>
      </c>
      <c r="F97" s="178">
        <v>0.2</v>
      </c>
      <c r="G97" s="178">
        <v>0.2</v>
      </c>
      <c r="H97" s="178">
        <v>0.2</v>
      </c>
      <c r="I97" s="178">
        <v>0.2</v>
      </c>
      <c r="J97" s="178">
        <v>0.2</v>
      </c>
      <c r="K97" s="178">
        <v>0.2</v>
      </c>
      <c r="L97" s="178">
        <v>0.2</v>
      </c>
    </row>
    <row r="98" spans="1:12" ht="15.75" thickBot="1">
      <c r="B98" s="382"/>
      <c r="C98" s="176" t="s">
        <v>2867</v>
      </c>
      <c r="D98" s="176" t="s">
        <v>2855</v>
      </c>
      <c r="E98" s="179">
        <v>0.23</v>
      </c>
      <c r="F98" s="179">
        <v>0.23</v>
      </c>
      <c r="G98" s="179">
        <v>0.23</v>
      </c>
      <c r="H98" s="179">
        <v>0.23</v>
      </c>
      <c r="I98" s="179">
        <v>0.23</v>
      </c>
      <c r="J98" s="179">
        <v>0.23</v>
      </c>
      <c r="K98" s="179">
        <v>0.23</v>
      </c>
      <c r="L98" s="179">
        <v>0.23</v>
      </c>
    </row>
    <row r="99" spans="1:12" ht="15.75" thickBot="1">
      <c r="B99" s="383"/>
      <c r="C99" s="174" t="s">
        <v>2868</v>
      </c>
      <c r="D99" s="174" t="s">
        <v>2855</v>
      </c>
      <c r="E99" s="178">
        <v>0.1</v>
      </c>
      <c r="F99" s="178">
        <v>0.1</v>
      </c>
      <c r="G99" s="178">
        <v>0.1</v>
      </c>
      <c r="H99" s="178">
        <v>0.1</v>
      </c>
      <c r="I99" s="178">
        <v>0.1</v>
      </c>
      <c r="J99" s="178">
        <v>0.1</v>
      </c>
      <c r="K99" s="178">
        <v>0.1</v>
      </c>
      <c r="L99" s="178">
        <v>0.1</v>
      </c>
    </row>
    <row r="100" spans="1:12" ht="15.75" thickBot="1">
      <c r="B100" s="180" t="s">
        <v>2869</v>
      </c>
      <c r="C100" s="176" t="s">
        <v>2886</v>
      </c>
      <c r="D100" s="176" t="s">
        <v>2854</v>
      </c>
      <c r="E100" s="181">
        <v>25</v>
      </c>
      <c r="F100" s="181">
        <v>25</v>
      </c>
      <c r="G100" s="181">
        <v>25</v>
      </c>
      <c r="H100" s="181">
        <v>25</v>
      </c>
      <c r="I100" s="181">
        <v>25</v>
      </c>
      <c r="J100" s="181">
        <v>25</v>
      </c>
      <c r="K100" s="181">
        <v>25</v>
      </c>
      <c r="L100" s="181">
        <v>25</v>
      </c>
    </row>
    <row r="102" spans="1:12" ht="15.75" thickBot="1">
      <c r="B102" s="156" t="s">
        <v>2887</v>
      </c>
    </row>
    <row r="103" spans="1:12" ht="15.75" thickBot="1">
      <c r="B103" s="371"/>
      <c r="C103" s="372"/>
      <c r="D103" s="172" t="s">
        <v>0</v>
      </c>
      <c r="E103" s="173">
        <v>2015</v>
      </c>
      <c r="F103" s="173">
        <v>2020</v>
      </c>
      <c r="G103" s="173">
        <v>2030</v>
      </c>
      <c r="H103" s="173">
        <v>2040</v>
      </c>
      <c r="I103" s="173">
        <v>2050</v>
      </c>
    </row>
    <row r="104" spans="1:12" ht="16.5" thickTop="1" thickBot="1">
      <c r="B104" s="364" t="s">
        <v>2873</v>
      </c>
      <c r="C104" s="182" t="s">
        <v>2860</v>
      </c>
      <c r="D104" s="182" t="s">
        <v>2874</v>
      </c>
      <c r="E104" s="183">
        <v>1120</v>
      </c>
      <c r="F104" s="184">
        <v>910</v>
      </c>
      <c r="G104" s="184">
        <v>790</v>
      </c>
      <c r="H104" s="184">
        <v>640</v>
      </c>
      <c r="I104" s="184">
        <v>550</v>
      </c>
    </row>
    <row r="105" spans="1:12" ht="16.5" thickTop="1" thickBot="1">
      <c r="A105" t="s">
        <v>2771</v>
      </c>
      <c r="B105" s="365"/>
      <c r="C105" s="185" t="s">
        <v>2861</v>
      </c>
      <c r="D105" s="185" t="s">
        <v>2874</v>
      </c>
      <c r="E105" s="183">
        <v>1120</v>
      </c>
      <c r="F105" s="186">
        <v>860</v>
      </c>
      <c r="G105" s="186">
        <v>650</v>
      </c>
      <c r="H105" s="186">
        <v>500</v>
      </c>
      <c r="I105" s="186">
        <v>410</v>
      </c>
    </row>
    <row r="106" spans="1:12" ht="16.5" thickTop="1" thickBot="1">
      <c r="B106" s="365"/>
      <c r="C106" s="182" t="s">
        <v>2862</v>
      </c>
      <c r="D106" s="182" t="s">
        <v>2874</v>
      </c>
      <c r="E106" s="183">
        <v>1120</v>
      </c>
      <c r="F106" s="184">
        <v>760</v>
      </c>
      <c r="G106" s="184">
        <v>490</v>
      </c>
      <c r="H106" s="184">
        <v>400</v>
      </c>
      <c r="I106" s="184">
        <v>350</v>
      </c>
    </row>
    <row r="107" spans="1:12" ht="16.5" thickTop="1" thickBot="1">
      <c r="B107" s="365"/>
      <c r="C107" s="185" t="s">
        <v>2875</v>
      </c>
      <c r="D107" s="185" t="s">
        <v>2874</v>
      </c>
      <c r="E107" s="183">
        <v>1120</v>
      </c>
      <c r="F107" s="186">
        <v>710</v>
      </c>
      <c r="G107" s="186">
        <v>430</v>
      </c>
      <c r="H107" s="186">
        <v>340</v>
      </c>
      <c r="I107" s="186">
        <v>280</v>
      </c>
    </row>
    <row r="108" spans="1:12" ht="16.5" thickTop="1" thickBot="1">
      <c r="B108" s="366"/>
      <c r="C108" s="182" t="s">
        <v>2876</v>
      </c>
      <c r="D108" s="182" t="s">
        <v>2874</v>
      </c>
      <c r="E108" s="183">
        <v>1120</v>
      </c>
      <c r="F108" s="184">
        <v>1010</v>
      </c>
      <c r="G108" s="184">
        <v>950</v>
      </c>
      <c r="H108" s="184">
        <v>860</v>
      </c>
      <c r="I108" s="184">
        <v>800</v>
      </c>
    </row>
    <row r="109" spans="1:12" ht="18" thickBot="1">
      <c r="B109" s="180" t="s">
        <v>2877</v>
      </c>
      <c r="C109" s="185" t="s">
        <v>2870</v>
      </c>
      <c r="D109" s="187" t="s">
        <v>2888</v>
      </c>
      <c r="E109" s="188">
        <v>2.3E-2</v>
      </c>
      <c r="F109" s="188">
        <v>2.3E-2</v>
      </c>
      <c r="G109" s="188">
        <v>2.3E-2</v>
      </c>
      <c r="H109" s="188">
        <v>2.3E-2</v>
      </c>
      <c r="I109" s="188">
        <v>2.3E-2</v>
      </c>
    </row>
    <row r="112" spans="1:12" ht="15.75" thickBot="1">
      <c r="B112" s="156" t="s">
        <v>2889</v>
      </c>
    </row>
    <row r="113" spans="1:9" ht="15.75" thickBot="1">
      <c r="B113" s="371"/>
      <c r="C113" s="372"/>
      <c r="D113" s="172" t="s">
        <v>0</v>
      </c>
      <c r="E113" s="173">
        <v>2015</v>
      </c>
      <c r="F113" s="173">
        <v>2020</v>
      </c>
      <c r="G113" s="173">
        <v>2030</v>
      </c>
      <c r="H113" s="173">
        <v>2040</v>
      </c>
      <c r="I113" s="173">
        <v>2050</v>
      </c>
    </row>
    <row r="114" spans="1:9" ht="16.5" thickTop="1" thickBot="1">
      <c r="B114" s="364" t="s">
        <v>2873</v>
      </c>
      <c r="C114" s="182" t="s">
        <v>2860</v>
      </c>
      <c r="D114" s="182" t="s">
        <v>2874</v>
      </c>
      <c r="E114" s="183">
        <v>1020</v>
      </c>
      <c r="F114" s="184">
        <v>830</v>
      </c>
      <c r="G114" s="184">
        <v>720</v>
      </c>
      <c r="H114" s="184">
        <v>580</v>
      </c>
      <c r="I114" s="184">
        <v>500</v>
      </c>
    </row>
    <row r="115" spans="1:9" ht="16.5" thickTop="1" thickBot="1">
      <c r="A115" t="s">
        <v>2890</v>
      </c>
      <c r="B115" s="365"/>
      <c r="C115" s="185" t="s">
        <v>2861</v>
      </c>
      <c r="D115" s="185" t="s">
        <v>2874</v>
      </c>
      <c r="E115" s="183">
        <v>1020</v>
      </c>
      <c r="F115" s="186">
        <v>790</v>
      </c>
      <c r="G115" s="186">
        <v>600</v>
      </c>
      <c r="H115" s="186">
        <v>450</v>
      </c>
      <c r="I115" s="186">
        <v>370</v>
      </c>
    </row>
    <row r="116" spans="1:9" ht="16.5" thickTop="1" thickBot="1">
      <c r="B116" s="365"/>
      <c r="C116" s="182" t="s">
        <v>2862</v>
      </c>
      <c r="D116" s="182" t="s">
        <v>2874</v>
      </c>
      <c r="E116" s="183">
        <v>1020</v>
      </c>
      <c r="F116" s="184">
        <v>690</v>
      </c>
      <c r="G116" s="184">
        <v>450</v>
      </c>
      <c r="H116" s="184">
        <v>370</v>
      </c>
      <c r="I116" s="184">
        <v>320</v>
      </c>
    </row>
    <row r="117" spans="1:9" ht="16.5" thickTop="1" thickBot="1">
      <c r="B117" s="365"/>
      <c r="C117" s="185" t="s">
        <v>2875</v>
      </c>
      <c r="D117" s="185" t="s">
        <v>2874</v>
      </c>
      <c r="E117" s="183">
        <v>1020</v>
      </c>
      <c r="F117" s="186">
        <v>650</v>
      </c>
      <c r="G117" s="186">
        <v>390</v>
      </c>
      <c r="H117" s="186">
        <v>310</v>
      </c>
      <c r="I117" s="186">
        <v>260</v>
      </c>
    </row>
    <row r="118" spans="1:9" ht="16.5" thickTop="1" thickBot="1">
      <c r="B118" s="366"/>
      <c r="C118" s="182" t="s">
        <v>2876</v>
      </c>
      <c r="D118" s="182" t="s">
        <v>2874</v>
      </c>
      <c r="E118" s="183">
        <v>1020</v>
      </c>
      <c r="F118" s="184">
        <v>920</v>
      </c>
      <c r="G118" s="184">
        <v>870</v>
      </c>
      <c r="H118" s="184">
        <v>780</v>
      </c>
      <c r="I118" s="184">
        <v>730</v>
      </c>
    </row>
    <row r="119" spans="1:9" ht="18" thickBot="1">
      <c r="B119" s="180" t="s">
        <v>2877</v>
      </c>
      <c r="C119" s="185" t="s">
        <v>2870</v>
      </c>
      <c r="D119" s="187" t="s">
        <v>2888</v>
      </c>
      <c r="E119" s="188">
        <v>1.7000000000000001E-2</v>
      </c>
      <c r="F119" s="188">
        <v>1.7000000000000001E-2</v>
      </c>
      <c r="G119" s="188">
        <v>1.7000000000000001E-2</v>
      </c>
      <c r="H119" s="188">
        <v>1.7000000000000001E-2</v>
      </c>
      <c r="I119" s="188">
        <v>1.7000000000000001E-2</v>
      </c>
    </row>
    <row r="122" spans="1:9" ht="15.75" thickBot="1">
      <c r="B122" s="156" t="s">
        <v>2891</v>
      </c>
    </row>
    <row r="123" spans="1:9" ht="15.75" thickBot="1">
      <c r="B123" s="362"/>
      <c r="C123" s="363"/>
      <c r="D123" s="172" t="s">
        <v>0</v>
      </c>
      <c r="E123" s="173">
        <v>2015</v>
      </c>
      <c r="F123" s="173">
        <v>2020</v>
      </c>
      <c r="G123" s="173">
        <v>2030</v>
      </c>
      <c r="H123" s="173">
        <v>2040</v>
      </c>
      <c r="I123" s="173">
        <v>2050</v>
      </c>
    </row>
    <row r="124" spans="1:9" ht="16.5" thickTop="1" thickBot="1">
      <c r="B124" s="364" t="s">
        <v>2873</v>
      </c>
      <c r="C124" s="174" t="s">
        <v>2860</v>
      </c>
      <c r="D124" s="174" t="s">
        <v>2874</v>
      </c>
      <c r="E124" s="189">
        <v>1140</v>
      </c>
      <c r="F124" s="190">
        <v>920</v>
      </c>
      <c r="G124" s="190">
        <v>810</v>
      </c>
      <c r="H124" s="190">
        <v>650</v>
      </c>
      <c r="I124" s="190">
        <v>560</v>
      </c>
    </row>
    <row r="125" spans="1:9" ht="16.5" thickTop="1" thickBot="1">
      <c r="A125" t="s">
        <v>2892</v>
      </c>
      <c r="B125" s="365"/>
      <c r="C125" s="176" t="s">
        <v>2861</v>
      </c>
      <c r="D125" s="176" t="s">
        <v>2874</v>
      </c>
      <c r="E125" s="189">
        <v>1140</v>
      </c>
      <c r="F125" s="181">
        <v>880</v>
      </c>
      <c r="G125" s="181">
        <v>670</v>
      </c>
      <c r="H125" s="181">
        <v>510</v>
      </c>
      <c r="I125" s="181">
        <v>410</v>
      </c>
    </row>
    <row r="126" spans="1:9" ht="16.5" thickTop="1" thickBot="1">
      <c r="B126" s="365"/>
      <c r="C126" s="174" t="s">
        <v>2862</v>
      </c>
      <c r="D126" s="174" t="s">
        <v>2874</v>
      </c>
      <c r="E126" s="189">
        <v>1140</v>
      </c>
      <c r="F126" s="190">
        <v>770</v>
      </c>
      <c r="G126" s="190">
        <v>500</v>
      </c>
      <c r="H126" s="190">
        <v>410</v>
      </c>
      <c r="I126" s="190">
        <v>350</v>
      </c>
    </row>
    <row r="127" spans="1:9" ht="16.5" thickTop="1" thickBot="1">
      <c r="B127" s="365"/>
      <c r="C127" s="176" t="s">
        <v>2875</v>
      </c>
      <c r="D127" s="176" t="s">
        <v>2874</v>
      </c>
      <c r="E127" s="189">
        <v>1140</v>
      </c>
      <c r="F127" s="181">
        <v>720</v>
      </c>
      <c r="G127" s="181">
        <v>430</v>
      </c>
      <c r="H127" s="181">
        <v>350</v>
      </c>
      <c r="I127" s="181">
        <v>290</v>
      </c>
    </row>
    <row r="128" spans="1:9" ht="16.5" thickTop="1" thickBot="1">
      <c r="B128" s="366"/>
      <c r="C128" s="174" t="s">
        <v>2876</v>
      </c>
      <c r="D128" s="174" t="s">
        <v>2874</v>
      </c>
      <c r="E128" s="189">
        <v>1140</v>
      </c>
      <c r="F128" s="190">
        <v>1030</v>
      </c>
      <c r="G128" s="190">
        <v>970</v>
      </c>
      <c r="H128" s="190">
        <v>880</v>
      </c>
      <c r="I128" s="190">
        <v>810</v>
      </c>
    </row>
    <row r="129" spans="2:12" ht="18" thickBot="1">
      <c r="B129" s="180" t="s">
        <v>2877</v>
      </c>
      <c r="C129" s="176" t="s">
        <v>2870</v>
      </c>
      <c r="D129" s="187" t="s">
        <v>2888</v>
      </c>
      <c r="E129" s="191">
        <v>2.5000000000000001E-2</v>
      </c>
      <c r="F129" s="191">
        <v>2.5000000000000001E-2</v>
      </c>
      <c r="G129" s="191">
        <v>2.5000000000000001E-2</v>
      </c>
      <c r="H129" s="191">
        <v>2.5000000000000001E-2</v>
      </c>
      <c r="I129" s="191">
        <v>2.5000000000000001E-2</v>
      </c>
    </row>
    <row r="132" spans="2:12" ht="15.75" thickBot="1">
      <c r="B132" s="156" t="s">
        <v>2893</v>
      </c>
    </row>
    <row r="133" spans="2:12" ht="15.75" thickBot="1">
      <c r="B133" s="362"/>
      <c r="C133" s="363"/>
      <c r="D133" s="172" t="s">
        <v>0</v>
      </c>
      <c r="E133" s="173">
        <v>2015</v>
      </c>
      <c r="F133" s="173">
        <v>2020</v>
      </c>
      <c r="G133" s="173">
        <v>2030</v>
      </c>
      <c r="H133" s="173">
        <v>2040</v>
      </c>
      <c r="I133" s="173">
        <v>2050</v>
      </c>
    </row>
    <row r="134" spans="2:12" ht="16.5" thickTop="1" thickBot="1">
      <c r="B134" s="364" t="s">
        <v>2873</v>
      </c>
      <c r="C134" s="174" t="s">
        <v>2860</v>
      </c>
      <c r="D134" s="174" t="s">
        <v>2874</v>
      </c>
      <c r="E134" s="189">
        <v>1360</v>
      </c>
      <c r="F134" s="190">
        <v>1100</v>
      </c>
      <c r="G134" s="190">
        <v>960</v>
      </c>
      <c r="H134" s="190">
        <v>780</v>
      </c>
      <c r="I134" s="190">
        <v>670</v>
      </c>
    </row>
    <row r="135" spans="2:12" ht="16.5" thickTop="1" thickBot="1">
      <c r="B135" s="365"/>
      <c r="C135" s="176" t="s">
        <v>2861</v>
      </c>
      <c r="D135" s="176" t="s">
        <v>2874</v>
      </c>
      <c r="E135" s="189">
        <v>1360</v>
      </c>
      <c r="F135" s="181">
        <v>1050</v>
      </c>
      <c r="G135" s="181">
        <v>800</v>
      </c>
      <c r="H135" s="181">
        <v>600</v>
      </c>
      <c r="I135" s="181">
        <v>490</v>
      </c>
    </row>
    <row r="136" spans="2:12" ht="16.5" thickTop="1" thickBot="1">
      <c r="B136" s="365"/>
      <c r="C136" s="174" t="s">
        <v>2862</v>
      </c>
      <c r="D136" s="174" t="s">
        <v>2874</v>
      </c>
      <c r="E136" s="189">
        <v>1360</v>
      </c>
      <c r="F136" s="190">
        <v>920</v>
      </c>
      <c r="G136" s="190">
        <v>600</v>
      </c>
      <c r="H136" s="190">
        <v>490</v>
      </c>
      <c r="I136" s="190">
        <v>420</v>
      </c>
    </row>
    <row r="137" spans="2:12" ht="16.5" thickTop="1" thickBot="1">
      <c r="B137" s="365"/>
      <c r="C137" s="176" t="s">
        <v>2875</v>
      </c>
      <c r="D137" s="176" t="s">
        <v>2874</v>
      </c>
      <c r="E137" s="189">
        <v>1360</v>
      </c>
      <c r="F137" s="181">
        <v>860</v>
      </c>
      <c r="G137" s="181">
        <v>520</v>
      </c>
      <c r="H137" s="181">
        <v>410</v>
      </c>
      <c r="I137" s="181">
        <v>350</v>
      </c>
    </row>
    <row r="138" spans="2:12" ht="16.5" thickTop="1" thickBot="1">
      <c r="B138" s="366"/>
      <c r="C138" s="174" t="s">
        <v>2876</v>
      </c>
      <c r="D138" s="174" t="s">
        <v>2874</v>
      </c>
      <c r="E138" s="189">
        <v>1360</v>
      </c>
      <c r="F138" s="190">
        <v>1230</v>
      </c>
      <c r="G138" s="190">
        <v>1150</v>
      </c>
      <c r="H138" s="190">
        <v>1050</v>
      </c>
      <c r="I138" s="190">
        <v>970</v>
      </c>
    </row>
    <row r="139" spans="2:12" ht="18" thickBot="1">
      <c r="B139" s="180" t="s">
        <v>2877</v>
      </c>
      <c r="C139" s="176" t="s">
        <v>2870</v>
      </c>
      <c r="D139" s="187" t="s">
        <v>2888</v>
      </c>
      <c r="E139" s="179">
        <v>0.02</v>
      </c>
      <c r="F139" s="179">
        <v>0.02</v>
      </c>
      <c r="G139" s="179">
        <v>0.02</v>
      </c>
      <c r="H139" s="179">
        <v>0.02</v>
      </c>
      <c r="I139" s="179">
        <v>0.02</v>
      </c>
    </row>
    <row r="141" spans="2:12" ht="21">
      <c r="B141" s="155" t="s">
        <v>2894</v>
      </c>
    </row>
    <row r="143" spans="2:12" ht="15.75" thickBot="1">
      <c r="B143" s="156" t="s">
        <v>2895</v>
      </c>
    </row>
    <row r="144" spans="2:12" ht="15.75" thickBot="1">
      <c r="B144" s="357"/>
      <c r="C144" s="358"/>
      <c r="D144" s="192" t="s">
        <v>0</v>
      </c>
      <c r="E144" s="193">
        <v>2015</v>
      </c>
      <c r="F144" s="193">
        <v>2020</v>
      </c>
      <c r="G144" s="193">
        <v>2025</v>
      </c>
      <c r="H144" s="193">
        <v>2030</v>
      </c>
      <c r="I144" s="193">
        <v>2035</v>
      </c>
      <c r="J144" s="193">
        <v>2040</v>
      </c>
      <c r="K144" s="193">
        <v>2045</v>
      </c>
      <c r="L144" s="193">
        <v>2050</v>
      </c>
    </row>
    <row r="145" spans="2:12" ht="16.5" thickTop="1" thickBot="1">
      <c r="B145" s="359" t="s">
        <v>2859</v>
      </c>
      <c r="C145" s="194" t="s">
        <v>2860</v>
      </c>
      <c r="D145" s="194" t="s">
        <v>2</v>
      </c>
      <c r="E145" s="195">
        <v>4.6590000000000016</v>
      </c>
      <c r="F145" s="195">
        <v>8.2511793318236339</v>
      </c>
      <c r="G145" s="195">
        <v>15.01533583440682</v>
      </c>
      <c r="H145" s="195">
        <v>21.779492336990003</v>
      </c>
      <c r="I145" s="195">
        <v>44.246468927389202</v>
      </c>
      <c r="J145" s="195">
        <v>66.713445517788401</v>
      </c>
      <c r="K145" s="195">
        <v>100.23140798494771</v>
      </c>
      <c r="L145" s="195">
        <v>133.74937045210703</v>
      </c>
    </row>
    <row r="146" spans="2:12" ht="15.75" thickBot="1">
      <c r="B146" s="360"/>
      <c r="C146" s="176" t="s">
        <v>2861</v>
      </c>
      <c r="D146" s="176" t="s">
        <v>2</v>
      </c>
      <c r="E146" s="177">
        <v>4.6590000000000016</v>
      </c>
      <c r="F146" s="177">
        <v>55.545454545454547</v>
      </c>
      <c r="G146" s="177">
        <v>129.27272727272725</v>
      </c>
      <c r="H146" s="177">
        <v>203</v>
      </c>
      <c r="I146" s="177">
        <v>384</v>
      </c>
      <c r="J146" s="177">
        <v>565</v>
      </c>
      <c r="K146" s="177">
        <v>752</v>
      </c>
      <c r="L146" s="177">
        <v>939</v>
      </c>
    </row>
    <row r="147" spans="2:12" ht="15.75" thickBot="1">
      <c r="B147" s="361"/>
      <c r="C147" s="194" t="s">
        <v>2862</v>
      </c>
      <c r="D147" s="194" t="s">
        <v>2</v>
      </c>
      <c r="E147" s="195">
        <v>4.6590000000000016</v>
      </c>
      <c r="F147" s="195">
        <v>31.216702751416161</v>
      </c>
      <c r="G147" s="195">
        <v>217.97660053168826</v>
      </c>
      <c r="H147" s="195">
        <v>404.73649831196036</v>
      </c>
      <c r="I147" s="195">
        <v>694.4168847160156</v>
      </c>
      <c r="J147" s="195">
        <v>984.09727112007101</v>
      </c>
      <c r="K147" s="195">
        <v>1228.672877065078</v>
      </c>
      <c r="L147" s="195">
        <v>1473.2484830100848</v>
      </c>
    </row>
    <row r="148" spans="2:12" ht="15.75" thickBot="1">
      <c r="B148" s="367" t="s">
        <v>2863</v>
      </c>
      <c r="C148" s="176" t="s">
        <v>2860</v>
      </c>
      <c r="D148" s="176" t="s">
        <v>2864</v>
      </c>
      <c r="E148" s="177">
        <v>0.67972000000000032</v>
      </c>
      <c r="F148" s="177">
        <v>0.71843586636472645</v>
      </c>
      <c r="G148" s="177">
        <v>1.1238106202123266</v>
      </c>
      <c r="H148" s="177">
        <v>1.6656519808209473</v>
      </c>
      <c r="I148" s="177">
        <v>3.4019368615760341</v>
      </c>
      <c r="J148" s="177">
        <v>5.7531337745836453</v>
      </c>
      <c r="K148" s="177">
        <v>6.1470962955387876</v>
      </c>
      <c r="L148" s="177">
        <v>8.6582445576896649</v>
      </c>
    </row>
    <row r="149" spans="2:12" ht="15.75" thickBot="1">
      <c r="B149" s="360"/>
      <c r="C149" s="194" t="s">
        <v>2861</v>
      </c>
      <c r="D149" s="194" t="s">
        <v>2864</v>
      </c>
      <c r="E149" s="195">
        <v>0.67972000000000032</v>
      </c>
      <c r="F149" s="195">
        <v>10.17729090909091</v>
      </c>
      <c r="G149" s="195">
        <v>8.0909090909090899</v>
      </c>
      <c r="H149" s="195">
        <v>21.483799999999999</v>
      </c>
      <c r="I149" s="195">
        <v>34</v>
      </c>
      <c r="J149" s="195">
        <v>38.568280000000001</v>
      </c>
      <c r="K149" s="195">
        <v>36.879719999999999</v>
      </c>
      <c r="L149" s="195">
        <v>48.777290909090901</v>
      </c>
    </row>
    <row r="150" spans="2:12" ht="15.75" thickBot="1">
      <c r="B150" s="361"/>
      <c r="C150" s="176" t="s">
        <v>2862</v>
      </c>
      <c r="D150" s="176" t="s">
        <v>2864</v>
      </c>
      <c r="E150" s="177">
        <v>0.67972000000000032</v>
      </c>
      <c r="F150" s="177">
        <v>5.3115405502832314</v>
      </c>
      <c r="G150" s="177">
        <v>19.02349904072015</v>
      </c>
      <c r="H150" s="177">
        <v>55.764260071388684</v>
      </c>
      <c r="I150" s="177">
        <v>58.966129368200043</v>
      </c>
      <c r="J150" s="177">
        <v>57.074305193422084</v>
      </c>
      <c r="K150" s="177">
        <v>53.727864432876572</v>
      </c>
      <c r="L150" s="177">
        <v>50.093638495409415</v>
      </c>
    </row>
    <row r="151" spans="2:12" ht="15.75" thickBot="1">
      <c r="B151" s="368" t="s">
        <v>2865</v>
      </c>
      <c r="C151" s="194" t="s">
        <v>2866</v>
      </c>
      <c r="D151" s="194" t="s">
        <v>2855</v>
      </c>
      <c r="E151" s="196">
        <v>7.0000000000000007E-2</v>
      </c>
      <c r="F151" s="196">
        <v>7.0000000000000007E-2</v>
      </c>
      <c r="G151" s="196">
        <v>7.0000000000000007E-2</v>
      </c>
      <c r="H151" s="196">
        <v>7.0000000000000007E-2</v>
      </c>
      <c r="I151" s="196">
        <v>7.0000000000000007E-2</v>
      </c>
      <c r="J151" s="196">
        <v>7.0000000000000007E-2</v>
      </c>
      <c r="K151" s="196">
        <v>7.0000000000000007E-2</v>
      </c>
      <c r="L151" s="196">
        <v>7.0000000000000007E-2</v>
      </c>
    </row>
    <row r="152" spans="2:12" ht="15.75" thickBot="1">
      <c r="B152" s="369"/>
      <c r="C152" s="176" t="s">
        <v>2867</v>
      </c>
      <c r="D152" s="176" t="s">
        <v>2855</v>
      </c>
      <c r="E152" s="179">
        <v>0.1</v>
      </c>
      <c r="F152" s="179">
        <v>0.1</v>
      </c>
      <c r="G152" s="179">
        <v>0.1</v>
      </c>
      <c r="H152" s="179">
        <v>0.1</v>
      </c>
      <c r="I152" s="179">
        <v>0.1</v>
      </c>
      <c r="J152" s="179">
        <v>0.1</v>
      </c>
      <c r="K152" s="179">
        <v>0.1</v>
      </c>
      <c r="L152" s="179">
        <v>0.1</v>
      </c>
    </row>
    <row r="153" spans="2:12" ht="15.75" thickBot="1">
      <c r="B153" s="370"/>
      <c r="C153" s="194" t="s">
        <v>2868</v>
      </c>
      <c r="D153" s="194" t="s">
        <v>2855</v>
      </c>
      <c r="E153" s="196">
        <v>0.04</v>
      </c>
      <c r="F153" s="196">
        <v>0.04</v>
      </c>
      <c r="G153" s="196">
        <v>0.04</v>
      </c>
      <c r="H153" s="196">
        <v>0.04</v>
      </c>
      <c r="I153" s="196">
        <v>0.04</v>
      </c>
      <c r="J153" s="196">
        <v>0.04</v>
      </c>
      <c r="K153" s="196">
        <v>0.04</v>
      </c>
      <c r="L153" s="196">
        <v>0.04</v>
      </c>
    </row>
    <row r="154" spans="2:12" ht="15.75" thickBot="1">
      <c r="B154" s="197" t="s">
        <v>2869</v>
      </c>
      <c r="C154" s="176" t="s">
        <v>2870</v>
      </c>
      <c r="D154" s="176" t="s">
        <v>2854</v>
      </c>
      <c r="E154" s="181">
        <v>30</v>
      </c>
      <c r="F154" s="181">
        <v>30</v>
      </c>
      <c r="G154" s="181">
        <v>30</v>
      </c>
      <c r="H154" s="181">
        <v>30</v>
      </c>
      <c r="I154" s="181">
        <v>30</v>
      </c>
      <c r="J154" s="181">
        <v>30</v>
      </c>
      <c r="K154" s="181">
        <v>30</v>
      </c>
      <c r="L154" s="181">
        <v>30</v>
      </c>
    </row>
    <row r="156" spans="2:12" ht="15.75" thickBot="1">
      <c r="B156" s="156" t="s">
        <v>2896</v>
      </c>
    </row>
    <row r="157" spans="2:12" ht="15.75" thickBot="1">
      <c r="B157" s="357"/>
      <c r="C157" s="358"/>
      <c r="D157" s="192" t="s">
        <v>0</v>
      </c>
      <c r="E157" s="193">
        <v>2015</v>
      </c>
      <c r="F157" s="193">
        <v>2020</v>
      </c>
      <c r="G157" s="193">
        <v>2030</v>
      </c>
      <c r="H157" s="193">
        <v>2040</v>
      </c>
      <c r="I157" s="193">
        <v>2050</v>
      </c>
    </row>
    <row r="158" spans="2:12" ht="16.5" thickTop="1" thickBot="1">
      <c r="B158" s="359" t="s">
        <v>2873</v>
      </c>
      <c r="C158" s="194" t="s">
        <v>2860</v>
      </c>
      <c r="D158" s="194" t="s">
        <v>2874</v>
      </c>
      <c r="E158" s="198">
        <v>6000</v>
      </c>
      <c r="F158" s="199">
        <v>5650</v>
      </c>
      <c r="G158" s="199">
        <v>5100</v>
      </c>
      <c r="H158" s="199">
        <v>4530</v>
      </c>
      <c r="I158" s="199">
        <v>4200</v>
      </c>
    </row>
    <row r="159" spans="2:12" ht="16.5" thickTop="1" thickBot="1">
      <c r="B159" s="360"/>
      <c r="C159" s="176" t="s">
        <v>2861</v>
      </c>
      <c r="D159" s="176" t="s">
        <v>2874</v>
      </c>
      <c r="E159" s="198">
        <v>6000</v>
      </c>
      <c r="F159" s="181">
        <v>4630</v>
      </c>
      <c r="G159" s="181">
        <v>4040</v>
      </c>
      <c r="H159" s="181">
        <v>3630</v>
      </c>
      <c r="I159" s="181">
        <v>3420</v>
      </c>
    </row>
    <row r="160" spans="2:12" ht="16.5" thickTop="1" thickBot="1">
      <c r="B160" s="360"/>
      <c r="C160" s="194" t="s">
        <v>2862</v>
      </c>
      <c r="D160" s="194" t="s">
        <v>2874</v>
      </c>
      <c r="E160" s="198">
        <v>6000</v>
      </c>
      <c r="F160" s="199">
        <v>4920</v>
      </c>
      <c r="G160" s="199">
        <v>3760</v>
      </c>
      <c r="H160" s="199">
        <v>3430</v>
      </c>
      <c r="I160" s="199">
        <v>3280</v>
      </c>
    </row>
    <row r="161" spans="2:9" ht="16.5" thickTop="1" thickBot="1">
      <c r="B161" s="360"/>
      <c r="C161" s="176" t="s">
        <v>2875</v>
      </c>
      <c r="D161" s="176" t="s">
        <v>2874</v>
      </c>
      <c r="E161" s="198">
        <v>6000</v>
      </c>
      <c r="F161" s="181">
        <v>4120</v>
      </c>
      <c r="G161" s="181">
        <v>3040</v>
      </c>
      <c r="H161" s="181">
        <v>2660</v>
      </c>
      <c r="I161" s="181">
        <v>2490</v>
      </c>
    </row>
    <row r="162" spans="2:9" ht="16.5" thickTop="1" thickBot="1">
      <c r="B162" s="361"/>
      <c r="C162" s="194" t="s">
        <v>2876</v>
      </c>
      <c r="D162" s="194" t="s">
        <v>2874</v>
      </c>
      <c r="E162" s="198">
        <v>6000</v>
      </c>
      <c r="F162" s="199">
        <v>5800</v>
      </c>
      <c r="G162" s="199">
        <v>5470</v>
      </c>
      <c r="H162" s="199">
        <v>5120</v>
      </c>
      <c r="I162" s="199">
        <v>4910</v>
      </c>
    </row>
    <row r="163" spans="2:9" ht="18" thickBot="1">
      <c r="B163" s="197" t="s">
        <v>2877</v>
      </c>
      <c r="C163" s="176" t="s">
        <v>2870</v>
      </c>
      <c r="D163" s="187" t="s">
        <v>2888</v>
      </c>
      <c r="E163" s="191">
        <v>1.7000000000000001E-2</v>
      </c>
      <c r="F163" s="191">
        <v>1.7000000000000001E-2</v>
      </c>
      <c r="G163" s="191">
        <v>1.7000000000000001E-2</v>
      </c>
      <c r="H163" s="191">
        <v>1.7000000000000001E-2</v>
      </c>
      <c r="I163" s="191">
        <v>1.7000000000000001E-2</v>
      </c>
    </row>
    <row r="166" spans="2:9" ht="15.75" thickBot="1">
      <c r="B166" s="156" t="s">
        <v>2897</v>
      </c>
    </row>
    <row r="167" spans="2:9" ht="15.75" thickBot="1">
      <c r="B167" s="357"/>
      <c r="C167" s="358"/>
      <c r="D167" s="192" t="s">
        <v>0</v>
      </c>
      <c r="E167" s="193">
        <v>2015</v>
      </c>
      <c r="F167" s="193">
        <v>2020</v>
      </c>
      <c r="G167" s="193">
        <v>2030</v>
      </c>
      <c r="H167" s="193">
        <v>2040</v>
      </c>
      <c r="I167" s="193">
        <v>2050</v>
      </c>
    </row>
    <row r="168" spans="2:9" ht="16.5" thickTop="1" thickBot="1">
      <c r="B168" s="359" t="s">
        <v>2873</v>
      </c>
      <c r="C168" s="194" t="s">
        <v>2860</v>
      </c>
      <c r="D168" s="194" t="s">
        <v>2874</v>
      </c>
      <c r="E168" s="198">
        <v>5280</v>
      </c>
      <c r="F168" s="199">
        <v>4970</v>
      </c>
      <c r="G168" s="199">
        <v>4480</v>
      </c>
      <c r="H168" s="199">
        <v>3990</v>
      </c>
      <c r="I168" s="199">
        <v>3690</v>
      </c>
    </row>
    <row r="169" spans="2:9" ht="16.5" thickTop="1" thickBot="1">
      <c r="B169" s="360"/>
      <c r="C169" s="176" t="s">
        <v>2861</v>
      </c>
      <c r="D169" s="176" t="s">
        <v>2874</v>
      </c>
      <c r="E169" s="198">
        <v>5280</v>
      </c>
      <c r="F169" s="181">
        <v>4070</v>
      </c>
      <c r="G169" s="181">
        <v>3560</v>
      </c>
      <c r="H169" s="181">
        <v>3190</v>
      </c>
      <c r="I169" s="181">
        <v>3010</v>
      </c>
    </row>
    <row r="170" spans="2:9" ht="16.5" thickTop="1" thickBot="1">
      <c r="B170" s="360"/>
      <c r="C170" s="194" t="s">
        <v>2862</v>
      </c>
      <c r="D170" s="194" t="s">
        <v>2874</v>
      </c>
      <c r="E170" s="198">
        <v>5280</v>
      </c>
      <c r="F170" s="199">
        <v>4330</v>
      </c>
      <c r="G170" s="199">
        <v>3310</v>
      </c>
      <c r="H170" s="199">
        <v>3010</v>
      </c>
      <c r="I170" s="199">
        <v>2880</v>
      </c>
    </row>
    <row r="171" spans="2:9" ht="16.5" thickTop="1" thickBot="1">
      <c r="B171" s="360"/>
      <c r="C171" s="176" t="s">
        <v>2875</v>
      </c>
      <c r="D171" s="176" t="s">
        <v>2874</v>
      </c>
      <c r="E171" s="198">
        <v>5280</v>
      </c>
      <c r="F171" s="181">
        <v>3620</v>
      </c>
      <c r="G171" s="181">
        <v>2680</v>
      </c>
      <c r="H171" s="181">
        <v>2340</v>
      </c>
      <c r="I171" s="181">
        <v>2190</v>
      </c>
    </row>
    <row r="172" spans="2:9" ht="16.5" thickTop="1" thickBot="1">
      <c r="B172" s="361"/>
      <c r="C172" s="194" t="s">
        <v>2876</v>
      </c>
      <c r="D172" s="194" t="s">
        <v>2874</v>
      </c>
      <c r="E172" s="198">
        <v>5280</v>
      </c>
      <c r="F172" s="199">
        <v>5110</v>
      </c>
      <c r="G172" s="199">
        <v>4820</v>
      </c>
      <c r="H172" s="199">
        <v>4510</v>
      </c>
      <c r="I172" s="199">
        <v>4320</v>
      </c>
    </row>
    <row r="173" spans="2:9" ht="18" thickBot="1">
      <c r="B173" s="197" t="s">
        <v>2877</v>
      </c>
      <c r="C173" s="176" t="s">
        <v>2870</v>
      </c>
      <c r="D173" s="187" t="s">
        <v>2888</v>
      </c>
      <c r="E173" s="191">
        <v>1.7000000000000001E-2</v>
      </c>
      <c r="F173" s="191">
        <v>1.7000000000000001E-2</v>
      </c>
      <c r="G173" s="191">
        <v>1.7000000000000001E-2</v>
      </c>
      <c r="H173" s="191">
        <v>1.7000000000000001E-2</v>
      </c>
      <c r="I173" s="191">
        <v>1.7000000000000001E-2</v>
      </c>
    </row>
    <row r="175" spans="2:9" ht="21">
      <c r="B175" s="155" t="s">
        <v>2898</v>
      </c>
    </row>
    <row r="177" spans="2:12" ht="15.75" thickBot="1">
      <c r="B177" s="156" t="s">
        <v>2899</v>
      </c>
    </row>
    <row r="178" spans="2:12" ht="15.75" thickBot="1">
      <c r="B178" s="344"/>
      <c r="C178" s="345"/>
      <c r="D178" s="200" t="s">
        <v>0</v>
      </c>
      <c r="E178" s="201">
        <v>2015</v>
      </c>
      <c r="F178" s="201">
        <v>2020</v>
      </c>
      <c r="G178" s="201">
        <v>2025</v>
      </c>
      <c r="H178" s="201">
        <v>2030</v>
      </c>
      <c r="I178" s="201">
        <v>2035</v>
      </c>
      <c r="J178" s="201">
        <v>2040</v>
      </c>
      <c r="K178" s="201">
        <v>2045</v>
      </c>
      <c r="L178" s="201">
        <v>2050</v>
      </c>
    </row>
    <row r="179" spans="2:12" ht="16.5" thickTop="1" thickBot="1">
      <c r="B179" s="346" t="s">
        <v>2859</v>
      </c>
      <c r="C179" s="202" t="s">
        <v>2860</v>
      </c>
      <c r="D179" s="202" t="s">
        <v>2</v>
      </c>
      <c r="E179" s="203">
        <v>11.847999999999999</v>
      </c>
      <c r="F179" s="203">
        <v>18.157344509707865</v>
      </c>
      <c r="G179" s="203">
        <v>23.307843677987066</v>
      </c>
      <c r="H179" s="203">
        <v>28.458342846266262</v>
      </c>
      <c r="I179" s="203">
        <v>36.224364686690222</v>
      </c>
      <c r="J179" s="203">
        <v>43.990386527114183</v>
      </c>
      <c r="K179" s="203">
        <v>54.674039193009826</v>
      </c>
      <c r="L179" s="203">
        <v>65.357691858905469</v>
      </c>
    </row>
    <row r="180" spans="2:12" ht="15.75" thickBot="1">
      <c r="B180" s="347"/>
      <c r="C180" s="204" t="s">
        <v>2861</v>
      </c>
      <c r="D180" s="204" t="s">
        <v>2</v>
      </c>
      <c r="E180" s="205">
        <v>11.847999999999999</v>
      </c>
      <c r="F180" s="205">
        <v>24.545454545454547</v>
      </c>
      <c r="G180" s="205">
        <v>37.272727272727273</v>
      </c>
      <c r="H180" s="205">
        <v>50</v>
      </c>
      <c r="I180" s="205">
        <v>70.5</v>
      </c>
      <c r="J180" s="205">
        <v>91</v>
      </c>
      <c r="K180" s="205">
        <v>118</v>
      </c>
      <c r="L180" s="205">
        <v>145</v>
      </c>
    </row>
    <row r="181" spans="2:12" ht="15.75" thickBot="1">
      <c r="B181" s="348"/>
      <c r="C181" s="202" t="s">
        <v>2862</v>
      </c>
      <c r="D181" s="202" t="s">
        <v>2</v>
      </c>
      <c r="E181" s="203">
        <v>11.847999999999999</v>
      </c>
      <c r="F181" s="203">
        <v>28.295605160518459</v>
      </c>
      <c r="G181" s="203">
        <v>82.41630909322663</v>
      </c>
      <c r="H181" s="203">
        <v>136.53701302593481</v>
      </c>
      <c r="I181" s="203">
        <v>230.87910435453176</v>
      </c>
      <c r="J181" s="203">
        <v>325.22119568312871</v>
      </c>
      <c r="K181" s="203">
        <v>405.29540268446851</v>
      </c>
      <c r="L181" s="203">
        <v>485.36960968580826</v>
      </c>
    </row>
    <row r="182" spans="2:12" ht="15.75" thickBot="1">
      <c r="B182" s="353" t="s">
        <v>2863</v>
      </c>
      <c r="C182" s="204" t="s">
        <v>2860</v>
      </c>
      <c r="D182" s="204" t="s">
        <v>2864</v>
      </c>
      <c r="E182" s="206">
        <v>0.34464000000000039</v>
      </c>
      <c r="F182" s="205">
        <v>1.2618689019415732</v>
      </c>
      <c r="G182" s="205">
        <v>1.0212032590198894</v>
      </c>
      <c r="H182" s="205">
        <v>2.7047364082917902</v>
      </c>
      <c r="I182" s="205">
        <v>1.4924328379686684</v>
      </c>
      <c r="J182" s="205">
        <v>1.9731958982009146</v>
      </c>
      <c r="K182" s="205">
        <v>2.3210810745807153</v>
      </c>
      <c r="L182" s="205">
        <v>3.5588888937191157</v>
      </c>
    </row>
    <row r="183" spans="2:12" ht="15.75" thickBot="1">
      <c r="B183" s="347"/>
      <c r="C183" s="202" t="s">
        <v>2861</v>
      </c>
      <c r="D183" s="202" t="s">
        <v>2864</v>
      </c>
      <c r="E183" s="207">
        <v>0.34464000000000039</v>
      </c>
      <c r="F183" s="203">
        <v>2.5394909090909095</v>
      </c>
      <c r="G183" s="203">
        <v>2.0909090909090908</v>
      </c>
      <c r="H183" s="203">
        <v>4.6657400000000004</v>
      </c>
      <c r="I183" s="203">
        <v>4.0721999999999996</v>
      </c>
      <c r="J183" s="203">
        <v>4.4870200000000011</v>
      </c>
      <c r="K183" s="203">
        <v>6.3446399999999983</v>
      </c>
      <c r="L183" s="203">
        <v>7.3394909090909097</v>
      </c>
    </row>
    <row r="184" spans="2:12" ht="15.75" thickBot="1">
      <c r="B184" s="348"/>
      <c r="C184" s="204" t="s">
        <v>2862</v>
      </c>
      <c r="D184" s="204" t="s">
        <v>2864</v>
      </c>
      <c r="E184" s="206">
        <v>0.34464000000000039</v>
      </c>
      <c r="F184" s="205">
        <v>3.2895210321036918</v>
      </c>
      <c r="G184" s="205">
        <v>8.1911427952061988</v>
      </c>
      <c r="H184" s="205">
        <v>15.122878777877071</v>
      </c>
      <c r="I184" s="205">
        <v>19.101003309077122</v>
      </c>
      <c r="J184" s="205">
        <v>18.995053222361655</v>
      </c>
      <c r="K184" s="205">
        <v>18.467581546003725</v>
      </c>
      <c r="L184" s="205">
        <v>17.196262286635886</v>
      </c>
    </row>
    <row r="185" spans="2:12" ht="15.75" thickBot="1">
      <c r="B185" s="354" t="s">
        <v>2865</v>
      </c>
      <c r="C185" s="202" t="s">
        <v>2866</v>
      </c>
      <c r="D185" s="202" t="s">
        <v>2855</v>
      </c>
      <c r="E185" s="208">
        <v>0.05</v>
      </c>
      <c r="F185" s="208">
        <v>0.05</v>
      </c>
      <c r="G185" s="208">
        <v>0.05</v>
      </c>
      <c r="H185" s="208">
        <v>0.05</v>
      </c>
      <c r="I185" s="208">
        <v>0.05</v>
      </c>
      <c r="J185" s="208">
        <v>0.05</v>
      </c>
      <c r="K185" s="208">
        <v>0.05</v>
      </c>
      <c r="L185" s="208">
        <v>0.05</v>
      </c>
    </row>
    <row r="186" spans="2:12" ht="15.75" thickBot="1">
      <c r="B186" s="355"/>
      <c r="C186" s="204" t="s">
        <v>2867</v>
      </c>
      <c r="D186" s="204" t="s">
        <v>2855</v>
      </c>
      <c r="E186" s="209">
        <v>0.1</v>
      </c>
      <c r="F186" s="209">
        <v>0.1</v>
      </c>
      <c r="G186" s="209">
        <v>0.1</v>
      </c>
      <c r="H186" s="209">
        <v>0.1</v>
      </c>
      <c r="I186" s="209">
        <v>0.1</v>
      </c>
      <c r="J186" s="209">
        <v>0.1</v>
      </c>
      <c r="K186" s="209">
        <v>0.1</v>
      </c>
      <c r="L186" s="209">
        <v>0.1</v>
      </c>
    </row>
    <row r="187" spans="2:12" ht="15.75" thickBot="1">
      <c r="B187" s="356"/>
      <c r="C187" s="202" t="s">
        <v>2868</v>
      </c>
      <c r="D187" s="202" t="s">
        <v>2855</v>
      </c>
      <c r="E187" s="208">
        <v>0.02</v>
      </c>
      <c r="F187" s="208">
        <v>0.02</v>
      </c>
      <c r="G187" s="208">
        <v>0.02</v>
      </c>
      <c r="H187" s="208">
        <v>0.02</v>
      </c>
      <c r="I187" s="208">
        <v>0.02</v>
      </c>
      <c r="J187" s="208">
        <v>0.02</v>
      </c>
      <c r="K187" s="208">
        <v>0.02</v>
      </c>
      <c r="L187" s="208">
        <v>0.02</v>
      </c>
    </row>
    <row r="188" spans="2:12" ht="15.75" thickBot="1">
      <c r="B188" s="210" t="s">
        <v>2869</v>
      </c>
      <c r="C188" s="204" t="s">
        <v>2870</v>
      </c>
      <c r="D188" s="204" t="s">
        <v>2854</v>
      </c>
      <c r="E188" s="211">
        <v>30</v>
      </c>
      <c r="F188" s="211">
        <v>30</v>
      </c>
      <c r="G188" s="211">
        <v>30</v>
      </c>
      <c r="H188" s="211">
        <v>30</v>
      </c>
      <c r="I188" s="211">
        <v>30</v>
      </c>
      <c r="J188" s="211">
        <v>30</v>
      </c>
      <c r="K188" s="211">
        <v>30</v>
      </c>
      <c r="L188" s="211">
        <v>30</v>
      </c>
    </row>
    <row r="190" spans="2:12" ht="15.75" thickBot="1">
      <c r="B190" s="156" t="s">
        <v>2900</v>
      </c>
    </row>
    <row r="191" spans="2:12" ht="15.75" thickBot="1">
      <c r="B191" s="344"/>
      <c r="C191" s="345"/>
      <c r="D191" s="200" t="s">
        <v>0</v>
      </c>
      <c r="E191" s="201">
        <v>2015</v>
      </c>
      <c r="F191" s="201">
        <v>2020</v>
      </c>
      <c r="G191" s="201">
        <v>2030</v>
      </c>
      <c r="H191" s="201">
        <v>2040</v>
      </c>
      <c r="I191" s="201">
        <v>2050</v>
      </c>
    </row>
    <row r="192" spans="2:12" ht="16.5" thickTop="1" thickBot="1">
      <c r="B192" s="346" t="s">
        <v>2873</v>
      </c>
      <c r="C192" s="202" t="s">
        <v>2860</v>
      </c>
      <c r="D192" s="202" t="s">
        <v>2874</v>
      </c>
      <c r="E192" s="212">
        <v>3540</v>
      </c>
      <c r="F192" s="213">
        <v>3430</v>
      </c>
      <c r="G192" s="213">
        <v>3260</v>
      </c>
      <c r="H192" s="213">
        <v>3160</v>
      </c>
      <c r="I192" s="213">
        <v>3060</v>
      </c>
    </row>
    <row r="193" spans="1:9" ht="16.5" thickTop="1" thickBot="1">
      <c r="A193" t="s">
        <v>2777</v>
      </c>
      <c r="B193" s="347"/>
      <c r="C193" s="204" t="s">
        <v>2861</v>
      </c>
      <c r="D193" s="204" t="s">
        <v>2874</v>
      </c>
      <c r="E193" s="212">
        <v>3540</v>
      </c>
      <c r="F193" s="211">
        <v>3350</v>
      </c>
      <c r="G193" s="211">
        <v>3150</v>
      </c>
      <c r="H193" s="211">
        <v>3020</v>
      </c>
      <c r="I193" s="211">
        <v>2910</v>
      </c>
    </row>
    <row r="194" spans="1:9" ht="16.5" thickTop="1" thickBot="1">
      <c r="B194" s="347"/>
      <c r="C194" s="202" t="s">
        <v>2862</v>
      </c>
      <c r="D194" s="202" t="s">
        <v>2874</v>
      </c>
      <c r="E194" s="212">
        <v>3540</v>
      </c>
      <c r="F194" s="213">
        <v>3320</v>
      </c>
      <c r="G194" s="213">
        <v>2940</v>
      </c>
      <c r="H194" s="213">
        <v>2760</v>
      </c>
      <c r="I194" s="213">
        <v>2680</v>
      </c>
    </row>
    <row r="195" spans="1:9" ht="16.5" thickTop="1" thickBot="1">
      <c r="B195" s="347"/>
      <c r="C195" s="204" t="s">
        <v>2875</v>
      </c>
      <c r="D195" s="204" t="s">
        <v>2874</v>
      </c>
      <c r="E195" s="212">
        <v>3540</v>
      </c>
      <c r="F195" s="211">
        <v>3100</v>
      </c>
      <c r="G195" s="211">
        <v>2420</v>
      </c>
      <c r="H195" s="211">
        <v>2130</v>
      </c>
      <c r="I195" s="211">
        <v>2000</v>
      </c>
    </row>
    <row r="196" spans="1:9" ht="16.5" thickTop="1" thickBot="1">
      <c r="B196" s="348"/>
      <c r="C196" s="202" t="s">
        <v>2876</v>
      </c>
      <c r="D196" s="202" t="s">
        <v>2874</v>
      </c>
      <c r="E196" s="212">
        <v>3540</v>
      </c>
      <c r="F196" s="213">
        <v>3500</v>
      </c>
      <c r="G196" s="213">
        <v>3430</v>
      </c>
      <c r="H196" s="213">
        <v>3390</v>
      </c>
      <c r="I196" s="213">
        <v>3340</v>
      </c>
    </row>
    <row r="197" spans="1:9" ht="15.75" thickBot="1">
      <c r="B197" s="210" t="s">
        <v>2877</v>
      </c>
      <c r="C197" s="204" t="s">
        <v>2870</v>
      </c>
      <c r="D197" s="204" t="s">
        <v>2878</v>
      </c>
      <c r="E197" s="209">
        <v>0.02</v>
      </c>
      <c r="F197" s="209">
        <v>0.02</v>
      </c>
      <c r="G197" s="209">
        <v>0.02</v>
      </c>
      <c r="H197" s="209">
        <v>0.02</v>
      </c>
      <c r="I197" s="209">
        <v>0.02</v>
      </c>
    </row>
    <row r="200" spans="1:9" ht="15.75" thickBot="1">
      <c r="B200" s="156" t="s">
        <v>2901</v>
      </c>
    </row>
    <row r="201" spans="1:9" ht="15.75" thickBot="1">
      <c r="B201" s="344"/>
      <c r="C201" s="345"/>
      <c r="D201" s="200" t="s">
        <v>0</v>
      </c>
      <c r="E201" s="201">
        <v>2015</v>
      </c>
      <c r="F201" s="201">
        <v>2020</v>
      </c>
      <c r="G201" s="201">
        <v>2030</v>
      </c>
      <c r="H201" s="201">
        <v>2040</v>
      </c>
      <c r="I201" s="201">
        <v>2050</v>
      </c>
    </row>
    <row r="202" spans="1:9" ht="16.5" thickTop="1" thickBot="1">
      <c r="B202" s="346" t="s">
        <v>2873</v>
      </c>
      <c r="C202" s="202" t="s">
        <v>2860</v>
      </c>
      <c r="D202" s="202" t="s">
        <v>2874</v>
      </c>
      <c r="E202" s="212">
        <v>6970</v>
      </c>
      <c r="F202" s="213">
        <v>6750</v>
      </c>
      <c r="G202" s="213">
        <v>6410</v>
      </c>
      <c r="H202" s="213">
        <v>6230</v>
      </c>
      <c r="I202" s="213">
        <v>6030</v>
      </c>
    </row>
    <row r="203" spans="1:9" ht="16.5" thickTop="1" thickBot="1">
      <c r="A203" t="s">
        <v>2778</v>
      </c>
      <c r="B203" s="347"/>
      <c r="C203" s="204" t="s">
        <v>2861</v>
      </c>
      <c r="D203" s="204" t="s">
        <v>2874</v>
      </c>
      <c r="E203" s="212">
        <v>6970</v>
      </c>
      <c r="F203" s="211">
        <v>6600</v>
      </c>
      <c r="G203" s="211">
        <v>6190</v>
      </c>
      <c r="H203" s="211">
        <v>5950</v>
      </c>
      <c r="I203" s="211">
        <v>5720</v>
      </c>
    </row>
    <row r="204" spans="1:9" ht="16.5" thickTop="1" thickBot="1">
      <c r="B204" s="347"/>
      <c r="C204" s="202" t="s">
        <v>2862</v>
      </c>
      <c r="D204" s="202" t="s">
        <v>2874</v>
      </c>
      <c r="E204" s="212">
        <v>6970</v>
      </c>
      <c r="F204" s="213">
        <v>6540</v>
      </c>
      <c r="G204" s="213">
        <v>5790</v>
      </c>
      <c r="H204" s="213">
        <v>5440</v>
      </c>
      <c r="I204" s="213">
        <v>5270</v>
      </c>
    </row>
    <row r="205" spans="1:9" ht="16.5" thickTop="1" thickBot="1">
      <c r="B205" s="347"/>
      <c r="C205" s="204" t="s">
        <v>2875</v>
      </c>
      <c r="D205" s="204" t="s">
        <v>2874</v>
      </c>
      <c r="E205" s="212">
        <v>6970</v>
      </c>
      <c r="F205" s="211">
        <v>6110</v>
      </c>
      <c r="G205" s="211">
        <v>4760</v>
      </c>
      <c r="H205" s="211">
        <v>4190</v>
      </c>
      <c r="I205" s="211">
        <v>3930</v>
      </c>
    </row>
    <row r="206" spans="1:9" ht="16.5" thickTop="1" thickBot="1">
      <c r="B206" s="348"/>
      <c r="C206" s="202" t="s">
        <v>2876</v>
      </c>
      <c r="D206" s="202" t="s">
        <v>2874</v>
      </c>
      <c r="E206" s="212">
        <v>6970</v>
      </c>
      <c r="F206" s="213">
        <v>6880</v>
      </c>
      <c r="G206" s="213">
        <v>6740</v>
      </c>
      <c r="H206" s="213">
        <v>6670</v>
      </c>
      <c r="I206" s="213">
        <v>6580</v>
      </c>
    </row>
    <row r="207" spans="1:9" ht="15.75" thickBot="1">
      <c r="B207" s="210" t="s">
        <v>2877</v>
      </c>
      <c r="C207" s="204" t="s">
        <v>2870</v>
      </c>
      <c r="D207" s="204" t="s">
        <v>2878</v>
      </c>
      <c r="E207" s="209">
        <v>0.02</v>
      </c>
      <c r="F207" s="209">
        <v>0.02</v>
      </c>
      <c r="G207" s="209">
        <v>0.02</v>
      </c>
      <c r="H207" s="209">
        <v>0.02</v>
      </c>
      <c r="I207" s="209">
        <v>0.02</v>
      </c>
    </row>
    <row r="210" spans="2:12" ht="15.75" thickBot="1">
      <c r="B210" s="156" t="s">
        <v>2902</v>
      </c>
    </row>
    <row r="211" spans="2:12" ht="15.75" thickBot="1">
      <c r="B211" s="344"/>
      <c r="C211" s="345"/>
      <c r="D211" s="200" t="s">
        <v>0</v>
      </c>
      <c r="E211" s="201">
        <v>2015</v>
      </c>
      <c r="F211" s="201">
        <v>2020</v>
      </c>
      <c r="G211" s="201">
        <v>2030</v>
      </c>
      <c r="H211" s="201">
        <v>2040</v>
      </c>
      <c r="I211" s="201">
        <v>2050</v>
      </c>
    </row>
    <row r="212" spans="2:12" ht="16.5" thickTop="1" thickBot="1">
      <c r="B212" s="346" t="s">
        <v>2873</v>
      </c>
      <c r="C212" s="202" t="s">
        <v>2860</v>
      </c>
      <c r="D212" s="202" t="s">
        <v>2874</v>
      </c>
      <c r="E212" s="212">
        <v>11790</v>
      </c>
      <c r="F212" s="213">
        <v>11420</v>
      </c>
      <c r="G212" s="213">
        <v>10840</v>
      </c>
      <c r="H212" s="213">
        <v>10540</v>
      </c>
      <c r="I212" s="213">
        <v>10200</v>
      </c>
    </row>
    <row r="213" spans="2:12" ht="16.5" thickTop="1" thickBot="1">
      <c r="B213" s="347"/>
      <c r="C213" s="204" t="s">
        <v>2861</v>
      </c>
      <c r="D213" s="204" t="s">
        <v>2874</v>
      </c>
      <c r="E213" s="212">
        <v>11790</v>
      </c>
      <c r="F213" s="211">
        <v>11170</v>
      </c>
      <c r="G213" s="211">
        <v>10480</v>
      </c>
      <c r="H213" s="211">
        <v>10060</v>
      </c>
      <c r="I213" s="211">
        <v>9680</v>
      </c>
    </row>
    <row r="214" spans="2:12" ht="16.5" thickTop="1" thickBot="1">
      <c r="B214" s="347"/>
      <c r="C214" s="202" t="s">
        <v>2862</v>
      </c>
      <c r="D214" s="202" t="s">
        <v>2874</v>
      </c>
      <c r="E214" s="212">
        <v>11790</v>
      </c>
      <c r="F214" s="213">
        <v>11050</v>
      </c>
      <c r="G214" s="213">
        <v>9800</v>
      </c>
      <c r="H214" s="213">
        <v>9210</v>
      </c>
      <c r="I214" s="213">
        <v>8920</v>
      </c>
    </row>
    <row r="215" spans="2:12" ht="16.5" thickTop="1" thickBot="1">
      <c r="B215" s="347"/>
      <c r="C215" s="204" t="s">
        <v>2875</v>
      </c>
      <c r="D215" s="204" t="s">
        <v>2874</v>
      </c>
      <c r="E215" s="212">
        <v>11790</v>
      </c>
      <c r="F215" s="211">
        <v>10330</v>
      </c>
      <c r="G215" s="211">
        <v>8060</v>
      </c>
      <c r="H215" s="211">
        <v>7090</v>
      </c>
      <c r="I215" s="211">
        <v>6650</v>
      </c>
    </row>
    <row r="216" spans="2:12" ht="16.5" thickTop="1" thickBot="1">
      <c r="B216" s="348"/>
      <c r="C216" s="202" t="s">
        <v>2876</v>
      </c>
      <c r="D216" s="202" t="s">
        <v>2874</v>
      </c>
      <c r="E216" s="212">
        <v>11790</v>
      </c>
      <c r="F216" s="213">
        <v>11640</v>
      </c>
      <c r="G216" s="213">
        <v>11410</v>
      </c>
      <c r="H216" s="213">
        <v>11280</v>
      </c>
      <c r="I216" s="213">
        <v>11140</v>
      </c>
    </row>
    <row r="217" spans="2:12" ht="15.75" thickBot="1">
      <c r="B217" s="210" t="s">
        <v>2877</v>
      </c>
      <c r="C217" s="204" t="s">
        <v>2870</v>
      </c>
      <c r="D217" s="204" t="s">
        <v>2878</v>
      </c>
      <c r="E217" s="209">
        <v>0.02</v>
      </c>
      <c r="F217" s="209">
        <v>0.02</v>
      </c>
      <c r="G217" s="209">
        <v>0.02</v>
      </c>
      <c r="H217" s="209">
        <v>0.02</v>
      </c>
      <c r="I217" s="209">
        <v>0.02</v>
      </c>
    </row>
    <row r="219" spans="2:12" ht="21">
      <c r="B219" s="155" t="s">
        <v>2903</v>
      </c>
    </row>
    <row r="221" spans="2:12" ht="15.75" thickBot="1">
      <c r="B221" s="156" t="s">
        <v>2904</v>
      </c>
    </row>
    <row r="222" spans="2:12" ht="15.75" thickBot="1">
      <c r="B222" s="339"/>
      <c r="C222" s="340"/>
      <c r="D222" s="214" t="s">
        <v>0</v>
      </c>
      <c r="E222" s="215">
        <v>2015</v>
      </c>
      <c r="F222" s="215">
        <v>2020</v>
      </c>
      <c r="G222" s="215">
        <v>2025</v>
      </c>
      <c r="H222" s="215">
        <v>2030</v>
      </c>
      <c r="I222" s="215">
        <v>2035</v>
      </c>
      <c r="J222" s="215">
        <v>2040</v>
      </c>
      <c r="K222" s="215">
        <v>2045</v>
      </c>
      <c r="L222" s="215">
        <v>2050</v>
      </c>
    </row>
    <row r="223" spans="2:12" ht="16.5" thickTop="1" thickBot="1">
      <c r="B223" s="341" t="s">
        <v>2859</v>
      </c>
      <c r="C223" s="216" t="s">
        <v>2860</v>
      </c>
      <c r="D223" s="216" t="s">
        <v>2</v>
      </c>
      <c r="E223" s="217">
        <v>0.53349999999999986</v>
      </c>
      <c r="F223" s="218">
        <v>0.64090404564257442</v>
      </c>
      <c r="G223" s="218">
        <v>1.9219994612654814</v>
      </c>
      <c r="H223" s="218">
        <v>3.2030948768883887</v>
      </c>
      <c r="I223" s="218">
        <v>7.9781252226973658</v>
      </c>
      <c r="J223" s="218">
        <v>12.753155568506342</v>
      </c>
      <c r="K223" s="218">
        <v>23.160011434969839</v>
      </c>
      <c r="L223" s="218">
        <v>33.566867301433334</v>
      </c>
    </row>
    <row r="224" spans="2:12" ht="15.75" thickBot="1">
      <c r="B224" s="342"/>
      <c r="C224" s="219" t="s">
        <v>2861</v>
      </c>
      <c r="D224" s="219" t="s">
        <v>2</v>
      </c>
      <c r="E224" s="220">
        <v>0.53349999999999986</v>
      </c>
      <c r="F224" s="221">
        <v>2.0909090909090908</v>
      </c>
      <c r="G224" s="221">
        <v>4.545454545454545</v>
      </c>
      <c r="H224" s="221">
        <v>7</v>
      </c>
      <c r="I224" s="221">
        <v>24.5</v>
      </c>
      <c r="J224" s="221">
        <v>42</v>
      </c>
      <c r="K224" s="221">
        <v>112</v>
      </c>
      <c r="L224" s="221">
        <v>182</v>
      </c>
    </row>
    <row r="225" spans="2:12" ht="15.75" thickBot="1">
      <c r="B225" s="343"/>
      <c r="C225" s="216" t="s">
        <v>2862</v>
      </c>
      <c r="D225" s="216" t="s">
        <v>2</v>
      </c>
      <c r="E225" s="217">
        <v>0.53349999999999986</v>
      </c>
      <c r="F225" s="218">
        <v>10.797734712391669</v>
      </c>
      <c r="G225" s="218">
        <v>52.879616106903057</v>
      </c>
      <c r="H225" s="218">
        <v>94.961497501414442</v>
      </c>
      <c r="I225" s="218">
        <v>206.55014975920602</v>
      </c>
      <c r="J225" s="218">
        <v>318.1388020169976</v>
      </c>
      <c r="K225" s="218">
        <v>434.82031064614358</v>
      </c>
      <c r="L225" s="218">
        <v>551.50181927528956</v>
      </c>
    </row>
    <row r="226" spans="2:12" ht="15.75" thickBot="1">
      <c r="B226" s="349" t="s">
        <v>2863</v>
      </c>
      <c r="C226" s="219" t="s">
        <v>2860</v>
      </c>
      <c r="D226" s="219" t="s">
        <v>2864</v>
      </c>
      <c r="E226" s="222">
        <v>5.2539999999999989E-2</v>
      </c>
      <c r="F226" s="220">
        <v>7.4500809128514908E-2</v>
      </c>
      <c r="G226" s="220">
        <v>0.16361968377463373</v>
      </c>
      <c r="H226" s="222">
        <v>0.3499584824745291</v>
      </c>
      <c r="I226" s="221">
        <v>0.93398475300082739</v>
      </c>
      <c r="J226" s="221">
        <v>1.1030681944512781</v>
      </c>
      <c r="K226" s="221">
        <v>1.6999807812477599</v>
      </c>
      <c r="L226" s="221">
        <v>2.9763397315868012</v>
      </c>
    </row>
    <row r="227" spans="2:12" ht="15.75" thickBot="1">
      <c r="B227" s="342"/>
      <c r="C227" s="216" t="s">
        <v>2861</v>
      </c>
      <c r="D227" s="216" t="s">
        <v>2864</v>
      </c>
      <c r="E227" s="223">
        <v>5.2539999999999989E-2</v>
      </c>
      <c r="F227" s="217">
        <v>0.3645018181818182</v>
      </c>
      <c r="G227" s="217">
        <v>0.18181818181818182</v>
      </c>
      <c r="H227" s="217">
        <v>0.80113999999999996</v>
      </c>
      <c r="I227" s="218">
        <v>2.4525399999999999</v>
      </c>
      <c r="J227" s="218">
        <v>4.9645018181818186</v>
      </c>
      <c r="K227" s="218">
        <v>10.181818181818182</v>
      </c>
      <c r="L227" s="218">
        <v>18.80114</v>
      </c>
    </row>
    <row r="228" spans="2:12" ht="15.75" thickBot="1">
      <c r="B228" s="343"/>
      <c r="C228" s="219" t="s">
        <v>2862</v>
      </c>
      <c r="D228" s="219" t="s">
        <v>2864</v>
      </c>
      <c r="E228" s="222">
        <v>5.2539999999999989E-2</v>
      </c>
      <c r="F228" s="220">
        <v>2.1058669424783338</v>
      </c>
      <c r="G228" s="221">
        <v>5.2898553304065334</v>
      </c>
      <c r="H228" s="221">
        <v>11.54403722739802</v>
      </c>
      <c r="I228" s="221">
        <v>22.128597847642972</v>
      </c>
      <c r="J228" s="221">
        <v>24.665269997951999</v>
      </c>
      <c r="K228" s="221">
        <v>30.317962311785937</v>
      </c>
      <c r="L228" s="221">
        <v>33.188533697677009</v>
      </c>
    </row>
    <row r="229" spans="2:12" ht="15.75" thickBot="1">
      <c r="B229" s="350" t="s">
        <v>2865</v>
      </c>
      <c r="C229" s="216" t="s">
        <v>2866</v>
      </c>
      <c r="D229" s="216" t="s">
        <v>2855</v>
      </c>
      <c r="E229" s="224">
        <v>0.1</v>
      </c>
      <c r="F229" s="224">
        <v>0.1</v>
      </c>
      <c r="G229" s="224">
        <v>0.1</v>
      </c>
      <c r="H229" s="224">
        <v>0.1</v>
      </c>
      <c r="I229" s="224">
        <v>0.1</v>
      </c>
      <c r="J229" s="224">
        <v>0.1</v>
      </c>
      <c r="K229" s="224">
        <v>0.1</v>
      </c>
      <c r="L229" s="224">
        <v>0.1</v>
      </c>
    </row>
    <row r="230" spans="2:12" ht="15.75" thickBot="1">
      <c r="B230" s="351"/>
      <c r="C230" s="219" t="s">
        <v>2867</v>
      </c>
      <c r="D230" s="219" t="s">
        <v>2855</v>
      </c>
      <c r="E230" s="225">
        <v>0.15</v>
      </c>
      <c r="F230" s="225">
        <v>0.15</v>
      </c>
      <c r="G230" s="225">
        <v>0.15</v>
      </c>
      <c r="H230" s="225">
        <v>0.15</v>
      </c>
      <c r="I230" s="225">
        <v>0.15</v>
      </c>
      <c r="J230" s="225">
        <v>0.15</v>
      </c>
      <c r="K230" s="225">
        <v>0.15</v>
      </c>
      <c r="L230" s="225">
        <v>0.15</v>
      </c>
    </row>
    <row r="231" spans="2:12" ht="15.75" thickBot="1">
      <c r="B231" s="352"/>
      <c r="C231" s="216" t="s">
        <v>2868</v>
      </c>
      <c r="D231" s="216" t="s">
        <v>2855</v>
      </c>
      <c r="E231" s="224">
        <v>7.0000000000000007E-2</v>
      </c>
      <c r="F231" s="224">
        <v>7.0000000000000007E-2</v>
      </c>
      <c r="G231" s="224">
        <v>7.0000000000000007E-2</v>
      </c>
      <c r="H231" s="224">
        <v>7.0000000000000007E-2</v>
      </c>
      <c r="I231" s="224">
        <v>7.0000000000000007E-2</v>
      </c>
      <c r="J231" s="224">
        <v>7.0000000000000007E-2</v>
      </c>
      <c r="K231" s="224">
        <v>7.0000000000000007E-2</v>
      </c>
      <c r="L231" s="224">
        <v>7.0000000000000007E-2</v>
      </c>
    </row>
    <row r="232" spans="2:12" ht="15.75" thickBot="1">
      <c r="B232" s="226" t="s">
        <v>2869</v>
      </c>
      <c r="C232" s="219" t="s">
        <v>2870</v>
      </c>
      <c r="D232" s="219" t="s">
        <v>2854</v>
      </c>
      <c r="E232" s="227">
        <v>20</v>
      </c>
      <c r="F232" s="227">
        <v>20</v>
      </c>
      <c r="G232" s="227">
        <v>20</v>
      </c>
      <c r="H232" s="227">
        <v>20</v>
      </c>
      <c r="I232" s="227">
        <v>20</v>
      </c>
      <c r="J232" s="227">
        <v>20</v>
      </c>
      <c r="K232" s="227">
        <v>20</v>
      </c>
      <c r="L232" s="227">
        <v>20</v>
      </c>
    </row>
    <row r="234" spans="2:12" ht="15.75" thickBot="1">
      <c r="B234" s="156" t="s">
        <v>2905</v>
      </c>
    </row>
    <row r="235" spans="2:12" ht="15.75" thickBot="1">
      <c r="B235" s="339"/>
      <c r="C235" s="340"/>
      <c r="D235" s="214" t="s">
        <v>0</v>
      </c>
      <c r="E235" s="215">
        <v>2015</v>
      </c>
      <c r="F235" s="215">
        <v>2020</v>
      </c>
      <c r="G235" s="215">
        <v>2030</v>
      </c>
      <c r="H235" s="215">
        <v>2040</v>
      </c>
      <c r="I235" s="215">
        <v>2050</v>
      </c>
    </row>
    <row r="236" spans="2:12" ht="16.5" thickTop="1" thickBot="1">
      <c r="B236" s="341" t="s">
        <v>2873</v>
      </c>
      <c r="C236" s="216" t="s">
        <v>2860</v>
      </c>
      <c r="D236" s="216" t="s">
        <v>2874</v>
      </c>
      <c r="E236" s="228">
        <v>6160</v>
      </c>
      <c r="F236" s="229">
        <v>5680</v>
      </c>
      <c r="G236" s="229">
        <v>4630</v>
      </c>
      <c r="H236" s="229">
        <v>3760</v>
      </c>
      <c r="I236" s="229">
        <v>3230</v>
      </c>
    </row>
    <row r="237" spans="2:12" ht="16.5" thickTop="1" thickBot="1">
      <c r="B237" s="342"/>
      <c r="C237" s="219" t="s">
        <v>2861</v>
      </c>
      <c r="D237" s="219" t="s">
        <v>2874</v>
      </c>
      <c r="E237" s="228">
        <v>6160</v>
      </c>
      <c r="F237" s="227">
        <v>4920</v>
      </c>
      <c r="G237" s="227">
        <v>4140</v>
      </c>
      <c r="H237" s="227">
        <v>3150</v>
      </c>
      <c r="I237" s="227">
        <v>2520</v>
      </c>
    </row>
    <row r="238" spans="2:12" ht="16.5" thickTop="1" thickBot="1">
      <c r="B238" s="342"/>
      <c r="C238" s="216" t="s">
        <v>2862</v>
      </c>
      <c r="D238" s="216" t="s">
        <v>2874</v>
      </c>
      <c r="E238" s="228">
        <v>6160</v>
      </c>
      <c r="F238" s="229">
        <v>3890</v>
      </c>
      <c r="G238" s="229">
        <v>2800</v>
      </c>
      <c r="H238" s="229">
        <v>2320</v>
      </c>
      <c r="I238" s="229">
        <v>2090</v>
      </c>
    </row>
    <row r="239" spans="2:12" ht="16.5" thickTop="1" thickBot="1">
      <c r="B239" s="342"/>
      <c r="C239" s="219" t="s">
        <v>2875</v>
      </c>
      <c r="D239" s="219" t="s">
        <v>2874</v>
      </c>
      <c r="E239" s="228">
        <v>6160</v>
      </c>
      <c r="F239" s="227">
        <v>3030</v>
      </c>
      <c r="G239" s="227">
        <v>1830</v>
      </c>
      <c r="H239" s="227">
        <v>1370</v>
      </c>
      <c r="I239" s="227">
        <v>1170</v>
      </c>
    </row>
    <row r="240" spans="2:12" ht="16.5" thickTop="1" thickBot="1">
      <c r="B240" s="343"/>
      <c r="C240" s="216" t="s">
        <v>2876</v>
      </c>
      <c r="D240" s="216" t="s">
        <v>2874</v>
      </c>
      <c r="E240" s="228">
        <v>6160</v>
      </c>
      <c r="F240" s="229">
        <v>5830</v>
      </c>
      <c r="G240" s="229">
        <v>5060</v>
      </c>
      <c r="H240" s="229">
        <v>4390</v>
      </c>
      <c r="I240" s="229">
        <v>3950</v>
      </c>
    </row>
    <row r="241" spans="1:9" ht="15.75" thickBot="1">
      <c r="B241" s="226" t="s">
        <v>2877</v>
      </c>
      <c r="C241" s="219" t="s">
        <v>2870</v>
      </c>
      <c r="D241" s="219" t="s">
        <v>2878</v>
      </c>
      <c r="E241" s="230">
        <v>6.3E-2</v>
      </c>
      <c r="F241" s="230">
        <v>6.5000000000000002E-2</v>
      </c>
      <c r="G241" s="230">
        <v>5.6000000000000001E-2</v>
      </c>
      <c r="H241" s="230">
        <v>6.3E-2</v>
      </c>
      <c r="I241" s="230">
        <v>4.9000000000000002E-2</v>
      </c>
    </row>
    <row r="244" spans="1:9" ht="15.75" thickBot="1">
      <c r="B244" s="156" t="s">
        <v>2906</v>
      </c>
    </row>
    <row r="245" spans="1:9" ht="15.75" thickBot="1">
      <c r="B245" s="339"/>
      <c r="C245" s="340"/>
      <c r="D245" s="214" t="s">
        <v>0</v>
      </c>
      <c r="E245" s="215">
        <v>2015</v>
      </c>
      <c r="F245" s="215">
        <v>2020</v>
      </c>
      <c r="G245" s="215">
        <v>2030</v>
      </c>
      <c r="H245" s="215">
        <v>2040</v>
      </c>
      <c r="I245" s="215">
        <v>2050</v>
      </c>
    </row>
    <row r="246" spans="1:9" ht="16.5" thickTop="1" thickBot="1">
      <c r="B246" s="341" t="s">
        <v>2873</v>
      </c>
      <c r="C246" s="216" t="s">
        <v>2860</v>
      </c>
      <c r="D246" s="216" t="s">
        <v>2874</v>
      </c>
      <c r="E246" s="228">
        <v>7840</v>
      </c>
      <c r="F246" s="229">
        <v>7230</v>
      </c>
      <c r="G246" s="229">
        <v>5900</v>
      </c>
      <c r="H246" s="229">
        <v>4790</v>
      </c>
      <c r="I246" s="229">
        <v>4120</v>
      </c>
    </row>
    <row r="247" spans="1:9" ht="16.5" thickTop="1" thickBot="1">
      <c r="A247" t="s">
        <v>2781</v>
      </c>
      <c r="B247" s="342"/>
      <c r="C247" s="219" t="s">
        <v>2861</v>
      </c>
      <c r="D247" s="219" t="s">
        <v>2874</v>
      </c>
      <c r="E247" s="228">
        <v>7840</v>
      </c>
      <c r="F247" s="227">
        <v>6260</v>
      </c>
      <c r="G247" s="227">
        <v>5270</v>
      </c>
      <c r="H247" s="227">
        <v>4000</v>
      </c>
      <c r="I247" s="227">
        <v>3210</v>
      </c>
    </row>
    <row r="248" spans="1:9" ht="16.5" thickTop="1" thickBot="1">
      <c r="B248" s="342"/>
      <c r="C248" s="216" t="s">
        <v>2862</v>
      </c>
      <c r="D248" s="216" t="s">
        <v>2874</v>
      </c>
      <c r="E248" s="228">
        <v>7840</v>
      </c>
      <c r="F248" s="229">
        <v>4950</v>
      </c>
      <c r="G248" s="229">
        <v>3560</v>
      </c>
      <c r="H248" s="229">
        <v>2950</v>
      </c>
      <c r="I248" s="229">
        <v>2660</v>
      </c>
    </row>
    <row r="249" spans="1:9" ht="16.5" thickTop="1" thickBot="1">
      <c r="B249" s="342"/>
      <c r="C249" s="219" t="s">
        <v>2875</v>
      </c>
      <c r="D249" s="219" t="s">
        <v>2874</v>
      </c>
      <c r="E249" s="228">
        <v>7840</v>
      </c>
      <c r="F249" s="227">
        <v>3850</v>
      </c>
      <c r="G249" s="227">
        <v>2320</v>
      </c>
      <c r="H249" s="227">
        <v>1740</v>
      </c>
      <c r="I249" s="227">
        <v>1480</v>
      </c>
    </row>
    <row r="250" spans="1:9" ht="16.5" thickTop="1" thickBot="1">
      <c r="B250" s="343"/>
      <c r="C250" s="216" t="s">
        <v>2876</v>
      </c>
      <c r="D250" s="216" t="s">
        <v>2874</v>
      </c>
      <c r="E250" s="228">
        <v>7840</v>
      </c>
      <c r="F250" s="229">
        <v>7420</v>
      </c>
      <c r="G250" s="229">
        <v>6440</v>
      </c>
      <c r="H250" s="229">
        <v>5580</v>
      </c>
      <c r="I250" s="229">
        <v>5030</v>
      </c>
    </row>
    <row r="251" spans="1:9" ht="15.75" thickBot="1">
      <c r="B251" s="226" t="s">
        <v>2877</v>
      </c>
      <c r="C251" s="219" t="s">
        <v>2870</v>
      </c>
      <c r="D251" s="219" t="s">
        <v>2878</v>
      </c>
      <c r="E251" s="230">
        <v>6.3E-2</v>
      </c>
      <c r="F251" s="230">
        <v>6.5000000000000002E-2</v>
      </c>
      <c r="G251" s="230">
        <v>5.6000000000000001E-2</v>
      </c>
      <c r="H251" s="230">
        <v>6.3E-2</v>
      </c>
      <c r="I251" s="230">
        <v>4.9000000000000002E-2</v>
      </c>
    </row>
    <row r="254" spans="1:9" ht="15.75" thickBot="1">
      <c r="B254" s="156" t="s">
        <v>2907</v>
      </c>
    </row>
    <row r="255" spans="1:9" ht="15.75" thickBot="1">
      <c r="B255" s="339"/>
      <c r="C255" s="340"/>
      <c r="D255" s="214" t="s">
        <v>0</v>
      </c>
      <c r="E255" s="215">
        <v>2015</v>
      </c>
      <c r="F255" s="215">
        <v>2020</v>
      </c>
      <c r="G255" s="215">
        <v>2030</v>
      </c>
      <c r="H255" s="215">
        <v>2040</v>
      </c>
      <c r="I255" s="215">
        <v>2050</v>
      </c>
    </row>
    <row r="256" spans="1:9" ht="16.5" thickTop="1" thickBot="1">
      <c r="B256" s="341" t="s">
        <v>2873</v>
      </c>
      <c r="C256" s="216" t="s">
        <v>2860</v>
      </c>
      <c r="D256" s="216" t="s">
        <v>2874</v>
      </c>
      <c r="E256" s="228">
        <v>7910</v>
      </c>
      <c r="F256" s="229">
        <v>7300</v>
      </c>
      <c r="G256" s="229">
        <v>5950</v>
      </c>
      <c r="H256" s="229">
        <v>4830</v>
      </c>
      <c r="I256" s="229">
        <v>4150</v>
      </c>
    </row>
    <row r="257" spans="1:118" ht="16.5" thickTop="1" thickBot="1">
      <c r="A257" t="s">
        <v>2780</v>
      </c>
      <c r="B257" s="342"/>
      <c r="C257" s="219" t="s">
        <v>2861</v>
      </c>
      <c r="D257" s="219" t="s">
        <v>2874</v>
      </c>
      <c r="E257" s="228">
        <v>7910</v>
      </c>
      <c r="F257" s="227">
        <v>6310</v>
      </c>
      <c r="G257" s="227">
        <v>5320</v>
      </c>
      <c r="H257" s="227">
        <v>4040</v>
      </c>
      <c r="I257" s="227">
        <v>3240</v>
      </c>
    </row>
    <row r="258" spans="1:118" ht="16.5" thickTop="1" thickBot="1">
      <c r="B258" s="342"/>
      <c r="C258" s="216" t="s">
        <v>2862</v>
      </c>
      <c r="D258" s="216" t="s">
        <v>2874</v>
      </c>
      <c r="E258" s="228">
        <v>7910</v>
      </c>
      <c r="F258" s="229">
        <v>4990</v>
      </c>
      <c r="G258" s="229">
        <v>3600</v>
      </c>
      <c r="H258" s="229">
        <v>2980</v>
      </c>
      <c r="I258" s="229">
        <v>2690</v>
      </c>
    </row>
    <row r="259" spans="1:118" ht="16.5" thickTop="1" thickBot="1">
      <c r="B259" s="342"/>
      <c r="C259" s="219" t="s">
        <v>2875</v>
      </c>
      <c r="D259" s="219" t="s">
        <v>2874</v>
      </c>
      <c r="E259" s="228">
        <v>7910</v>
      </c>
      <c r="F259" s="227">
        <v>3890</v>
      </c>
      <c r="G259" s="227">
        <v>2350</v>
      </c>
      <c r="H259" s="227">
        <v>1750</v>
      </c>
      <c r="I259" s="227">
        <v>1500</v>
      </c>
    </row>
    <row r="260" spans="1:118" ht="16.5" thickTop="1" thickBot="1">
      <c r="B260" s="343"/>
      <c r="C260" s="216" t="s">
        <v>2876</v>
      </c>
      <c r="D260" s="216" t="s">
        <v>2874</v>
      </c>
      <c r="E260" s="228">
        <v>7910</v>
      </c>
      <c r="F260" s="229">
        <v>7480</v>
      </c>
      <c r="G260" s="229">
        <v>6500</v>
      </c>
      <c r="H260" s="229">
        <v>5630</v>
      </c>
      <c r="I260" s="229">
        <v>5070</v>
      </c>
    </row>
    <row r="261" spans="1:118" ht="15.75" thickBot="1">
      <c r="B261" s="226" t="s">
        <v>2877</v>
      </c>
      <c r="C261" s="219" t="s">
        <v>2870</v>
      </c>
      <c r="D261" s="219" t="s">
        <v>2878</v>
      </c>
      <c r="E261" s="230">
        <v>0.04</v>
      </c>
      <c r="F261" s="230">
        <v>0.04</v>
      </c>
      <c r="G261" s="230">
        <v>3.5000000000000003E-2</v>
      </c>
      <c r="H261" s="230">
        <v>0.04</v>
      </c>
      <c r="I261" s="230">
        <v>0.04</v>
      </c>
    </row>
    <row r="263" spans="1:118" ht="21">
      <c r="B263" s="155" t="s">
        <v>2908</v>
      </c>
    </row>
    <row r="265" spans="1:118" ht="15.75" thickBot="1">
      <c r="B265" s="156" t="s">
        <v>2909</v>
      </c>
    </row>
    <row r="266" spans="1:118" ht="15.75" thickBot="1">
      <c r="B266" s="326"/>
      <c r="C266" s="327"/>
      <c r="D266" s="231" t="s">
        <v>0</v>
      </c>
      <c r="E266" s="232">
        <v>2015</v>
      </c>
      <c r="F266" s="232">
        <v>2020</v>
      </c>
      <c r="G266" s="232">
        <v>2025</v>
      </c>
      <c r="H266" s="232">
        <v>2030</v>
      </c>
      <c r="I266" s="232">
        <v>2035</v>
      </c>
      <c r="J266" s="232">
        <v>2040</v>
      </c>
      <c r="K266" s="232">
        <v>2045</v>
      </c>
      <c r="L266" s="232">
        <v>2050</v>
      </c>
      <c r="CP266" s="156" t="s">
        <v>2910</v>
      </c>
      <c r="DD266" s="156" t="s">
        <v>2911</v>
      </c>
    </row>
    <row r="267" spans="1:118" ht="16.5" thickTop="1" thickBot="1">
      <c r="B267" s="328" t="s">
        <v>2859</v>
      </c>
      <c r="C267" s="233" t="s">
        <v>2860</v>
      </c>
      <c r="D267" s="233" t="s">
        <v>2</v>
      </c>
      <c r="E267" s="234">
        <v>1207.8528000000003</v>
      </c>
      <c r="F267" s="234">
        <v>1234.5283858927251</v>
      </c>
      <c r="G267" s="234">
        <v>1297.2783958000346</v>
      </c>
      <c r="H267" s="234">
        <v>1360.0284057073441</v>
      </c>
      <c r="I267" s="234">
        <v>1435.9835456285514</v>
      </c>
      <c r="J267" s="234">
        <v>1511.9386855497589</v>
      </c>
      <c r="K267" s="234">
        <v>1583.9050759066727</v>
      </c>
      <c r="L267" s="234">
        <v>1655.8714662635864</v>
      </c>
      <c r="CP267" s="307"/>
      <c r="CQ267" s="308"/>
      <c r="CR267" s="235" t="s">
        <v>0</v>
      </c>
      <c r="CS267" s="236">
        <v>2015</v>
      </c>
      <c r="CT267" s="236">
        <v>2020</v>
      </c>
      <c r="CU267" s="236">
        <v>2025</v>
      </c>
      <c r="CV267" s="236">
        <v>2030</v>
      </c>
      <c r="CW267" s="236">
        <v>2035</v>
      </c>
      <c r="CX267" s="236">
        <v>2040</v>
      </c>
      <c r="CY267" s="236">
        <v>2045</v>
      </c>
      <c r="CZ267" s="236">
        <v>2050</v>
      </c>
      <c r="DD267" s="307"/>
      <c r="DE267" s="308"/>
      <c r="DF267" s="235" t="s">
        <v>0</v>
      </c>
      <c r="DG267" s="236">
        <v>2015</v>
      </c>
      <c r="DH267" s="236">
        <v>2020</v>
      </c>
      <c r="DI267" s="236">
        <v>2025</v>
      </c>
      <c r="DJ267" s="236">
        <v>2030</v>
      </c>
      <c r="DK267" s="236">
        <v>2035</v>
      </c>
      <c r="DL267" s="236">
        <v>2040</v>
      </c>
      <c r="DM267" s="236">
        <v>2045</v>
      </c>
      <c r="DN267" s="236">
        <v>2050</v>
      </c>
    </row>
    <row r="268" spans="1:118" ht="16.5" thickTop="1" thickBot="1">
      <c r="B268" s="329"/>
      <c r="C268" s="237" t="s">
        <v>2861</v>
      </c>
      <c r="D268" s="237" t="s">
        <v>2</v>
      </c>
      <c r="E268" s="238">
        <v>1207.8528000000003</v>
      </c>
      <c r="F268" s="238">
        <v>1245.818181818182</v>
      </c>
      <c r="G268" s="238">
        <v>1411.409090909091</v>
      </c>
      <c r="H268" s="238">
        <v>1577</v>
      </c>
      <c r="I268" s="238">
        <v>1720</v>
      </c>
      <c r="J268" s="238">
        <v>1863</v>
      </c>
      <c r="K268" s="238">
        <v>2028</v>
      </c>
      <c r="L268" s="238">
        <v>2193</v>
      </c>
      <c r="CP268" s="315" t="s">
        <v>2912</v>
      </c>
      <c r="CQ268" s="239" t="s">
        <v>2860</v>
      </c>
      <c r="CR268" s="239" t="s">
        <v>2</v>
      </c>
      <c r="CS268" s="240">
        <v>0</v>
      </c>
      <c r="CT268" s="240">
        <v>0</v>
      </c>
      <c r="CU268" s="241">
        <v>0</v>
      </c>
      <c r="CV268" s="241">
        <v>0</v>
      </c>
      <c r="CW268" s="241">
        <v>0</v>
      </c>
      <c r="CX268" s="241">
        <v>0</v>
      </c>
      <c r="CY268" s="241">
        <v>0</v>
      </c>
      <c r="CZ268" s="241">
        <v>0</v>
      </c>
      <c r="DD268" s="315" t="s">
        <v>2912</v>
      </c>
      <c r="DE268" s="239" t="s">
        <v>2860</v>
      </c>
      <c r="DF268" s="239" t="s">
        <v>2</v>
      </c>
      <c r="DG268" s="240">
        <v>0</v>
      </c>
      <c r="DH268" s="240">
        <v>0</v>
      </c>
      <c r="DI268" s="241">
        <v>0</v>
      </c>
      <c r="DJ268" s="241">
        <v>0</v>
      </c>
      <c r="DK268" s="241">
        <v>0</v>
      </c>
      <c r="DL268" s="241">
        <v>0</v>
      </c>
      <c r="DM268" s="241">
        <v>0</v>
      </c>
      <c r="DN268" s="241">
        <v>0</v>
      </c>
    </row>
    <row r="269" spans="1:118" ht="15.75" thickBot="1">
      <c r="B269" s="330"/>
      <c r="C269" s="233" t="s">
        <v>2862</v>
      </c>
      <c r="D269" s="233" t="s">
        <v>2</v>
      </c>
      <c r="E269" s="234">
        <v>1207.8528000000003</v>
      </c>
      <c r="F269" s="234">
        <v>1315.6586897773998</v>
      </c>
      <c r="G269" s="234">
        <v>1356.2528303309589</v>
      </c>
      <c r="H269" s="234">
        <v>1396.846970884518</v>
      </c>
      <c r="I269" s="234">
        <v>1421.0210996631486</v>
      </c>
      <c r="J269" s="234">
        <v>1445.1952284417791</v>
      </c>
      <c r="K269" s="234">
        <v>1474.1694707314446</v>
      </c>
      <c r="L269" s="234">
        <v>1503.1437130211098</v>
      </c>
      <c r="CP269" s="316"/>
      <c r="CQ269" s="242" t="s">
        <v>2861</v>
      </c>
      <c r="CR269" s="242" t="s">
        <v>2</v>
      </c>
      <c r="CS269" s="243">
        <v>0</v>
      </c>
      <c r="CT269" s="243">
        <v>0</v>
      </c>
      <c r="CU269" s="244">
        <v>1.7701245852722651</v>
      </c>
      <c r="CV269" s="244">
        <v>21.700085846574652</v>
      </c>
      <c r="CW269" s="244">
        <v>72.486296742580237</v>
      </c>
      <c r="CX269" s="244">
        <v>145.73235723367094</v>
      </c>
      <c r="CY269" s="244">
        <v>224.63400497370054</v>
      </c>
      <c r="CZ269" s="244">
        <v>285.93236709488298</v>
      </c>
      <c r="DD269" s="316"/>
      <c r="DE269" s="242" t="s">
        <v>2861</v>
      </c>
      <c r="DF269" s="242" t="s">
        <v>2</v>
      </c>
      <c r="DG269" s="243">
        <v>0</v>
      </c>
      <c r="DH269" s="243">
        <v>0</v>
      </c>
      <c r="DI269" s="244">
        <v>0.62264256674459195</v>
      </c>
      <c r="DJ269" s="244">
        <v>1.7351723192051325</v>
      </c>
      <c r="DK269" s="244">
        <v>9.3802299787015944</v>
      </c>
      <c r="DL269" s="244">
        <v>33.990951744409692</v>
      </c>
      <c r="DM269" s="244">
        <v>99.675024209872902</v>
      </c>
      <c r="DN269" s="244">
        <v>162.22484843324102</v>
      </c>
    </row>
    <row r="270" spans="1:118" ht="15.75" thickBot="1">
      <c r="B270" s="335" t="s">
        <v>2863</v>
      </c>
      <c r="C270" s="237" t="s">
        <v>2860</v>
      </c>
      <c r="D270" s="237" t="s">
        <v>2864</v>
      </c>
      <c r="E270" s="238">
        <v>36.654280000000014</v>
      </c>
      <c r="F270" s="238">
        <v>5.3351171785449427</v>
      </c>
      <c r="G270" s="238">
        <v>12.070934450985215</v>
      </c>
      <c r="H270" s="238">
        <v>13.029069511938587</v>
      </c>
      <c r="I270" s="238">
        <v>13.865834002444945</v>
      </c>
      <c r="J270" s="238">
        <v>16.516221966038028</v>
      </c>
      <c r="K270" s="238">
        <v>15.343577705848611</v>
      </c>
      <c r="L270" s="238">
        <v>13.442978436916883</v>
      </c>
      <c r="CP270" s="317" t="s">
        <v>2863</v>
      </c>
      <c r="CQ270" s="242" t="s">
        <v>2860</v>
      </c>
      <c r="CR270" s="242" t="s">
        <v>2864</v>
      </c>
      <c r="CS270" s="243">
        <v>0</v>
      </c>
      <c r="CT270" s="243">
        <v>0</v>
      </c>
      <c r="CU270" s="245">
        <v>0</v>
      </c>
      <c r="CV270" s="245">
        <v>0</v>
      </c>
      <c r="CW270" s="245">
        <v>0</v>
      </c>
      <c r="CX270" s="245">
        <v>0</v>
      </c>
      <c r="CY270" s="245">
        <v>0</v>
      </c>
      <c r="CZ270" s="245">
        <v>0</v>
      </c>
      <c r="DD270" s="317" t="s">
        <v>2863</v>
      </c>
      <c r="DE270" s="242" t="s">
        <v>2860</v>
      </c>
      <c r="DF270" s="242" t="s">
        <v>2864</v>
      </c>
      <c r="DG270" s="243">
        <v>0</v>
      </c>
      <c r="DH270" s="243">
        <v>0</v>
      </c>
      <c r="DI270" s="245">
        <v>0</v>
      </c>
      <c r="DJ270" s="245">
        <v>0</v>
      </c>
      <c r="DK270" s="245">
        <v>0</v>
      </c>
      <c r="DL270" s="245">
        <v>0</v>
      </c>
      <c r="DM270" s="245">
        <v>0</v>
      </c>
      <c r="DN270" s="245">
        <v>0</v>
      </c>
    </row>
    <row r="271" spans="1:118" ht="15.75" thickBot="1">
      <c r="B271" s="329"/>
      <c r="C271" s="233" t="s">
        <v>2861</v>
      </c>
      <c r="D271" s="233" t="s">
        <v>2864</v>
      </c>
      <c r="E271" s="234">
        <v>36.654280000000014</v>
      </c>
      <c r="F271" s="234">
        <v>7.5930763636363281</v>
      </c>
      <c r="G271" s="234">
        <v>33.636363636363605</v>
      </c>
      <c r="H271" s="234">
        <v>32.6</v>
      </c>
      <c r="I271" s="234">
        <v>22.6</v>
      </c>
      <c r="J271" s="234">
        <v>34.6</v>
      </c>
      <c r="K271" s="234">
        <v>33.6</v>
      </c>
      <c r="L271" s="234">
        <v>32.4</v>
      </c>
      <c r="CP271" s="318"/>
      <c r="CQ271" s="246" t="s">
        <v>2861</v>
      </c>
      <c r="CR271" s="246" t="s">
        <v>2864</v>
      </c>
      <c r="CS271" s="247">
        <v>0</v>
      </c>
      <c r="CT271" s="247">
        <v>0</v>
      </c>
      <c r="CU271" s="248">
        <v>0.35402491705445305</v>
      </c>
      <c r="CV271" s="248">
        <v>3.9859922522604778</v>
      </c>
      <c r="CW271" s="248">
        <v>10.157242179201116</v>
      </c>
      <c r="CX271" s="248">
        <v>14.64921209821814</v>
      </c>
      <c r="CY271" s="248">
        <v>15.78032954800592</v>
      </c>
      <c r="CZ271" s="248">
        <v>12.259672424236488</v>
      </c>
      <c r="DD271" s="318"/>
      <c r="DE271" s="246" t="s">
        <v>2861</v>
      </c>
      <c r="DF271" s="246" t="s">
        <v>2864</v>
      </c>
      <c r="DG271" s="247">
        <v>0</v>
      </c>
      <c r="DH271" s="247">
        <v>0</v>
      </c>
      <c r="DI271" s="248">
        <v>0.12452851334891839</v>
      </c>
      <c r="DJ271" s="248">
        <v>0.22250595049210808</v>
      </c>
      <c r="DK271" s="248">
        <v>1.5290115318992925</v>
      </c>
      <c r="DL271" s="248">
        <v>4.9221443531416202</v>
      </c>
      <c r="DM271" s="248">
        <v>13.261343006441559</v>
      </c>
      <c r="DN271" s="248">
        <v>12.732470795165733</v>
      </c>
    </row>
    <row r="272" spans="1:118" ht="15.75" thickBot="1">
      <c r="B272" s="330"/>
      <c r="C272" s="237" t="s">
        <v>2862</v>
      </c>
      <c r="D272" s="237" t="s">
        <v>2864</v>
      </c>
      <c r="E272" s="238">
        <v>36.654280000000014</v>
      </c>
      <c r="F272" s="238">
        <v>21.561177955479888</v>
      </c>
      <c r="G272" s="238">
        <v>9.822666846909943</v>
      </c>
      <c r="H272" s="238">
        <v>6.4149893745136977</v>
      </c>
      <c r="I272" s="238">
        <v>5.435147657919833</v>
      </c>
      <c r="J272" s="238">
        <v>4.2345038535323969</v>
      </c>
      <c r="K272" s="238">
        <v>5.2792524916876573</v>
      </c>
      <c r="L272" s="238">
        <v>6.3104444241784678</v>
      </c>
      <c r="CP272" s="304" t="s">
        <v>2865</v>
      </c>
      <c r="CQ272" s="246" t="s">
        <v>2866</v>
      </c>
      <c r="CR272" s="246" t="s">
        <v>2855</v>
      </c>
      <c r="CS272" s="249">
        <v>2.1999999999999999E-2</v>
      </c>
      <c r="CT272" s="249">
        <v>2.1999999999999999E-2</v>
      </c>
      <c r="CU272" s="249">
        <v>2.1999999999999999E-2</v>
      </c>
      <c r="CV272" s="249">
        <v>2.1999999999999999E-2</v>
      </c>
      <c r="CW272" s="249">
        <v>2.1999999999999999E-2</v>
      </c>
      <c r="CX272" s="249">
        <v>2.1999999999999999E-2</v>
      </c>
      <c r="CY272" s="249">
        <v>2.1999999999999999E-2</v>
      </c>
      <c r="CZ272" s="249">
        <v>2.1999999999999999E-2</v>
      </c>
      <c r="DD272" s="304" t="s">
        <v>2865</v>
      </c>
      <c r="DE272" s="246" t="s">
        <v>2866</v>
      </c>
      <c r="DF272" s="246" t="s">
        <v>2855</v>
      </c>
      <c r="DG272" s="249">
        <v>0.05</v>
      </c>
      <c r="DH272" s="249">
        <v>0.05</v>
      </c>
      <c r="DI272" s="249">
        <v>0.05</v>
      </c>
      <c r="DJ272" s="249">
        <v>0.05</v>
      </c>
      <c r="DK272" s="249">
        <v>0.05</v>
      </c>
      <c r="DL272" s="249">
        <v>0.05</v>
      </c>
      <c r="DM272" s="249">
        <v>0.05</v>
      </c>
      <c r="DN272" s="249">
        <v>0.05</v>
      </c>
    </row>
    <row r="273" spans="2:118" ht="15.75" thickBot="1">
      <c r="B273" s="336" t="s">
        <v>2865</v>
      </c>
      <c r="C273" s="233" t="s">
        <v>2866</v>
      </c>
      <c r="D273" s="233" t="s">
        <v>2855</v>
      </c>
      <c r="E273" s="250">
        <v>0.01</v>
      </c>
      <c r="F273" s="250">
        <v>0.01</v>
      </c>
      <c r="G273" s="250">
        <v>0.01</v>
      </c>
      <c r="H273" s="250">
        <v>0.01</v>
      </c>
      <c r="I273" s="250">
        <v>0.01</v>
      </c>
      <c r="J273" s="250">
        <v>0.01</v>
      </c>
      <c r="K273" s="250">
        <v>0.01</v>
      </c>
      <c r="L273" s="250">
        <v>0.01</v>
      </c>
      <c r="CP273" s="305"/>
      <c r="CQ273" s="242" t="s">
        <v>2867</v>
      </c>
      <c r="CR273" s="242" t="s">
        <v>2855</v>
      </c>
      <c r="CS273" s="251">
        <v>3.5999999999999997E-2</v>
      </c>
      <c r="CT273" s="251">
        <v>3.5999999999999997E-2</v>
      </c>
      <c r="CU273" s="251">
        <v>3.5999999999999997E-2</v>
      </c>
      <c r="CV273" s="251">
        <v>3.5999999999999997E-2</v>
      </c>
      <c r="CW273" s="251">
        <v>3.5999999999999997E-2</v>
      </c>
      <c r="CX273" s="251">
        <v>3.5999999999999997E-2</v>
      </c>
      <c r="CY273" s="251">
        <v>3.5999999999999997E-2</v>
      </c>
      <c r="CZ273" s="251">
        <v>3.5999999999999997E-2</v>
      </c>
      <c r="DD273" s="305"/>
      <c r="DE273" s="242" t="s">
        <v>2867</v>
      </c>
      <c r="DF273" s="242" t="s">
        <v>2855</v>
      </c>
      <c r="DG273" s="251">
        <v>7.5999999999999998E-2</v>
      </c>
      <c r="DH273" s="251">
        <v>7.5999999999999998E-2</v>
      </c>
      <c r="DI273" s="251">
        <v>7.5999999999999998E-2</v>
      </c>
      <c r="DJ273" s="251">
        <v>7.5999999999999998E-2</v>
      </c>
      <c r="DK273" s="251">
        <v>7.5999999999999998E-2</v>
      </c>
      <c r="DL273" s="251">
        <v>7.5999999999999998E-2</v>
      </c>
      <c r="DM273" s="251">
        <v>7.5999999999999998E-2</v>
      </c>
      <c r="DN273" s="251">
        <v>7.5999999999999998E-2</v>
      </c>
    </row>
    <row r="274" spans="2:118" ht="15.75" thickBot="1">
      <c r="B274" s="337"/>
      <c r="C274" s="237" t="s">
        <v>2867</v>
      </c>
      <c r="D274" s="237" t="s">
        <v>2855</v>
      </c>
      <c r="E274" s="252">
        <v>0.02</v>
      </c>
      <c r="F274" s="252">
        <v>0.02</v>
      </c>
      <c r="G274" s="252">
        <v>0.02</v>
      </c>
      <c r="H274" s="252">
        <v>0.02</v>
      </c>
      <c r="I274" s="252">
        <v>0.02</v>
      </c>
      <c r="J274" s="252">
        <v>0.02</v>
      </c>
      <c r="K274" s="252">
        <v>0.02</v>
      </c>
      <c r="L274" s="252">
        <v>0.02</v>
      </c>
      <c r="CP274" s="306"/>
      <c r="CQ274" s="246" t="s">
        <v>2868</v>
      </c>
      <c r="CR274" s="246" t="s">
        <v>2855</v>
      </c>
      <c r="CS274" s="249">
        <v>1.2E-2</v>
      </c>
      <c r="CT274" s="249">
        <v>1.2E-2</v>
      </c>
      <c r="CU274" s="249">
        <v>1.2E-2</v>
      </c>
      <c r="CV274" s="249">
        <v>1.2E-2</v>
      </c>
      <c r="CW274" s="249">
        <v>1.2E-2</v>
      </c>
      <c r="CX274" s="249">
        <v>1.2E-2</v>
      </c>
      <c r="CY274" s="249">
        <v>1.2E-2</v>
      </c>
      <c r="CZ274" s="249">
        <v>1.2E-2</v>
      </c>
      <c r="DD274" s="306"/>
      <c r="DE274" s="246" t="s">
        <v>2868</v>
      </c>
      <c r="DF274" s="246" t="s">
        <v>2855</v>
      </c>
      <c r="DG274" s="249">
        <v>2.5000000000000001E-2</v>
      </c>
      <c r="DH274" s="249">
        <v>2.5000000000000001E-2</v>
      </c>
      <c r="DI274" s="249">
        <v>2.5000000000000001E-2</v>
      </c>
      <c r="DJ274" s="249">
        <v>2.5000000000000001E-2</v>
      </c>
      <c r="DK274" s="249">
        <v>2.5000000000000001E-2</v>
      </c>
      <c r="DL274" s="249">
        <v>2.5000000000000001E-2</v>
      </c>
      <c r="DM274" s="249">
        <v>2.5000000000000001E-2</v>
      </c>
      <c r="DN274" s="249">
        <v>2.5000000000000001E-2</v>
      </c>
    </row>
    <row r="275" spans="2:118" ht="15.75" thickBot="1">
      <c r="B275" s="338"/>
      <c r="C275" s="233" t="s">
        <v>2868</v>
      </c>
      <c r="D275" s="233" t="s">
        <v>2855</v>
      </c>
      <c r="E275" s="250">
        <v>0</v>
      </c>
      <c r="F275" s="250">
        <v>0</v>
      </c>
      <c r="G275" s="250">
        <v>0</v>
      </c>
      <c r="H275" s="250">
        <v>0</v>
      </c>
      <c r="I275" s="250">
        <v>0</v>
      </c>
      <c r="J275" s="250">
        <v>0</v>
      </c>
      <c r="K275" s="250">
        <v>0</v>
      </c>
      <c r="L275" s="250">
        <v>0</v>
      </c>
      <c r="CP275" s="253" t="s">
        <v>2869</v>
      </c>
      <c r="CQ275" s="242" t="s">
        <v>2870</v>
      </c>
      <c r="CR275" s="242" t="s">
        <v>2854</v>
      </c>
      <c r="CS275" s="243">
        <v>30</v>
      </c>
      <c r="CT275" s="243">
        <v>30</v>
      </c>
      <c r="CU275" s="243">
        <v>30</v>
      </c>
      <c r="CV275" s="243">
        <v>30</v>
      </c>
      <c r="CW275" s="243">
        <v>30</v>
      </c>
      <c r="CX275" s="243">
        <v>30</v>
      </c>
      <c r="CY275" s="243">
        <v>30</v>
      </c>
      <c r="CZ275" s="243">
        <v>30</v>
      </c>
      <c r="DD275" s="253" t="s">
        <v>2869</v>
      </c>
      <c r="DE275" s="242" t="s">
        <v>2870</v>
      </c>
      <c r="DF275" s="242" t="s">
        <v>2854</v>
      </c>
      <c r="DG275" s="243">
        <v>25</v>
      </c>
      <c r="DH275" s="243">
        <v>25</v>
      </c>
      <c r="DI275" s="243">
        <v>25</v>
      </c>
      <c r="DJ275" s="243">
        <v>25</v>
      </c>
      <c r="DK275" s="243">
        <v>25</v>
      </c>
      <c r="DL275" s="243">
        <v>25</v>
      </c>
      <c r="DM275" s="243">
        <v>25</v>
      </c>
      <c r="DN275" s="243">
        <v>25</v>
      </c>
    </row>
    <row r="276" spans="2:118" ht="15.75" thickBot="1">
      <c r="B276" s="254" t="s">
        <v>2869</v>
      </c>
      <c r="C276" s="237" t="s">
        <v>2870</v>
      </c>
      <c r="D276" s="237" t="s">
        <v>2854</v>
      </c>
      <c r="E276" s="255">
        <v>60</v>
      </c>
      <c r="F276" s="255">
        <v>60</v>
      </c>
      <c r="G276" s="255">
        <v>60</v>
      </c>
      <c r="H276" s="255">
        <v>60</v>
      </c>
      <c r="I276" s="255">
        <v>60</v>
      </c>
      <c r="J276" s="255">
        <v>60</v>
      </c>
      <c r="K276" s="255">
        <v>60</v>
      </c>
      <c r="L276" s="255">
        <v>60</v>
      </c>
    </row>
    <row r="277" spans="2:118" ht="15.75" thickBot="1"/>
    <row r="278" spans="2:118" ht="15.75" thickBot="1">
      <c r="B278" s="156" t="s">
        <v>2913</v>
      </c>
      <c r="CP278" s="307"/>
      <c r="CQ278" s="308"/>
      <c r="CR278" s="235" t="s">
        <v>0</v>
      </c>
      <c r="CS278" s="236">
        <v>2015</v>
      </c>
      <c r="CT278" s="236">
        <v>2020</v>
      </c>
      <c r="CU278" s="236">
        <v>2030</v>
      </c>
      <c r="CV278" s="236">
        <v>2040</v>
      </c>
      <c r="CW278" s="236">
        <v>2050</v>
      </c>
      <c r="DD278" s="307"/>
      <c r="DE278" s="308"/>
      <c r="DF278" s="235" t="s">
        <v>0</v>
      </c>
      <c r="DG278" s="236">
        <v>2015</v>
      </c>
      <c r="DH278" s="236">
        <v>2020</v>
      </c>
      <c r="DI278" s="236">
        <v>2030</v>
      </c>
      <c r="DJ278" s="236">
        <v>2040</v>
      </c>
      <c r="DK278" s="236">
        <v>2050</v>
      </c>
    </row>
    <row r="279" spans="2:118" ht="16.5" thickTop="1" thickBot="1">
      <c r="B279" s="326"/>
      <c r="C279" s="327"/>
      <c r="D279" s="231" t="s">
        <v>0</v>
      </c>
      <c r="E279" s="232">
        <v>2015</v>
      </c>
      <c r="F279" s="232">
        <v>2020</v>
      </c>
      <c r="G279" s="232">
        <v>2030</v>
      </c>
      <c r="H279" s="232">
        <v>2040</v>
      </c>
      <c r="I279" s="232">
        <v>2050</v>
      </c>
      <c r="CP279" s="309" t="s">
        <v>2873</v>
      </c>
      <c r="CQ279" s="239" t="s">
        <v>2860</v>
      </c>
      <c r="CR279" s="239" t="s">
        <v>2874</v>
      </c>
      <c r="CS279" s="312" t="s">
        <v>2870</v>
      </c>
      <c r="CT279" s="240" t="s">
        <v>2870</v>
      </c>
      <c r="CU279" s="240">
        <v>1510</v>
      </c>
      <c r="CV279" s="240">
        <v>1510</v>
      </c>
      <c r="CW279" s="240">
        <v>1510</v>
      </c>
      <c r="DD279" s="309" t="s">
        <v>2873</v>
      </c>
      <c r="DE279" s="239" t="s">
        <v>2860</v>
      </c>
      <c r="DF279" s="239" t="s">
        <v>2874</v>
      </c>
      <c r="DG279" s="312" t="s">
        <v>2870</v>
      </c>
      <c r="DH279" s="240" t="s">
        <v>2870</v>
      </c>
      <c r="DI279" s="240">
        <v>5800</v>
      </c>
      <c r="DJ279" s="240">
        <v>5800</v>
      </c>
      <c r="DK279" s="240">
        <v>5800</v>
      </c>
    </row>
    <row r="280" spans="2:118" ht="16.5" thickTop="1" thickBot="1">
      <c r="B280" s="328" t="s">
        <v>2873</v>
      </c>
      <c r="C280" s="233" t="s">
        <v>2860</v>
      </c>
      <c r="D280" s="233" t="s">
        <v>2874</v>
      </c>
      <c r="E280" s="256">
        <v>1090</v>
      </c>
      <c r="F280" s="257">
        <v>1090</v>
      </c>
      <c r="G280" s="257">
        <v>1090</v>
      </c>
      <c r="H280" s="257">
        <v>1090</v>
      </c>
      <c r="I280" s="257">
        <v>1090</v>
      </c>
      <c r="CP280" s="310"/>
      <c r="CQ280" s="258" t="s">
        <v>2861</v>
      </c>
      <c r="CR280" s="258" t="s">
        <v>2874</v>
      </c>
      <c r="CS280" s="313"/>
      <c r="CT280" s="259" t="s">
        <v>2870</v>
      </c>
      <c r="CU280" s="259">
        <v>1390</v>
      </c>
      <c r="CV280" s="259">
        <v>1310</v>
      </c>
      <c r="CW280" s="259">
        <v>1280</v>
      </c>
      <c r="DD280" s="310"/>
      <c r="DE280" s="258" t="s">
        <v>2861</v>
      </c>
      <c r="DF280" s="258" t="s">
        <v>2874</v>
      </c>
      <c r="DG280" s="313"/>
      <c r="DH280" s="259" t="s">
        <v>2870</v>
      </c>
      <c r="DI280" s="259">
        <v>5380</v>
      </c>
      <c r="DJ280" s="259">
        <v>4310</v>
      </c>
      <c r="DK280" s="259">
        <v>3840</v>
      </c>
    </row>
    <row r="281" spans="2:118" ht="16.5" thickTop="1" thickBot="1">
      <c r="B281" s="329"/>
      <c r="C281" s="237" t="s">
        <v>2861</v>
      </c>
      <c r="D281" s="237" t="s">
        <v>2874</v>
      </c>
      <c r="E281" s="256">
        <v>1090</v>
      </c>
      <c r="F281" s="255">
        <v>1090</v>
      </c>
      <c r="G281" s="255">
        <v>1090</v>
      </c>
      <c r="H281" s="255">
        <v>1080</v>
      </c>
      <c r="I281" s="255">
        <v>1080</v>
      </c>
      <c r="CP281" s="310"/>
      <c r="CQ281" s="239" t="s">
        <v>2875</v>
      </c>
      <c r="CR281" s="239" t="s">
        <v>2874</v>
      </c>
      <c r="CS281" s="313"/>
      <c r="CT281" s="240" t="s">
        <v>2870</v>
      </c>
      <c r="CU281" s="240">
        <v>1320</v>
      </c>
      <c r="CV281" s="240">
        <v>1190</v>
      </c>
      <c r="CW281" s="240">
        <v>1150</v>
      </c>
      <c r="DD281" s="310"/>
      <c r="DE281" s="239" t="s">
        <v>2875</v>
      </c>
      <c r="DF281" s="239" t="s">
        <v>2874</v>
      </c>
      <c r="DG281" s="313"/>
      <c r="DH281" s="240" t="s">
        <v>2870</v>
      </c>
      <c r="DI281" s="240">
        <v>5160</v>
      </c>
      <c r="DJ281" s="240">
        <v>3680</v>
      </c>
      <c r="DK281" s="240">
        <v>3070</v>
      </c>
    </row>
    <row r="282" spans="2:118" ht="16.5" thickTop="1" thickBot="1">
      <c r="B282" s="329"/>
      <c r="C282" s="233" t="s">
        <v>2862</v>
      </c>
      <c r="D282" s="233" t="s">
        <v>2874</v>
      </c>
      <c r="E282" s="256">
        <v>1090</v>
      </c>
      <c r="F282" s="257">
        <v>1090</v>
      </c>
      <c r="G282" s="257">
        <v>1090</v>
      </c>
      <c r="H282" s="257">
        <v>1090</v>
      </c>
      <c r="I282" s="257">
        <v>1090</v>
      </c>
      <c r="CP282" s="311"/>
      <c r="CQ282" s="258" t="s">
        <v>2876</v>
      </c>
      <c r="CR282" s="258" t="s">
        <v>2874</v>
      </c>
      <c r="CS282" s="314"/>
      <c r="CT282" s="259" t="s">
        <v>2870</v>
      </c>
      <c r="CU282" s="259">
        <v>1510</v>
      </c>
      <c r="CV282" s="259">
        <v>1510</v>
      </c>
      <c r="CW282" s="259">
        <v>1510</v>
      </c>
      <c r="DD282" s="311"/>
      <c r="DE282" s="258" t="s">
        <v>2876</v>
      </c>
      <c r="DF282" s="258" t="s">
        <v>2874</v>
      </c>
      <c r="DG282" s="314"/>
      <c r="DH282" s="259" t="s">
        <v>2870</v>
      </c>
      <c r="DI282" s="259">
        <v>5800</v>
      </c>
      <c r="DJ282" s="259">
        <v>5800</v>
      </c>
      <c r="DK282" s="259">
        <v>5800</v>
      </c>
    </row>
    <row r="283" spans="2:118" ht="16.5" thickTop="1" thickBot="1">
      <c r="B283" s="329"/>
      <c r="C283" s="237" t="s">
        <v>2875</v>
      </c>
      <c r="D283" s="237" t="s">
        <v>2874</v>
      </c>
      <c r="E283" s="256">
        <v>1090</v>
      </c>
      <c r="F283" s="255">
        <v>1090</v>
      </c>
      <c r="G283" s="255">
        <v>1080</v>
      </c>
      <c r="H283" s="255">
        <v>1080</v>
      </c>
      <c r="I283" s="255">
        <v>1070</v>
      </c>
      <c r="CP283" s="260" t="s">
        <v>2877</v>
      </c>
      <c r="CQ283" s="239" t="s">
        <v>2870</v>
      </c>
      <c r="CR283" s="239" t="s">
        <v>2878</v>
      </c>
      <c r="CS283" s="261">
        <v>2.5000000000000001E-2</v>
      </c>
      <c r="CT283" s="261">
        <v>2.5000000000000001E-2</v>
      </c>
      <c r="CU283" s="261">
        <v>2.5000000000000001E-2</v>
      </c>
      <c r="CV283" s="261">
        <v>2.5000000000000001E-2</v>
      </c>
      <c r="CW283" s="261">
        <v>2.5000000000000001E-2</v>
      </c>
      <c r="DD283" s="260" t="s">
        <v>2877</v>
      </c>
      <c r="DE283" s="239" t="s">
        <v>2870</v>
      </c>
      <c r="DF283" s="239" t="s">
        <v>2878</v>
      </c>
      <c r="DG283" s="261">
        <v>2.3E-2</v>
      </c>
      <c r="DH283" s="261">
        <v>2.3E-2</v>
      </c>
      <c r="DI283" s="261">
        <v>2.3E-2</v>
      </c>
      <c r="DJ283" s="261">
        <v>2.3E-2</v>
      </c>
      <c r="DK283" s="261">
        <v>2.3E-2</v>
      </c>
    </row>
    <row r="284" spans="2:118" ht="16.5" thickTop="1" thickBot="1">
      <c r="B284" s="330"/>
      <c r="C284" s="233" t="s">
        <v>2876</v>
      </c>
      <c r="D284" s="233" t="s">
        <v>2874</v>
      </c>
      <c r="E284" s="256">
        <v>1090</v>
      </c>
      <c r="F284" s="257">
        <v>1090</v>
      </c>
      <c r="G284" s="257">
        <v>1090</v>
      </c>
      <c r="H284" s="257">
        <v>1090</v>
      </c>
      <c r="I284" s="257">
        <v>1090</v>
      </c>
    </row>
    <row r="285" spans="2:118" ht="15.75" thickBot="1">
      <c r="B285" s="254" t="s">
        <v>2877</v>
      </c>
      <c r="C285" s="237" t="s">
        <v>2870</v>
      </c>
      <c r="D285" s="237" t="s">
        <v>2878</v>
      </c>
      <c r="E285" s="262">
        <v>5.0000000000000001E-3</v>
      </c>
      <c r="F285" s="262">
        <v>5.0000000000000001E-3</v>
      </c>
      <c r="G285" s="262">
        <v>5.0000000000000001E-3</v>
      </c>
      <c r="H285" s="262">
        <v>5.0000000000000001E-3</v>
      </c>
      <c r="I285" s="262">
        <v>5.0000000000000001E-3</v>
      </c>
    </row>
    <row r="288" spans="2:118" ht="15.75" thickBot="1">
      <c r="B288" s="156" t="s">
        <v>2914</v>
      </c>
    </row>
    <row r="289" spans="1:9" ht="15.75" thickBot="1">
      <c r="B289" s="326"/>
      <c r="C289" s="327"/>
      <c r="D289" s="231" t="s">
        <v>0</v>
      </c>
      <c r="E289" s="232">
        <v>2015</v>
      </c>
      <c r="F289" s="232">
        <v>2020</v>
      </c>
      <c r="G289" s="232">
        <v>2030</v>
      </c>
      <c r="H289" s="232">
        <v>2040</v>
      </c>
      <c r="I289" s="232">
        <v>2050</v>
      </c>
    </row>
    <row r="290" spans="1:9" ht="16.5" thickTop="1" thickBot="1">
      <c r="B290" s="328" t="s">
        <v>2873</v>
      </c>
      <c r="C290" s="233" t="s">
        <v>2860</v>
      </c>
      <c r="D290" s="233" t="s">
        <v>2874</v>
      </c>
      <c r="E290" s="256">
        <v>3500</v>
      </c>
      <c r="F290" s="257">
        <v>3500</v>
      </c>
      <c r="G290" s="257">
        <v>3490</v>
      </c>
      <c r="H290" s="257">
        <v>3490</v>
      </c>
      <c r="I290" s="257">
        <v>3480</v>
      </c>
    </row>
    <row r="291" spans="1:9" ht="16.5" thickTop="1" thickBot="1">
      <c r="A291" t="s">
        <v>2773</v>
      </c>
      <c r="B291" s="329"/>
      <c r="C291" s="237" t="s">
        <v>2861</v>
      </c>
      <c r="D291" s="237" t="s">
        <v>2874</v>
      </c>
      <c r="E291" s="256">
        <v>3500</v>
      </c>
      <c r="F291" s="255">
        <v>3500</v>
      </c>
      <c r="G291" s="255">
        <v>3490</v>
      </c>
      <c r="H291" s="255">
        <v>3480</v>
      </c>
      <c r="I291" s="255">
        <v>3470</v>
      </c>
    </row>
    <row r="292" spans="1:9" ht="16.5" thickTop="1" thickBot="1">
      <c r="B292" s="329"/>
      <c r="C292" s="233" t="s">
        <v>2862</v>
      </c>
      <c r="D292" s="233" t="s">
        <v>2874</v>
      </c>
      <c r="E292" s="256">
        <v>3500</v>
      </c>
      <c r="F292" s="257">
        <v>3500</v>
      </c>
      <c r="G292" s="257">
        <v>3490</v>
      </c>
      <c r="H292" s="257">
        <v>3490</v>
      </c>
      <c r="I292" s="257">
        <v>3490</v>
      </c>
    </row>
    <row r="293" spans="1:9" ht="16.5" thickTop="1" thickBot="1">
      <c r="B293" s="329"/>
      <c r="C293" s="237" t="s">
        <v>2875</v>
      </c>
      <c r="D293" s="237" t="s">
        <v>2874</v>
      </c>
      <c r="E293" s="256">
        <v>3500</v>
      </c>
      <c r="F293" s="255">
        <v>3490</v>
      </c>
      <c r="G293" s="255">
        <v>3470</v>
      </c>
      <c r="H293" s="255">
        <v>3460</v>
      </c>
      <c r="I293" s="255">
        <v>3440</v>
      </c>
    </row>
    <row r="294" spans="1:9" ht="16.5" thickTop="1" thickBot="1">
      <c r="B294" s="330"/>
      <c r="C294" s="233" t="s">
        <v>2876</v>
      </c>
      <c r="D294" s="233" t="s">
        <v>2874</v>
      </c>
      <c r="E294" s="256">
        <v>3500</v>
      </c>
      <c r="F294" s="257">
        <v>3500</v>
      </c>
      <c r="G294" s="257">
        <v>3500</v>
      </c>
      <c r="H294" s="257">
        <v>3500</v>
      </c>
      <c r="I294" s="257">
        <v>3500</v>
      </c>
    </row>
    <row r="295" spans="1:9" ht="15.75" thickBot="1">
      <c r="B295" s="254" t="s">
        <v>2877</v>
      </c>
      <c r="C295" s="237" t="s">
        <v>2870</v>
      </c>
      <c r="D295" s="237" t="s">
        <v>2878</v>
      </c>
      <c r="E295" s="262">
        <v>5.0000000000000001E-3</v>
      </c>
      <c r="F295" s="262">
        <v>5.0000000000000001E-3</v>
      </c>
      <c r="G295" s="262">
        <v>5.0000000000000001E-3</v>
      </c>
      <c r="H295" s="262">
        <v>5.0000000000000001E-3</v>
      </c>
      <c r="I295" s="262">
        <v>5.0000000000000001E-3</v>
      </c>
    </row>
    <row r="298" spans="1:9" ht="15.75" thickBot="1">
      <c r="B298" s="156" t="s">
        <v>2915</v>
      </c>
    </row>
    <row r="299" spans="1:9" ht="15.75" thickBot="1">
      <c r="B299" s="326"/>
      <c r="C299" s="327"/>
      <c r="D299" s="231" t="s">
        <v>0</v>
      </c>
      <c r="E299" s="232">
        <v>2015</v>
      </c>
      <c r="F299" s="232">
        <v>2020</v>
      </c>
      <c r="G299" s="232">
        <v>2030</v>
      </c>
      <c r="H299" s="232">
        <v>2040</v>
      </c>
      <c r="I299" s="232">
        <v>2050</v>
      </c>
    </row>
    <row r="300" spans="1:9" ht="16.5" thickTop="1" thickBot="1">
      <c r="B300" s="328" t="s">
        <v>2873</v>
      </c>
      <c r="C300" s="233" t="s">
        <v>2860</v>
      </c>
      <c r="D300" s="233" t="s">
        <v>2874</v>
      </c>
      <c r="E300" s="256">
        <v>1410</v>
      </c>
      <c r="F300" s="257">
        <v>1410</v>
      </c>
      <c r="G300" s="257">
        <v>1410</v>
      </c>
      <c r="H300" s="257">
        <v>1410</v>
      </c>
      <c r="I300" s="257">
        <v>1400</v>
      </c>
    </row>
    <row r="301" spans="1:9" ht="16.5" thickTop="1" thickBot="1">
      <c r="B301" s="329"/>
      <c r="C301" s="237" t="s">
        <v>2861</v>
      </c>
      <c r="D301" s="237" t="s">
        <v>2874</v>
      </c>
      <c r="E301" s="256">
        <v>1410</v>
      </c>
      <c r="F301" s="255">
        <v>1410</v>
      </c>
      <c r="G301" s="255">
        <v>1400</v>
      </c>
      <c r="H301" s="255">
        <v>1400</v>
      </c>
      <c r="I301" s="255">
        <v>1400</v>
      </c>
    </row>
    <row r="302" spans="1:9" ht="16.5" thickTop="1" thickBot="1">
      <c r="B302" s="329"/>
      <c r="C302" s="233" t="s">
        <v>2862</v>
      </c>
      <c r="D302" s="233" t="s">
        <v>2874</v>
      </c>
      <c r="E302" s="256">
        <v>1410</v>
      </c>
      <c r="F302" s="257">
        <v>1410</v>
      </c>
      <c r="G302" s="257">
        <v>1410</v>
      </c>
      <c r="H302" s="257">
        <v>1410</v>
      </c>
      <c r="I302" s="257">
        <v>1410</v>
      </c>
    </row>
    <row r="303" spans="1:9" ht="16.5" thickTop="1" thickBot="1">
      <c r="B303" s="329"/>
      <c r="C303" s="237" t="s">
        <v>2875</v>
      </c>
      <c r="D303" s="237" t="s">
        <v>2874</v>
      </c>
      <c r="E303" s="256">
        <v>1410</v>
      </c>
      <c r="F303" s="255">
        <v>1410</v>
      </c>
      <c r="G303" s="255">
        <v>1400</v>
      </c>
      <c r="H303" s="255">
        <v>1390</v>
      </c>
      <c r="I303" s="255">
        <v>1390</v>
      </c>
    </row>
    <row r="304" spans="1:9" ht="16.5" thickTop="1" thickBot="1">
      <c r="B304" s="330"/>
      <c r="C304" s="233" t="s">
        <v>2876</v>
      </c>
      <c r="D304" s="233" t="s">
        <v>2874</v>
      </c>
      <c r="E304" s="256">
        <v>1410</v>
      </c>
      <c r="F304" s="257">
        <v>1410</v>
      </c>
      <c r="G304" s="257">
        <v>1410</v>
      </c>
      <c r="H304" s="257">
        <v>1410</v>
      </c>
      <c r="I304" s="257">
        <v>1410</v>
      </c>
    </row>
    <row r="305" spans="1:9" ht="15.75" thickBot="1">
      <c r="B305" s="254" t="s">
        <v>2877</v>
      </c>
      <c r="C305" s="237" t="s">
        <v>2870</v>
      </c>
      <c r="D305" s="237" t="s">
        <v>2878</v>
      </c>
      <c r="E305" s="262">
        <v>5.0000000000000001E-3</v>
      </c>
      <c r="F305" s="262">
        <v>5.0000000000000001E-3</v>
      </c>
      <c r="G305" s="262">
        <v>5.0000000000000001E-3</v>
      </c>
      <c r="H305" s="262">
        <v>5.0000000000000001E-3</v>
      </c>
      <c r="I305" s="262">
        <v>5.0000000000000001E-3</v>
      </c>
    </row>
    <row r="308" spans="1:9" ht="15.75" thickBot="1">
      <c r="B308" s="156" t="s">
        <v>2916</v>
      </c>
    </row>
    <row r="309" spans="1:9" ht="15.75" thickBot="1">
      <c r="B309" s="326"/>
      <c r="C309" s="327"/>
      <c r="D309" s="231" t="s">
        <v>0</v>
      </c>
      <c r="E309" s="232">
        <v>2015</v>
      </c>
      <c r="F309" s="232">
        <v>2020</v>
      </c>
      <c r="G309" s="232">
        <v>2030</v>
      </c>
      <c r="H309" s="232">
        <v>2040</v>
      </c>
      <c r="I309" s="232">
        <v>2050</v>
      </c>
    </row>
    <row r="310" spans="1:9" ht="16.5" thickTop="1" thickBot="1">
      <c r="B310" s="328" t="s">
        <v>2873</v>
      </c>
      <c r="C310" s="233" t="s">
        <v>2860</v>
      </c>
      <c r="D310" s="233" t="s">
        <v>2874</v>
      </c>
      <c r="E310" s="256">
        <v>4000</v>
      </c>
      <c r="F310" s="257">
        <v>4000</v>
      </c>
      <c r="G310" s="257">
        <v>3990</v>
      </c>
      <c r="H310" s="257">
        <v>3990</v>
      </c>
      <c r="I310" s="257">
        <v>3980</v>
      </c>
    </row>
    <row r="311" spans="1:9" ht="16.5" thickTop="1" thickBot="1">
      <c r="A311" t="s">
        <v>2774</v>
      </c>
      <c r="B311" s="329"/>
      <c r="C311" s="237" t="s">
        <v>2861</v>
      </c>
      <c r="D311" s="237" t="s">
        <v>2874</v>
      </c>
      <c r="E311" s="256">
        <v>4000</v>
      </c>
      <c r="F311" s="255">
        <v>4000</v>
      </c>
      <c r="G311" s="255">
        <v>3980</v>
      </c>
      <c r="H311" s="255">
        <v>3970</v>
      </c>
      <c r="I311" s="255">
        <v>3970</v>
      </c>
    </row>
    <row r="312" spans="1:9" ht="16.5" thickTop="1" thickBot="1">
      <c r="B312" s="329"/>
      <c r="C312" s="233" t="s">
        <v>2862</v>
      </c>
      <c r="D312" s="233" t="s">
        <v>2874</v>
      </c>
      <c r="E312" s="256">
        <v>4000</v>
      </c>
      <c r="F312" s="257">
        <v>4000</v>
      </c>
      <c r="G312" s="257">
        <v>3990</v>
      </c>
      <c r="H312" s="257">
        <v>3990</v>
      </c>
      <c r="I312" s="257">
        <v>3990</v>
      </c>
    </row>
    <row r="313" spans="1:9" ht="16.5" thickTop="1" thickBot="1">
      <c r="B313" s="329"/>
      <c r="C313" s="237" t="s">
        <v>2875</v>
      </c>
      <c r="D313" s="237" t="s">
        <v>2874</v>
      </c>
      <c r="E313" s="256">
        <v>4000</v>
      </c>
      <c r="F313" s="255">
        <v>3990</v>
      </c>
      <c r="G313" s="255">
        <v>3970</v>
      </c>
      <c r="H313" s="255">
        <v>3950</v>
      </c>
      <c r="I313" s="255">
        <v>3930</v>
      </c>
    </row>
    <row r="314" spans="1:9" ht="16.5" thickTop="1" thickBot="1">
      <c r="B314" s="330"/>
      <c r="C314" s="233" t="s">
        <v>2876</v>
      </c>
      <c r="D314" s="233" t="s">
        <v>2874</v>
      </c>
      <c r="E314" s="256">
        <v>4000</v>
      </c>
      <c r="F314" s="257">
        <v>4000</v>
      </c>
      <c r="G314" s="257">
        <v>4000</v>
      </c>
      <c r="H314" s="257">
        <v>4000</v>
      </c>
      <c r="I314" s="257">
        <v>4000</v>
      </c>
    </row>
    <row r="315" spans="1:9" ht="15.75" thickBot="1">
      <c r="B315" s="254" t="s">
        <v>2877</v>
      </c>
      <c r="C315" s="237" t="s">
        <v>2870</v>
      </c>
      <c r="D315" s="237" t="s">
        <v>2878</v>
      </c>
      <c r="E315" s="262">
        <v>5.0000000000000001E-3</v>
      </c>
      <c r="F315" s="262">
        <v>5.0000000000000001E-3</v>
      </c>
      <c r="G315" s="262">
        <v>5.0000000000000001E-3</v>
      </c>
      <c r="H315" s="262">
        <v>5.0000000000000001E-3</v>
      </c>
      <c r="I315" s="262">
        <v>5.0000000000000001E-3</v>
      </c>
    </row>
    <row r="318" spans="1:9" ht="15.75" thickBot="1">
      <c r="B318" s="156" t="s">
        <v>2917</v>
      </c>
    </row>
    <row r="319" spans="1:9" ht="15.75" thickBot="1">
      <c r="B319" s="326"/>
      <c r="C319" s="327"/>
      <c r="D319" s="231" t="s">
        <v>0</v>
      </c>
      <c r="E319" s="232">
        <v>2015</v>
      </c>
      <c r="F319" s="232">
        <v>2020</v>
      </c>
      <c r="G319" s="232">
        <v>2030</v>
      </c>
      <c r="H319" s="232">
        <v>2040</v>
      </c>
      <c r="I319" s="232">
        <v>2050</v>
      </c>
    </row>
    <row r="320" spans="1:9" ht="16.5" thickTop="1" thickBot="1">
      <c r="B320" s="328" t="s">
        <v>2873</v>
      </c>
      <c r="C320" s="233" t="s">
        <v>2860</v>
      </c>
      <c r="D320" s="233" t="s">
        <v>2874</v>
      </c>
      <c r="E320" s="256">
        <v>1740</v>
      </c>
      <c r="F320" s="257">
        <v>1740</v>
      </c>
      <c r="G320" s="257">
        <v>1740</v>
      </c>
      <c r="H320" s="257">
        <v>1730</v>
      </c>
      <c r="I320" s="257">
        <v>1730</v>
      </c>
    </row>
    <row r="321" spans="1:9" ht="16.5" thickTop="1" thickBot="1">
      <c r="B321" s="329"/>
      <c r="C321" s="237" t="s">
        <v>2861</v>
      </c>
      <c r="D321" s="237" t="s">
        <v>2874</v>
      </c>
      <c r="E321" s="256">
        <v>1740</v>
      </c>
      <c r="F321" s="255">
        <v>1740</v>
      </c>
      <c r="G321" s="255">
        <v>1730</v>
      </c>
      <c r="H321" s="255">
        <v>1730</v>
      </c>
      <c r="I321" s="255">
        <v>1730</v>
      </c>
    </row>
    <row r="322" spans="1:9" ht="16.5" thickTop="1" thickBot="1">
      <c r="B322" s="329"/>
      <c r="C322" s="233" t="s">
        <v>2862</v>
      </c>
      <c r="D322" s="233" t="s">
        <v>2874</v>
      </c>
      <c r="E322" s="256">
        <v>1740</v>
      </c>
      <c r="F322" s="257">
        <v>1740</v>
      </c>
      <c r="G322" s="257">
        <v>1740</v>
      </c>
      <c r="H322" s="257">
        <v>1740</v>
      </c>
      <c r="I322" s="257">
        <v>1730</v>
      </c>
    </row>
    <row r="323" spans="1:9" ht="16.5" thickTop="1" thickBot="1">
      <c r="B323" s="329"/>
      <c r="C323" s="237" t="s">
        <v>2875</v>
      </c>
      <c r="D323" s="237" t="s">
        <v>2874</v>
      </c>
      <c r="E323" s="256">
        <v>1740</v>
      </c>
      <c r="F323" s="255">
        <v>1740</v>
      </c>
      <c r="G323" s="255">
        <v>1730</v>
      </c>
      <c r="H323" s="255">
        <v>1720</v>
      </c>
      <c r="I323" s="255">
        <v>1710</v>
      </c>
    </row>
    <row r="324" spans="1:9" ht="16.5" thickTop="1" thickBot="1">
      <c r="B324" s="330"/>
      <c r="C324" s="233" t="s">
        <v>2876</v>
      </c>
      <c r="D324" s="233" t="s">
        <v>2874</v>
      </c>
      <c r="E324" s="256">
        <v>1740</v>
      </c>
      <c r="F324" s="257">
        <v>1740</v>
      </c>
      <c r="G324" s="257">
        <v>1740</v>
      </c>
      <c r="H324" s="257">
        <v>1740</v>
      </c>
      <c r="I324" s="257">
        <v>1740</v>
      </c>
    </row>
    <row r="325" spans="1:9" ht="15.75" thickBot="1">
      <c r="B325" s="254" t="s">
        <v>2877</v>
      </c>
      <c r="C325" s="237" t="s">
        <v>2870</v>
      </c>
      <c r="D325" s="237" t="s">
        <v>2878</v>
      </c>
      <c r="E325" s="252">
        <v>0.01</v>
      </c>
      <c r="F325" s="252">
        <v>0.01</v>
      </c>
      <c r="G325" s="252">
        <v>0.01</v>
      </c>
      <c r="H325" s="252">
        <v>0.01</v>
      </c>
      <c r="I325" s="252">
        <v>0.01</v>
      </c>
    </row>
    <row r="328" spans="1:9" ht="15.75" thickBot="1">
      <c r="B328" s="156" t="s">
        <v>2918</v>
      </c>
    </row>
    <row r="329" spans="1:9" ht="15.75" thickBot="1">
      <c r="B329" s="326"/>
      <c r="C329" s="327"/>
      <c r="D329" s="231" t="s">
        <v>0</v>
      </c>
      <c r="E329" s="232">
        <v>2015</v>
      </c>
      <c r="F329" s="232">
        <v>2020</v>
      </c>
      <c r="G329" s="232">
        <v>2030</v>
      </c>
      <c r="H329" s="232">
        <v>2040</v>
      </c>
      <c r="I329" s="232">
        <v>2050</v>
      </c>
    </row>
    <row r="330" spans="1:9" ht="16.5" thickTop="1" thickBot="1">
      <c r="B330" s="328" t="s">
        <v>2873</v>
      </c>
      <c r="C330" s="233" t="s">
        <v>2860</v>
      </c>
      <c r="D330" s="233" t="s">
        <v>2874</v>
      </c>
      <c r="E330" s="256">
        <v>5000</v>
      </c>
      <c r="F330" s="257">
        <v>5000</v>
      </c>
      <c r="G330" s="257">
        <v>4990</v>
      </c>
      <c r="H330" s="257">
        <v>4980</v>
      </c>
      <c r="I330" s="257">
        <v>4980</v>
      </c>
    </row>
    <row r="331" spans="1:9" ht="16.5" thickTop="1" thickBot="1">
      <c r="A331" t="s">
        <v>2775</v>
      </c>
      <c r="B331" s="329"/>
      <c r="C331" s="237" t="s">
        <v>2861</v>
      </c>
      <c r="D331" s="237" t="s">
        <v>2874</v>
      </c>
      <c r="E331" s="256">
        <v>5000</v>
      </c>
      <c r="F331" s="255">
        <v>5000</v>
      </c>
      <c r="G331" s="255">
        <v>4980</v>
      </c>
      <c r="H331" s="255">
        <v>4970</v>
      </c>
      <c r="I331" s="255">
        <v>4960</v>
      </c>
    </row>
    <row r="332" spans="1:9" ht="16.5" thickTop="1" thickBot="1">
      <c r="B332" s="329"/>
      <c r="C332" s="233" t="s">
        <v>2862</v>
      </c>
      <c r="D332" s="233" t="s">
        <v>2874</v>
      </c>
      <c r="E332" s="256">
        <v>5000</v>
      </c>
      <c r="F332" s="257">
        <v>4990</v>
      </c>
      <c r="G332" s="257">
        <v>4990</v>
      </c>
      <c r="H332" s="257">
        <v>4990</v>
      </c>
      <c r="I332" s="257">
        <v>4980</v>
      </c>
    </row>
    <row r="333" spans="1:9" ht="16.5" thickTop="1" thickBot="1">
      <c r="B333" s="329"/>
      <c r="C333" s="237" t="s">
        <v>2875</v>
      </c>
      <c r="D333" s="237" t="s">
        <v>2874</v>
      </c>
      <c r="E333" s="256">
        <v>5000</v>
      </c>
      <c r="F333" s="255">
        <v>4990</v>
      </c>
      <c r="G333" s="255">
        <v>4960</v>
      </c>
      <c r="H333" s="255">
        <v>4940</v>
      </c>
      <c r="I333" s="255">
        <v>4910</v>
      </c>
    </row>
    <row r="334" spans="1:9" ht="16.5" thickTop="1" thickBot="1">
      <c r="B334" s="330"/>
      <c r="C334" s="233" t="s">
        <v>2876</v>
      </c>
      <c r="D334" s="233" t="s">
        <v>2874</v>
      </c>
      <c r="E334" s="256">
        <v>5000</v>
      </c>
      <c r="F334" s="257">
        <v>5000</v>
      </c>
      <c r="G334" s="257">
        <v>5000</v>
      </c>
      <c r="H334" s="257">
        <v>5000</v>
      </c>
      <c r="I334" s="257">
        <v>5000</v>
      </c>
    </row>
    <row r="335" spans="1:9" ht="15.75" thickBot="1">
      <c r="B335" s="254" t="s">
        <v>2877</v>
      </c>
      <c r="C335" s="237" t="s">
        <v>2870</v>
      </c>
      <c r="D335" s="237" t="s">
        <v>2878</v>
      </c>
      <c r="E335" s="252">
        <v>0.01</v>
      </c>
      <c r="F335" s="252">
        <v>0.01</v>
      </c>
      <c r="G335" s="252">
        <v>0.01</v>
      </c>
      <c r="H335" s="252">
        <v>0.01</v>
      </c>
      <c r="I335" s="252">
        <v>0.01</v>
      </c>
    </row>
    <row r="338" spans="1:12" ht="15.75" thickBot="1">
      <c r="B338" s="156" t="s">
        <v>2919</v>
      </c>
    </row>
    <row r="339" spans="1:12" ht="15.75" thickBot="1">
      <c r="B339" s="326"/>
      <c r="C339" s="327"/>
      <c r="D339" s="231" t="s">
        <v>0</v>
      </c>
      <c r="E339" s="232">
        <v>2015</v>
      </c>
      <c r="F339" s="232">
        <v>2020</v>
      </c>
      <c r="G339" s="232">
        <v>2030</v>
      </c>
      <c r="H339" s="232">
        <v>2040</v>
      </c>
      <c r="I339" s="232">
        <v>2050</v>
      </c>
    </row>
    <row r="340" spans="1:12" ht="16.5" thickTop="1" thickBot="1">
      <c r="B340" s="328" t="s">
        <v>2873</v>
      </c>
      <c r="C340" s="233" t="s">
        <v>2860</v>
      </c>
      <c r="D340" s="233" t="s">
        <v>2874</v>
      </c>
      <c r="E340" s="256">
        <v>3000</v>
      </c>
      <c r="F340" s="257">
        <v>3000</v>
      </c>
      <c r="G340" s="257">
        <v>2990</v>
      </c>
      <c r="H340" s="257">
        <v>2990</v>
      </c>
      <c r="I340" s="257">
        <v>2990</v>
      </c>
    </row>
    <row r="341" spans="1:12" ht="16.5" thickTop="1" thickBot="1">
      <c r="A341" t="s">
        <v>2776</v>
      </c>
      <c r="B341" s="329"/>
      <c r="C341" s="237" t="s">
        <v>2861</v>
      </c>
      <c r="D341" s="237" t="s">
        <v>2874</v>
      </c>
      <c r="E341" s="256">
        <v>3000</v>
      </c>
      <c r="F341" s="255">
        <v>3000</v>
      </c>
      <c r="G341" s="255">
        <v>2990</v>
      </c>
      <c r="H341" s="255">
        <v>2980</v>
      </c>
      <c r="I341" s="255">
        <v>2970</v>
      </c>
    </row>
    <row r="342" spans="1:12" ht="16.5" thickTop="1" thickBot="1">
      <c r="B342" s="329"/>
      <c r="C342" s="233" t="s">
        <v>2862</v>
      </c>
      <c r="D342" s="233" t="s">
        <v>2874</v>
      </c>
      <c r="E342" s="256">
        <v>3000</v>
      </c>
      <c r="F342" s="257">
        <v>3000</v>
      </c>
      <c r="G342" s="257">
        <v>2990</v>
      </c>
      <c r="H342" s="257">
        <v>2990</v>
      </c>
      <c r="I342" s="257">
        <v>2990</v>
      </c>
    </row>
    <row r="343" spans="1:12" ht="16.5" thickTop="1" thickBot="1">
      <c r="B343" s="329"/>
      <c r="C343" s="237" t="s">
        <v>2875</v>
      </c>
      <c r="D343" s="237" t="s">
        <v>2874</v>
      </c>
      <c r="E343" s="256">
        <v>3000</v>
      </c>
      <c r="F343" s="255">
        <v>2990</v>
      </c>
      <c r="G343" s="255">
        <v>2980</v>
      </c>
      <c r="H343" s="255">
        <v>2960</v>
      </c>
      <c r="I343" s="255">
        <v>2950</v>
      </c>
    </row>
    <row r="344" spans="1:12" ht="16.5" thickTop="1" thickBot="1">
      <c r="B344" s="330"/>
      <c r="C344" s="233" t="s">
        <v>2876</v>
      </c>
      <c r="D344" s="233" t="s">
        <v>2874</v>
      </c>
      <c r="E344" s="256">
        <v>3000</v>
      </c>
      <c r="F344" s="257">
        <v>3000</v>
      </c>
      <c r="G344" s="257">
        <v>3000</v>
      </c>
      <c r="H344" s="257">
        <v>3000</v>
      </c>
      <c r="I344" s="257">
        <v>3000</v>
      </c>
    </row>
    <row r="345" spans="1:12" ht="15.75" thickBot="1">
      <c r="B345" s="254" t="s">
        <v>2877</v>
      </c>
      <c r="C345" s="237" t="s">
        <v>2870</v>
      </c>
      <c r="D345" s="237" t="s">
        <v>2878</v>
      </c>
      <c r="E345" s="262">
        <v>5.0000000000000001E-3</v>
      </c>
      <c r="F345" s="262">
        <v>5.0000000000000001E-3</v>
      </c>
      <c r="G345" s="262">
        <v>5.0000000000000001E-3</v>
      </c>
      <c r="H345" s="262">
        <v>5.0000000000000001E-3</v>
      </c>
      <c r="I345" s="262">
        <v>5.0000000000000001E-3</v>
      </c>
    </row>
    <row r="346" spans="1:12">
      <c r="B346" s="263"/>
      <c r="C346" s="264"/>
      <c r="D346" s="264"/>
      <c r="E346" s="265"/>
      <c r="F346" s="265"/>
      <c r="G346" s="265"/>
      <c r="H346" s="265"/>
      <c r="I346" s="265"/>
    </row>
    <row r="347" spans="1:12" ht="21">
      <c r="B347" s="155" t="s">
        <v>2920</v>
      </c>
    </row>
    <row r="349" spans="1:12" ht="15.75" thickBot="1">
      <c r="B349" s="156" t="s">
        <v>2921</v>
      </c>
    </row>
    <row r="350" spans="1:12" ht="15.75" thickBot="1">
      <c r="B350" s="321"/>
      <c r="C350" s="322"/>
      <c r="D350" s="266" t="s">
        <v>0</v>
      </c>
      <c r="E350" s="267">
        <v>2015</v>
      </c>
      <c r="F350" s="267">
        <v>2020</v>
      </c>
      <c r="G350" s="267">
        <v>2025</v>
      </c>
      <c r="H350" s="267">
        <v>2030</v>
      </c>
      <c r="I350" s="267">
        <v>2035</v>
      </c>
      <c r="J350" s="267">
        <v>2040</v>
      </c>
      <c r="K350" s="267">
        <v>2045</v>
      </c>
      <c r="L350" s="267">
        <v>2050</v>
      </c>
    </row>
    <row r="351" spans="1:12" ht="16.5" thickTop="1" thickBot="1">
      <c r="B351" s="323" t="s">
        <v>2859</v>
      </c>
      <c r="C351" s="268" t="s">
        <v>2860</v>
      </c>
      <c r="D351" s="268" t="s">
        <v>2</v>
      </c>
      <c r="E351" s="269">
        <v>84.02219999999997</v>
      </c>
      <c r="F351" s="269">
        <v>182.07865346709875</v>
      </c>
      <c r="G351" s="269">
        <v>204.22581608866022</v>
      </c>
      <c r="H351" s="269">
        <v>226.3729787102217</v>
      </c>
      <c r="I351" s="269">
        <v>250.49807617701833</v>
      </c>
      <c r="J351" s="269">
        <v>274.62317364381499</v>
      </c>
      <c r="K351" s="269">
        <v>312.42534528704419</v>
      </c>
      <c r="L351" s="269">
        <v>350.2275169302734</v>
      </c>
    </row>
    <row r="352" spans="1:12" ht="15.75" thickBot="1">
      <c r="B352" s="324"/>
      <c r="C352" s="204" t="s">
        <v>2861</v>
      </c>
      <c r="D352" s="204" t="s">
        <v>2</v>
      </c>
      <c r="E352" s="205">
        <v>84.02219999999997</v>
      </c>
      <c r="F352" s="205">
        <v>245</v>
      </c>
      <c r="G352" s="205">
        <v>326.5</v>
      </c>
      <c r="H352" s="205">
        <v>408</v>
      </c>
      <c r="I352" s="205">
        <v>557.5</v>
      </c>
      <c r="J352" s="205">
        <v>707</v>
      </c>
      <c r="K352" s="205">
        <v>916.5</v>
      </c>
      <c r="L352" s="205">
        <v>1126</v>
      </c>
    </row>
    <row r="353" spans="2:12" ht="15.75" thickBot="1">
      <c r="B353" s="325"/>
      <c r="C353" s="268" t="s">
        <v>2862</v>
      </c>
      <c r="D353" s="268" t="s">
        <v>2</v>
      </c>
      <c r="E353" s="269">
        <v>84.02219999999997</v>
      </c>
      <c r="F353" s="269">
        <v>193.85786056313</v>
      </c>
      <c r="G353" s="269">
        <v>293.11203895035652</v>
      </c>
      <c r="H353" s="269">
        <v>392.36621733758301</v>
      </c>
      <c r="I353" s="269">
        <v>475.28602987480349</v>
      </c>
      <c r="J353" s="269">
        <v>558.20584241202403</v>
      </c>
      <c r="K353" s="269">
        <v>652.10212715625414</v>
      </c>
      <c r="L353" s="269">
        <v>745.99841190048426</v>
      </c>
    </row>
    <row r="354" spans="2:12" ht="15.75" thickBot="1">
      <c r="B354" s="331" t="s">
        <v>2863</v>
      </c>
      <c r="C354" s="204" t="s">
        <v>2860</v>
      </c>
      <c r="D354" s="204" t="s">
        <v>2864</v>
      </c>
      <c r="E354" s="205">
        <v>5.0338999999999929</v>
      </c>
      <c r="F354" s="205">
        <v>19.611290693419754</v>
      </c>
      <c r="G354" s="205">
        <v>11.326699905595138</v>
      </c>
      <c r="H354" s="205">
        <v>5.4271251430294569</v>
      </c>
      <c r="I354" s="205">
        <v>6.8788031212497405</v>
      </c>
      <c r="J354" s="205">
        <v>11.680715865468908</v>
      </c>
      <c r="K354" s="205">
        <v>26.792784665688043</v>
      </c>
      <c r="L354" s="205">
        <v>19.26607459061853</v>
      </c>
    </row>
    <row r="355" spans="2:12" ht="15.75" thickBot="1">
      <c r="B355" s="324"/>
      <c r="C355" s="268" t="s">
        <v>2861</v>
      </c>
      <c r="D355" s="268" t="s">
        <v>2864</v>
      </c>
      <c r="E355" s="269">
        <v>5.0338999999999929</v>
      </c>
      <c r="F355" s="269">
        <v>32.195560000000008</v>
      </c>
      <c r="G355" s="269">
        <v>25.000999999999998</v>
      </c>
      <c r="H355" s="269">
        <v>15.493960000000005</v>
      </c>
      <c r="I355" s="269">
        <v>29.075580000000002</v>
      </c>
      <c r="J355" s="269">
        <v>39.633899999999997</v>
      </c>
      <c r="K355" s="269">
        <v>78.995559999999998</v>
      </c>
      <c r="L355" s="269">
        <v>62.000999999999998</v>
      </c>
    </row>
    <row r="356" spans="2:12" ht="15.75" thickBot="1">
      <c r="B356" s="325"/>
      <c r="C356" s="204" t="s">
        <v>2862</v>
      </c>
      <c r="D356" s="204" t="s">
        <v>2864</v>
      </c>
      <c r="E356" s="205">
        <v>5.0338999999999929</v>
      </c>
      <c r="F356" s="205">
        <v>21.967132112626008</v>
      </c>
      <c r="G356" s="205">
        <v>24.002524655820327</v>
      </c>
      <c r="H356" s="205">
        <v>23.594106699070277</v>
      </c>
      <c r="I356" s="205">
        <v>19.753475676484641</v>
      </c>
      <c r="J356" s="205">
        <v>22.323929338403559</v>
      </c>
      <c r="K356" s="205">
        <v>42.435093802487359</v>
      </c>
      <c r="L356" s="205">
        <v>41.093076863651028</v>
      </c>
    </row>
    <row r="357" spans="2:12" ht="15.75" thickBot="1">
      <c r="B357" s="332" t="s">
        <v>2865</v>
      </c>
      <c r="C357" s="268" t="s">
        <v>2866</v>
      </c>
      <c r="D357" s="268" t="s">
        <v>2855</v>
      </c>
      <c r="E357" s="270">
        <v>0.05</v>
      </c>
      <c r="F357" s="270">
        <v>0.05</v>
      </c>
      <c r="G357" s="270">
        <v>0.05</v>
      </c>
      <c r="H357" s="270">
        <v>0.05</v>
      </c>
      <c r="I357" s="270">
        <v>0.05</v>
      </c>
      <c r="J357" s="270">
        <v>0.05</v>
      </c>
      <c r="K357" s="270">
        <v>0.05</v>
      </c>
      <c r="L357" s="270">
        <v>0.05</v>
      </c>
    </row>
    <row r="358" spans="2:12" ht="15.75" thickBot="1">
      <c r="B358" s="333"/>
      <c r="C358" s="204" t="s">
        <v>2867</v>
      </c>
      <c r="D358" s="204" t="s">
        <v>2855</v>
      </c>
      <c r="E358" s="209">
        <v>7.0000000000000007E-2</v>
      </c>
      <c r="F358" s="209">
        <v>7.0000000000000007E-2</v>
      </c>
      <c r="G358" s="209">
        <v>7.0000000000000007E-2</v>
      </c>
      <c r="H358" s="209">
        <v>7.0000000000000007E-2</v>
      </c>
      <c r="I358" s="209">
        <v>7.0000000000000007E-2</v>
      </c>
      <c r="J358" s="209">
        <v>7.0000000000000007E-2</v>
      </c>
      <c r="K358" s="209">
        <v>7.0000000000000007E-2</v>
      </c>
      <c r="L358" s="209">
        <v>7.0000000000000007E-2</v>
      </c>
    </row>
    <row r="359" spans="2:12" ht="15.75" thickBot="1">
      <c r="B359" s="334"/>
      <c r="C359" s="268" t="s">
        <v>2868</v>
      </c>
      <c r="D359" s="268" t="s">
        <v>2855</v>
      </c>
      <c r="E359" s="270">
        <v>0.02</v>
      </c>
      <c r="F359" s="270">
        <v>0.02</v>
      </c>
      <c r="G359" s="270">
        <v>0.02</v>
      </c>
      <c r="H359" s="270">
        <v>0.02</v>
      </c>
      <c r="I359" s="270">
        <v>0.02</v>
      </c>
      <c r="J359" s="270">
        <v>0.02</v>
      </c>
      <c r="K359" s="270">
        <v>0.02</v>
      </c>
      <c r="L359" s="270">
        <v>0.02</v>
      </c>
    </row>
    <row r="360" spans="2:12" ht="15.75" thickBot="1">
      <c r="B360" s="271" t="s">
        <v>2869</v>
      </c>
      <c r="C360" s="204" t="s">
        <v>2870</v>
      </c>
      <c r="D360" s="204" t="s">
        <v>2854</v>
      </c>
      <c r="E360" s="211">
        <v>25</v>
      </c>
      <c r="F360" s="211">
        <v>25</v>
      </c>
      <c r="G360" s="211">
        <v>25</v>
      </c>
      <c r="H360" s="211">
        <v>25</v>
      </c>
      <c r="I360" s="211">
        <v>25</v>
      </c>
      <c r="J360" s="211">
        <v>25</v>
      </c>
      <c r="K360" s="211">
        <v>25</v>
      </c>
      <c r="L360" s="211">
        <v>25</v>
      </c>
    </row>
    <row r="362" spans="2:12" ht="15.75" thickBot="1">
      <c r="B362" s="156" t="s">
        <v>2922</v>
      </c>
    </row>
    <row r="363" spans="2:12" ht="15.75" thickBot="1">
      <c r="B363" s="321"/>
      <c r="C363" s="322"/>
      <c r="D363" s="266" t="s">
        <v>0</v>
      </c>
      <c r="E363" s="267">
        <v>2015</v>
      </c>
      <c r="F363" s="267">
        <v>2020</v>
      </c>
      <c r="G363" s="267">
        <v>2030</v>
      </c>
      <c r="H363" s="267">
        <v>2040</v>
      </c>
      <c r="I363" s="267">
        <v>2050</v>
      </c>
    </row>
    <row r="364" spans="2:12" ht="16.5" thickTop="1" thickBot="1">
      <c r="B364" s="323" t="s">
        <v>2873</v>
      </c>
      <c r="C364" s="268" t="s">
        <v>2860</v>
      </c>
      <c r="D364" s="268" t="s">
        <v>2874</v>
      </c>
      <c r="E364" s="272">
        <v>3600</v>
      </c>
      <c r="F364" s="273">
        <v>3400</v>
      </c>
      <c r="G364" s="273">
        <v>3310</v>
      </c>
      <c r="H364" s="273">
        <v>3230</v>
      </c>
      <c r="I364" s="273">
        <v>3120</v>
      </c>
    </row>
    <row r="365" spans="2:12" ht="16.5" thickTop="1" thickBot="1">
      <c r="B365" s="324"/>
      <c r="C365" s="204" t="s">
        <v>2861</v>
      </c>
      <c r="D365" s="204" t="s">
        <v>2874</v>
      </c>
      <c r="E365" s="272">
        <v>3600</v>
      </c>
      <c r="F365" s="211">
        <v>3330</v>
      </c>
      <c r="G365" s="211">
        <v>3180</v>
      </c>
      <c r="H365" s="211">
        <v>3050</v>
      </c>
      <c r="I365" s="211">
        <v>2910</v>
      </c>
    </row>
    <row r="366" spans="2:12" ht="16.5" thickTop="1" thickBot="1">
      <c r="B366" s="324"/>
      <c r="C366" s="268" t="s">
        <v>2862</v>
      </c>
      <c r="D366" s="268" t="s">
        <v>2874</v>
      </c>
      <c r="E366" s="272">
        <v>3600</v>
      </c>
      <c r="F366" s="273">
        <v>3380</v>
      </c>
      <c r="G366" s="273">
        <v>3190</v>
      </c>
      <c r="H366" s="273">
        <v>3100</v>
      </c>
      <c r="I366" s="273">
        <v>2980</v>
      </c>
    </row>
    <row r="367" spans="2:12" ht="16.5" thickTop="1" thickBot="1">
      <c r="B367" s="324"/>
      <c r="C367" s="204" t="s">
        <v>2875</v>
      </c>
      <c r="D367" s="204" t="s">
        <v>2874</v>
      </c>
      <c r="E367" s="272">
        <v>3600</v>
      </c>
      <c r="F367" s="211">
        <v>3220</v>
      </c>
      <c r="G367" s="211">
        <v>3020</v>
      </c>
      <c r="H367" s="211">
        <v>2850</v>
      </c>
      <c r="I367" s="211">
        <v>2660</v>
      </c>
    </row>
    <row r="368" spans="2:12" ht="16.5" thickTop="1" thickBot="1">
      <c r="B368" s="325"/>
      <c r="C368" s="268" t="s">
        <v>2876</v>
      </c>
      <c r="D368" s="268" t="s">
        <v>2874</v>
      </c>
      <c r="E368" s="272">
        <v>3600</v>
      </c>
      <c r="F368" s="273">
        <v>3520</v>
      </c>
      <c r="G368" s="273">
        <v>3480</v>
      </c>
      <c r="H368" s="273">
        <v>3450</v>
      </c>
      <c r="I368" s="273">
        <v>3400</v>
      </c>
    </row>
    <row r="369" spans="2:9" ht="15.75" thickBot="1">
      <c r="B369" s="271" t="s">
        <v>2877</v>
      </c>
      <c r="C369" s="204" t="s">
        <v>2870</v>
      </c>
      <c r="D369" s="204" t="s">
        <v>2878</v>
      </c>
      <c r="E369" s="209">
        <v>0.02</v>
      </c>
      <c r="F369" s="209">
        <v>0.02</v>
      </c>
      <c r="G369" s="209">
        <v>0.02</v>
      </c>
      <c r="H369" s="209">
        <v>0.02</v>
      </c>
      <c r="I369" s="209">
        <v>0.02</v>
      </c>
    </row>
    <row r="372" spans="2:9" ht="15.75" thickBot="1">
      <c r="B372" s="156" t="s">
        <v>2923</v>
      </c>
    </row>
    <row r="373" spans="2:9" ht="15.75" thickBot="1">
      <c r="B373" s="321"/>
      <c r="C373" s="322"/>
      <c r="D373" s="266" t="s">
        <v>0</v>
      </c>
      <c r="E373" s="267">
        <v>2015</v>
      </c>
      <c r="F373" s="267">
        <v>2020</v>
      </c>
      <c r="G373" s="267">
        <v>2030</v>
      </c>
      <c r="H373" s="267">
        <v>2040</v>
      </c>
      <c r="I373" s="267">
        <v>2050</v>
      </c>
    </row>
    <row r="374" spans="2:9" ht="16.5" thickTop="1" thickBot="1">
      <c r="B374" s="323" t="s">
        <v>2873</v>
      </c>
      <c r="C374" s="268" t="s">
        <v>2860</v>
      </c>
      <c r="D374" s="268" t="s">
        <v>2874</v>
      </c>
      <c r="E374" s="272">
        <v>5300</v>
      </c>
      <c r="F374" s="273">
        <v>5010</v>
      </c>
      <c r="G374" s="273">
        <v>4870</v>
      </c>
      <c r="H374" s="273">
        <v>4760</v>
      </c>
      <c r="I374" s="273">
        <v>4590</v>
      </c>
    </row>
    <row r="375" spans="2:9" ht="16.5" thickTop="1" thickBot="1">
      <c r="B375" s="324"/>
      <c r="C375" s="204" t="s">
        <v>2861</v>
      </c>
      <c r="D375" s="204" t="s">
        <v>2874</v>
      </c>
      <c r="E375" s="272">
        <v>5300</v>
      </c>
      <c r="F375" s="211">
        <v>4900</v>
      </c>
      <c r="G375" s="211">
        <v>4680</v>
      </c>
      <c r="H375" s="211">
        <v>4490</v>
      </c>
      <c r="I375" s="211">
        <v>4280</v>
      </c>
    </row>
    <row r="376" spans="2:9" ht="16.5" thickTop="1" thickBot="1">
      <c r="B376" s="324"/>
      <c r="C376" s="268" t="s">
        <v>2862</v>
      </c>
      <c r="D376" s="268" t="s">
        <v>2874</v>
      </c>
      <c r="E376" s="272">
        <v>5300</v>
      </c>
      <c r="F376" s="273">
        <v>4980</v>
      </c>
      <c r="G376" s="273">
        <v>4700</v>
      </c>
      <c r="H376" s="273">
        <v>4560</v>
      </c>
      <c r="I376" s="273">
        <v>4390</v>
      </c>
    </row>
    <row r="377" spans="2:9" ht="16.5" thickTop="1" thickBot="1">
      <c r="B377" s="324"/>
      <c r="C377" s="204" t="s">
        <v>2875</v>
      </c>
      <c r="D377" s="204" t="s">
        <v>2874</v>
      </c>
      <c r="E377" s="272">
        <v>5300</v>
      </c>
      <c r="F377" s="211">
        <v>4740</v>
      </c>
      <c r="G377" s="211">
        <v>4450</v>
      </c>
      <c r="H377" s="211">
        <v>4190</v>
      </c>
      <c r="I377" s="211">
        <v>3920</v>
      </c>
    </row>
    <row r="378" spans="2:9" ht="16.5" thickTop="1" thickBot="1">
      <c r="B378" s="325"/>
      <c r="C378" s="268" t="s">
        <v>2876</v>
      </c>
      <c r="D378" s="268" t="s">
        <v>2874</v>
      </c>
      <c r="E378" s="272">
        <v>5300</v>
      </c>
      <c r="F378" s="273">
        <v>5180</v>
      </c>
      <c r="G378" s="273">
        <v>5130</v>
      </c>
      <c r="H378" s="273">
        <v>5080</v>
      </c>
      <c r="I378" s="273">
        <v>5010</v>
      </c>
    </row>
    <row r="379" spans="2:9" ht="15.75" thickBot="1">
      <c r="B379" s="274" t="s">
        <v>2877</v>
      </c>
      <c r="C379" s="204" t="s">
        <v>2870</v>
      </c>
      <c r="D379" s="204" t="s">
        <v>2878</v>
      </c>
      <c r="E379" s="209">
        <v>0.02</v>
      </c>
      <c r="F379" s="209">
        <v>0.02</v>
      </c>
      <c r="G379" s="209">
        <v>0.02</v>
      </c>
      <c r="H379" s="209">
        <v>0.02</v>
      </c>
      <c r="I379" s="209">
        <v>0.02</v>
      </c>
    </row>
    <row r="382" spans="2:9" ht="15.75" thickBot="1">
      <c r="B382" s="156" t="s">
        <v>2924</v>
      </c>
    </row>
    <row r="383" spans="2:9" ht="15.75" thickBot="1">
      <c r="B383" s="321"/>
      <c r="C383" s="322"/>
      <c r="D383" s="266" t="s">
        <v>0</v>
      </c>
      <c r="E383" s="267">
        <v>2015</v>
      </c>
      <c r="F383" s="267">
        <v>2020</v>
      </c>
      <c r="G383" s="267">
        <v>2030</v>
      </c>
      <c r="H383" s="267">
        <v>2040</v>
      </c>
      <c r="I383" s="267">
        <v>2050</v>
      </c>
    </row>
    <row r="384" spans="2:9" ht="16.5" thickTop="1" thickBot="1">
      <c r="B384" s="323" t="s">
        <v>2873</v>
      </c>
      <c r="C384" s="268" t="s">
        <v>2860</v>
      </c>
      <c r="D384" s="268" t="s">
        <v>2874</v>
      </c>
      <c r="E384" s="272">
        <v>4700</v>
      </c>
      <c r="F384" s="273">
        <v>4440</v>
      </c>
      <c r="G384" s="273">
        <v>4320</v>
      </c>
      <c r="H384" s="273">
        <v>4220</v>
      </c>
      <c r="I384" s="273">
        <v>4070</v>
      </c>
    </row>
    <row r="385" spans="1:9" ht="16.5" thickTop="1" thickBot="1">
      <c r="B385" s="324"/>
      <c r="C385" s="204" t="s">
        <v>2861</v>
      </c>
      <c r="D385" s="204" t="s">
        <v>2874</v>
      </c>
      <c r="E385" s="272">
        <v>4700</v>
      </c>
      <c r="F385" s="211">
        <v>4340</v>
      </c>
      <c r="G385" s="211">
        <v>4150</v>
      </c>
      <c r="H385" s="211">
        <v>3980</v>
      </c>
      <c r="I385" s="211">
        <v>3800</v>
      </c>
    </row>
    <row r="386" spans="1:9" ht="16.5" thickTop="1" thickBot="1">
      <c r="B386" s="324"/>
      <c r="C386" s="268" t="s">
        <v>2862</v>
      </c>
      <c r="D386" s="268" t="s">
        <v>2874</v>
      </c>
      <c r="E386" s="272">
        <v>4700</v>
      </c>
      <c r="F386" s="273">
        <v>4420</v>
      </c>
      <c r="G386" s="273">
        <v>4160</v>
      </c>
      <c r="H386" s="273">
        <v>4040</v>
      </c>
      <c r="I386" s="273">
        <v>3900</v>
      </c>
    </row>
    <row r="387" spans="1:9" ht="16.5" thickTop="1" thickBot="1">
      <c r="B387" s="324"/>
      <c r="C387" s="204" t="s">
        <v>2875</v>
      </c>
      <c r="D387" s="204" t="s">
        <v>2874</v>
      </c>
      <c r="E387" s="272">
        <v>4700</v>
      </c>
      <c r="F387" s="211">
        <v>4200</v>
      </c>
      <c r="G387" s="211">
        <v>3950</v>
      </c>
      <c r="H387" s="211">
        <v>3720</v>
      </c>
      <c r="I387" s="211">
        <v>3480</v>
      </c>
    </row>
    <row r="388" spans="1:9" ht="16.5" thickTop="1" thickBot="1">
      <c r="B388" s="325"/>
      <c r="C388" s="268" t="s">
        <v>2876</v>
      </c>
      <c r="D388" s="268" t="s">
        <v>2874</v>
      </c>
      <c r="E388" s="272">
        <v>4700</v>
      </c>
      <c r="F388" s="273">
        <v>4600</v>
      </c>
      <c r="G388" s="273">
        <v>4540</v>
      </c>
      <c r="H388" s="273">
        <v>4510</v>
      </c>
      <c r="I388" s="273">
        <v>4440</v>
      </c>
    </row>
    <row r="389" spans="1:9" ht="15.75" thickBot="1">
      <c r="B389" s="271" t="s">
        <v>2877</v>
      </c>
      <c r="C389" s="204" t="s">
        <v>2870</v>
      </c>
      <c r="D389" s="204" t="s">
        <v>2878</v>
      </c>
      <c r="E389" s="209">
        <v>0.02</v>
      </c>
      <c r="F389" s="209">
        <v>0.02</v>
      </c>
      <c r="G389" s="209">
        <v>0.02</v>
      </c>
      <c r="H389" s="209">
        <v>0.02</v>
      </c>
      <c r="I389" s="209">
        <v>0.02</v>
      </c>
    </row>
    <row r="392" spans="1:9" ht="15.75" thickBot="1">
      <c r="B392" s="156" t="s">
        <v>2925</v>
      </c>
    </row>
    <row r="393" spans="1:9" ht="15.75" thickBot="1">
      <c r="B393" s="321"/>
      <c r="C393" s="322"/>
      <c r="D393" s="266" t="s">
        <v>0</v>
      </c>
      <c r="E393" s="267">
        <v>2015</v>
      </c>
      <c r="F393" s="267">
        <v>2020</v>
      </c>
      <c r="G393" s="267">
        <v>2030</v>
      </c>
      <c r="H393" s="267">
        <v>2040</v>
      </c>
      <c r="I393" s="267">
        <v>2050</v>
      </c>
    </row>
    <row r="394" spans="1:9" ht="16.5" thickTop="1" thickBot="1">
      <c r="B394" s="323" t="s">
        <v>2873</v>
      </c>
      <c r="C394" s="268" t="s">
        <v>2860</v>
      </c>
      <c r="D394" s="268" t="s">
        <v>2874</v>
      </c>
      <c r="E394" s="272">
        <v>3100</v>
      </c>
      <c r="F394" s="273">
        <v>2930</v>
      </c>
      <c r="G394" s="273">
        <v>2850</v>
      </c>
      <c r="H394" s="273">
        <v>2780</v>
      </c>
      <c r="I394" s="273">
        <v>2680</v>
      </c>
    </row>
    <row r="395" spans="1:9" ht="16.5" thickTop="1" thickBot="1">
      <c r="A395" t="s">
        <v>2926</v>
      </c>
      <c r="B395" s="324"/>
      <c r="C395" s="204" t="s">
        <v>2861</v>
      </c>
      <c r="D395" s="204" t="s">
        <v>2874</v>
      </c>
      <c r="E395" s="272">
        <v>3100</v>
      </c>
      <c r="F395" s="211">
        <v>2860</v>
      </c>
      <c r="G395" s="211">
        <v>2740</v>
      </c>
      <c r="H395" s="211">
        <v>2630</v>
      </c>
      <c r="I395" s="211">
        <v>2510</v>
      </c>
    </row>
    <row r="396" spans="1:9" ht="16.5" thickTop="1" thickBot="1">
      <c r="B396" s="324"/>
      <c r="C396" s="268" t="s">
        <v>2862</v>
      </c>
      <c r="D396" s="268" t="s">
        <v>2874</v>
      </c>
      <c r="E396" s="272">
        <v>3100</v>
      </c>
      <c r="F396" s="273">
        <v>2910</v>
      </c>
      <c r="G396" s="273">
        <v>2750</v>
      </c>
      <c r="H396" s="273">
        <v>2670</v>
      </c>
      <c r="I396" s="273">
        <v>2570</v>
      </c>
    </row>
    <row r="397" spans="1:9" ht="16.5" thickTop="1" thickBot="1">
      <c r="B397" s="324"/>
      <c r="C397" s="204" t="s">
        <v>2875</v>
      </c>
      <c r="D397" s="204" t="s">
        <v>2874</v>
      </c>
      <c r="E397" s="272">
        <v>3100</v>
      </c>
      <c r="F397" s="211">
        <v>2770</v>
      </c>
      <c r="G397" s="211">
        <v>2600</v>
      </c>
      <c r="H397" s="211">
        <v>2450</v>
      </c>
      <c r="I397" s="211">
        <v>2290</v>
      </c>
    </row>
    <row r="398" spans="1:9" ht="16.5" thickTop="1" thickBot="1">
      <c r="B398" s="325"/>
      <c r="C398" s="268" t="s">
        <v>2876</v>
      </c>
      <c r="D398" s="268" t="s">
        <v>2874</v>
      </c>
      <c r="E398" s="272">
        <v>3100</v>
      </c>
      <c r="F398" s="273">
        <v>3030</v>
      </c>
      <c r="G398" s="273">
        <v>3000</v>
      </c>
      <c r="H398" s="273">
        <v>2970</v>
      </c>
      <c r="I398" s="273">
        <v>2930</v>
      </c>
    </row>
    <row r="399" spans="1:9" ht="15.75" thickBot="1">
      <c r="B399" s="271" t="s">
        <v>2877</v>
      </c>
      <c r="C399" s="204" t="s">
        <v>2870</v>
      </c>
      <c r="D399" s="204" t="s">
        <v>2878</v>
      </c>
      <c r="E399" s="209">
        <v>0.04</v>
      </c>
      <c r="F399" s="209">
        <v>0.04</v>
      </c>
      <c r="G399" s="209">
        <v>0.04</v>
      </c>
      <c r="H399" s="209">
        <v>0.04</v>
      </c>
      <c r="I399" s="209">
        <v>0.04</v>
      </c>
    </row>
    <row r="401" spans="2:12" ht="21">
      <c r="B401" s="155" t="s">
        <v>2927</v>
      </c>
    </row>
    <row r="403" spans="2:12" ht="15.75" thickBot="1">
      <c r="B403" s="156" t="s">
        <v>2928</v>
      </c>
    </row>
    <row r="404" spans="2:12" ht="15.75" thickBot="1">
      <c r="B404" s="307"/>
      <c r="C404" s="308"/>
      <c r="D404" s="235" t="s">
        <v>0</v>
      </c>
      <c r="E404" s="236">
        <v>2015</v>
      </c>
      <c r="F404" s="236">
        <v>2020</v>
      </c>
      <c r="G404" s="236">
        <v>2025</v>
      </c>
      <c r="H404" s="236">
        <v>2030</v>
      </c>
      <c r="I404" s="236">
        <v>2035</v>
      </c>
      <c r="J404" s="236">
        <v>2040</v>
      </c>
      <c r="K404" s="236">
        <v>2045</v>
      </c>
      <c r="L404" s="236">
        <v>2050</v>
      </c>
    </row>
    <row r="405" spans="2:12" ht="16.5" thickTop="1" thickBot="1">
      <c r="B405" s="315" t="s">
        <v>2912</v>
      </c>
      <c r="C405" s="239" t="s">
        <v>2860</v>
      </c>
      <c r="D405" s="239" t="s">
        <v>2</v>
      </c>
      <c r="E405" s="240">
        <v>0</v>
      </c>
      <c r="F405" s="240">
        <v>0</v>
      </c>
      <c r="G405" s="241">
        <v>0.19913563756517849</v>
      </c>
      <c r="H405" s="241">
        <v>1.2041176796034745</v>
      </c>
      <c r="I405" s="241">
        <v>2.2342255231531185</v>
      </c>
      <c r="J405" s="241">
        <v>3.2900903682093601</v>
      </c>
      <c r="K405" s="241">
        <v>5.3723515628155143</v>
      </c>
      <c r="L405" s="241">
        <v>10.494102389324194</v>
      </c>
    </row>
    <row r="406" spans="2:12" ht="15.75" thickBot="1">
      <c r="B406" s="316"/>
      <c r="C406" s="242" t="s">
        <v>2861</v>
      </c>
      <c r="D406" s="242" t="s">
        <v>2</v>
      </c>
      <c r="E406" s="243">
        <v>0</v>
      </c>
      <c r="F406" s="243">
        <v>0</v>
      </c>
      <c r="G406" s="244">
        <v>5.8037707251626749</v>
      </c>
      <c r="H406" s="244">
        <v>42.307733443615199</v>
      </c>
      <c r="I406" s="244">
        <v>137.12237673639899</v>
      </c>
      <c r="J406" s="244">
        <v>266.66270406879693</v>
      </c>
      <c r="K406" s="244">
        <v>345.99520366438639</v>
      </c>
      <c r="L406" s="244">
        <v>283.90468885114706</v>
      </c>
    </row>
    <row r="407" spans="2:12" ht="15.75" thickBot="1">
      <c r="B407" s="317" t="s">
        <v>2863</v>
      </c>
      <c r="C407" s="242" t="s">
        <v>2860</v>
      </c>
      <c r="D407" s="242" t="s">
        <v>2864</v>
      </c>
      <c r="E407" s="243">
        <v>0</v>
      </c>
      <c r="F407" s="243">
        <v>0</v>
      </c>
      <c r="G407" s="275">
        <v>3.9827127513035701E-2</v>
      </c>
      <c r="H407" s="245">
        <v>0.2009964084076592</v>
      </c>
      <c r="I407" s="245">
        <v>0.2060215687099288</v>
      </c>
      <c r="J407" s="245">
        <v>0.21117296901124832</v>
      </c>
      <c r="K407" s="245">
        <v>0.41645223892123084</v>
      </c>
      <c r="L407" s="245">
        <v>1.0243501653017359</v>
      </c>
    </row>
    <row r="408" spans="2:12" ht="15.75" thickBot="1">
      <c r="B408" s="318"/>
      <c r="C408" s="246" t="s">
        <v>2861</v>
      </c>
      <c r="D408" s="246" t="s">
        <v>2864</v>
      </c>
      <c r="E408" s="247">
        <v>0</v>
      </c>
      <c r="F408" s="247">
        <v>0</v>
      </c>
      <c r="G408" s="248">
        <v>1.1607541450325349</v>
      </c>
      <c r="H408" s="248">
        <v>7.3007925436905055</v>
      </c>
      <c r="I408" s="248">
        <v>18.962928658556756</v>
      </c>
      <c r="J408" s="248">
        <v>25.908065466479588</v>
      </c>
      <c r="K408" s="248">
        <v>15.866499919117894</v>
      </c>
      <c r="L408" s="247">
        <v>0</v>
      </c>
    </row>
    <row r="409" spans="2:12" ht="15.75" thickBot="1">
      <c r="B409" s="304" t="s">
        <v>2865</v>
      </c>
      <c r="C409" s="246" t="s">
        <v>2866</v>
      </c>
      <c r="D409" s="246" t="s">
        <v>2855</v>
      </c>
      <c r="E409" s="249">
        <v>2.1000000000000001E-2</v>
      </c>
      <c r="F409" s="249">
        <v>2.1000000000000001E-2</v>
      </c>
      <c r="G409" s="249">
        <v>2.1000000000000001E-2</v>
      </c>
      <c r="H409" s="249">
        <v>2.1000000000000001E-2</v>
      </c>
      <c r="I409" s="249">
        <v>2.1000000000000001E-2</v>
      </c>
      <c r="J409" s="249">
        <v>2.1000000000000001E-2</v>
      </c>
      <c r="K409" s="249">
        <v>2.1000000000000001E-2</v>
      </c>
      <c r="L409" s="249">
        <v>2.1000000000000001E-2</v>
      </c>
    </row>
    <row r="410" spans="2:12" ht="15.75" thickBot="1">
      <c r="B410" s="305"/>
      <c r="C410" s="242" t="s">
        <v>2867</v>
      </c>
      <c r="D410" s="242" t="s">
        <v>2855</v>
      </c>
      <c r="E410" s="251">
        <v>3.5000000000000003E-2</v>
      </c>
      <c r="F410" s="251">
        <v>3.5000000000000003E-2</v>
      </c>
      <c r="G410" s="251">
        <v>3.5000000000000003E-2</v>
      </c>
      <c r="H410" s="251">
        <v>3.5000000000000003E-2</v>
      </c>
      <c r="I410" s="251">
        <v>3.5000000000000003E-2</v>
      </c>
      <c r="J410" s="251">
        <v>3.5000000000000003E-2</v>
      </c>
      <c r="K410" s="251">
        <v>3.5000000000000003E-2</v>
      </c>
      <c r="L410" s="251">
        <v>3.5000000000000003E-2</v>
      </c>
    </row>
    <row r="411" spans="2:12" ht="15.75" thickBot="1">
      <c r="B411" s="306"/>
      <c r="C411" s="246" t="s">
        <v>2868</v>
      </c>
      <c r="D411" s="246" t="s">
        <v>2855</v>
      </c>
      <c r="E411" s="249">
        <v>1.0999999999999999E-2</v>
      </c>
      <c r="F411" s="249">
        <v>1.0999999999999999E-2</v>
      </c>
      <c r="G411" s="249">
        <v>1.0999999999999999E-2</v>
      </c>
      <c r="H411" s="249">
        <v>1.0999999999999999E-2</v>
      </c>
      <c r="I411" s="249">
        <v>1.0999999999999999E-2</v>
      </c>
      <c r="J411" s="249">
        <v>1.0999999999999999E-2</v>
      </c>
      <c r="K411" s="249">
        <v>1.0999999999999999E-2</v>
      </c>
      <c r="L411" s="249">
        <v>1.0999999999999999E-2</v>
      </c>
    </row>
    <row r="412" spans="2:12" ht="15.75" thickBot="1">
      <c r="B412" s="253" t="s">
        <v>2869</v>
      </c>
      <c r="C412" s="242" t="s">
        <v>2870</v>
      </c>
      <c r="D412" s="242" t="s">
        <v>2854</v>
      </c>
      <c r="E412" s="243">
        <v>40</v>
      </c>
      <c r="F412" s="243">
        <v>40</v>
      </c>
      <c r="G412" s="243">
        <v>40</v>
      </c>
      <c r="H412" s="243">
        <v>40</v>
      </c>
      <c r="I412" s="243">
        <v>40</v>
      </c>
      <c r="J412" s="243">
        <v>40</v>
      </c>
      <c r="K412" s="243">
        <v>40</v>
      </c>
      <c r="L412" s="243">
        <v>40</v>
      </c>
    </row>
    <row r="414" spans="2:12" ht="15.75" thickBot="1"/>
    <row r="415" spans="2:12" ht="15.75" thickBot="1">
      <c r="B415" s="307"/>
      <c r="C415" s="308"/>
      <c r="D415" s="235" t="s">
        <v>0</v>
      </c>
      <c r="E415" s="236">
        <v>2015</v>
      </c>
      <c r="F415" s="236">
        <v>2020</v>
      </c>
      <c r="G415" s="236">
        <v>2030</v>
      </c>
      <c r="H415" s="236">
        <v>2040</v>
      </c>
      <c r="I415" s="236">
        <v>2050</v>
      </c>
    </row>
    <row r="416" spans="2:12" ht="16.5" thickTop="1" thickBot="1">
      <c r="B416" s="309" t="s">
        <v>2873</v>
      </c>
      <c r="C416" s="239" t="s">
        <v>2860</v>
      </c>
      <c r="D416" s="239" t="s">
        <v>2874</v>
      </c>
      <c r="E416" s="276" t="s">
        <v>2870</v>
      </c>
      <c r="F416" s="240" t="s">
        <v>2870</v>
      </c>
      <c r="G416" s="240">
        <v>2760</v>
      </c>
      <c r="H416" s="240">
        <v>2680</v>
      </c>
      <c r="I416" s="240">
        <v>2580</v>
      </c>
    </row>
    <row r="417" spans="1:12" ht="15.75" thickBot="1">
      <c r="A417" t="s">
        <v>2929</v>
      </c>
      <c r="B417" s="310"/>
      <c r="C417" s="258" t="s">
        <v>2861</v>
      </c>
      <c r="D417" s="258" t="s">
        <v>2874</v>
      </c>
      <c r="E417" s="277"/>
      <c r="F417" s="259" t="s">
        <v>2870</v>
      </c>
      <c r="G417" s="259">
        <v>2740</v>
      </c>
      <c r="H417" s="259">
        <v>2590</v>
      </c>
      <c r="I417" s="259">
        <v>2570</v>
      </c>
    </row>
    <row r="418" spans="1:12" ht="15.75" thickBot="1">
      <c r="B418" s="310"/>
      <c r="C418" s="239" t="s">
        <v>2875</v>
      </c>
      <c r="D418" s="239" t="s">
        <v>2874</v>
      </c>
      <c r="E418" s="277"/>
      <c r="F418" s="240" t="s">
        <v>2870</v>
      </c>
      <c r="G418" s="240">
        <v>2630</v>
      </c>
      <c r="H418" s="240">
        <v>2400</v>
      </c>
      <c r="I418" s="240">
        <v>2360</v>
      </c>
    </row>
    <row r="419" spans="1:12" ht="15.75" thickBot="1">
      <c r="B419" s="311"/>
      <c r="C419" s="258" t="s">
        <v>2876</v>
      </c>
      <c r="D419" s="258" t="s">
        <v>2874</v>
      </c>
      <c r="E419" s="278"/>
      <c r="F419" s="259" t="s">
        <v>2870</v>
      </c>
      <c r="G419" s="259">
        <v>2830</v>
      </c>
      <c r="H419" s="259">
        <v>2790</v>
      </c>
      <c r="I419" s="259">
        <v>2740</v>
      </c>
    </row>
    <row r="420" spans="1:12" ht="15.75" thickBot="1">
      <c r="B420" s="260" t="s">
        <v>2877</v>
      </c>
      <c r="C420" s="239" t="s">
        <v>2870</v>
      </c>
      <c r="D420" s="239" t="s">
        <v>2878</v>
      </c>
      <c r="E420" s="261">
        <v>2.1000000000000001E-2</v>
      </c>
      <c r="F420" s="261">
        <v>2.1000000000000001E-2</v>
      </c>
      <c r="G420" s="261">
        <v>2.1000000000000001E-2</v>
      </c>
      <c r="H420" s="261">
        <v>2.1000000000000001E-2</v>
      </c>
      <c r="I420" s="261">
        <v>2.1000000000000001E-2</v>
      </c>
    </row>
    <row r="423" spans="1:12" ht="15.75" thickBot="1">
      <c r="B423" s="156" t="s">
        <v>2930</v>
      </c>
    </row>
    <row r="424" spans="1:12" ht="15.75" thickBot="1">
      <c r="B424" s="307"/>
      <c r="C424" s="308"/>
      <c r="D424" s="235" t="s">
        <v>0</v>
      </c>
      <c r="E424" s="236">
        <v>2015</v>
      </c>
      <c r="F424" s="236">
        <v>2020</v>
      </c>
      <c r="G424" s="236">
        <v>2025</v>
      </c>
      <c r="H424" s="236">
        <v>2030</v>
      </c>
      <c r="I424" s="236">
        <v>2035</v>
      </c>
      <c r="J424" s="236">
        <v>2040</v>
      </c>
      <c r="K424" s="236">
        <v>2045</v>
      </c>
      <c r="L424" s="236">
        <v>2050</v>
      </c>
    </row>
    <row r="425" spans="1:12" ht="16.5" thickTop="1" thickBot="1">
      <c r="B425" s="315" t="s">
        <v>2912</v>
      </c>
      <c r="C425" s="239" t="s">
        <v>2860</v>
      </c>
      <c r="D425" s="239" t="s">
        <v>2</v>
      </c>
      <c r="E425" s="240">
        <v>0</v>
      </c>
      <c r="F425" s="240">
        <v>0</v>
      </c>
      <c r="G425" s="241">
        <v>0.19913563756517849</v>
      </c>
      <c r="H425" s="241">
        <v>1.2041176796034745</v>
      </c>
      <c r="I425" s="241">
        <v>2.2342255231531185</v>
      </c>
      <c r="J425" s="241">
        <v>3.2900903682093601</v>
      </c>
      <c r="K425" s="241">
        <v>5.3723515628155143</v>
      </c>
      <c r="L425" s="241">
        <v>10.494102389324194</v>
      </c>
    </row>
    <row r="426" spans="1:12" ht="15.75" thickBot="1">
      <c r="B426" s="316"/>
      <c r="C426" s="242" t="s">
        <v>2861</v>
      </c>
      <c r="D426" s="242" t="s">
        <v>2</v>
      </c>
      <c r="E426" s="243">
        <v>0</v>
      </c>
      <c r="F426" s="243">
        <v>0</v>
      </c>
      <c r="G426" s="244">
        <v>5.8037707251626749</v>
      </c>
      <c r="H426" s="244">
        <v>42.307733443615199</v>
      </c>
      <c r="I426" s="244">
        <v>137.12237673639899</v>
      </c>
      <c r="J426" s="244">
        <v>266.66270406879693</v>
      </c>
      <c r="K426" s="244">
        <v>345.99520366438639</v>
      </c>
      <c r="L426" s="244">
        <v>283.90468885114706</v>
      </c>
    </row>
    <row r="427" spans="1:12" ht="15.75" thickBot="1">
      <c r="B427" s="317" t="s">
        <v>2863</v>
      </c>
      <c r="C427" s="242" t="s">
        <v>2860</v>
      </c>
      <c r="D427" s="242" t="s">
        <v>2864</v>
      </c>
      <c r="E427" s="243">
        <v>0</v>
      </c>
      <c r="F427" s="243">
        <v>0</v>
      </c>
      <c r="G427" s="245">
        <v>3.9827127513035701E-2</v>
      </c>
      <c r="H427" s="245">
        <v>0.2009964084076592</v>
      </c>
      <c r="I427" s="245">
        <v>0.2060215687099288</v>
      </c>
      <c r="J427" s="245">
        <v>0.21117296901124832</v>
      </c>
      <c r="K427" s="245">
        <v>0.41645223892123084</v>
      </c>
      <c r="L427" s="245">
        <v>1.0243501653017359</v>
      </c>
    </row>
    <row r="428" spans="1:12" ht="15.75" thickBot="1">
      <c r="B428" s="318"/>
      <c r="C428" s="246" t="s">
        <v>2861</v>
      </c>
      <c r="D428" s="246" t="s">
        <v>2864</v>
      </c>
      <c r="E428" s="247">
        <v>0</v>
      </c>
      <c r="F428" s="247">
        <v>0</v>
      </c>
      <c r="G428" s="248">
        <v>1.1607541450325349</v>
      </c>
      <c r="H428" s="248">
        <v>7.3007925436905055</v>
      </c>
      <c r="I428" s="248">
        <v>18.962928658556756</v>
      </c>
      <c r="J428" s="248">
        <v>25.908065466479588</v>
      </c>
      <c r="K428" s="248">
        <v>15.866499919117894</v>
      </c>
      <c r="L428" s="247">
        <v>0</v>
      </c>
    </row>
    <row r="429" spans="1:12" ht="15.75" thickBot="1">
      <c r="B429" s="304" t="s">
        <v>2865</v>
      </c>
      <c r="C429" s="246" t="s">
        <v>2866</v>
      </c>
      <c r="D429" s="246" t="s">
        <v>2855</v>
      </c>
      <c r="E429" s="249">
        <v>2.8000000000000001E-2</v>
      </c>
      <c r="F429" s="249">
        <v>2.8000000000000001E-2</v>
      </c>
      <c r="G429" s="249">
        <v>2.8000000000000001E-2</v>
      </c>
      <c r="H429" s="249">
        <v>2.8000000000000001E-2</v>
      </c>
      <c r="I429" s="249">
        <v>2.8000000000000001E-2</v>
      </c>
      <c r="J429" s="249">
        <v>2.8000000000000001E-2</v>
      </c>
      <c r="K429" s="249">
        <v>2.8000000000000001E-2</v>
      </c>
      <c r="L429" s="249">
        <v>2.8000000000000001E-2</v>
      </c>
    </row>
    <row r="430" spans="1:12" ht="15.75" thickBot="1">
      <c r="B430" s="305"/>
      <c r="C430" s="242" t="s">
        <v>2867</v>
      </c>
      <c r="D430" s="242" t="s">
        <v>2855</v>
      </c>
      <c r="E430" s="251">
        <v>4.3999999999999997E-2</v>
      </c>
      <c r="F430" s="251">
        <v>4.3999999999999997E-2</v>
      </c>
      <c r="G430" s="251">
        <v>4.3999999999999997E-2</v>
      </c>
      <c r="H430" s="251">
        <v>4.3999999999999997E-2</v>
      </c>
      <c r="I430" s="251">
        <v>4.3999999999999997E-2</v>
      </c>
      <c r="J430" s="251">
        <v>4.3999999999999997E-2</v>
      </c>
      <c r="K430" s="251">
        <v>4.3999999999999997E-2</v>
      </c>
      <c r="L430" s="251">
        <v>4.3999999999999997E-2</v>
      </c>
    </row>
    <row r="431" spans="1:12" ht="15.75" thickBot="1">
      <c r="B431" s="306"/>
      <c r="C431" s="246" t="s">
        <v>2868</v>
      </c>
      <c r="D431" s="246" t="s">
        <v>2855</v>
      </c>
      <c r="E431" s="249">
        <v>1.4E-2</v>
      </c>
      <c r="F431" s="249">
        <v>1.4E-2</v>
      </c>
      <c r="G431" s="249">
        <v>1.4E-2</v>
      </c>
      <c r="H431" s="249">
        <v>1.4E-2</v>
      </c>
      <c r="I431" s="249">
        <v>1.4E-2</v>
      </c>
      <c r="J431" s="249">
        <v>1.4E-2</v>
      </c>
      <c r="K431" s="249">
        <v>1.4E-2</v>
      </c>
      <c r="L431" s="249">
        <v>1.4E-2</v>
      </c>
    </row>
    <row r="432" spans="1:12" ht="15.75" thickBot="1">
      <c r="B432" s="253" t="s">
        <v>2869</v>
      </c>
      <c r="C432" s="242" t="s">
        <v>2870</v>
      </c>
      <c r="D432" s="242" t="s">
        <v>2854</v>
      </c>
      <c r="E432" s="243">
        <v>40</v>
      </c>
      <c r="F432" s="243">
        <v>40</v>
      </c>
      <c r="G432" s="243">
        <v>40</v>
      </c>
      <c r="H432" s="243">
        <v>40</v>
      </c>
      <c r="I432" s="243">
        <v>40</v>
      </c>
      <c r="J432" s="243">
        <v>40</v>
      </c>
      <c r="K432" s="243">
        <v>40</v>
      </c>
      <c r="L432" s="243">
        <v>40</v>
      </c>
    </row>
    <row r="434" spans="1:12" ht="15.75" thickBot="1">
      <c r="B434" s="156" t="s">
        <v>2931</v>
      </c>
    </row>
    <row r="435" spans="1:12" ht="15.75" thickBot="1">
      <c r="B435" s="319"/>
      <c r="C435" s="320"/>
      <c r="D435" s="235" t="s">
        <v>0</v>
      </c>
      <c r="E435" s="236">
        <v>2015</v>
      </c>
      <c r="F435" s="236">
        <v>2020</v>
      </c>
      <c r="G435" s="236">
        <v>2030</v>
      </c>
      <c r="H435" s="236">
        <v>2040</v>
      </c>
      <c r="I435" s="236">
        <v>2050</v>
      </c>
    </row>
    <row r="436" spans="1:12" ht="16.5" thickTop="1" thickBot="1">
      <c r="B436" s="309" t="s">
        <v>2873</v>
      </c>
      <c r="C436" s="239" t="s">
        <v>2860</v>
      </c>
      <c r="D436" s="239" t="s">
        <v>2874</v>
      </c>
      <c r="E436" s="276" t="s">
        <v>2870</v>
      </c>
      <c r="F436" s="240" t="s">
        <v>2870</v>
      </c>
      <c r="G436" s="240">
        <v>2710</v>
      </c>
      <c r="H436" s="240">
        <v>2600</v>
      </c>
      <c r="I436" s="240">
        <v>2480</v>
      </c>
    </row>
    <row r="437" spans="1:12" ht="15.75" thickBot="1">
      <c r="A437" t="s">
        <v>2932</v>
      </c>
      <c r="B437" s="310"/>
      <c r="C437" s="258" t="s">
        <v>2861</v>
      </c>
      <c r="D437" s="258" t="s">
        <v>2874</v>
      </c>
      <c r="E437" s="277"/>
      <c r="F437" s="259" t="s">
        <v>2870</v>
      </c>
      <c r="G437" s="259">
        <v>2690</v>
      </c>
      <c r="H437" s="259">
        <v>2490</v>
      </c>
      <c r="I437" s="259">
        <v>2470</v>
      </c>
    </row>
    <row r="438" spans="1:12" ht="15.75" thickBot="1">
      <c r="B438" s="310"/>
      <c r="C438" s="239" t="s">
        <v>2875</v>
      </c>
      <c r="D438" s="239" t="s">
        <v>2874</v>
      </c>
      <c r="E438" s="277"/>
      <c r="F438" s="240" t="s">
        <v>2870</v>
      </c>
      <c r="G438" s="240">
        <v>2560</v>
      </c>
      <c r="H438" s="240">
        <v>2270</v>
      </c>
      <c r="I438" s="240">
        <v>2240</v>
      </c>
    </row>
    <row r="439" spans="1:12" ht="15.75" thickBot="1">
      <c r="B439" s="311"/>
      <c r="C439" s="258" t="s">
        <v>2876</v>
      </c>
      <c r="D439" s="258" t="s">
        <v>2874</v>
      </c>
      <c r="E439" s="278"/>
      <c r="F439" s="259" t="s">
        <v>2870</v>
      </c>
      <c r="G439" s="259">
        <v>2810</v>
      </c>
      <c r="H439" s="259">
        <v>2750</v>
      </c>
      <c r="I439" s="259">
        <v>2690</v>
      </c>
    </row>
    <row r="440" spans="1:12" ht="15.75" thickBot="1">
      <c r="B440" s="260" t="s">
        <v>2877</v>
      </c>
      <c r="C440" s="239" t="s">
        <v>2870</v>
      </c>
      <c r="D440" s="239" t="s">
        <v>2933</v>
      </c>
      <c r="E440" s="261">
        <v>2.3E-2</v>
      </c>
      <c r="F440" s="261">
        <v>2.3E-2</v>
      </c>
      <c r="G440" s="261">
        <v>2.3E-2</v>
      </c>
      <c r="H440" s="261">
        <v>2.3E-2</v>
      </c>
      <c r="I440" s="261">
        <v>2.3E-2</v>
      </c>
    </row>
    <row r="443" spans="1:12" ht="15.75" thickBot="1">
      <c r="B443" s="156" t="s">
        <v>2934</v>
      </c>
    </row>
    <row r="444" spans="1:12" ht="15.75" thickBot="1">
      <c r="B444" s="307"/>
      <c r="C444" s="308"/>
      <c r="D444" s="235" t="s">
        <v>0</v>
      </c>
      <c r="E444" s="236">
        <v>2015</v>
      </c>
      <c r="F444" s="236">
        <v>2020</v>
      </c>
      <c r="G444" s="236">
        <v>2025</v>
      </c>
      <c r="H444" s="236">
        <v>2030</v>
      </c>
      <c r="I444" s="236">
        <v>2035</v>
      </c>
      <c r="J444" s="236">
        <v>2040</v>
      </c>
      <c r="K444" s="236">
        <v>2045</v>
      </c>
      <c r="L444" s="236">
        <v>2050</v>
      </c>
    </row>
    <row r="445" spans="1:12" ht="16.5" thickTop="1" thickBot="1">
      <c r="B445" s="315" t="s">
        <v>2912</v>
      </c>
      <c r="C445" s="239" t="s">
        <v>2860</v>
      </c>
      <c r="D445" s="239" t="s">
        <v>2</v>
      </c>
      <c r="E445" s="240">
        <v>0</v>
      </c>
      <c r="F445" s="240">
        <v>0</v>
      </c>
      <c r="G445" s="241">
        <v>0.19913563756517849</v>
      </c>
      <c r="H445" s="241">
        <v>1.2041176796034745</v>
      </c>
      <c r="I445" s="241">
        <v>2.2342255231531185</v>
      </c>
      <c r="J445" s="241">
        <v>3.2900903682093601</v>
      </c>
      <c r="K445" s="241">
        <v>5.3723515628155143</v>
      </c>
      <c r="L445" s="241">
        <v>10.494102389324194</v>
      </c>
    </row>
    <row r="446" spans="1:12" ht="15.75" thickBot="1">
      <c r="B446" s="316"/>
      <c r="C446" s="242" t="s">
        <v>2861</v>
      </c>
      <c r="D446" s="242" t="s">
        <v>2</v>
      </c>
      <c r="E446" s="243">
        <v>0</v>
      </c>
      <c r="F446" s="243">
        <v>0</v>
      </c>
      <c r="G446" s="244">
        <v>5.8037707251626749</v>
      </c>
      <c r="H446" s="244">
        <v>42.307733443615199</v>
      </c>
      <c r="I446" s="244">
        <v>137.12237673639899</v>
      </c>
      <c r="J446" s="244">
        <v>266.66270406879693</v>
      </c>
      <c r="K446" s="244">
        <v>345.99520366438639</v>
      </c>
      <c r="L446" s="244">
        <v>283.90468885114706</v>
      </c>
    </row>
    <row r="447" spans="1:12" ht="15.75" thickBot="1">
      <c r="B447" s="317" t="s">
        <v>2863</v>
      </c>
      <c r="C447" s="242" t="s">
        <v>2860</v>
      </c>
      <c r="D447" s="242" t="s">
        <v>2864</v>
      </c>
      <c r="E447" s="243">
        <v>0</v>
      </c>
      <c r="F447" s="243">
        <v>0</v>
      </c>
      <c r="G447" s="245">
        <v>3.9827127513035701E-2</v>
      </c>
      <c r="H447" s="245">
        <v>0.2009964084076592</v>
      </c>
      <c r="I447" s="245">
        <v>0.2060215687099288</v>
      </c>
      <c r="J447" s="245">
        <v>0.21117296901124832</v>
      </c>
      <c r="K447" s="245">
        <v>0.41645223892123084</v>
      </c>
      <c r="L447" s="245">
        <v>1.0243501653017359</v>
      </c>
    </row>
    <row r="448" spans="1:12" ht="15.75" thickBot="1">
      <c r="B448" s="318"/>
      <c r="C448" s="246" t="s">
        <v>2861</v>
      </c>
      <c r="D448" s="246" t="s">
        <v>2864</v>
      </c>
      <c r="E448" s="247">
        <v>0</v>
      </c>
      <c r="F448" s="247">
        <v>0</v>
      </c>
      <c r="G448" s="248">
        <v>1.1607541450325349</v>
      </c>
      <c r="H448" s="248">
        <v>7.3007925436905055</v>
      </c>
      <c r="I448" s="248">
        <v>18.962928658556756</v>
      </c>
      <c r="J448" s="248">
        <v>25.908065466479588</v>
      </c>
      <c r="K448" s="248">
        <v>15.866499919117894</v>
      </c>
      <c r="L448" s="247">
        <v>0</v>
      </c>
    </row>
    <row r="449" spans="1:12" ht="15.75" thickBot="1">
      <c r="B449" s="304" t="s">
        <v>2865</v>
      </c>
      <c r="C449" s="246" t="s">
        <v>2866</v>
      </c>
      <c r="D449" s="246" t="s">
        <v>2855</v>
      </c>
      <c r="E449" s="249">
        <v>0.05</v>
      </c>
      <c r="F449" s="249">
        <v>0.05</v>
      </c>
      <c r="G449" s="249">
        <v>0.05</v>
      </c>
      <c r="H449" s="249">
        <v>0.05</v>
      </c>
      <c r="I449" s="249">
        <v>0.05</v>
      </c>
      <c r="J449" s="249">
        <v>0.05</v>
      </c>
      <c r="K449" s="249">
        <v>0.05</v>
      </c>
      <c r="L449" s="249">
        <v>0.05</v>
      </c>
    </row>
    <row r="450" spans="1:12" ht="15.75" thickBot="1">
      <c r="B450" s="305"/>
      <c r="C450" s="242" t="s">
        <v>2867</v>
      </c>
      <c r="D450" s="242" t="s">
        <v>2855</v>
      </c>
      <c r="E450" s="251">
        <v>7.5999999999999998E-2</v>
      </c>
      <c r="F450" s="251">
        <v>7.5999999999999998E-2</v>
      </c>
      <c r="G450" s="251">
        <v>7.5999999999999998E-2</v>
      </c>
      <c r="H450" s="251">
        <v>7.5999999999999998E-2</v>
      </c>
      <c r="I450" s="251">
        <v>7.5999999999999998E-2</v>
      </c>
      <c r="J450" s="251">
        <v>7.5999999999999998E-2</v>
      </c>
      <c r="K450" s="251">
        <v>7.5999999999999998E-2</v>
      </c>
      <c r="L450" s="251">
        <v>7.5999999999999998E-2</v>
      </c>
    </row>
    <row r="451" spans="1:12" ht="15.75" thickBot="1">
      <c r="B451" s="306"/>
      <c r="C451" s="246" t="s">
        <v>2868</v>
      </c>
      <c r="D451" s="246" t="s">
        <v>2855</v>
      </c>
      <c r="E451" s="249">
        <v>2.5000000000000001E-2</v>
      </c>
      <c r="F451" s="249">
        <v>2.5000000000000001E-2</v>
      </c>
      <c r="G451" s="249">
        <v>2.5000000000000001E-2</v>
      </c>
      <c r="H451" s="249">
        <v>2.5000000000000001E-2</v>
      </c>
      <c r="I451" s="249">
        <v>2.5000000000000001E-2</v>
      </c>
      <c r="J451" s="249">
        <v>2.5000000000000001E-2</v>
      </c>
      <c r="K451" s="249">
        <v>2.5000000000000001E-2</v>
      </c>
      <c r="L451" s="249">
        <v>2.5000000000000001E-2</v>
      </c>
    </row>
    <row r="452" spans="1:12" ht="15.75" thickBot="1">
      <c r="B452" s="253" t="s">
        <v>2869</v>
      </c>
      <c r="C452" s="242" t="s">
        <v>2870</v>
      </c>
      <c r="D452" s="242" t="s">
        <v>2854</v>
      </c>
      <c r="E452" s="243">
        <v>40</v>
      </c>
      <c r="F452" s="243">
        <v>40</v>
      </c>
      <c r="G452" s="243">
        <v>40</v>
      </c>
      <c r="H452" s="243">
        <v>40</v>
      </c>
      <c r="I452" s="243">
        <v>40</v>
      </c>
      <c r="J452" s="243">
        <v>40</v>
      </c>
      <c r="K452" s="243">
        <v>40</v>
      </c>
      <c r="L452" s="243">
        <v>40</v>
      </c>
    </row>
    <row r="454" spans="1:12" ht="15.75" thickBot="1"/>
    <row r="455" spans="1:12" ht="15.75" thickBot="1">
      <c r="B455" s="307"/>
      <c r="C455" s="308"/>
      <c r="D455" s="235" t="s">
        <v>0</v>
      </c>
      <c r="E455" s="236">
        <v>2015</v>
      </c>
      <c r="F455" s="236">
        <v>2020</v>
      </c>
      <c r="G455" s="236">
        <v>2030</v>
      </c>
      <c r="H455" s="236">
        <v>2040</v>
      </c>
      <c r="I455" s="236">
        <v>2050</v>
      </c>
    </row>
    <row r="456" spans="1:12" ht="16.5" thickTop="1" thickBot="1">
      <c r="B456" s="309" t="s">
        <v>2873</v>
      </c>
      <c r="C456" s="239" t="s">
        <v>2860</v>
      </c>
      <c r="D456" s="239" t="s">
        <v>2874</v>
      </c>
      <c r="E456" s="276" t="s">
        <v>2870</v>
      </c>
      <c r="F456" s="240" t="s">
        <v>2870</v>
      </c>
      <c r="G456" s="240">
        <v>3920</v>
      </c>
      <c r="H456" s="240">
        <v>3640</v>
      </c>
      <c r="I456" s="240">
        <v>3340</v>
      </c>
    </row>
    <row r="457" spans="1:12" ht="15.75" thickBot="1">
      <c r="A457" t="s">
        <v>2935</v>
      </c>
      <c r="B457" s="310"/>
      <c r="C457" s="258" t="s">
        <v>2861</v>
      </c>
      <c r="D457" s="258" t="s">
        <v>2874</v>
      </c>
      <c r="E457" s="277"/>
      <c r="F457" s="259" t="s">
        <v>2870</v>
      </c>
      <c r="G457" s="259">
        <v>3870</v>
      </c>
      <c r="H457" s="259">
        <v>3380</v>
      </c>
      <c r="I457" s="259">
        <v>3310</v>
      </c>
    </row>
    <row r="458" spans="1:12" ht="15.75" thickBot="1">
      <c r="B458" s="310"/>
      <c r="C458" s="239" t="s">
        <v>2875</v>
      </c>
      <c r="D458" s="239" t="s">
        <v>2874</v>
      </c>
      <c r="E458" s="277"/>
      <c r="F458" s="240" t="s">
        <v>2870</v>
      </c>
      <c r="G458" s="240">
        <v>3570</v>
      </c>
      <c r="H458" s="240">
        <v>2900</v>
      </c>
      <c r="I458" s="240">
        <v>2810</v>
      </c>
    </row>
    <row r="459" spans="1:12" ht="15.75" thickBot="1">
      <c r="B459" s="311"/>
      <c r="C459" s="258" t="s">
        <v>2876</v>
      </c>
      <c r="D459" s="258" t="s">
        <v>2874</v>
      </c>
      <c r="E459" s="278"/>
      <c r="F459" s="259" t="s">
        <v>2870</v>
      </c>
      <c r="G459" s="259">
        <v>4200</v>
      </c>
      <c r="H459" s="259">
        <v>4040</v>
      </c>
      <c r="I459" s="259">
        <v>3880</v>
      </c>
    </row>
    <row r="460" spans="1:12" ht="15.75" thickBot="1">
      <c r="B460" s="260" t="s">
        <v>2877</v>
      </c>
      <c r="C460" s="239" t="s">
        <v>2870</v>
      </c>
      <c r="D460" s="239" t="s">
        <v>2878</v>
      </c>
      <c r="E460" s="261">
        <v>2.1999999999999999E-2</v>
      </c>
      <c r="F460" s="261">
        <v>2.1999999999999999E-2</v>
      </c>
      <c r="G460" s="261">
        <v>2.1999999999999999E-2</v>
      </c>
      <c r="H460" s="261">
        <v>2.1999999999999999E-2</v>
      </c>
      <c r="I460" s="261">
        <v>2.1999999999999999E-2</v>
      </c>
    </row>
    <row r="464" spans="1:12" ht="15.75" thickBot="1">
      <c r="B464" s="156" t="s">
        <v>2936</v>
      </c>
    </row>
    <row r="465" spans="1:12" ht="15.75" thickBot="1">
      <c r="B465" s="307"/>
      <c r="C465" s="308"/>
      <c r="D465" s="235" t="s">
        <v>0</v>
      </c>
      <c r="E465" s="236">
        <v>2015</v>
      </c>
      <c r="F465" s="236">
        <v>2020</v>
      </c>
      <c r="G465" s="236">
        <v>2025</v>
      </c>
      <c r="H465" s="236">
        <v>2030</v>
      </c>
      <c r="I465" s="236">
        <v>2035</v>
      </c>
      <c r="J465" s="236">
        <v>2040</v>
      </c>
      <c r="K465" s="236">
        <v>2045</v>
      </c>
      <c r="L465" s="236">
        <v>2050</v>
      </c>
    </row>
    <row r="466" spans="1:12" ht="16.5" thickTop="1" thickBot="1">
      <c r="B466" s="315" t="s">
        <v>2912</v>
      </c>
      <c r="C466" s="239" t="s">
        <v>2860</v>
      </c>
      <c r="D466" s="239" t="s">
        <v>2</v>
      </c>
      <c r="E466" s="240">
        <v>0</v>
      </c>
      <c r="F466" s="240">
        <v>0</v>
      </c>
      <c r="G466" s="241">
        <v>0.19913563756517849</v>
      </c>
      <c r="H466" s="241">
        <v>1.2041176796034745</v>
      </c>
      <c r="I466" s="241">
        <v>2.2342255231531185</v>
      </c>
      <c r="J466" s="241">
        <v>3.2900903682093601</v>
      </c>
      <c r="K466" s="241">
        <v>5.3723515628155143</v>
      </c>
      <c r="L466" s="241">
        <v>10.494102389324194</v>
      </c>
    </row>
    <row r="467" spans="1:12" ht="15.75" thickBot="1">
      <c r="B467" s="316"/>
      <c r="C467" s="242" t="s">
        <v>2861</v>
      </c>
      <c r="D467" s="242" t="s">
        <v>2</v>
      </c>
      <c r="E467" s="243">
        <v>0</v>
      </c>
      <c r="F467" s="243">
        <v>0</v>
      </c>
      <c r="G467" s="244">
        <v>5.8037707251626749</v>
      </c>
      <c r="H467" s="244">
        <v>42.307733443615199</v>
      </c>
      <c r="I467" s="244">
        <v>137.12237673639899</v>
      </c>
      <c r="J467" s="244">
        <v>266.66270406879693</v>
      </c>
      <c r="K467" s="244">
        <v>345.99520366438639</v>
      </c>
      <c r="L467" s="244">
        <v>283.90468885114706</v>
      </c>
    </row>
    <row r="468" spans="1:12" ht="15.75" thickBot="1">
      <c r="B468" s="317" t="s">
        <v>2863</v>
      </c>
      <c r="C468" s="242" t="s">
        <v>2860</v>
      </c>
      <c r="D468" s="242" t="s">
        <v>2864</v>
      </c>
      <c r="E468" s="243">
        <v>0</v>
      </c>
      <c r="F468" s="243">
        <v>0</v>
      </c>
      <c r="G468" s="245">
        <v>3.9827127513035701E-2</v>
      </c>
      <c r="H468" s="245">
        <v>0.2009964084076592</v>
      </c>
      <c r="I468" s="245">
        <v>0.2060215687099288</v>
      </c>
      <c r="J468" s="245">
        <v>0.21117296901124832</v>
      </c>
      <c r="K468" s="245">
        <v>0.41645223892123084</v>
      </c>
      <c r="L468" s="245">
        <v>1.0243501653017359</v>
      </c>
    </row>
    <row r="469" spans="1:12" ht="15.75" thickBot="1">
      <c r="B469" s="318"/>
      <c r="C469" s="246" t="s">
        <v>2861</v>
      </c>
      <c r="D469" s="246" t="s">
        <v>2864</v>
      </c>
      <c r="E469" s="247">
        <v>0</v>
      </c>
      <c r="F469" s="247">
        <v>0</v>
      </c>
      <c r="G469" s="248">
        <v>1.1607541450325349</v>
      </c>
      <c r="H469" s="248">
        <v>7.3007925436905055</v>
      </c>
      <c r="I469" s="248">
        <v>18.962928658556756</v>
      </c>
      <c r="J469" s="248">
        <v>25.908065466479588</v>
      </c>
      <c r="K469" s="248">
        <v>15.866499919117894</v>
      </c>
      <c r="L469" s="247">
        <v>0</v>
      </c>
    </row>
    <row r="470" spans="1:12" ht="15.75" thickBot="1">
      <c r="B470" s="304" t="s">
        <v>2865</v>
      </c>
      <c r="C470" s="246" t="s">
        <v>2866</v>
      </c>
      <c r="D470" s="246" t="s">
        <v>2855</v>
      </c>
      <c r="E470" s="249">
        <v>0.05</v>
      </c>
      <c r="F470" s="249">
        <v>0.05</v>
      </c>
      <c r="G470" s="249">
        <v>0.05</v>
      </c>
      <c r="H470" s="249">
        <v>0.05</v>
      </c>
      <c r="I470" s="249">
        <v>0.05</v>
      </c>
      <c r="J470" s="249">
        <v>0.05</v>
      </c>
      <c r="K470" s="249">
        <v>0.05</v>
      </c>
      <c r="L470" s="249">
        <v>0.05</v>
      </c>
    </row>
    <row r="471" spans="1:12" ht="15.75" thickBot="1">
      <c r="B471" s="305"/>
      <c r="C471" s="242" t="s">
        <v>2867</v>
      </c>
      <c r="D471" s="242" t="s">
        <v>2855</v>
      </c>
      <c r="E471" s="251">
        <v>7.5999999999999998E-2</v>
      </c>
      <c r="F471" s="251">
        <v>7.5999999999999998E-2</v>
      </c>
      <c r="G471" s="251">
        <v>7.5999999999999998E-2</v>
      </c>
      <c r="H471" s="251">
        <v>7.5999999999999998E-2</v>
      </c>
      <c r="I471" s="251">
        <v>7.5999999999999998E-2</v>
      </c>
      <c r="J471" s="251">
        <v>7.5999999999999998E-2</v>
      </c>
      <c r="K471" s="251">
        <v>7.5999999999999998E-2</v>
      </c>
      <c r="L471" s="251">
        <v>7.5999999999999998E-2</v>
      </c>
    </row>
    <row r="472" spans="1:12" ht="15.75" thickBot="1">
      <c r="B472" s="306"/>
      <c r="C472" s="246" t="s">
        <v>2868</v>
      </c>
      <c r="D472" s="246" t="s">
        <v>2855</v>
      </c>
      <c r="E472" s="249">
        <v>2.5000000000000001E-2</v>
      </c>
      <c r="F472" s="249">
        <v>2.5000000000000001E-2</v>
      </c>
      <c r="G472" s="249">
        <v>2.5000000000000001E-2</v>
      </c>
      <c r="H472" s="249">
        <v>2.5000000000000001E-2</v>
      </c>
      <c r="I472" s="249">
        <v>2.5000000000000001E-2</v>
      </c>
      <c r="J472" s="249">
        <v>2.5000000000000001E-2</v>
      </c>
      <c r="K472" s="249">
        <v>2.5000000000000001E-2</v>
      </c>
      <c r="L472" s="249">
        <v>2.5000000000000001E-2</v>
      </c>
    </row>
    <row r="473" spans="1:12" ht="15.75" thickBot="1">
      <c r="B473" s="253" t="s">
        <v>2869</v>
      </c>
      <c r="C473" s="242" t="s">
        <v>2870</v>
      </c>
      <c r="D473" s="242" t="s">
        <v>2854</v>
      </c>
      <c r="E473" s="243">
        <v>40</v>
      </c>
      <c r="F473" s="243">
        <v>40</v>
      </c>
      <c r="G473" s="243">
        <v>40</v>
      </c>
      <c r="H473" s="243">
        <v>40</v>
      </c>
      <c r="I473" s="243">
        <v>40</v>
      </c>
      <c r="J473" s="243">
        <v>40</v>
      </c>
      <c r="K473" s="243">
        <v>40</v>
      </c>
      <c r="L473" s="243">
        <v>40</v>
      </c>
    </row>
    <row r="475" spans="1:12" ht="15.75" thickBot="1"/>
    <row r="476" spans="1:12" ht="15.75" thickBot="1">
      <c r="B476" s="307"/>
      <c r="C476" s="308"/>
      <c r="D476" s="235" t="s">
        <v>0</v>
      </c>
      <c r="E476" s="236">
        <v>2015</v>
      </c>
      <c r="F476" s="236">
        <v>2020</v>
      </c>
      <c r="G476" s="236">
        <v>2030</v>
      </c>
      <c r="H476" s="236">
        <v>2040</v>
      </c>
      <c r="I476" s="236">
        <v>2050</v>
      </c>
    </row>
    <row r="477" spans="1:12" ht="16.5" thickTop="1" thickBot="1">
      <c r="B477" s="309" t="s">
        <v>2873</v>
      </c>
      <c r="C477" s="239" t="s">
        <v>2860</v>
      </c>
      <c r="D477" s="239" t="s">
        <v>2874</v>
      </c>
      <c r="E477" s="276" t="s">
        <v>2870</v>
      </c>
      <c r="F477" s="240" t="s">
        <v>2870</v>
      </c>
      <c r="G477" s="240">
        <v>2580</v>
      </c>
      <c r="H477" s="240">
        <v>2390</v>
      </c>
      <c r="I477" s="240">
        <v>2200</v>
      </c>
    </row>
    <row r="478" spans="1:12" ht="15.75" thickBot="1">
      <c r="A478" t="s">
        <v>2937</v>
      </c>
      <c r="B478" s="310"/>
      <c r="C478" s="258" t="s">
        <v>2861</v>
      </c>
      <c r="D478" s="258" t="s">
        <v>2874</v>
      </c>
      <c r="E478" s="277"/>
      <c r="F478" s="259" t="s">
        <v>2870</v>
      </c>
      <c r="G478" s="259">
        <v>2540</v>
      </c>
      <c r="H478" s="259">
        <v>2220</v>
      </c>
      <c r="I478" s="259">
        <v>2180</v>
      </c>
    </row>
    <row r="479" spans="1:12" ht="15.75" thickBot="1">
      <c r="B479" s="310"/>
      <c r="C479" s="239" t="s">
        <v>2875</v>
      </c>
      <c r="D479" s="239" t="s">
        <v>2874</v>
      </c>
      <c r="E479" s="277"/>
      <c r="F479" s="240" t="s">
        <v>2870</v>
      </c>
      <c r="G479" s="240">
        <v>2350</v>
      </c>
      <c r="H479" s="240">
        <v>1900</v>
      </c>
      <c r="I479" s="240">
        <v>1850</v>
      </c>
    </row>
    <row r="480" spans="1:12" ht="15.75" thickBot="1">
      <c r="B480" s="311"/>
      <c r="C480" s="258" t="s">
        <v>2876</v>
      </c>
      <c r="D480" s="258" t="s">
        <v>2874</v>
      </c>
      <c r="E480" s="278"/>
      <c r="F480" s="259" t="s">
        <v>2870</v>
      </c>
      <c r="G480" s="259">
        <v>2760</v>
      </c>
      <c r="H480" s="259">
        <v>2660</v>
      </c>
      <c r="I480" s="259">
        <v>2550</v>
      </c>
    </row>
    <row r="481" spans="2:12" ht="15.75" thickBot="1">
      <c r="B481" s="260" t="s">
        <v>2877</v>
      </c>
      <c r="C481" s="239" t="s">
        <v>2870</v>
      </c>
      <c r="D481" s="239" t="s">
        <v>2878</v>
      </c>
      <c r="E481" s="279">
        <v>0.03</v>
      </c>
      <c r="F481" s="279">
        <v>0.03</v>
      </c>
      <c r="G481" s="279">
        <v>0.03</v>
      </c>
      <c r="H481" s="279">
        <v>0.03</v>
      </c>
      <c r="I481" s="279">
        <v>0.03</v>
      </c>
    </row>
    <row r="484" spans="2:12" ht="15.75" thickBot="1">
      <c r="B484" s="156" t="s">
        <v>2911</v>
      </c>
    </row>
    <row r="485" spans="2:12" ht="15.75" thickBot="1">
      <c r="B485" s="307"/>
      <c r="C485" s="308"/>
      <c r="D485" s="235" t="s">
        <v>0</v>
      </c>
      <c r="E485" s="236">
        <v>2015</v>
      </c>
      <c r="F485" s="236">
        <v>2020</v>
      </c>
      <c r="G485" s="236">
        <v>2025</v>
      </c>
      <c r="H485" s="236">
        <v>2030</v>
      </c>
      <c r="I485" s="236">
        <v>2035</v>
      </c>
      <c r="J485" s="236">
        <v>2040</v>
      </c>
      <c r="K485" s="236">
        <v>2045</v>
      </c>
      <c r="L485" s="236">
        <v>2050</v>
      </c>
    </row>
    <row r="486" spans="2:12" ht="16.5" thickTop="1" thickBot="1">
      <c r="B486" s="315" t="s">
        <v>2912</v>
      </c>
      <c r="C486" s="239" t="s">
        <v>2860</v>
      </c>
      <c r="D486" s="239" t="s">
        <v>2</v>
      </c>
      <c r="E486" s="240">
        <v>0</v>
      </c>
      <c r="F486" s="240">
        <v>0</v>
      </c>
      <c r="G486" s="241">
        <v>0</v>
      </c>
      <c r="H486" s="241">
        <v>0</v>
      </c>
      <c r="I486" s="241">
        <v>0</v>
      </c>
      <c r="J486" s="241">
        <v>0</v>
      </c>
      <c r="K486" s="241">
        <v>0</v>
      </c>
      <c r="L486" s="241">
        <v>0</v>
      </c>
    </row>
    <row r="487" spans="2:12" ht="15.75" thickBot="1">
      <c r="B487" s="316"/>
      <c r="C487" s="242" t="s">
        <v>2861</v>
      </c>
      <c r="D487" s="242" t="s">
        <v>2</v>
      </c>
      <c r="E487" s="243">
        <v>0</v>
      </c>
      <c r="F487" s="243">
        <v>0</v>
      </c>
      <c r="G487" s="244">
        <v>0.62264256674459195</v>
      </c>
      <c r="H487" s="244">
        <v>1.7351723192051325</v>
      </c>
      <c r="I487" s="244">
        <v>9.3802299787015944</v>
      </c>
      <c r="J487" s="244">
        <v>33.990951744409692</v>
      </c>
      <c r="K487" s="244">
        <v>99.675024209872902</v>
      </c>
      <c r="L487" s="244">
        <v>162.22484843324102</v>
      </c>
    </row>
    <row r="488" spans="2:12" ht="15.75" thickBot="1">
      <c r="B488" s="317" t="s">
        <v>2863</v>
      </c>
      <c r="C488" s="242" t="s">
        <v>2860</v>
      </c>
      <c r="D488" s="242" t="s">
        <v>2864</v>
      </c>
      <c r="E488" s="243">
        <v>0</v>
      </c>
      <c r="F488" s="243">
        <v>0</v>
      </c>
      <c r="G488" s="245">
        <v>0</v>
      </c>
      <c r="H488" s="245">
        <v>0</v>
      </c>
      <c r="I488" s="245">
        <v>0</v>
      </c>
      <c r="J488" s="245">
        <v>0</v>
      </c>
      <c r="K488" s="245">
        <v>0</v>
      </c>
      <c r="L488" s="245">
        <v>0</v>
      </c>
    </row>
    <row r="489" spans="2:12" ht="15.75" thickBot="1">
      <c r="B489" s="318"/>
      <c r="C489" s="246" t="s">
        <v>2861</v>
      </c>
      <c r="D489" s="246" t="s">
        <v>2864</v>
      </c>
      <c r="E489" s="247">
        <v>0</v>
      </c>
      <c r="F489" s="247">
        <v>0</v>
      </c>
      <c r="G489" s="248">
        <v>0.12452851334891839</v>
      </c>
      <c r="H489" s="248">
        <v>0.22250595049210808</v>
      </c>
      <c r="I489" s="248">
        <v>1.5290115318992925</v>
      </c>
      <c r="J489" s="248">
        <v>4.9221443531416202</v>
      </c>
      <c r="K489" s="248">
        <v>13.261343006441559</v>
      </c>
      <c r="L489" s="248">
        <v>12.732470795165733</v>
      </c>
    </row>
    <row r="490" spans="2:12" ht="15.75" thickBot="1">
      <c r="B490" s="304" t="s">
        <v>2865</v>
      </c>
      <c r="C490" s="246" t="s">
        <v>2866</v>
      </c>
      <c r="D490" s="246" t="s">
        <v>2855</v>
      </c>
      <c r="E490" s="249">
        <v>0.05</v>
      </c>
      <c r="F490" s="249">
        <v>0.05</v>
      </c>
      <c r="G490" s="249">
        <v>0.05</v>
      </c>
      <c r="H490" s="249">
        <v>0.05</v>
      </c>
      <c r="I490" s="249">
        <v>0.05</v>
      </c>
      <c r="J490" s="249">
        <v>0.05</v>
      </c>
      <c r="K490" s="249">
        <v>0.05</v>
      </c>
      <c r="L490" s="249">
        <v>0.05</v>
      </c>
    </row>
    <row r="491" spans="2:12" ht="15.75" thickBot="1">
      <c r="B491" s="305"/>
      <c r="C491" s="242" t="s">
        <v>2867</v>
      </c>
      <c r="D491" s="242" t="s">
        <v>2855</v>
      </c>
      <c r="E491" s="251">
        <v>7.5999999999999998E-2</v>
      </c>
      <c r="F491" s="251">
        <v>7.5999999999999998E-2</v>
      </c>
      <c r="G491" s="251">
        <v>7.5999999999999998E-2</v>
      </c>
      <c r="H491" s="251">
        <v>7.5999999999999998E-2</v>
      </c>
      <c r="I491" s="251">
        <v>7.5999999999999998E-2</v>
      </c>
      <c r="J491" s="251">
        <v>7.5999999999999998E-2</v>
      </c>
      <c r="K491" s="251">
        <v>7.5999999999999998E-2</v>
      </c>
      <c r="L491" s="251">
        <v>7.5999999999999998E-2</v>
      </c>
    </row>
    <row r="492" spans="2:12" ht="15.75" thickBot="1">
      <c r="B492" s="306"/>
      <c r="C492" s="246" t="s">
        <v>2868</v>
      </c>
      <c r="D492" s="246" t="s">
        <v>2855</v>
      </c>
      <c r="E492" s="249">
        <v>2.5000000000000001E-2</v>
      </c>
      <c r="F492" s="249">
        <v>2.5000000000000001E-2</v>
      </c>
      <c r="G492" s="249">
        <v>2.5000000000000001E-2</v>
      </c>
      <c r="H492" s="249">
        <v>2.5000000000000001E-2</v>
      </c>
      <c r="I492" s="249">
        <v>2.5000000000000001E-2</v>
      </c>
      <c r="J492" s="249">
        <v>2.5000000000000001E-2</v>
      </c>
      <c r="K492" s="249">
        <v>2.5000000000000001E-2</v>
      </c>
      <c r="L492" s="249">
        <v>2.5000000000000001E-2</v>
      </c>
    </row>
    <row r="493" spans="2:12" ht="15.75" thickBot="1">
      <c r="B493" s="253" t="s">
        <v>2869</v>
      </c>
      <c r="C493" s="242" t="s">
        <v>2870</v>
      </c>
      <c r="D493" s="242" t="s">
        <v>2854</v>
      </c>
      <c r="E493" s="243">
        <v>25</v>
      </c>
      <c r="F493" s="243">
        <v>25</v>
      </c>
      <c r="G493" s="243">
        <v>25</v>
      </c>
      <c r="H493" s="243">
        <v>25</v>
      </c>
      <c r="I493" s="243">
        <v>25</v>
      </c>
      <c r="J493" s="243">
        <v>25</v>
      </c>
      <c r="K493" s="243">
        <v>25</v>
      </c>
      <c r="L493" s="243">
        <v>25</v>
      </c>
    </row>
    <row r="496" spans="2:12" ht="15.75" thickBot="1">
      <c r="B496" s="156" t="s">
        <v>2938</v>
      </c>
    </row>
    <row r="497" spans="2:12" ht="15.75" thickBot="1">
      <c r="B497" s="307"/>
      <c r="C497" s="308"/>
      <c r="D497" s="235" t="s">
        <v>0</v>
      </c>
      <c r="E497" s="236">
        <v>2015</v>
      </c>
      <c r="F497" s="236">
        <v>2020</v>
      </c>
      <c r="G497" s="236">
        <v>2030</v>
      </c>
      <c r="H497" s="236">
        <v>2040</v>
      </c>
      <c r="I497" s="236">
        <v>2050</v>
      </c>
    </row>
    <row r="498" spans="2:12" ht="16.5" thickTop="1" thickBot="1">
      <c r="B498" s="309" t="s">
        <v>2873</v>
      </c>
      <c r="C498" s="239" t="s">
        <v>2860</v>
      </c>
      <c r="D498" s="239" t="s">
        <v>2874</v>
      </c>
      <c r="E498" s="312" t="s">
        <v>2870</v>
      </c>
      <c r="F498" s="240" t="s">
        <v>2870</v>
      </c>
      <c r="G498" s="240">
        <v>5800</v>
      </c>
      <c r="H498" s="240">
        <v>5800</v>
      </c>
      <c r="I498" s="240">
        <v>5800</v>
      </c>
    </row>
    <row r="499" spans="2:12" ht="15.75" thickBot="1">
      <c r="B499" s="310"/>
      <c r="C499" s="258" t="s">
        <v>2861</v>
      </c>
      <c r="D499" s="258" t="s">
        <v>2874</v>
      </c>
      <c r="E499" s="313"/>
      <c r="F499" s="259" t="s">
        <v>2870</v>
      </c>
      <c r="G499" s="259">
        <v>5380</v>
      </c>
      <c r="H499" s="259">
        <v>4310</v>
      </c>
      <c r="I499" s="259">
        <v>3840</v>
      </c>
    </row>
    <row r="500" spans="2:12" ht="15.75" thickBot="1">
      <c r="B500" s="310"/>
      <c r="C500" s="239" t="s">
        <v>2875</v>
      </c>
      <c r="D500" s="239" t="s">
        <v>2874</v>
      </c>
      <c r="E500" s="313"/>
      <c r="F500" s="240" t="s">
        <v>2870</v>
      </c>
      <c r="G500" s="240">
        <v>5160</v>
      </c>
      <c r="H500" s="240">
        <v>3680</v>
      </c>
      <c r="I500" s="240">
        <v>3070</v>
      </c>
    </row>
    <row r="501" spans="2:12" ht="15.75" thickBot="1">
      <c r="B501" s="311"/>
      <c r="C501" s="258" t="s">
        <v>2876</v>
      </c>
      <c r="D501" s="258" t="s">
        <v>2874</v>
      </c>
      <c r="E501" s="314"/>
      <c r="F501" s="259" t="s">
        <v>2870</v>
      </c>
      <c r="G501" s="259">
        <v>5800</v>
      </c>
      <c r="H501" s="259">
        <v>5800</v>
      </c>
      <c r="I501" s="259">
        <v>5800</v>
      </c>
    </row>
    <row r="502" spans="2:12" ht="15.75" thickBot="1">
      <c r="B502" s="260" t="s">
        <v>2877</v>
      </c>
      <c r="C502" s="239" t="s">
        <v>2870</v>
      </c>
      <c r="D502" s="239" t="s">
        <v>2878</v>
      </c>
      <c r="E502" s="261">
        <v>2.3E-2</v>
      </c>
      <c r="F502" s="261">
        <v>2.3E-2</v>
      </c>
      <c r="G502" s="261">
        <v>2.3E-2</v>
      </c>
      <c r="H502" s="261">
        <v>2.3E-2</v>
      </c>
      <c r="I502" s="261">
        <v>2.3E-2</v>
      </c>
    </row>
    <row r="504" spans="2:12" ht="15.75" thickBot="1">
      <c r="B504" s="156" t="s">
        <v>2910</v>
      </c>
    </row>
    <row r="505" spans="2:12" ht="15.75" thickBot="1">
      <c r="B505" s="307"/>
      <c r="C505" s="308"/>
      <c r="D505" s="235" t="s">
        <v>0</v>
      </c>
      <c r="E505" s="236">
        <v>2015</v>
      </c>
      <c r="F505" s="236">
        <v>2020</v>
      </c>
      <c r="G505" s="236">
        <v>2025</v>
      </c>
      <c r="H505" s="236">
        <v>2030</v>
      </c>
      <c r="I505" s="236">
        <v>2035</v>
      </c>
      <c r="J505" s="236">
        <v>2040</v>
      </c>
      <c r="K505" s="236">
        <v>2045</v>
      </c>
      <c r="L505" s="236">
        <v>2050</v>
      </c>
    </row>
    <row r="506" spans="2:12" ht="16.5" thickTop="1" thickBot="1">
      <c r="B506" s="315" t="s">
        <v>2912</v>
      </c>
      <c r="C506" s="239" t="s">
        <v>2860</v>
      </c>
      <c r="D506" s="239" t="s">
        <v>2</v>
      </c>
      <c r="E506" s="240">
        <v>0</v>
      </c>
      <c r="F506" s="240">
        <v>0</v>
      </c>
      <c r="G506" s="241">
        <v>0</v>
      </c>
      <c r="H506" s="241">
        <v>0</v>
      </c>
      <c r="I506" s="241">
        <v>0</v>
      </c>
      <c r="J506" s="241">
        <v>0</v>
      </c>
      <c r="K506" s="241">
        <v>0</v>
      </c>
      <c r="L506" s="241">
        <v>0</v>
      </c>
    </row>
    <row r="507" spans="2:12" ht="15.75" thickBot="1">
      <c r="B507" s="316"/>
      <c r="C507" s="242" t="s">
        <v>2861</v>
      </c>
      <c r="D507" s="242" t="s">
        <v>2</v>
      </c>
      <c r="E507" s="243">
        <v>0</v>
      </c>
      <c r="F507" s="243">
        <v>0</v>
      </c>
      <c r="G507" s="244">
        <v>1.7701245852722651</v>
      </c>
      <c r="H507" s="244">
        <v>21.700085846574652</v>
      </c>
      <c r="I507" s="244">
        <v>72.486296742580237</v>
      </c>
      <c r="J507" s="244">
        <v>145.73235723367094</v>
      </c>
      <c r="K507" s="244">
        <v>224.63400497370054</v>
      </c>
      <c r="L507" s="244">
        <v>285.93236709488298</v>
      </c>
    </row>
    <row r="508" spans="2:12" ht="15.75" thickBot="1">
      <c r="B508" s="317" t="s">
        <v>2863</v>
      </c>
      <c r="C508" s="242" t="s">
        <v>2860</v>
      </c>
      <c r="D508" s="242" t="s">
        <v>2864</v>
      </c>
      <c r="E508" s="243">
        <v>0</v>
      </c>
      <c r="F508" s="243">
        <v>0</v>
      </c>
      <c r="G508" s="245">
        <v>0</v>
      </c>
      <c r="H508" s="245">
        <v>0</v>
      </c>
      <c r="I508" s="245">
        <v>0</v>
      </c>
      <c r="J508" s="245">
        <v>0</v>
      </c>
      <c r="K508" s="245">
        <v>0</v>
      </c>
      <c r="L508" s="245">
        <v>0</v>
      </c>
    </row>
    <row r="509" spans="2:12" ht="15.75" thickBot="1">
      <c r="B509" s="318"/>
      <c r="C509" s="246" t="s">
        <v>2861</v>
      </c>
      <c r="D509" s="246" t="s">
        <v>2864</v>
      </c>
      <c r="E509" s="247">
        <v>0</v>
      </c>
      <c r="F509" s="247">
        <v>0</v>
      </c>
      <c r="G509" s="248">
        <v>0.35402491705445305</v>
      </c>
      <c r="H509" s="248">
        <v>3.9859922522604778</v>
      </c>
      <c r="I509" s="248">
        <v>10.157242179201116</v>
      </c>
      <c r="J509" s="248">
        <v>14.64921209821814</v>
      </c>
      <c r="K509" s="248">
        <v>15.78032954800592</v>
      </c>
      <c r="L509" s="248">
        <v>12.259672424236488</v>
      </c>
    </row>
    <row r="510" spans="2:12" ht="15.75" thickBot="1">
      <c r="B510" s="304" t="s">
        <v>2865</v>
      </c>
      <c r="C510" s="246" t="s">
        <v>2866</v>
      </c>
      <c r="D510" s="246" t="s">
        <v>2855</v>
      </c>
      <c r="E510" s="249">
        <v>2.1999999999999999E-2</v>
      </c>
      <c r="F510" s="249">
        <v>2.1999999999999999E-2</v>
      </c>
      <c r="G510" s="249">
        <v>2.1999999999999999E-2</v>
      </c>
      <c r="H510" s="249">
        <v>2.1999999999999999E-2</v>
      </c>
      <c r="I510" s="249">
        <v>2.1999999999999999E-2</v>
      </c>
      <c r="J510" s="249">
        <v>2.1999999999999999E-2</v>
      </c>
      <c r="K510" s="249">
        <v>2.1999999999999999E-2</v>
      </c>
      <c r="L510" s="249">
        <v>2.1999999999999999E-2</v>
      </c>
    </row>
    <row r="511" spans="2:12" ht="15.75" thickBot="1">
      <c r="B511" s="305"/>
      <c r="C511" s="242" t="s">
        <v>2867</v>
      </c>
      <c r="D511" s="242" t="s">
        <v>2855</v>
      </c>
      <c r="E511" s="251">
        <v>3.5999999999999997E-2</v>
      </c>
      <c r="F511" s="251">
        <v>3.5999999999999997E-2</v>
      </c>
      <c r="G511" s="251">
        <v>3.5999999999999997E-2</v>
      </c>
      <c r="H511" s="251">
        <v>3.5999999999999997E-2</v>
      </c>
      <c r="I511" s="251">
        <v>3.5999999999999997E-2</v>
      </c>
      <c r="J511" s="251">
        <v>3.5999999999999997E-2</v>
      </c>
      <c r="K511" s="251">
        <v>3.5999999999999997E-2</v>
      </c>
      <c r="L511" s="251">
        <v>3.5999999999999997E-2</v>
      </c>
    </row>
    <row r="512" spans="2:12" ht="15.75" thickBot="1">
      <c r="B512" s="306"/>
      <c r="C512" s="246" t="s">
        <v>2868</v>
      </c>
      <c r="D512" s="246" t="s">
        <v>2855</v>
      </c>
      <c r="E512" s="249">
        <v>1.2E-2</v>
      </c>
      <c r="F512" s="249">
        <v>1.2E-2</v>
      </c>
      <c r="G512" s="249">
        <v>1.2E-2</v>
      </c>
      <c r="H512" s="249">
        <v>1.2E-2</v>
      </c>
      <c r="I512" s="249">
        <v>1.2E-2</v>
      </c>
      <c r="J512" s="249">
        <v>1.2E-2</v>
      </c>
      <c r="K512" s="249">
        <v>1.2E-2</v>
      </c>
      <c r="L512" s="249">
        <v>1.2E-2</v>
      </c>
    </row>
    <row r="513" spans="1:12" ht="15.75" thickBot="1">
      <c r="B513" s="253" t="s">
        <v>2869</v>
      </c>
      <c r="C513" s="242" t="s">
        <v>2870</v>
      </c>
      <c r="D513" s="242" t="s">
        <v>2854</v>
      </c>
      <c r="E513" s="243">
        <v>30</v>
      </c>
      <c r="F513" s="243">
        <v>30</v>
      </c>
      <c r="G513" s="243">
        <v>30</v>
      </c>
      <c r="H513" s="243">
        <v>30</v>
      </c>
      <c r="I513" s="243">
        <v>30</v>
      </c>
      <c r="J513" s="243">
        <v>30</v>
      </c>
      <c r="K513" s="243">
        <v>30</v>
      </c>
      <c r="L513" s="243">
        <v>30</v>
      </c>
    </row>
    <row r="516" spans="1:12" ht="15.75" thickBot="1">
      <c r="B516" s="156" t="s">
        <v>2939</v>
      </c>
    </row>
    <row r="517" spans="1:12" ht="15.75" thickBot="1">
      <c r="B517" s="307"/>
      <c r="C517" s="308"/>
      <c r="D517" s="235" t="s">
        <v>0</v>
      </c>
      <c r="E517" s="236">
        <v>2015</v>
      </c>
      <c r="F517" s="236">
        <v>2020</v>
      </c>
      <c r="G517" s="236">
        <v>2030</v>
      </c>
      <c r="H517" s="236">
        <v>2040</v>
      </c>
      <c r="I517" s="236">
        <v>2050</v>
      </c>
    </row>
    <row r="518" spans="1:12" ht="16.5" thickTop="1" thickBot="1">
      <c r="B518" s="309" t="s">
        <v>2873</v>
      </c>
      <c r="C518" s="239" t="s">
        <v>2860</v>
      </c>
      <c r="D518" s="239" t="s">
        <v>2874</v>
      </c>
      <c r="E518" s="312" t="s">
        <v>2870</v>
      </c>
      <c r="F518" s="240" t="s">
        <v>2870</v>
      </c>
      <c r="G518" s="240">
        <v>1510</v>
      </c>
      <c r="H518" s="240">
        <v>1510</v>
      </c>
      <c r="I518" s="240">
        <v>1510</v>
      </c>
    </row>
    <row r="519" spans="1:12" ht="15.75" thickBot="1">
      <c r="A519" t="s">
        <v>2940</v>
      </c>
      <c r="B519" s="310"/>
      <c r="C519" s="258" t="s">
        <v>2861</v>
      </c>
      <c r="D519" s="258" t="s">
        <v>2874</v>
      </c>
      <c r="E519" s="313"/>
      <c r="F519" s="259" t="s">
        <v>2870</v>
      </c>
      <c r="G519" s="259">
        <v>1390</v>
      </c>
      <c r="H519" s="259">
        <v>1310</v>
      </c>
      <c r="I519" s="259">
        <v>1280</v>
      </c>
    </row>
    <row r="520" spans="1:12" ht="15.75" thickBot="1">
      <c r="B520" s="310"/>
      <c r="C520" s="239" t="s">
        <v>2875</v>
      </c>
      <c r="D520" s="239" t="s">
        <v>2874</v>
      </c>
      <c r="E520" s="313"/>
      <c r="F520" s="240" t="s">
        <v>2870</v>
      </c>
      <c r="G520" s="240">
        <v>1320</v>
      </c>
      <c r="H520" s="240">
        <v>1190</v>
      </c>
      <c r="I520" s="240">
        <v>1150</v>
      </c>
    </row>
    <row r="521" spans="1:12" ht="15.75" thickBot="1">
      <c r="B521" s="311"/>
      <c r="C521" s="258" t="s">
        <v>2876</v>
      </c>
      <c r="D521" s="258" t="s">
        <v>2874</v>
      </c>
      <c r="E521" s="314"/>
      <c r="F521" s="259" t="s">
        <v>2870</v>
      </c>
      <c r="G521" s="259">
        <v>1510</v>
      </c>
      <c r="H521" s="259">
        <v>1510</v>
      </c>
      <c r="I521" s="259">
        <v>1510</v>
      </c>
    </row>
    <row r="522" spans="1:12" ht="15.75" thickBot="1">
      <c r="B522" s="260" t="s">
        <v>2877</v>
      </c>
      <c r="C522" s="239" t="s">
        <v>2870</v>
      </c>
      <c r="D522" s="239" t="s">
        <v>2878</v>
      </c>
      <c r="E522" s="261">
        <v>2.5000000000000001E-2</v>
      </c>
      <c r="F522" s="261">
        <v>2.5000000000000001E-2</v>
      </c>
      <c r="G522" s="261">
        <v>2.5000000000000001E-2</v>
      </c>
      <c r="H522" s="261">
        <v>2.5000000000000001E-2</v>
      </c>
      <c r="I522" s="261">
        <v>2.5000000000000001E-2</v>
      </c>
    </row>
  </sheetData>
  <mergeCells count="142">
    <mergeCell ref="B22:B24"/>
    <mergeCell ref="B25:B27"/>
    <mergeCell ref="B32:C32"/>
    <mergeCell ref="B33:B37"/>
    <mergeCell ref="B42:C42"/>
    <mergeCell ref="B43:B47"/>
    <mergeCell ref="B5:C5"/>
    <mergeCell ref="B6:B8"/>
    <mergeCell ref="B9:B11"/>
    <mergeCell ref="B12:B14"/>
    <mergeCell ref="B18:C18"/>
    <mergeCell ref="B19:B21"/>
    <mergeCell ref="B81:C81"/>
    <mergeCell ref="B82:B86"/>
    <mergeCell ref="B90:C90"/>
    <mergeCell ref="B91:B93"/>
    <mergeCell ref="B94:B96"/>
    <mergeCell ref="B97:B99"/>
    <mergeCell ref="B52:C52"/>
    <mergeCell ref="B53:B57"/>
    <mergeCell ref="B61:C61"/>
    <mergeCell ref="B62:B66"/>
    <mergeCell ref="B71:C71"/>
    <mergeCell ref="B72:B76"/>
    <mergeCell ref="B133:C133"/>
    <mergeCell ref="B134:B138"/>
    <mergeCell ref="B144:C144"/>
    <mergeCell ref="B145:B147"/>
    <mergeCell ref="B148:B150"/>
    <mergeCell ref="B151:B153"/>
    <mergeCell ref="B103:C103"/>
    <mergeCell ref="B104:B108"/>
    <mergeCell ref="B113:C113"/>
    <mergeCell ref="B114:B118"/>
    <mergeCell ref="B123:C123"/>
    <mergeCell ref="B124:B128"/>
    <mergeCell ref="B182:B184"/>
    <mergeCell ref="B185:B187"/>
    <mergeCell ref="B191:C191"/>
    <mergeCell ref="B192:B196"/>
    <mergeCell ref="B201:C201"/>
    <mergeCell ref="B202:B206"/>
    <mergeCell ref="B157:C157"/>
    <mergeCell ref="B158:B162"/>
    <mergeCell ref="B167:C167"/>
    <mergeCell ref="B168:B172"/>
    <mergeCell ref="B178:C178"/>
    <mergeCell ref="B179:B181"/>
    <mergeCell ref="B235:C235"/>
    <mergeCell ref="B236:B240"/>
    <mergeCell ref="B245:C245"/>
    <mergeCell ref="B246:B250"/>
    <mergeCell ref="B255:C255"/>
    <mergeCell ref="B256:B260"/>
    <mergeCell ref="B211:C211"/>
    <mergeCell ref="B212:B216"/>
    <mergeCell ref="B222:C222"/>
    <mergeCell ref="B223:B225"/>
    <mergeCell ref="B226:B228"/>
    <mergeCell ref="B229:B231"/>
    <mergeCell ref="B270:B272"/>
    <mergeCell ref="CP270:CP271"/>
    <mergeCell ref="DD270:DD271"/>
    <mergeCell ref="CP272:CP274"/>
    <mergeCell ref="DD272:DD274"/>
    <mergeCell ref="B273:B275"/>
    <mergeCell ref="B266:C266"/>
    <mergeCell ref="B267:B269"/>
    <mergeCell ref="CP267:CQ267"/>
    <mergeCell ref="DD267:DE267"/>
    <mergeCell ref="CP268:CP269"/>
    <mergeCell ref="DD268:DD269"/>
    <mergeCell ref="DG279:DG282"/>
    <mergeCell ref="B280:B284"/>
    <mergeCell ref="B289:C289"/>
    <mergeCell ref="B290:B294"/>
    <mergeCell ref="B299:C299"/>
    <mergeCell ref="B300:B304"/>
    <mergeCell ref="CP278:CQ278"/>
    <mergeCell ref="DD278:DE278"/>
    <mergeCell ref="B279:C279"/>
    <mergeCell ref="CP279:CP282"/>
    <mergeCell ref="CS279:CS282"/>
    <mergeCell ref="DD279:DD282"/>
    <mergeCell ref="B339:C339"/>
    <mergeCell ref="B340:B344"/>
    <mergeCell ref="B350:C350"/>
    <mergeCell ref="B351:B353"/>
    <mergeCell ref="B354:B356"/>
    <mergeCell ref="B357:B359"/>
    <mergeCell ref="B309:C309"/>
    <mergeCell ref="B310:B314"/>
    <mergeCell ref="B319:C319"/>
    <mergeCell ref="B320:B324"/>
    <mergeCell ref="B329:C329"/>
    <mergeCell ref="B330:B334"/>
    <mergeCell ref="B393:C393"/>
    <mergeCell ref="B394:B398"/>
    <mergeCell ref="B404:C404"/>
    <mergeCell ref="B405:B406"/>
    <mergeCell ref="B407:B408"/>
    <mergeCell ref="B409:B411"/>
    <mergeCell ref="B363:C363"/>
    <mergeCell ref="B364:B368"/>
    <mergeCell ref="B373:C373"/>
    <mergeCell ref="B374:B378"/>
    <mergeCell ref="B383:C383"/>
    <mergeCell ref="B384:B388"/>
    <mergeCell ref="B435:C435"/>
    <mergeCell ref="B436:B439"/>
    <mergeCell ref="B444:C444"/>
    <mergeCell ref="B445:B446"/>
    <mergeCell ref="B447:B448"/>
    <mergeCell ref="B449:B451"/>
    <mergeCell ref="B415:C415"/>
    <mergeCell ref="B416:B419"/>
    <mergeCell ref="B424:C424"/>
    <mergeCell ref="B425:B426"/>
    <mergeCell ref="B427:B428"/>
    <mergeCell ref="B429:B431"/>
    <mergeCell ref="B476:C476"/>
    <mergeCell ref="B477:B480"/>
    <mergeCell ref="B485:C485"/>
    <mergeCell ref="B486:B487"/>
    <mergeCell ref="B488:B489"/>
    <mergeCell ref="B490:B492"/>
    <mergeCell ref="B455:C455"/>
    <mergeCell ref="B456:B459"/>
    <mergeCell ref="B465:C465"/>
    <mergeCell ref="B466:B467"/>
    <mergeCell ref="B468:B469"/>
    <mergeCell ref="B470:B472"/>
    <mergeCell ref="B510:B512"/>
    <mergeCell ref="B517:C517"/>
    <mergeCell ref="B518:B521"/>
    <mergeCell ref="E518:E521"/>
    <mergeCell ref="B497:C497"/>
    <mergeCell ref="B498:B501"/>
    <mergeCell ref="E498:E501"/>
    <mergeCell ref="B505:C505"/>
    <mergeCell ref="B506:B507"/>
    <mergeCell ref="B508:B50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935B8855D2CD4A84AB51A7B8A3B83B" ma:contentTypeVersion="6" ma:contentTypeDescription="Create a new document." ma:contentTypeScope="" ma:versionID="6046aa80c6137ea7cd300941e6de6139">
  <xsd:schema xmlns:xsd="http://www.w3.org/2001/XMLSchema" xmlns:xs="http://www.w3.org/2001/XMLSchema" xmlns:p="http://schemas.microsoft.com/office/2006/metadata/properties" xmlns:ns2="795b6ce3-4d29-4fa5-96ed-ea1b36830f13" xmlns:ns3="424ab569-3a9e-4e02-994b-fd1ed8ea43ac" targetNamespace="http://schemas.microsoft.com/office/2006/metadata/properties" ma:root="true" ma:fieldsID="8866ff8f472ea66287faba2f38092fc5" ns2:_="" ns3:_="">
    <xsd:import namespace="795b6ce3-4d29-4fa5-96ed-ea1b36830f13"/>
    <xsd:import namespace="424ab569-3a9e-4e02-994b-fd1ed8ea43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b6ce3-4d29-4fa5-96ed-ea1b36830f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ab569-3a9e-4e02-994b-fd1ed8ea43a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1BA114-00C8-4AA6-82E9-E7B647F448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686AAB-D1BF-4DFE-9F49-6F6D04D4E1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5b6ce3-4d29-4fa5-96ed-ea1b36830f13"/>
    <ds:schemaRef ds:uri="424ab569-3a9e-4e02-994b-fd1ed8ea43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81B585-D9F5-409F-9C58-1AAF8BF7165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ELC_EGP</vt:lpstr>
      <vt:lpstr>IMPEXP</vt:lpstr>
      <vt:lpstr>ELC_WIN</vt:lpstr>
      <vt:lpstr>WIN_ON_COST</vt:lpstr>
      <vt:lpstr>ELC_CCS</vt:lpstr>
      <vt:lpstr>Win_ON_Cost_Data</vt:lpstr>
      <vt:lpstr>ETRI_Cost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Carlsson</dc:creator>
  <cp:lastModifiedBy>James GLYNN</cp:lastModifiedBy>
  <dcterms:created xsi:type="dcterms:W3CDTF">2015-08-25T14:05:54Z</dcterms:created>
  <dcterms:modified xsi:type="dcterms:W3CDTF">2026-10-05T11:45:04Z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0x010100F4935B8855D2CD4A84AB51A7B8A3B83B</vt:lpwstr>
  </property>
  <property fmtid="{D5CDD505-2E9C-101B-9397-08002B2CF9AE}" pid="3" name="SaveCode">
    <vt:r8>885933041572570</vt:r8>
  </property>
</Properties>
</file>